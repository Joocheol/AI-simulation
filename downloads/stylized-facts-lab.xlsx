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2cae0f57284f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92a9c752185943c1"/>
    <x:sheet xmlns:r="http://schemas.openxmlformats.org/officeDocument/2006/relationships" name="ACF" sheetId="2" r:id="R2f45ed58f0404b91"/>
    <x:sheet xmlns:r="http://schemas.openxmlformats.org/officeDocument/2006/relationships" name="분포" sheetId="3" r:id="Rb0cb84292f934a31"/>
    <x:sheet xmlns:r="http://schemas.openxmlformats.org/officeDocument/2006/relationships" name="Hill" sheetId="4" r:id="R13bdd290ec2744df"/>
    <x:sheet xmlns:r="http://schemas.openxmlformats.org/officeDocument/2006/relationships" name="계산" sheetId="5" r:id="R90d3856cd33c44a2"/>
    <x:sheet xmlns:r="http://schemas.openxmlformats.org/officeDocument/2006/relationships" name="input" sheetId="6" r:id="Re3cc8c2c50464ba5"/>
    <x:sheet xmlns:r="http://schemas.openxmlformats.org/officeDocument/2006/relationships" name="안내" sheetId="7" r:id="R780f7b4817d046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0%"/>
    <x:numFmt numFmtId="202" formatCode="0"/>
    <x:numFmt numFmtId="203" formatCode="0.000E+00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color rgb="FF163A69"/>
      <x:name val="Arial"/>
    </x:font>
    <x:font>
      <x:b/>
      <x:sz val="13"/>
      <x:color rgb="FF163A6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1C2"/>
      </x:patternFill>
    </x:fill>
    <x:fill>
      <x:patternFill patternType="solid">
        <x:fgColor rgb="FF163A69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2" borderId="0" xfId="0" applyNumberFormat="1" applyFont="1" applyFill="1" applyBorder="1"/>
    <x:xf numFmtId="200" fontId="0" fillId="0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4" fillId="0" borderId="0" xfId="0" applyNumberFormat="1" applyFont="1" applyFill="1" applyBorder="1"/>
    <x:xf numFmtId="203" fontId="1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a12a488dac40e2" /><Relationship Type="http://schemas.openxmlformats.org/officeDocument/2006/relationships/theme" Target="/xl/theme/theme1.xml" Id="R8a590979c2f34f84" /><Relationship Type="http://schemas.openxmlformats.org/officeDocument/2006/relationships/sharedStrings" Target="/xl/sharedStrings.xml" Id="Rd9b1cc0039704e25" /><Relationship Type="http://schemas.openxmlformats.org/officeDocument/2006/relationships/worksheet" Target="/xl/worksheets/sheet1.xml" Id="R92a9c752185943c1" /><Relationship Type="http://schemas.openxmlformats.org/officeDocument/2006/relationships/worksheet" Target="/xl/worksheets/sheet2.xml" Id="R2f45ed58f0404b91" /><Relationship Type="http://schemas.openxmlformats.org/officeDocument/2006/relationships/worksheet" Target="/xl/worksheets/sheet3.xml" Id="Rb0cb84292f934a31" /><Relationship Type="http://schemas.openxmlformats.org/officeDocument/2006/relationships/worksheet" Target="/xl/worksheets/sheet4.xml" Id="R13bdd290ec2744df" /><Relationship Type="http://schemas.openxmlformats.org/officeDocument/2006/relationships/worksheet" Target="/xl/worksheets/sheet5.xml" Id="R90d3856cd33c44a2" /><Relationship Type="http://schemas.openxmlformats.org/officeDocument/2006/relationships/worksheet" Target="/xl/worksheets/sheet6.xml" Id="Re3cc8c2c50464ba5" /><Relationship Type="http://schemas.openxmlformats.org/officeDocument/2006/relationships/worksheet" Target="/xl/worksheets/sheet7.xml" Id="R780f7b4817d046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91ce63d7f04dc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b6c2348efdd43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히스토그램 빈도 (고정 구간)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빈도</c:v>
          </c:tx>
          <c:cat>
            <c:strRef>
              <c:f>'분포'!$F$5:$F$16</c:f>
              <c:strCache>
                <c:ptCount val="0"/>
              </c:strCache>
            </c:strRef>
          </c:cat>
          <c:val>
            <c:numRef>
              <c:f>'분포'!$G$5:$G$16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Hill ξ의 k 민감도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ξ</c:v>
          </c:tx>
          <c:marker>
            <c:symbol val="none"/>
          </c:marker>
          <c:cat>
            <c:strRef>
              <c:f>'Hill'!$F$5:$F$24</c:f>
              <c:strCache>
                <c:ptCount val="0"/>
              </c:strCache>
            </c:strRef>
          </c:cat>
          <c:val>
            <c:numRef>
              <c:f>'Hill'!$H$5:$H$24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91ce63d7f04dc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5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6c2348efdd435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2cf041ee59c4e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5a62b65d10e440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4" hidden="0" customWidth="1"/>
    <x:col min="3" max="3" width="18" hidden="0" customWidth="1"/>
    <x:col min="4" max="4" width="8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10" t="str">
        <x:v>수익률의 통계적 특성 실습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표본 선택</x:v>
      </x:c>
      <x:c r="B4" s="2" t="n">
        <x:v>1</x:v>
      </x:c>
      <x:c r="C4" s="1"/>
      <x:c r="D4" s="1" t="str">
        <x:v>1 정규 / 2 t(5) / 3 GARCH / 4 직접 입력</x:v>
      </x:c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 t="str">
        <x:v>관측 수 n</x:v>
      </x:c>
      <x:c r="B6" s="1" t="n">
        <x:f>COUNT('계산'!B2:B2001)</x:f>
        <x:v>1000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" t="str">
        <x:v>평균</x:v>
      </x:c>
      <x:c r="B7" s="5" t="n">
        <x:f>IF(B19,SUM('계산'!B2:B2001)/B6,"미정의")</x:f>
        <x:v>-0.000048239327049501376</x:v>
      </x:c>
      <x:c r="C7" s="1"/>
      <x:c r="D7" s="1" t="str">
        <x:v>정규성 ≠ 독립성. 수익률 ACF와 절대/제곱 ACF를 나누어 확인합니다.</x:v>
      </x:c>
      <x:c r="E7" s="1"/>
      <x:c r="F7" s="1"/>
      <x:c r="G7" s="1"/>
      <x:c r="H7" s="1"/>
      <x:c r="I7" s="1"/>
      <x:c r="J7" s="1"/>
      <x:c r="K7" s="1"/>
      <x:c r="L7" s="1"/>
    </x:row>
    <x:row r="8">
      <x:c r="A8" s="1" t="str">
        <x:v>모집단 분산 m2</x:v>
      </x:c>
      <x:c r="B8" s="5" t="n">
        <x:f>IF(B19,SUM('계산'!D2:D2001)/B6,"미정의")</x:f>
        <x:v>0.00010220737215341786</x:v>
      </x:c>
      <x:c r="C8" s="1"/>
      <x:c r="D8" s="1" t="str">
        <x:v>JB: n/6 × [왜도² + 초과첨도²/4]. Excel SKEW/KURT와 정의가 다릅니다.</x:v>
      </x:c>
      <x:c r="E8" s="1"/>
      <x:c r="F8" s="1"/>
      <x:c r="G8" s="1"/>
      <x:c r="H8" s="1"/>
      <x:c r="I8" s="1"/>
      <x:c r="J8" s="1"/>
      <x:c r="K8" s="1"/>
      <x:c r="L8" s="1"/>
    </x:row>
    <x:row r="9">
      <x:c r="A9" s="1" t="str">
        <x:v>모집단 왜도</x:v>
      </x:c>
      <x:c r="B9" s="5" t="n">
        <x:f>IF(B20,SUM('계산'!E2:E2001)/B6/B8^1.5,"미정의")</x:f>
        <x:v>0.07083446796283616</x:v>
      </x:c>
      <x:c r="C9" s="1"/>
      <x:c r="D9" s="1" t="str">
        <x:v>p값은 iid 정규 귀무가설 아래의 점근 χ²(2) 근사입니다.</x:v>
      </x:c>
      <x:c r="E9" s="1"/>
      <x:c r="F9" s="1"/>
      <x:c r="G9" s="1"/>
      <x:c r="H9" s="1"/>
      <x:c r="I9" s="1"/>
      <x:c r="J9" s="1"/>
      <x:c r="K9" s="1"/>
      <x:c r="L9" s="1"/>
    </x:row>
    <x:row r="10">
      <x:c r="A10" s="1" t="str">
        <x:v>초과첨도</x:v>
      </x:c>
      <x:c r="B10" s="5" t="n">
        <x:f>IF(B20,SUM('계산'!F2:F2001)/B6/B8^2-3,"미정의")</x:f>
        <x:v>0.20332807661078656</x:v>
      </x:c>
      <x:c r="C10" s="1"/>
      <x:c r="D10" s="1" t="str">
        <x:v>의존성·변동성 군집이 있으면 이 p값을 그대로 확정적 판단에 쓰지 마세요.</x:v>
      </x:c>
      <x:c r="E10" s="1"/>
      <x:c r="F10" s="1"/>
      <x:c r="G10" s="1"/>
      <x:c r="H10" s="1"/>
      <x:c r="I10" s="1"/>
      <x:c r="J10" s="1"/>
      <x:c r="K10" s="1"/>
      <x:c r="L10" s="1"/>
    </x:row>
    <x:row r="11">
      <x:c r="A11" s="1" t="str">
        <x:v>Jarque–Bera 통계량</x:v>
      </x:c>
      <x:c r="B11" s="5" t="n">
        <x:f>IF(B20,B6/6*(B9^2+B10^2/4),"미정의")</x:f>
        <x:v>2.558849756023089</x:v>
      </x:c>
      <x:c r="C11" s="1"/>
      <x:c r="D11" s="1" t="str">
        <x:v>n&lt;3 또는 0분산은 미정의. 작은 표본의 p값은 특히 주의합니다.</x:v>
      </x:c>
      <x:c r="E11" s="1"/>
      <x:c r="F11" s="1"/>
      <x:c r="G11" s="1"/>
      <x:c r="H11" s="1"/>
      <x:c r="I11" s="1"/>
      <x:c r="J11" s="1"/>
      <x:c r="K11" s="1"/>
      <x:c r="L11" s="1"/>
    </x:row>
    <x:row r="12">
      <x:c r="A12" s="1" t="str">
        <x:v>JB p (iid 점근근사)</x:v>
      </x:c>
      <x:c r="B12" s="14" t="n">
        <x:f>IF(B20,IF(B11&gt;50,EXP(-B11/2),IF(B11&lt;1,1-CHISQ.DIST(B11,2,TRUE),CHISQ.DIST.RT(B11,2))),"미정의")</x:f>
        <x:v>0.27819725180965815</x:v>
      </x:c>
      <x:c r="C12" s="1"/>
      <x:c r="D12" s="1" t="str">
        <x:v>Ljung–Box는 ACF 시트에서 h=1~20을 누적 계산합니다.</x:v>
      </x:c>
      <x:c r="E12" s="1"/>
      <x:c r="F12" s="1"/>
      <x:c r="G12" s="1"/>
      <x:c r="H12" s="1"/>
      <x:c r="I12" s="1"/>
      <x:c r="J12" s="1"/>
      <x:c r="K12" s="1"/>
      <x:c r="L12" s="1"/>
    </x:row>
    <x:row r="13">
      <x:c r="A13" s="1" t="str">
        <x:v>표준편차 √m2</x:v>
      </x:c>
      <x:c r="B13" s="5" t="n">
        <x:f>IF(B20,SQRT(B8),"미정의")</x:f>
        <x:v>0.010109766176990338</x:v>
      </x:c>
      <x:c r="C13" s="1"/>
      <x:c r="D13" s="1" t="str">
        <x:v>직접 입력: input!A2:A2001을 모두 비우고 시간순 숫자를 붙여넣습니다.</x:v>
      </x:c>
      <x:c r="E13" s="1"/>
      <x:c r="F13" s="1"/>
      <x:c r="G13" s="1"/>
      <x:c r="H13" s="1"/>
      <x:c r="I13" s="1"/>
      <x:c r="J13" s="1"/>
      <x:c r="K13" s="1"/>
      <x:c r="L13" s="1"/>
    </x:row>
    <x:row r="14">
      <x:c r="A14" s="1" t="str">
        <x:v>절대수익률 평균</x:v>
      </x:c>
      <x:c r="B14" s="5" t="n">
        <x:f>IF(B19,SUM('계산'!G2:G2001)/B6,"미정의")</x:f>
        <x:v>0.008013516627402855</x:v>
      </x:c>
      <x:c r="C14" s="1"/>
      <x:c r="D14" s="1" t="str">
        <x:v>t MLE/AIC와 ARCH-LM은 별도 Python/Claude 실습에서 계산합니다.</x:v>
      </x:c>
      <x:c r="E14" s="1"/>
      <x:c r="F14" s="1"/>
      <x:c r="G14" s="1"/>
      <x:c r="H14" s="1"/>
      <x:c r="I14" s="1"/>
      <x:c r="J14" s="1"/>
      <x:c r="K14" s="1"/>
      <x:c r="L14" s="1"/>
    </x:row>
    <x:row r="15">
      <x:c r="A15" s="1" t="str">
        <x:v>제곱수익률 평균</x:v>
      </x:c>
      <x:c r="B15" s="5" t="n">
        <x:f>IF(B19,SUM('계산'!H2:H2001)/B6,"미정의")</x:f>
        <x:v>0.0001022096991860921</x:v>
      </x:c>
      <x:c r="C15" s="1"/>
      <x:c r="D15" s="1" t="str">
        <x:v>이 파일은 해당 추정을 Excel로 구현했다고 주장하지 않습니다.</x:v>
      </x:c>
      <x:c r="E15" s="1"/>
      <x:c r="F15" s="1"/>
      <x:c r="G15" s="1"/>
      <x:c r="H15" s="1"/>
      <x:c r="I15" s="1"/>
      <x:c r="J15" s="1"/>
      <x:c r="K15" s="1"/>
      <x:c r="L15" s="1"/>
    </x:row>
    <x:row r="16">
      <x:c r="A16" s="1" t="str">
        <x:v>절대편차 제곱합</x:v>
      </x:c>
      <x:c r="B16" s="5" t="n">
        <x:f>IF(B19,SUMSQ('계산'!I2:I2001),"미정의")</x:f>
        <x:v>0.03799325044842992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 t="str">
        <x:v>제곱편차 제곱합</x:v>
      </x:c>
      <x:c r="B17" s="5" t="n">
        <x:f>IF(B19,SUMSQ('계산'!J2:J2001),"미정의")</x:f>
        <x:v>0.00002300355775902633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 t="str">
        <x:v>입력 상태</x:v>
      </x:c>
      <x:c r="B18" s="1" t="str">
        <x:f>IF(OR(B4&lt;1,B4&gt;4,B4&lt;&gt;INT(B4)),"선택 오류",IF(B4&lt;&gt;4,"합성 표본",IF(AND(COUNT('input'!A2:A2001)=COUNTA('input'!A2:A2001),MAX('input'!E2:E2001)=B6),"직접 입력 정상","중간 공백/문자 확인")))</x:f>
        <x:v>합성 표본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 t="str">
        <x:v>계산 가능 (n≥3)</x:v>
      </x:c>
      <x:c r="B19" s="1" t="b">
        <x:f>AND(B6&gt;=3,OR(B18="합성 표본",B18="직접 입력 정상"))</x:f>
        <x:v>1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 t="str">
        <x:v>분산 양수</x:v>
      </x:c>
      <x:c r="B20" s="1" t="b">
        <x:f>IF(B19,B8&gt;0,FALSE)</x:f>
        <x:v>1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dataValidations count="1">
    <x:dataValidation type="list" sqref="B4">
      <x:formula1>"1,2,3,4"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1" t="str">
        <x:v>시차 의존성과 Ljung–Box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6" customHeight="1">
      <x:c r="A4" s="9" t="str">
        <x:v>lag h</x:v>
      </x:c>
      <x:c r="B4" s="9" t="str">
        <x:v>ACF(r)</x:v>
      </x:c>
      <x:c r="C4" s="9" t="str">
        <x:v>ACF(|r|)</x:v>
      </x:c>
      <x:c r="D4" s="9" t="str">
        <x:v>ACF(r²)</x:v>
      </x:c>
      <x:c r="E4" s="9" t="str">
        <x:v>LB-Q 누적</x:v>
      </x:c>
      <x:c r="F4" s="9" t="str">
        <x:v>df</x:v>
      </x:c>
      <x:c r="G4" s="9" t="str">
        <x:v>LB p</x:v>
      </x:c>
      <x:c r="H4" s="1"/>
      <x:c r="I4" s="1"/>
      <x:c r="J4" s="1"/>
      <x:c r="K4" s="1"/>
      <x:c r="L4" s="1"/>
    </x:row>
    <x:row r="5">
      <x:c r="A5" s="1" t="n">
        <x:v>1</x:v>
      </x:c>
      <x:c r="B5" s="5" t="n">
        <x:f>IF('요약'!$B$20,IF(AND('요약'!$B$6&gt;A5,SUM('계산'!$D$2:$D$2001)&gt;0),SUMPRODUCT('계산'!$C$3:$C$2001,'계산'!$C$2:$C$2000)/SUM('계산'!$D$2:$D$2001),"미정의"),"미정의")</x:f>
        <x:v>-0.009756196372429264</x:v>
      </x:c>
      <x:c r="C5" s="5" t="n">
        <x:f>IF('요약'!$B$20,IF(AND('요약'!$B$6&gt;A5,'요약'!$B$16&gt;0),SUMPRODUCT('계산'!$I$3:$I$2001,'계산'!$I$2:$I$2000)/'요약'!$B$16,"미정의"),"미정의")</x:f>
        <x:v>-0.022851830980748465</x:v>
      </x:c>
      <x:c r="D5" s="5" t="n">
        <x:f>IF('요약'!$B$20,IF(AND('요약'!$B$6&gt;A5,'요약'!$B$17&gt;0),SUMPRODUCT('계산'!$J$3:$J$2001,'계산'!$J$2:$J$2000)/'요약'!$B$17,"미정의"),"미정의")</x:f>
        <x:v>-0.02848047007987184</x:v>
      </x:c>
      <x:c r="E5" s="5" t="n">
        <x:f>IF(ISNUMBER(B5),0+'요약'!$B$6*('요약'!$B$6+2)*B5^2/('요약'!$B$6-A5),"미정의")</x:f>
        <x:v>0.09546920359631307</x:v>
      </x:c>
      <x:c r="F5" s="12" t="n">
        <x:f>A5</x:f>
        <x:v>1</x:v>
      </x:c>
      <x:c r="G5" s="14" t="n">
        <x:f>IF(ISNUMBER(E5),IF(E5&lt;1,1-CHISQ.DIST(E5,F5,TRUE),CHISQ.DIST.RT(E5,F5)),"미정의")</x:f>
        <x:v>0.7573360473511823</x:v>
      </x:c>
      <x:c r="H5" s="1"/>
      <x:c r="I5" s="1"/>
      <x:c r="J5" s="1"/>
      <x:c r="K5" s="1"/>
      <x:c r="L5" s="1"/>
    </x:row>
    <x:row r="6">
      <x:c r="A6" s="1" t="n">
        <x:v>2</x:v>
      </x:c>
      <x:c r="B6" s="5" t="n">
        <x:f>IF('요약'!$B$20,IF(AND('요약'!$B$6&gt;A6,SUM('계산'!$D$2:$D$2001)&gt;0),SUMPRODUCT('계산'!$C$4:$C$2001,'계산'!$C$2:$C$1999)/SUM('계산'!$D$2:$D$2001),"미정의"),"미정의")</x:f>
        <x:v>0.020177073605613365</x:v>
      </x:c>
      <x:c r="C6" s="5" t="n">
        <x:f>IF('요약'!$B$20,IF(AND('요약'!$B$6&gt;A6,'요약'!$B$16&gt;0),SUMPRODUCT('계산'!$I$4:$I$2001,'계산'!$I$2:$I$1999)/'요약'!$B$16,"미정의"),"미정의")</x:f>
        <x:v>-0.046115771071317015</x:v>
      </x:c>
      <x:c r="D6" s="5" t="n">
        <x:f>IF('요약'!$B$20,IF(AND('요약'!$B$6&gt;A6,'요약'!$B$17&gt;0),SUMPRODUCT('계산'!$J$4:$J$2001,'계산'!$J$2:$J$1999)/'요약'!$B$17,"미정의"),"미정의")</x:f>
        <x:v>-0.024781617551753732</x:v>
      </x:c>
      <x:c r="E6" s="5" t="n">
        <x:f>IF(ISNUMBER(B6),E5+'요약'!$B$6*('요약'!$B$6+2)*B6^2/('요약'!$B$6-A6),"미정의")</x:f>
        <x:v>0.5042152235210747</x:v>
      </x:c>
      <x:c r="F6" s="12" t="n">
        <x:f>A6</x:f>
        <x:v>2</x:v>
      </x:c>
      <x:c r="G6" s="14" t="n">
        <x:f>IF(ISNUMBER(E6),IF(E6&lt;1,1-CHISQ.DIST(E6,F6,TRUE),CHISQ.DIST.RT(E6,F6)),"미정의")</x:f>
        <x:v>0.7771611018945129</x:v>
      </x:c>
      <x:c r="H6" s="1"/>
      <x:c r="I6" s="1"/>
      <x:c r="J6" s="1"/>
      <x:c r="K6" s="1"/>
      <x:c r="L6" s="1"/>
    </x:row>
    <x:row r="7">
      <x:c r="A7" s="1" t="n">
        <x:v>3</x:v>
      </x:c>
      <x:c r="B7" s="5" t="n">
        <x:f>IF('요약'!$B$20,IF(AND('요약'!$B$6&gt;A7,SUM('계산'!$D$2:$D$2001)&gt;0),SUMPRODUCT('계산'!$C$5:$C$2001,'계산'!$C$2:$C$1998)/SUM('계산'!$D$2:$D$2001),"미정의"),"미정의")</x:f>
        <x:v>-0.010862008283032201</x:v>
      </x:c>
      <x:c r="C7" s="5" t="n">
        <x:f>IF('요약'!$B$20,IF(AND('요약'!$B$6&gt;A7,'요약'!$B$16&gt;0),SUMPRODUCT('계산'!$I$5:$I$2001,'계산'!$I$2:$I$1998)/'요약'!$B$16,"미정의"),"미정의")</x:f>
        <x:v>-0.013395187077920409</x:v>
      </x:c>
      <x:c r="D7" s="5" t="n">
        <x:f>IF('요약'!$B$20,IF(AND('요약'!$B$6&gt;A7,'요약'!$B$17&gt;0),SUMPRODUCT('계산'!$J$5:$J$2001,'계산'!$J$2:$J$1998)/'요약'!$B$17,"미정의"),"미정의")</x:f>
        <x:v>-0.00824227310910522</x:v>
      </x:c>
      <x:c r="E7" s="5" t="n">
        <x:f>IF(ISNUMBER(B7),E6+'요약'!$B$6*('요약'!$B$6+2)*B7^2/('요약'!$B$6-A7),"미정의")</x:f>
        <x:v>0.622790138655018</x:v>
      </x:c>
      <x:c r="F7" s="12" t="n">
        <x:f>A7</x:f>
        <x:v>3</x:v>
      </x:c>
      <x:c r="G7" s="14" t="n">
        <x:f>IF(ISNUMBER(E7),IF(E7&lt;1,1-CHISQ.DIST(E7,F7,TRUE),CHISQ.DIST.RT(E7,F7)),"미정의")</x:f>
        <x:v>0.8911958430092366</x:v>
      </x:c>
      <x:c r="H7" s="1"/>
      <x:c r="I7" s="1"/>
      <x:c r="J7" s="1"/>
      <x:c r="K7" s="1"/>
      <x:c r="L7" s="1"/>
    </x:row>
    <x:row r="8">
      <x:c r="A8" s="1" t="n">
        <x:v>4</x:v>
      </x:c>
      <x:c r="B8" s="5" t="n">
        <x:f>IF('요약'!$B$20,IF(AND('요약'!$B$6&gt;A8,SUM('계산'!$D$2:$D$2001)&gt;0),SUMPRODUCT('계산'!$C$6:$C$2001,'계산'!$C$2:$C$1997)/SUM('계산'!$D$2:$D$2001),"미정의"),"미정의")</x:f>
        <x:v>-0.01321392519356091</x:v>
      </x:c>
      <x:c r="C8" s="5" t="n">
        <x:f>IF('요약'!$B$20,IF(AND('요약'!$B$6&gt;A8,'요약'!$B$16&gt;0),SUMPRODUCT('계산'!$I$6:$I$2001,'계산'!$I$2:$I$1997)/'요약'!$B$16,"미정의"),"미정의")</x:f>
        <x:v>-0.01960139268358453</x:v>
      </x:c>
      <x:c r="D8" s="5" t="n">
        <x:f>IF('요약'!$B$20,IF(AND('요약'!$B$6&gt;A8,'요약'!$B$17&gt;0),SUMPRODUCT('계산'!$J$6:$J$2001,'계산'!$J$2:$J$1997)/'요약'!$B$17,"미정의"),"미정의")</x:f>
        <x:v>-0.03729006650945971</x:v>
      </x:c>
      <x:c r="E8" s="5" t="n">
        <x:f>IF(ISNUMBER(B8),E7+'요약'!$B$6*('요약'!$B$6+2)*B8^2/('요약'!$B$6-A8),"미정의")</x:f>
        <x:v>0.7984498120074937</x:v>
      </x:c>
      <x:c r="F8" s="12" t="n">
        <x:f>A8</x:f>
        <x:v>4</x:v>
      </x:c>
      <x:c r="G8" s="14" t="n">
        <x:f>IF(ISNUMBER(E8),IF(E8&lt;1,1-CHISQ.DIST(E8,F8,TRUE),CHISQ.DIST.RT(E8,F8)),"미정의")</x:f>
        <x:v>0.9386557679713388</x:v>
      </x:c>
      <x:c r="H8" s="1"/>
      <x:c r="I8" s="1"/>
      <x:c r="J8" s="1"/>
      <x:c r="K8" s="1"/>
      <x:c r="L8" s="1"/>
    </x:row>
    <x:row r="9">
      <x:c r="A9" s="1" t="n">
        <x:v>5</x:v>
      </x:c>
      <x:c r="B9" s="5" t="n">
        <x:f>IF('요약'!$B$20,IF(AND('요약'!$B$6&gt;A9,SUM('계산'!$D$2:$D$2001)&gt;0),SUMPRODUCT('계산'!$C$7:$C$2001,'계산'!$C$2:$C$1996)/SUM('계산'!$D$2:$D$2001),"미정의"),"미정의")</x:f>
        <x:v>-0.028673481163167744</x:v>
      </x:c>
      <x:c r="C9" s="5" t="n">
        <x:f>IF('요약'!$B$20,IF(AND('요약'!$B$6&gt;A9,'요약'!$B$16&gt;0),SUMPRODUCT('계산'!$I$7:$I$2001,'계산'!$I$2:$I$1996)/'요약'!$B$16,"미정의"),"미정의")</x:f>
        <x:v>0.009486091654039585</x:v>
      </x:c>
      <x:c r="D9" s="5" t="n">
        <x:f>IF('요약'!$B$20,IF(AND('요약'!$B$6&gt;A9,'요약'!$B$17&gt;0),SUMPRODUCT('계산'!$J$7:$J$2001,'계산'!$J$2:$J$1996)/'요약'!$B$17,"미정의"),"미정의")</x:f>
        <x:v>0.009065700333758617</x:v>
      </x:c>
      <x:c r="E9" s="5" t="n">
        <x:f>IF(ISNUMBER(B9),E8+'요약'!$B$6*('요약'!$B$6+2)*B9^2/('요약'!$B$6-A9),"미정의")</x:f>
        <x:v>1.6264024341769052</x:v>
      </x:c>
      <x:c r="F9" s="12" t="n">
        <x:f>A9</x:f>
        <x:v>5</x:v>
      </x:c>
      <x:c r="G9" s="14" t="n">
        <x:f>IF(ISNUMBER(E9),IF(E9&lt;1,1-CHISQ.DIST(E9,F9,TRUE),CHISQ.DIST.RT(E9,F9)),"미정의")</x:f>
        <x:v>0.8980382102895957</x:v>
      </x:c>
      <x:c r="H9" s="1"/>
      <x:c r="I9" s="1"/>
      <x:c r="J9" s="1"/>
      <x:c r="K9" s="1"/>
      <x:c r="L9" s="1"/>
    </x:row>
    <x:row r="10">
      <x:c r="A10" s="1" t="n">
        <x:v>6</x:v>
      </x:c>
      <x:c r="B10" s="5" t="n">
        <x:f>IF('요약'!$B$20,IF(AND('요약'!$B$6&gt;A10,SUM('계산'!$D$2:$D$2001)&gt;0),SUMPRODUCT('계산'!$C$8:$C$2001,'계산'!$C$2:$C$1995)/SUM('계산'!$D$2:$D$2001),"미정의"),"미정의")</x:f>
        <x:v>0.021283986293801425</x:v>
      </x:c>
      <x:c r="C10" s="5" t="n">
        <x:f>IF('요약'!$B$20,IF(AND('요약'!$B$6&gt;A10,'요약'!$B$16&gt;0),SUMPRODUCT('계산'!$I$8:$I$2001,'계산'!$I$2:$I$1995)/'요약'!$B$16,"미정의"),"미정의")</x:f>
        <x:v>-0.03040457688416668</x:v>
      </x:c>
      <x:c r="D10" s="5" t="n">
        <x:f>IF('요약'!$B$20,IF(AND('요약'!$B$6&gt;A10,'요약'!$B$17&gt;0),SUMPRODUCT('계산'!$J$8:$J$2001,'계산'!$J$2:$J$1995)/'요약'!$B$17,"미정의"),"미정의")</x:f>
        <x:v>0.0032221968883319784</x:v>
      </x:c>
      <x:c r="E10" s="5" t="n">
        <x:f>IF(ISNUMBER(B10),E9+'요약'!$B$6*('요약'!$B$6+2)*B10^2/('요약'!$B$6-A10),"미정의")</x:f>
        <x:v>2.0830564469534005</x:v>
      </x:c>
      <x:c r="F10" s="12" t="n">
        <x:f>A10</x:f>
        <x:v>6</x:v>
      </x:c>
      <x:c r="G10" s="14" t="n">
        <x:f>IF(ISNUMBER(E10),IF(E10&lt;1,1-CHISQ.DIST(E10,F10,TRUE),CHISQ.DIST.RT(E10,F10)),"미정의")</x:f>
        <x:v>0.9119035199650083</x:v>
      </x:c>
      <x:c r="H10" s="1"/>
      <x:c r="I10" s="1"/>
      <x:c r="J10" s="1"/>
      <x:c r="K10" s="1"/>
      <x:c r="L10" s="1"/>
    </x:row>
    <x:row r="11">
      <x:c r="A11" s="1" t="n">
        <x:v>7</x:v>
      </x:c>
      <x:c r="B11" s="5" t="n">
        <x:f>IF('요약'!$B$20,IF(AND('요약'!$B$6&gt;A11,SUM('계산'!$D$2:$D$2001)&gt;0),SUMPRODUCT('계산'!$C$9:$C$2001,'계산'!$C$2:$C$1994)/SUM('계산'!$D$2:$D$2001),"미정의"),"미정의")</x:f>
        <x:v>-0.01772397173333392</x:v>
      </x:c>
      <x:c r="C11" s="5" t="n">
        <x:f>IF('요약'!$B$20,IF(AND('요약'!$B$6&gt;A11,'요약'!$B$16&gt;0),SUMPRODUCT('계산'!$I$9:$I$2001,'계산'!$I$2:$I$1994)/'요약'!$B$16,"미정의"),"미정의")</x:f>
        <x:v>0.03862959915044781</x:v>
      </x:c>
      <x:c r="D11" s="5" t="n">
        <x:f>IF('요약'!$B$20,IF(AND('요약'!$B$6&gt;A11,'요약'!$B$17&gt;0),SUMPRODUCT('계산'!$J$9:$J$2001,'계산'!$J$2:$J$1994)/'요약'!$B$17,"미정의"),"미정의")</x:f>
        <x:v>0.06609177846150058</x:v>
      </x:c>
      <x:c r="E11" s="5" t="n">
        <x:f>IF(ISNUMBER(B11),E10+'요약'!$B$6*('요약'!$B$6+2)*B11^2/('요약'!$B$6-A11),"미정의")</x:f>
        <x:v>2.400042803803378</x:v>
      </x:c>
      <x:c r="F11" s="12" t="n">
        <x:f>A11</x:f>
        <x:v>7</x:v>
      </x:c>
      <x:c r="G11" s="14" t="n">
        <x:f>IF(ISNUMBER(E11),IF(E11&lt;1,1-CHISQ.DIST(E11,F11,TRUE),CHISQ.DIST.RT(E11,F11)),"미정의")</x:f>
        <x:v>0.9344340198633079</x:v>
      </x:c>
      <x:c r="H11" s="1"/>
      <x:c r="I11" s="1"/>
      <x:c r="J11" s="1"/>
      <x:c r="K11" s="1"/>
      <x:c r="L11" s="1"/>
    </x:row>
    <x:row r="12">
      <x:c r="A12" s="1" t="n">
        <x:v>8</x:v>
      </x:c>
      <x:c r="B12" s="5" t="n">
        <x:f>IF('요약'!$B$20,IF(AND('요약'!$B$6&gt;A12,SUM('계산'!$D$2:$D$2001)&gt;0),SUMPRODUCT('계산'!$C$10:$C$2001,'계산'!$C$2:$C$1993)/SUM('계산'!$D$2:$D$2001),"미정의"),"미정의")</x:f>
        <x:v>-0.0020195238375140287</x:v>
      </x:c>
      <x:c r="C12" s="5" t="n">
        <x:f>IF('요약'!$B$20,IF(AND('요약'!$B$6&gt;A12,'요약'!$B$16&gt;0),SUMPRODUCT('계산'!$I$10:$I$2001,'계산'!$I$2:$I$1993)/'요약'!$B$16,"미정의"),"미정의")</x:f>
        <x:v>0.04697164971878729</x:v>
      </x:c>
      <x:c r="D12" s="5" t="n">
        <x:f>IF('요약'!$B$20,IF(AND('요약'!$B$6&gt;A12,'요약'!$B$17&gt;0),SUMPRODUCT('계산'!$J$10:$J$2001,'계산'!$J$2:$J$1993)/'요약'!$B$17,"미정의"),"미정의")</x:f>
        <x:v>0.038181306196464815</x:v>
      </x:c>
      <x:c r="E12" s="5" t="n">
        <x:f>IF(ISNUMBER(B12),E11+'요약'!$B$6*('요약'!$B$6+2)*B12^2/('요약'!$B$6-A12),"미정의")</x:f>
        <x:v>2.404162394008366</x:v>
      </x:c>
      <x:c r="F12" s="12" t="n">
        <x:f>A12</x:f>
        <x:v>8</x:v>
      </x:c>
      <x:c r="G12" s="14" t="n">
        <x:f>IF(ISNUMBER(E12),IF(E12&lt;1,1-CHISQ.DIST(E12,F12,TRUE),CHISQ.DIST.RT(E12,F12)),"미정의")</x:f>
        <x:v>0.9660502187884747</x:v>
      </x:c>
      <x:c r="H12" s="1"/>
      <x:c r="I12" s="1"/>
      <x:c r="J12" s="1"/>
      <x:c r="K12" s="1"/>
      <x:c r="L12" s="1"/>
    </x:row>
    <x:row r="13">
      <x:c r="A13" s="1" t="n">
        <x:v>9</x:v>
      </x:c>
      <x:c r="B13" s="5" t="n">
        <x:f>IF('요약'!$B$20,IF(AND('요약'!$B$6&gt;A13,SUM('계산'!$D$2:$D$2001)&gt;0),SUMPRODUCT('계산'!$C$11:$C$2001,'계산'!$C$2:$C$1992)/SUM('계산'!$D$2:$D$2001),"미정의"),"미정의")</x:f>
        <x:v>-0.0020380257954373177</x:v>
      </x:c>
      <x:c r="C13" s="5" t="n">
        <x:f>IF('요약'!$B$20,IF(AND('요약'!$B$6&gt;A13,'요약'!$B$16&gt;0),SUMPRODUCT('계산'!$I$11:$I$2001,'계산'!$I$2:$I$1992)/'요약'!$B$16,"미정의"),"미정의")</x:f>
        <x:v>-0.05426416372885813</x:v>
      </x:c>
      <x:c r="D13" s="5" t="n">
        <x:f>IF('요약'!$B$20,IF(AND('요약'!$B$6&gt;A13,'요약'!$B$17&gt;0),SUMPRODUCT('계산'!$J$11:$J$2001,'계산'!$J$2:$J$1992)/'요약'!$B$17,"미정의"),"미정의")</x:f>
        <x:v>-0.04027554360410969</x:v>
      </x:c>
      <x:c r="E13" s="5" t="n">
        <x:f>IF(ISNUMBER(B13),E12+'요약'!$B$6*('요약'!$B$6+2)*B13^2/('요약'!$B$6-A13),"미정의")</x:f>
        <x:v>2.4083620471275924</x:v>
      </x:c>
      <x:c r="F13" s="12" t="n">
        <x:f>A13</x:f>
        <x:v>9</x:v>
      </x:c>
      <x:c r="G13" s="14" t="n">
        <x:f>IF(ISNUMBER(E13),IF(E13&lt;1,1-CHISQ.DIST(E13,F13,TRUE),CHISQ.DIST.RT(E13,F13)),"미정의")</x:f>
        <x:v>0.9832471928321815</x:v>
      </x:c>
      <x:c r="H13" s="1"/>
      <x:c r="I13" s="1"/>
      <x:c r="J13" s="1"/>
      <x:c r="K13" s="1"/>
      <x:c r="L13" s="1"/>
    </x:row>
    <x:row r="14">
      <x:c r="A14" s="1" t="n">
        <x:v>10</x:v>
      </x:c>
      <x:c r="B14" s="5" t="n">
        <x:f>IF('요약'!$B$20,IF(AND('요약'!$B$6&gt;A14,SUM('계산'!$D$2:$D$2001)&gt;0),SUMPRODUCT('계산'!$C$12:$C$2001,'계산'!$C$2:$C$1991)/SUM('계산'!$D$2:$D$2001),"미정의"),"미정의")</x:f>
        <x:v>-0.004974880526544378</x:v>
      </x:c>
      <x:c r="C14" s="5" t="n">
        <x:f>IF('요약'!$B$20,IF(AND('요약'!$B$6&gt;A14,'요약'!$B$16&gt;0),SUMPRODUCT('계산'!$I$12:$I$2001,'계산'!$I$2:$I$1991)/'요약'!$B$16,"미정의"),"미정의")</x:f>
        <x:v>-0.0036617677072711247</x:v>
      </x:c>
      <x:c r="D14" s="5" t="n">
        <x:f>IF('요약'!$B$20,IF(AND('요약'!$B$6&gt;A14,'요약'!$B$17&gt;0),SUMPRODUCT('계산'!$J$12:$J$2001,'계산'!$J$2:$J$1991)/'요약'!$B$17,"미정의"),"미정의")</x:f>
        <x:v>-0.014961574581040157</x:v>
      </x:c>
      <x:c r="E14" s="5" t="n">
        <x:f>IF(ISNUMBER(B14),E13+'요약'!$B$6*('요약'!$B$6+2)*B14^2/('요약'!$B$6-A14),"미정의")</x:f>
        <x:v>2.4334114765476906</x:v>
      </x:c>
      <x:c r="F14" s="12" t="n">
        <x:f>A14</x:f>
        <x:v>10</x:v>
      </x:c>
      <x:c r="G14" s="14" t="n">
        <x:f>IF(ISNUMBER(E14),IF(E14&lt;1,1-CHISQ.DIST(E14,F14,TRUE),CHISQ.DIST.RT(E14,F14)),"미정의")</x:f>
        <x:v>0.9918109485226617</x:v>
      </x:c>
      <x:c r="H14" s="1"/>
      <x:c r="I14" s="1"/>
      <x:c r="J14" s="1"/>
      <x:c r="K14" s="1"/>
      <x:c r="L14" s="1"/>
    </x:row>
    <x:row r="15">
      <x:c r="A15" s="1" t="n">
        <x:v>11</x:v>
      </x:c>
      <x:c r="B15" s="5" t="n">
        <x:f>IF('요약'!$B$20,IF(AND('요약'!$B$6&gt;A15,SUM('계산'!$D$2:$D$2001)&gt;0),SUMPRODUCT('계산'!$C$13:$C$2001,'계산'!$C$2:$C$1990)/SUM('계산'!$D$2:$D$2001),"미정의"),"미정의")</x:f>
        <x:v>-0.0027953192253357584</x:v>
      </x:c>
      <x:c r="C15" s="5" t="n">
        <x:f>IF('요약'!$B$20,IF(AND('요약'!$B$6&gt;A15,'요약'!$B$16&gt;0),SUMPRODUCT('계산'!$I$13:$I$2001,'계산'!$I$2:$I$1990)/'요약'!$B$16,"미정의"),"미정의")</x:f>
        <x:v>-0.012074442801491099</x:v>
      </x:c>
      <x:c r="D15" s="5" t="n">
        <x:f>IF('요약'!$B$20,IF(AND('요약'!$B$6&gt;A15,'요약'!$B$17&gt;0),SUMPRODUCT('계산'!$J$13:$J$2001,'계산'!$J$2:$J$1990)/'요약'!$B$17,"미정의"),"미정의")</x:f>
        <x:v>-0.009284912407060295</x:v>
      </x:c>
      <x:c r="E15" s="5" t="n">
        <x:f>IF(ISNUMBER(B15),E14+'요약'!$B$6*('요약'!$B$6+2)*B15^2/('요약'!$B$6-A15),"미정의")</x:f>
        <x:v>2.4413279954462497</x:v>
      </x:c>
      <x:c r="F15" s="12" t="n">
        <x:f>A15</x:f>
        <x:v>11</x:v>
      </x:c>
      <x:c r="G15" s="14" t="n">
        <x:f>IF(ISNUMBER(E15),IF(E15&lt;1,1-CHISQ.DIST(E15,F15,TRUE),CHISQ.DIST.RT(E15,F15)),"미정의")</x:f>
        <x:v>0.9962459937260626</x:v>
      </x:c>
      <x:c r="H15" s="1"/>
      <x:c r="I15" s="1"/>
      <x:c r="J15" s="1"/>
      <x:c r="K15" s="1"/>
      <x:c r="L15" s="1"/>
    </x:row>
    <x:row r="16">
      <x:c r="A16" s="1" t="n">
        <x:v>12</x:v>
      </x:c>
      <x:c r="B16" s="5" t="n">
        <x:f>IF('요약'!$B$20,IF(AND('요약'!$B$6&gt;A16,SUM('계산'!$D$2:$D$2001)&gt;0),SUMPRODUCT('계산'!$C$14:$C$2001,'계산'!$C$2:$C$1989)/SUM('계산'!$D$2:$D$2001),"미정의"),"미정의")</x:f>
        <x:v>-0.027213336627449725</x:v>
      </x:c>
      <x:c r="C16" s="5" t="n">
        <x:f>IF('요약'!$B$20,IF(AND('요약'!$B$6&gt;A16,'요약'!$B$16&gt;0),SUMPRODUCT('계산'!$I$14:$I$2001,'계산'!$I$2:$I$1989)/'요약'!$B$16,"미정의"),"미정의")</x:f>
        <x:v>0.007912052774537368</x:v>
      </x:c>
      <x:c r="D16" s="5" t="n">
        <x:f>IF('요약'!$B$20,IF(AND('요약'!$B$6&gt;A16,'요약'!$B$17&gt;0),SUMPRODUCT('계산'!$J$14:$J$2001,'계산'!$J$2:$J$1989)/'요약'!$B$17,"미정의"),"미정의")</x:f>
        <x:v>0.01521772385208221</x:v>
      </x:c>
      <x:c r="E16" s="5" t="n">
        <x:f>IF(ISNUMBER(B16),E15+'요약'!$B$6*('요약'!$B$6+2)*B16^2/('요약'!$B$6-A16),"미정의")</x:f>
        <x:v>3.1923875316605157</x:v>
      </x:c>
      <x:c r="F16" s="12" t="n">
        <x:f>A16</x:f>
        <x:v>12</x:v>
      </x:c>
      <x:c r="G16" s="14" t="n">
        <x:f>IF(ISNUMBER(E16),IF(E16&lt;1,1-CHISQ.DIST(E16,F16,TRUE),CHISQ.DIST.RT(E16,F16)),"미정의")</x:f>
        <x:v>0.9940265872764361</x:v>
      </x:c>
      <x:c r="H16" s="1"/>
      <x:c r="I16" s="1"/>
      <x:c r="J16" s="1"/>
      <x:c r="K16" s="1"/>
      <x:c r="L16" s="1"/>
    </x:row>
    <x:row r="17">
      <x:c r="A17" s="1" t="n">
        <x:v>13</x:v>
      </x:c>
      <x:c r="B17" s="5" t="n">
        <x:f>IF('요약'!$B$20,IF(AND('요약'!$B$6&gt;A17,SUM('계산'!$D$2:$D$2001)&gt;0),SUMPRODUCT('계산'!$C$15:$C$2001,'계산'!$C$2:$C$1988)/SUM('계산'!$D$2:$D$2001),"미정의"),"미정의")</x:f>
        <x:v>0.0157019276508246</x:v>
      </x:c>
      <x:c r="C17" s="5" t="n">
        <x:f>IF('요약'!$B$20,IF(AND('요약'!$B$6&gt;A17,'요약'!$B$16&gt;0),SUMPRODUCT('계산'!$I$15:$I$2001,'계산'!$I$2:$I$1988)/'요약'!$B$16,"미정의"),"미정의")</x:f>
        <x:v>-0.0007631432733444084</x:v>
      </x:c>
      <x:c r="D17" s="5" t="n">
        <x:f>IF('요약'!$B$20,IF(AND('요약'!$B$6&gt;A17,'요약'!$B$17&gt;0),SUMPRODUCT('계산'!$J$15:$J$2001,'계산'!$J$2:$J$1988)/'요약'!$B$17,"미정의"),"미정의")</x:f>
        <x:v>0.013462811616653126</x:v>
      </x:c>
      <x:c r="E17" s="5" t="n">
        <x:f>IF(ISNUMBER(B17),E16+'요약'!$B$6*('요약'!$B$6+2)*B17^2/('요약'!$B$6-A17),"미정의")</x:f>
        <x:v>3.4426850321829408</x:v>
      </x:c>
      <x:c r="F17" s="12" t="n">
        <x:f>A17</x:f>
        <x:v>13</x:v>
      </x:c>
      <x:c r="G17" s="14" t="n">
        <x:f>IF(ISNUMBER(E17),IF(E17&lt;1,1-CHISQ.DIST(E17,F17,TRUE),CHISQ.DIST.RT(E17,F17)),"미정의")</x:f>
        <x:v>0.9958054340113545</x:v>
      </x:c>
      <x:c r="H17" s="1"/>
      <x:c r="I17" s="1"/>
      <x:c r="J17" s="1"/>
      <x:c r="K17" s="1"/>
      <x:c r="L17" s="1"/>
    </x:row>
    <x:row r="18">
      <x:c r="A18" s="1" t="n">
        <x:v>14</x:v>
      </x:c>
      <x:c r="B18" s="5" t="n">
        <x:f>IF('요약'!$B$20,IF(AND('요약'!$B$6&gt;A18,SUM('계산'!$D$2:$D$2001)&gt;0),SUMPRODUCT('계산'!$C$16:$C$2001,'계산'!$C$2:$C$1987)/SUM('계산'!$D$2:$D$2001),"미정의"),"미정의")</x:f>
        <x:v>0.02172160545160829</x:v>
      </x:c>
      <x:c r="C18" s="5" t="n">
        <x:f>IF('요약'!$B$20,IF(AND('요약'!$B$6&gt;A18,'요약'!$B$16&gt;0),SUMPRODUCT('계산'!$I$16:$I$2001,'계산'!$I$2:$I$1987)/'요약'!$B$16,"미정의"),"미정의")</x:f>
        <x:v>-0.03666631104806158</x:v>
      </x:c>
      <x:c r="D18" s="5" t="n">
        <x:f>IF('요약'!$B$20,IF(AND('요약'!$B$6&gt;A18,'요약'!$B$17&gt;0),SUMPRODUCT('계산'!$J$16:$J$2001,'계산'!$J$2:$J$1987)/'요약'!$B$17,"미정의"),"미정의")</x:f>
        <x:v>-0.023116953332581992</x:v>
      </x:c>
      <x:c r="E18" s="5" t="n">
        <x:f>IF(ISNUMBER(B18),E17+'요약'!$B$6*('요약'!$B$6+2)*B18^2/('요약'!$B$6-A18),"미정의")</x:f>
        <x:v>3.922169616039056</x:v>
      </x:c>
      <x:c r="F18" s="12" t="n">
        <x:f>A18</x:f>
        <x:v>14</x:v>
      </x:c>
      <x:c r="G18" s="14" t="n">
        <x:f>IF(ISNUMBER(E18),IF(E18&lt;1,1-CHISQ.DIST(E18,F18,TRUE),CHISQ.DIST.RT(E18,F18)),"미정의")</x:f>
        <x:v>0.9959164135159532</x:v>
      </x:c>
      <x:c r="H18" s="1"/>
      <x:c r="I18" s="1"/>
      <x:c r="J18" s="1"/>
      <x:c r="K18" s="1"/>
      <x:c r="L18" s="1"/>
    </x:row>
    <x:row r="19">
      <x:c r="A19" s="1" t="n">
        <x:v>15</x:v>
      </x:c>
      <x:c r="B19" s="5" t="n">
        <x:f>IF('요약'!$B$20,IF(AND('요약'!$B$6&gt;A19,SUM('계산'!$D$2:$D$2001)&gt;0),SUMPRODUCT('계산'!$C$17:$C$2001,'계산'!$C$2:$C$1986)/SUM('계산'!$D$2:$D$2001),"미정의"),"미정의")</x:f>
        <x:v>0.048148166141982494</x:v>
      </x:c>
      <x:c r="C19" s="5" t="n">
        <x:f>IF('요약'!$B$20,IF(AND('요약'!$B$6&gt;A19,'요약'!$B$16&gt;0),SUMPRODUCT('계산'!$I$17:$I$2001,'계산'!$I$2:$I$1986)/'요약'!$B$16,"미정의"),"미정의")</x:f>
        <x:v>-0.02303450493243967</x:v>
      </x:c>
      <x:c r="D19" s="5" t="n">
        <x:f>IF('요약'!$B$20,IF(AND('요약'!$B$6&gt;A19,'요약'!$B$17&gt;0),SUMPRODUCT('계산'!$J$17:$J$2001,'계산'!$J$2:$J$1986)/'요약'!$B$17,"미정의"),"미정의")</x:f>
        <x:v>-0.029917751856387943</x:v>
      </x:c>
      <x:c r="E19" s="5" t="n">
        <x:f>IF(ISNUMBER(B19),E18+'요약'!$B$6*('요약'!$B$6+2)*B19^2/('요약'!$B$6-A19),"미정의")</x:f>
        <x:v>6.2804258542539</x:v>
      </x:c>
      <x:c r="F19" s="12" t="n">
        <x:f>A19</x:f>
        <x:v>15</x:v>
      </x:c>
      <x:c r="G19" s="14" t="n">
        <x:f>IF(ISNUMBER(E19),IF(E19&lt;1,1-CHISQ.DIST(E19,F19,TRUE),CHISQ.DIST.RT(E19,F19)),"미정의")</x:f>
        <x:v>0.9746424513836699</x:v>
      </x:c>
      <x:c r="H19" s="1"/>
      <x:c r="I19" s="1"/>
      <x:c r="J19" s="1"/>
      <x:c r="K19" s="1"/>
      <x:c r="L19" s="1"/>
    </x:row>
    <x:row r="20">
      <x:c r="A20" s="1" t="n">
        <x:v>16</x:v>
      </x:c>
      <x:c r="B20" s="5" t="n">
        <x:f>IF('요약'!$B$20,IF(AND('요약'!$B$6&gt;A20,SUM('계산'!$D$2:$D$2001)&gt;0),SUMPRODUCT('계산'!$C$18:$C$2001,'계산'!$C$2:$C$1985)/SUM('계산'!$D$2:$D$2001),"미정의"),"미정의")</x:f>
        <x:v>0.008995776876007817</x:v>
      </x:c>
      <x:c r="C20" s="5" t="n">
        <x:f>IF('요약'!$B$20,IF(AND('요약'!$B$6&gt;A20,'요약'!$B$16&gt;0),SUMPRODUCT('계산'!$I$18:$I$2001,'계산'!$I$2:$I$1985)/'요약'!$B$16,"미정의"),"미정의")</x:f>
        <x:v>-0.007034683432052636</x:v>
      </x:c>
      <x:c r="D20" s="5" t="n">
        <x:f>IF('요약'!$B$20,IF(AND('요약'!$B$6&gt;A20,'요약'!$B$17&gt;0),SUMPRODUCT('계산'!$J$18:$J$2001,'계산'!$J$2:$J$1985)/'요약'!$B$17,"미정의"),"미정의")</x:f>
        <x:v>-0.015446031236897998</x:v>
      </x:c>
      <x:c r="E20" s="5" t="n">
        <x:f>IF(ISNUMBER(B20),E19+'요약'!$B$6*('요약'!$B$6+2)*B20^2/('요약'!$B$6-A20),"미정의")</x:f>
        <x:v>6.362830172959309</x:v>
      </x:c>
      <x:c r="F20" s="12" t="n">
        <x:f>A20</x:f>
        <x:v>16</x:v>
      </x:c>
      <x:c r="G20" s="14" t="n">
        <x:f>IF(ISNUMBER(E20),IF(E20&lt;1,1-CHISQ.DIST(E20,F20,TRUE),CHISQ.DIST.RT(E20,F20)),"미정의")</x:f>
        <x:v>0.9836809418374959</x:v>
      </x:c>
      <x:c r="H20" s="1"/>
      <x:c r="I20" s="1"/>
      <x:c r="J20" s="1"/>
      <x:c r="K20" s="1"/>
      <x:c r="L20" s="1"/>
    </x:row>
    <x:row r="21">
      <x:c r="A21" s="1" t="n">
        <x:v>17</x:v>
      </x:c>
      <x:c r="B21" s="5" t="n">
        <x:f>IF('요약'!$B$20,IF(AND('요약'!$B$6&gt;A21,SUM('계산'!$D$2:$D$2001)&gt;0),SUMPRODUCT('계산'!$C$19:$C$2001,'계산'!$C$2:$C$1984)/SUM('계산'!$D$2:$D$2001),"미정의"),"미정의")</x:f>
        <x:v>0.008984235294957238</x:v>
      </x:c>
      <x:c r="C21" s="5" t="n">
        <x:f>IF('요약'!$B$20,IF(AND('요약'!$B$6&gt;A21,'요약'!$B$16&gt;0),SUMPRODUCT('계산'!$I$19:$I$2001,'계산'!$I$2:$I$1984)/'요약'!$B$16,"미정의"),"미정의")</x:f>
        <x:v>0.01850208168943397</x:v>
      </x:c>
      <x:c r="D21" s="5" t="n">
        <x:f>IF('요약'!$B$20,IF(AND('요약'!$B$6&gt;A21,'요약'!$B$17&gt;0),SUMPRODUCT('계산'!$J$19:$J$2001,'계산'!$J$2:$J$1984)/'요약'!$B$17,"미정의"),"미정의")</x:f>
        <x:v>0.02082900601630996</x:v>
      </x:c>
      <x:c r="E21" s="5" t="n">
        <x:f>IF(ISNUMBER(B21),E20+'요약'!$B$6*('요약'!$B$6+2)*B21^2/('요약'!$B$6-A21),"미정의")</x:f>
        <x:v>6.445106792290769</x:v>
      </x:c>
      <x:c r="F21" s="12" t="n">
        <x:f>A21</x:f>
        <x:v>17</x:v>
      </x:c>
      <x:c r="G21" s="14" t="n">
        <x:f>IF(ISNUMBER(E21),IF(E21&lt;1,1-CHISQ.DIST(E21,F21,TRUE),CHISQ.DIST.RT(E21,F21)),"미정의")</x:f>
        <x:v>0.9896606824935833</x:v>
      </x:c>
      <x:c r="H21" s="1"/>
      <x:c r="I21" s="1"/>
      <x:c r="J21" s="1"/>
      <x:c r="K21" s="1"/>
      <x:c r="L21" s="1"/>
    </x:row>
    <x:row r="22">
      <x:c r="A22" s="1" t="n">
        <x:v>18</x:v>
      </x:c>
      <x:c r="B22" s="5" t="n">
        <x:f>IF('요약'!$B$20,IF(AND('요약'!$B$6&gt;A22,SUM('계산'!$D$2:$D$2001)&gt;0),SUMPRODUCT('계산'!$C$20:$C$2001,'계산'!$C$2:$C$1983)/SUM('계산'!$D$2:$D$2001),"미정의"),"미정의")</x:f>
        <x:v>-0.03534350697809761</x:v>
      </x:c>
      <x:c r="C22" s="5" t="n">
        <x:f>IF('요약'!$B$20,IF(AND('요약'!$B$6&gt;A22,'요약'!$B$16&gt;0),SUMPRODUCT('계산'!$I$20:$I$2001,'계산'!$I$2:$I$1983)/'요약'!$B$16,"미정의"),"미정의")</x:f>
        <x:v>-0.008965167112184296</x:v>
      </x:c>
      <x:c r="D22" s="5" t="n">
        <x:f>IF('요약'!$B$20,IF(AND('요약'!$B$6&gt;A22,'요약'!$B$17&gt;0),SUMPRODUCT('계산'!$J$20:$J$2001,'계산'!$J$2:$J$1983)/'요약'!$B$17,"미정의"),"미정의")</x:f>
        <x:v>-0.010596868916523441</x:v>
      </x:c>
      <x:c r="E22" s="5" t="n">
        <x:f>IF(ISNUMBER(B22),E21+'요약'!$B$6*('요약'!$B$6+2)*B22^2/('요약'!$B$6-A22),"미정의")</x:f>
        <x:v>7.719711489319136</x:v>
      </x:c>
      <x:c r="F22" s="12" t="n">
        <x:f>A22</x:f>
        <x:v>18</x:v>
      </x:c>
      <x:c r="G22" s="14" t="n">
        <x:f>IF(ISNUMBER(E22),IF(E22&lt;1,1-CHISQ.DIST(E22,F22,TRUE),CHISQ.DIST.RT(E22,F22)),"미정의")</x:f>
        <x:v>0.982523278277007</x:v>
      </x:c>
      <x:c r="H22" s="1"/>
      <x:c r="I22" s="1"/>
      <x:c r="J22" s="1"/>
      <x:c r="K22" s="1"/>
      <x:c r="L22" s="1"/>
    </x:row>
    <x:row r="23">
      <x:c r="A23" s="1" t="n">
        <x:v>19</x:v>
      </x:c>
      <x:c r="B23" s="5" t="n">
        <x:f>IF('요약'!$B$20,IF(AND('요약'!$B$6&gt;A23,SUM('계산'!$D$2:$D$2001)&gt;0),SUMPRODUCT('계산'!$C$21:$C$2001,'계산'!$C$2:$C$1982)/SUM('계산'!$D$2:$D$2001),"미정의"),"미정의")</x:f>
        <x:v>0.043422303201145464</x:v>
      </x:c>
      <x:c r="C23" s="5" t="n">
        <x:f>IF('요약'!$B$20,IF(AND('요약'!$B$6&gt;A23,'요약'!$B$16&gt;0),SUMPRODUCT('계산'!$I$21:$I$2001,'계산'!$I$2:$I$1982)/'요약'!$B$16,"미정의"),"미정의")</x:f>
        <x:v>0.055984250657963724</x:v>
      </x:c>
      <x:c r="D23" s="5" t="n">
        <x:f>IF('요약'!$B$20,IF(AND('요약'!$B$6&gt;A23,'요약'!$B$17&gt;0),SUMPRODUCT('계산'!$J$21:$J$2001,'계산'!$J$2:$J$1982)/'요약'!$B$17,"미정의"),"미정의")</x:f>
        <x:v>0.047232076301312764</x:v>
      </x:c>
      <x:c r="E23" s="5" t="n">
        <x:f>IF(ISNUMBER(B23),E22+'요약'!$B$6*('요약'!$B$6+2)*B23^2/('요약'!$B$6-A23),"미정의")</x:f>
        <x:v>9.64557021319558</x:v>
      </x:c>
      <x:c r="F23" s="12" t="n">
        <x:f>A23</x:f>
        <x:v>19</x:v>
      </x:c>
      <x:c r="G23" s="14" t="n">
        <x:f>IF(ISNUMBER(E23),IF(E23&lt;1,1-CHISQ.DIST(E23,F23,TRUE),CHISQ.DIST.RT(E23,F23)),"미정의")</x:f>
        <x:v>0.9611538313992769</x:v>
      </x:c>
      <x:c r="H23" s="1"/>
      <x:c r="I23" s="1"/>
      <x:c r="J23" s="1"/>
      <x:c r="K23" s="1"/>
      <x:c r="L23" s="1"/>
    </x:row>
    <x:row r="24">
      <x:c r="A24" s="1" t="n">
        <x:v>20</x:v>
      </x:c>
      <x:c r="B24" s="5" t="n">
        <x:f>IF('요약'!$B$20,IF(AND('요약'!$B$6&gt;A24,SUM('계산'!$D$2:$D$2001)&gt;0),SUMPRODUCT('계산'!$C$22:$C$2001,'계산'!$C$2:$C$1981)/SUM('계산'!$D$2:$D$2001),"미정의"),"미정의")</x:f>
        <x:v>0.02953259995154867</x:v>
      </x:c>
      <x:c r="C24" s="5" t="n">
        <x:f>IF('요약'!$B$20,IF(AND('요약'!$B$6&gt;A24,'요약'!$B$16&gt;0),SUMPRODUCT('계산'!$I$22:$I$2001,'계산'!$I$2:$I$1981)/'요약'!$B$16,"미정의"),"미정의")</x:f>
        <x:v>-0.040863566480675316</x:v>
      </x:c>
      <x:c r="D24" s="5" t="n">
        <x:f>IF('요약'!$B$20,IF(AND('요약'!$B$6&gt;A24,'요약'!$B$17&gt;0),SUMPRODUCT('계산'!$J$22:$J$2001,'계산'!$J$2:$J$1981)/'요약'!$B$17,"미정의"),"미정의")</x:f>
        <x:v>-0.04713089561278461</x:v>
      </x:c>
      <x:c r="E24" s="5" t="n">
        <x:f>IF(ISNUMBER(B24),E23+'요약'!$B$6*('요약'!$B$6+2)*B24^2/('요약'!$B$6-A24),"미정의")</x:f>
        <x:v>10.537324099744568</x:v>
      </x:c>
      <x:c r="F24" s="12" t="n">
        <x:f>A24</x:f>
        <x:v>20</x:v>
      </x:c>
      <x:c r="G24" s="14" t="n">
        <x:f>IF(ISNUMBER(E24),IF(E24&lt;1,1-CHISQ.DIST(E24,F24,TRUE),CHISQ.DIST.RT(E24,F24)),"미정의")</x:f>
        <x:v>0.9573506130023562</x:v>
      </x:c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 t="str">
        <x:v>분모: 전체 n개에서 같은 평균으로 중심화한 제곱합. CORREL은 사용하지 않습니다.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 t="str">
        <x:v>Q(h)=n(n+2) Σ[k=1..h] ACF(k)²/(n−k); 원자료 수익률의 df=h.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 t="str">
        <x:v>ARMA 잔차는 추정 모수에 따른 자유도 조정이 필요합니다. 여기서는 원자료만 다룹니다.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 t="str">
        <x:v>귀무가설: h까지 자기상관이 0. 기각 못함은 독립성의 증명이 아닙니다.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 t="str">
        <x:v>GARCH·이분산에서는 통상 χ² p 보정/해석이 필요. |r|·r² ACF는 군집 진단입니다.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77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1" t="str">
        <x:v>정규 Q–Q와 히스토그램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6" customHeight="1">
      <x:c r="A4" s="9" t="str">
        <x:v>순위 i</x:v>
      </x:c>
      <x:c r="B4" s="9" t="str">
        <x:v>정규 이론 z</x:v>
      </x:c>
      <x:c r="C4" s="9" t="str">
        <x:v>정렬 수익률</x:v>
      </x:c>
      <x:c r="D4" s="9" t="str">
        <x:v>정규 기준값</x:v>
      </x:c>
      <x:c r="E4" s="1"/>
      <x:c r="F4" s="9" t="str">
        <x:v>상한 (로그수익률)</x:v>
      </x:c>
      <x:c r="G4" s="9" t="str">
        <x:v>빈도</x:v>
      </x:c>
      <x:c r="H4" s="1"/>
      <x:c r="I4" s="1"/>
      <x:c r="J4" s="1"/>
      <x:c r="K4" s="1"/>
      <x:c r="L4" s="1"/>
    </x:row>
    <x:row r="5">
      <x:c r="A5" s="1" t="n">
        <x:f>1</x:f>
        <x:v>1</x:v>
      </x:c>
      <x:c r="B5" s="5" t="n">
        <x:f>IF(AND('요약'!$B$20,A5&lt;='요약'!$B$6),NORM.S.INV((A5-0.5)/'요약'!$B$6),"")</x:f>
        <x:v>-3.290526731491889</x:v>
      </x:c>
      <x:c r="C5" s="5" t="n">
        <x:f>IF(AND('요약'!$B$20,A5&lt;='요약'!$B$6),LARGE('계산'!$B$2:$B$2001,'요약'!$B$6-A5+1),"")</x:f>
        <x:v>-0.03432566242465914</x:v>
      </x:c>
      <x:c r="D5" s="5" t="n">
        <x:f>IF(ISNUMBER(B5),'요약'!$B$7+'요약'!$B$13*B5,"")</x:f>
        <x:v>-0.03331469518156877</x:v>
      </x:c>
      <x:c r="E5" s="1"/>
      <x:c r="F5" s="11" t="n">
        <x:v>-0.05</x:v>
      </x:c>
      <x:c r="G5" s="1" t="n">
        <x:f>IF('요약'!$B$19,'요약'!$B$6-SUM(G6:G16),"미정의")</x:f>
        <x:v>0</x:v>
      </x:c>
      <x:c r="H5" s="1"/>
      <x:c r="I5" s="1"/>
      <x:c r="J5" s="1"/>
      <x:c r="K5" s="1"/>
      <x:c r="L5" s="1"/>
    </x:row>
    <x:row r="6">
      <x:c r="A6" s="1" t="n">
        <x:f>2</x:f>
        <x:v>2</x:v>
      </x:c>
      <x:c r="B6" s="5" t="n">
        <x:f>IF(AND('요약'!$B$20,A6&lt;='요약'!$B$6),NORM.S.INV((A6-0.5)/'요약'!$B$6),"")</x:f>
        <x:v>-2.967737925341782</x:v>
      </x:c>
      <x:c r="C6" s="5" t="n">
        <x:f>IF(AND('요약'!$B$20,A6&lt;='요약'!$B$6),LARGE('계산'!$B$2:$B$2001,'요약'!$B$6-A6+1),"")</x:f>
        <x:v>-0.03335874100088873</x:v>
      </x:c>
      <x:c r="D6" s="5" t="n">
        <x:f>IF(ISNUMBER(B6),'요약'!$B$7+'요약'!$B$13*B6,"")</x:f>
        <x:v>-0.030051375826841326</x:v>
      </x:c>
      <x:c r="E6" s="1"/>
      <x:c r="F6" s="11" t="n">
        <x:v>-0.04</x:v>
      </x:c>
      <x:c r="G6" s="1" t="n">
        <x:f>IF('요약'!$B$19,COUNTIFS('계산'!$B$2:$B$2001,"&gt;"&amp;F5,'계산'!$B$2:$B$2001,"&lt;="&amp;F6),"미정의")</x:f>
        <x:v>0</x:v>
      </x:c>
      <x:c r="H6" s="1"/>
      <x:c r="I6" s="1"/>
      <x:c r="J6" s="1"/>
      <x:c r="K6" s="1"/>
      <x:c r="L6" s="1"/>
    </x:row>
    <x:row r="7">
      <x:c r="A7" s="1" t="n">
        <x:f>3</x:f>
        <x:v>3</x:v>
      </x:c>
      <x:c r="B7" s="5" t="n">
        <x:f>IF(AND('요약'!$B$20,A7&lt;='요약'!$B$6),NORM.S.INV((A7-0.5)/'요약'!$B$6),"")</x:f>
        <x:v>-2.8070337683438034</x:v>
      </x:c>
      <x:c r="C7" s="5" t="n">
        <x:f>IF(AND('요약'!$B$20,A7&lt;='요약'!$B$6),LARGE('계산'!$B$2:$B$2001,'요약'!$B$6-A7+1),"")</x:f>
        <x:v>-0.028722992051685884</x:v>
      </x:c>
      <x:c r="D7" s="5" t="n">
        <x:f>IF(ISNUMBER(B7),'요약'!$B$7+'요약'!$B$13*B7,"")</x:f>
        <x:v>-0.028426694375921418</x:v>
      </x:c>
      <x:c r="E7" s="1"/>
      <x:c r="F7" s="11" t="n">
        <x:v>-0.03</x:v>
      </x:c>
      <x:c r="G7" s="1" t="n">
        <x:f>IF('요약'!$B$19,COUNTIFS('계산'!$B$2:$B$2001,"&gt;"&amp;F6,'계산'!$B$2:$B$2001,"&lt;="&amp;F7),"미정의")</x:f>
        <x:v>2</x:v>
      </x:c>
      <x:c r="H7" s="1"/>
      <x:c r="I7" s="1"/>
      <x:c r="J7" s="1"/>
      <x:c r="K7" s="1"/>
      <x:c r="L7" s="1"/>
    </x:row>
    <x:row r="8">
      <x:c r="A8" s="1" t="n">
        <x:f>4</x:f>
        <x:v>4</x:v>
      </x:c>
      <x:c r="B8" s="5" t="n">
        <x:f>IF(AND('요약'!$B$20,A8&lt;='요약'!$B$6),NORM.S.INV((A8-0.5)/'요약'!$B$6),"")</x:f>
        <x:v>-2.696844260878127</x:v>
      </x:c>
      <x:c r="C8" s="5" t="n">
        <x:f>IF(AND('요약'!$B$20,A8&lt;='요약'!$B$6),LARGE('계산'!$B$2:$B$2001,'요약'!$B$6-A8+1),"")</x:f>
        <x:v>-0.027135698469351075</x:v>
      </x:c>
      <x:c r="D8" s="5" t="n">
        <x:f>IF(ISNUMBER(B8),'요약'!$B$7+'요약'!$B$13*B8,"")</x:f>
        <x:v>-0.0273127042202857</x:v>
      </x:c>
      <x:c r="E8" s="1"/>
      <x:c r="F8" s="11" t="n">
        <x:v>-0.02</x:v>
      </x:c>
      <x:c r="G8" s="1" t="n">
        <x:f>IF('요약'!$B$19,COUNTIFS('계산'!$B$2:$B$2001,"&gt;"&amp;F7,'계산'!$B$2:$B$2001,"&lt;="&amp;F8),"미정의")</x:f>
        <x:v>21</x:v>
      </x:c>
      <x:c r="H8" s="1"/>
      <x:c r="I8" s="1"/>
      <x:c r="J8" s="1"/>
      <x:c r="K8" s="1"/>
      <x:c r="L8" s="1"/>
    </x:row>
    <x:row r="9">
      <x:c r="A9" s="1" t="n">
        <x:f>5</x:f>
        <x:v>5</x:v>
      </x:c>
      <x:c r="B9" s="5" t="n">
        <x:f>IF(AND('요약'!$B$20,A9&lt;='요약'!$B$6),NORM.S.INV((A9-0.5)/'요약'!$B$6),"")</x:f>
        <x:v>-2.6120541412292764</x:v>
      </x:c>
      <x:c r="C9" s="5" t="n">
        <x:f>IF(AND('요약'!$B$20,A9&lt;='요약'!$B$6),LARGE('계산'!$B$2:$B$2001,'요약'!$B$6-A9+1),"")</x:f>
        <x:v>-0.02694298780222299</x:v>
      </x:c>
      <x:c r="D9" s="5" t="n">
        <x:f>IF(ISNUMBER(B9),'요약'!$B$7+'요약'!$B$13*B9,"")</x:f>
        <x:v>-0.026455495936516783</x:v>
      </x:c>
      <x:c r="E9" s="1"/>
      <x:c r="F9" s="11" t="n">
        <x:v>-0.01</x:v>
      </x:c>
      <x:c r="G9" s="1" t="n">
        <x:f>IF('요약'!$B$19,COUNTIFS('계산'!$B$2:$B$2001,"&gt;"&amp;F8,'계산'!$B$2:$B$2001,"&lt;="&amp;F9),"미정의")</x:f>
        <x:v>133</x:v>
      </x:c>
      <x:c r="H9" s="1"/>
      <x:c r="I9" s="1"/>
      <x:c r="J9" s="1"/>
      <x:c r="K9" s="1"/>
      <x:c r="L9" s="1"/>
    </x:row>
    <x:row r="10">
      <x:c r="A10" s="1" t="n">
        <x:f>6</x:f>
        <x:v>6</x:v>
      </x:c>
      <x:c r="B10" s="5" t="n">
        <x:f>IF(AND('요약'!$B$20,A10&lt;='요약'!$B$6),NORM.S.INV((A10-0.5)/'요약'!$B$6),"")</x:f>
        <x:v>-2.5426988193990487</x:v>
      </x:c>
      <x:c r="C10" s="5" t="n">
        <x:f>IF(AND('요약'!$B$20,A10&lt;='요약'!$B$6),LARGE('계산'!$B$2:$B$2001,'요약'!$B$6-A10+1),"")</x:f>
        <x:v>-0.025405820917670463</x:v>
      </x:c>
      <x:c r="D10" s="5" t="n">
        <x:f>IF(ISNUMBER(B10),'요약'!$B$7+'요약'!$B$13*B10,"")</x:f>
        <x:v>-0.025754329849683268</x:v>
      </x:c>
      <x:c r="E10" s="1"/>
      <x:c r="F10" s="11" t="n">
        <x:v>0</x:v>
      </x:c>
      <x:c r="G10" s="1" t="n">
        <x:f>IF('요약'!$B$19,COUNTIFS('계산'!$B$2:$B$2001,"&gt;"&amp;F9,'계산'!$B$2:$B$2001,"&lt;="&amp;F10),"미정의")</x:f>
        <x:v>356</x:v>
      </x:c>
      <x:c r="H10" s="1"/>
      <x:c r="I10" s="1"/>
      <x:c r="J10" s="1"/>
      <x:c r="K10" s="1"/>
      <x:c r="L10" s="1"/>
    </x:row>
    <x:row r="11">
      <x:c r="A11" s="1" t="n">
        <x:f>7</x:f>
        <x:v>7</x:v>
      </x:c>
      <x:c r="B11" s="5" t="n">
        <x:f>IF(AND('요약'!$B$20,A11&lt;='요약'!$B$6),NORM.S.INV((A11-0.5)/'요약'!$B$6),"")</x:f>
        <x:v>-2.483769293250533</x:v>
      </x:c>
      <x:c r="C11" s="5" t="n">
        <x:f>IF(AND('요약'!$B$20,A11&lt;='요약'!$B$6),LARGE('계산'!$B$2:$B$2001,'요약'!$B$6-A11+1),"")</x:f>
        <x:v>-0.02539813626265877</x:v>
      </x:c>
      <x:c r="D11" s="5" t="n">
        <x:f>IF(ISNUMBER(B11),'요약'!$B$7+'요약'!$B$13*B11,"")</x:f>
        <x:v>-0.025158566119400934</x:v>
      </x:c>
      <x:c r="E11" s="1"/>
      <x:c r="F11" s="11" t="n">
        <x:v>0.01</x:v>
      </x:c>
      <x:c r="G11" s="1" t="n">
        <x:f>IF('요약'!$B$19,COUNTIFS('계산'!$B$2:$B$2001,"&gt;"&amp;F10,'계산'!$B$2:$B$2001,"&lt;="&amp;F11),"미정의")</x:f>
        <x:v>335</x:v>
      </x:c>
      <x:c r="H11" s="1"/>
      <x:c r="I11" s="1"/>
      <x:c r="J11" s="1"/>
      <x:c r="K11" s="1"/>
      <x:c r="L11" s="1"/>
    </x:row>
    <x:row r="12">
      <x:c r="A12" s="1" t="n">
        <x:f>8</x:f>
        <x:v>8</x:v>
      </x:c>
      <x:c r="B12" s="5" t="n">
        <x:f>IF(AND('요약'!$B$20,A12&lt;='요약'!$B$6),NORM.S.INV((A12-0.5)/'요약'!$B$6),"")</x:f>
        <x:v>-2.4323790585844476</x:v>
      </x:c>
      <x:c r="C12" s="5" t="n">
        <x:f>IF(AND('요약'!$B$20,A12&lt;='요약'!$B$6),LARGE('계산'!$B$2:$B$2001,'요약'!$B$6-A12+1),"")</x:f>
        <x:v>-0.02491526158156121</x:v>
      </x:c>
      <x:c r="D12" s="5" t="n">
        <x:f>IF(ISNUMBER(B12),'요약'!$B$7+'요약'!$B$13*B12,"")</x:f>
        <x:v>-0.02463902286314615</x:v>
      </x:c>
      <x:c r="E12" s="1"/>
      <x:c r="F12" s="11" t="n">
        <x:v>0.02</x:v>
      </x:c>
      <x:c r="G12" s="1" t="n">
        <x:f>IF('요약'!$B$19,COUNTIFS('계산'!$B$2:$B$2001,"&gt;"&amp;F11,'계산'!$B$2:$B$2001,"&lt;="&amp;F12),"미정의")</x:f>
        <x:v>129</x:v>
      </x:c>
      <x:c r="H12" s="1"/>
      <x:c r="I12" s="1"/>
      <x:c r="J12" s="1"/>
      <x:c r="K12" s="1"/>
      <x:c r="L12" s="1"/>
    </x:row>
    <x:row r="13">
      <x:c r="A13" s="1" t="n">
        <x:f>9</x:f>
        <x:v>9</x:v>
      </x:c>
      <x:c r="B13" s="5" t="n">
        <x:f>IF(AND('요약'!$B$20,A13&lt;='요약'!$B$6),NORM.S.INV((A13-0.5)/'요약'!$B$6),"")</x:f>
        <x:v>-2.3867077344922496</x:v>
      </x:c>
      <x:c r="C13" s="5" t="n">
        <x:f>IF(AND('요약'!$B$20,A13&lt;='요약'!$B$6),LARGE('계산'!$B$2:$B$2001,'요약'!$B$6-A13+1),"")</x:f>
        <x:v>-0.02475897229701928</x:v>
      </x:c>
      <x:c r="D13" s="5" t="n">
        <x:f>IF(ISNUMBER(B13),'요약'!$B$7+'요약'!$B$13*B13,"")</x:f>
        <x:v>-0.02417729645558048</x:v>
      </x:c>
      <x:c r="E13" s="1"/>
      <x:c r="F13" s="11" t="n">
        <x:v>0.03</x:v>
      </x:c>
      <x:c r="G13" s="1" t="n">
        <x:f>IF('요약'!$B$19,COUNTIFS('계산'!$B$2:$B$2001,"&gt;"&amp;F12,'계산'!$B$2:$B$2001,"&lt;="&amp;F13),"미정의")</x:f>
        <x:v>21</x:v>
      </x:c>
      <x:c r="H13" s="1"/>
      <x:c r="I13" s="1"/>
      <x:c r="J13" s="1"/>
      <x:c r="K13" s="1"/>
      <x:c r="L13" s="1"/>
    </x:row>
    <x:row r="14">
      <x:c r="A14" s="1" t="n">
        <x:f>10</x:f>
        <x:v>10</x:v>
      </x:c>
      <x:c r="B14" s="5" t="n">
        <x:f>IF(AND('요약'!$B$20,A14&lt;='요약'!$B$6),NORM.S.INV((A14-0.5)/'요약'!$B$6),"")</x:f>
        <x:v>-2.3455309708066747</x:v>
      </x:c>
      <x:c r="C14" s="5" t="n">
        <x:f>IF(AND('요약'!$B$20,A14&lt;='요약'!$B$6),LARGE('계산'!$B$2:$B$2001,'요약'!$B$6-A14+1),"")</x:f>
        <x:v>-0.023894013624634707</x:v>
      </x:c>
      <x:c r="D14" s="5" t="n">
        <x:f>IF(ISNUMBER(B14),'요약'!$B$7+'요약'!$B$13*B14,"")</x:f>
        <x:v>-0.023761009002794133</x:v>
      </x:c>
      <x:c r="E14" s="1"/>
      <x:c r="F14" s="11" t="n">
        <x:v>0.04</x:v>
      </x:c>
      <x:c r="G14" s="1" t="n">
        <x:f>IF('요약'!$B$19,COUNTIFS('계산'!$B$2:$B$2001,"&gt;"&amp;F13,'계산'!$B$2:$B$2001,"&lt;="&amp;F14),"미정의")</x:f>
        <x:v>3</x:v>
      </x:c>
      <x:c r="H14" s="1"/>
      <x:c r="I14" s="1"/>
      <x:c r="J14" s="1"/>
      <x:c r="K14" s="1"/>
      <x:c r="L14" s="1"/>
    </x:row>
    <x:row r="15">
      <x:c r="A15" s="1" t="n">
        <x:f>11</x:f>
        <x:v>11</x:v>
      </x:c>
      <x:c r="B15" s="5" t="n">
        <x:f>IF(AND('요약'!$B$20,A15&lt;='요약'!$B$6),NORM.S.INV((A15-0.5)/'요약'!$B$6),"")</x:f>
        <x:v>-2.307984474945957</x:v>
      </x:c>
      <x:c r="C15" s="5" t="n">
        <x:f>IF(AND('요약'!$B$20,A15&lt;='요약'!$B$6),LARGE('계산'!$B$2:$B$2001,'요약'!$B$6-A15+1),"")</x:f>
        <x:v>-0.023737263206771466</x:v>
      </x:c>
      <x:c r="D15" s="5" t="n">
        <x:f>IF(ISNUMBER(B15),'요약'!$B$7+'요약'!$B$13*B15,"")</x:f>
        <x:v>-0.023381422708876942</x:v>
      </x:c>
      <x:c r="E15" s="1"/>
      <x:c r="F15" s="11" t="n">
        <x:v>0.05</x:v>
      </x:c>
      <x:c r="G15" s="1" t="n">
        <x:f>IF('요약'!$B$19,COUNTIFS('계산'!$B$2:$B$2001,"&gt;"&amp;F14,'계산'!$B$2:$B$2001,"&lt;="&amp;F15),"미정의")</x:f>
        <x:v>0</x:v>
      </x:c>
      <x:c r="H15" s="1"/>
      <x:c r="I15" s="1"/>
      <x:c r="J15" s="1"/>
      <x:c r="K15" s="1"/>
      <x:c r="L15" s="1"/>
    </x:row>
    <x:row r="16">
      <x:c r="A16" s="1" t="n">
        <x:f>12</x:f>
        <x:v>12</x:v>
      </x:c>
      <x:c r="B16" s="5" t="n">
        <x:f>IF(AND('요약'!$B$20,A16&lt;='요약'!$B$6),NORM.S.INV((A16-0.5)/'요약'!$B$6),"")</x:f>
        <x:v>-2.273434650942776</x:v>
      </x:c>
      <x:c r="C16" s="5" t="n">
        <x:f>IF(AND('요약'!$B$20,A16&lt;='요약'!$B$6),LARGE('계산'!$B$2:$B$2001,'요약'!$B$6-A16+1),"")</x:f>
        <x:v>-0.02356588689366845</x:v>
      </x:c>
      <x:c r="D16" s="5" t="n">
        <x:f>IF(ISNUMBER(B16),'요약'!$B$7+'요약'!$B$13*B16,"")</x:f>
        <x:v>-0.023032132066748614</x:v>
      </x:c>
      <x:c r="E16" s="1"/>
      <x:c r="F16" s="1" t="str">
        <x:v>&gt;0.05</x:v>
      </x:c>
      <x:c r="G16" s="1" t="n">
        <x:f>IF('요약'!$B$19,COUNTIFS('계산'!$B$2:$B$2001,"&gt;"&amp;F15),"미정의")</x:f>
        <x:v>0</x:v>
      </x:c>
      <x:c r="H16" s="1"/>
      <x:c r="I16" s="1"/>
      <x:c r="J16" s="1"/>
      <x:c r="K16" s="1"/>
      <x:c r="L16" s="1"/>
    </x:row>
    <x:row r="17">
      <x:c r="A17" s="1" t="n">
        <x:f>13</x:f>
        <x:v>13</x:v>
      </x:c>
      <x:c r="B17" s="5" t="n">
        <x:f>IF(AND('요약'!$B$20,A17&lt;='요약'!$B$6),NORM.S.INV((A17-0.5)/'요약'!$B$6),"")</x:f>
        <x:v>-2.241402727604946</x:v>
      </x:c>
      <x:c r="C17" s="5" t="n">
        <x:f>IF(AND('요약'!$B$20,A17&lt;='요약'!$B$6),LARGE('계산'!$B$2:$B$2001,'요약'!$B$6-A17+1),"")</x:f>
        <x:v>-0.022733591544678085</x:v>
      </x:c>
      <x:c r="D17" s="5" t="n">
        <x:f>IF(ISNUMBER(B17),'요약'!$B$7+'요약'!$B$13*B17,"")</x:f>
        <x:v>-0.02270829681160387</x:v>
      </x:c>
      <x:c r="E17" s="1"/>
      <x:c r="F17" s="1"/>
      <x:c r="G17" s="1"/>
      <x:c r="H17" s="1"/>
      <x:c r="I17" s="1"/>
      <x:c r="J17" s="1"/>
      <x:c r="K17" s="1"/>
      <x:c r="L17" s="1"/>
    </x:row>
    <x:row r="18">
      <x:c r="A18" s="1" t="n">
        <x:f>14</x:f>
        <x:v>14</x:v>
      </x:c>
      <x:c r="B18" s="5" t="n">
        <x:f>IF(AND('요약'!$B$20,A18&lt;='요약'!$B$6),NORM.S.INV((A18-0.5)/'요약'!$B$6),"")</x:f>
        <x:v>-2.2115178091866805</x:v>
      </x:c>
      <x:c r="C18" s="5" t="n">
        <x:f>IF(AND('요약'!$B$20,A18&lt;='요약'!$B$6),LARGE('계산'!$B$2:$B$2001,'요약'!$B$6-A18+1),"")</x:f>
        <x:v>-0.022548458267125454</x:v>
      </x:c>
      <x:c r="D18" s="5" t="n">
        <x:f>IF(ISNUMBER(B18),'요약'!$B$7+'요약'!$B$13*B18,"")</x:f>
        <x:v>-0.022406167274176776</x:v>
      </x:c>
      <x:c r="E18" s="1"/>
      <x:c r="F18" s="1"/>
      <x:c r="G18" s="1"/>
      <x:c r="H18" s="1"/>
      <x:c r="I18" s="1"/>
      <x:c r="J18" s="1"/>
      <x:c r="K18" s="1"/>
      <x:c r="L18" s="1"/>
    </x:row>
    <x:row r="19">
      <x:c r="A19" s="1" t="n">
        <x:f>15</x:f>
        <x:v>15</x:v>
      </x:c>
      <x:c r="B19" s="5" t="n">
        <x:f>IF(AND('요약'!$B$20,A19&lt;='요약'!$B$6),NORM.S.INV((A19-0.5)/'요약'!$B$6),"")</x:f>
        <x:v>-2.183486528006559</x:v>
      </x:c>
      <x:c r="C19" s="5" t="n">
        <x:f>IF(AND('요약'!$B$20,A19&lt;='요약'!$B$6),LARGE('계산'!$B$2:$B$2001,'요약'!$B$6-A19+1),"")</x:f>
        <x:v>-0.02242183364062477</x:v>
      </x:c>
      <x:c r="D19" s="5" t="n">
        <x:f>IF(ISNUMBER(B19),'요약'!$B$7+'요약'!$B$13*B19,"")</x:f>
        <x:v>-0.02212277757580428</x:v>
      </x:c>
      <x:c r="E19" s="1"/>
      <x:c r="F19" s="1" t="str">
        <x:v>≤첫 상한 / 이후 (직전 상한, 현재 상한] / 마지막 &gt;0.05</x:v>
      </x:c>
      <x:c r="G19" s="1"/>
      <x:c r="H19" s="1"/>
      <x:c r="I19" s="1"/>
      <x:c r="J19" s="1"/>
      <x:c r="K19" s="1"/>
      <x:c r="L19" s="1"/>
    </x:row>
    <x:row r="20">
      <x:c r="A20" s="1" t="n">
        <x:f>16</x:f>
        <x:v>16</x:v>
      </x:c>
      <x:c r="B20" s="5" t="n">
        <x:f>IF(AND('요약'!$B$20,A20&lt;='요약'!$B$6),NORM.S.INV((A20-0.5)/'요약'!$B$6),"")</x:f>
        <x:v>-2.1570727044790092</x:v>
      </x:c>
      <x:c r="C20" s="5" t="n">
        <x:f>IF(AND('요약'!$B$20,A20&lt;='요약'!$B$6),LARGE('계산'!$B$2:$B$2001,'요약'!$B$6-A20+1),"")</x:f>
        <x:v>-0.02220065826345913</x:v>
      </x:c>
      <x:c r="D20" s="5" t="n">
        <x:f>IF(ISNUMBER(B20),'요약'!$B$7+'요약'!$B$13*B20,"")</x:f>
        <x:v>-0.021855739996100465</x:v>
      </x:c>
      <x:c r="E20" s="1"/>
      <x:c r="F20" s="1" t="str">
        <x:v>입력 범위 최대 2000; Q–Q 계산도 2000개입니다.</x:v>
      </x:c>
      <x:c r="G20" s="1"/>
      <x:c r="H20" s="1"/>
      <x:c r="I20" s="1"/>
      <x:c r="J20" s="1"/>
      <x:c r="K20" s="1"/>
      <x:c r="L20" s="1"/>
    </x:row>
    <x:row r="21">
      <x:c r="A21" s="1" t="n">
        <x:f>17</x:f>
        <x:v>17</x:v>
      </x:c>
      <x:c r="B21" s="5" t="n">
        <x:f>IF(AND('요약'!$B$20,A21&lt;='요약'!$B$6),NORM.S.INV((A21-0.5)/'요약'!$B$6),"")</x:f>
        <x:v>-2.1320832908065</x:v>
      </x:c>
      <x:c r="C21" s="5" t="n">
        <x:f>IF(AND('요약'!$B$20,A21&lt;='요약'!$B$6),LARGE('계산'!$B$2:$B$2001,'요약'!$B$6-A21+1),"")</x:f>
        <x:v>-0.021917215332908774</x:v>
      </x:c>
      <x:c r="D21" s="5" t="n">
        <x:f>IF(ISNUMBER(B21),'요약'!$B$7+'요약'!$B$13*B21,"")</x:f>
        <x:v>-0.02160310286697131</x:v>
      </x:c>
      <x:c r="E21" s="1"/>
      <x:c r="F21" s="1" t="str">
        <x:v>Q–Q 차트는 I22:I29를 따라 직접 작성합니다.</x:v>
      </x:c>
      <x:c r="G21" s="1"/>
      <x:c r="H21" s="1"/>
      <x:c r="I21" s="1"/>
      <x:c r="J21" s="1"/>
      <x:c r="K21" s="1"/>
      <x:c r="L21" s="1"/>
    </x:row>
    <x:row r="22">
      <x:c r="A22" s="1" t="n">
        <x:f>18</x:f>
        <x:v>18</x:v>
      </x:c>
      <x:c r="B22" s="5" t="n">
        <x:f>IF(AND('요약'!$B$20,A22&lt;='요약'!$B$6),NORM.S.INV((A22-0.5)/'요약'!$B$6),"")</x:f>
        <x:v>-2.108358399169109</x:v>
      </x:c>
      <x:c r="C22" s="5" t="n">
        <x:f>IF(AND('요약'!$B$20,A22&lt;='요약'!$B$6),LARGE('계산'!$B$2:$B$2001,'요약'!$B$6-A22+1),"")</x:f>
        <x:v>-0.021828405847360836</x:v>
      </x:c>
      <x:c r="D22" s="5" t="n">
        <x:f>IF(ISNUMBER(B22),'요약'!$B$7+'요약'!$B$13*B22,"")</x:f>
        <x:v>-0.021363249759942853</x:v>
      </x:c>
      <x:c r="E22" s="1"/>
      <x:c r="F22" s="1" t="str">
        <x:v>실제 n에 맞춘 수식: B5:D(n+4); 최대 행2004.</x:v>
      </x:c>
      <x:c r="G22" s="1"/>
      <x:c r="H22" s="1"/>
      <x:c r="I22" s="13" t="str">
        <x:v>정규 Q–Q 차트 직접 만들기</x:v>
      </x:c>
      <x:c r="J22" s="1"/>
      <x:c r="K22" s="1"/>
      <x:c r="L22" s="1"/>
    </x:row>
    <x:row r="23">
      <x:c r="A23" s="1" t="n">
        <x:f>19</x:f>
        <x:v>19</x:v>
      </x:c>
      <x:c r="B23" s="5" t="n">
        <x:f>IF(AND('요약'!$B$20,A23&lt;='요약'!$B$6),NORM.S.INV((A23-0.5)/'요약'!$B$6),"")</x:f>
        <x:v>-2.085764065092352</x:v>
      </x:c>
      <x:c r="C23" s="5" t="n">
        <x:f>IF(AND('요약'!$B$20,A23&lt;='요약'!$B$6),LARGE('계산'!$B$2:$B$2001,'요약'!$B$6-A23+1),"")</x:f>
        <x:v>-0.021617055512421844</x:v>
      </x:c>
      <x:c r="D23" s="5" t="n">
        <x:f>IF(ISNUMBER(B23),'요약'!$B$7+'요약'!$B$13*B23,"")</x:f>
        <x:v>-0.021134826325502037</x:v>
      </x:c>
      <x:c r="E23" s="1"/>
      <x:c r="F23" s="1"/>
      <x:c r="G23" s="1"/>
      <x:c r="H23" s="1"/>
      <x:c r="I23" s="1" t="str">
        <x:v>1. 분포!B4:D1004 선택 (n=1000 예시).</x:v>
      </x:c>
      <x:c r="J23" s="1"/>
      <x:c r="K23" s="1"/>
      <x:c r="L23" s="1"/>
    </x:row>
    <x:row r="24">
      <x:c r="A24" s="1" t="n">
        <x:f>20</x:f>
        <x:v>20</x:v>
      </x:c>
      <x:c r="B24" s="5" t="n">
        <x:f>IF(AND('요약'!$B$20,A24&lt;='요약'!$B$6),NORM.S.INV((A24-0.5)/'요약'!$B$6),"")</x:f>
        <x:v>-2.0641868904004026</x:v>
      </x:c>
      <x:c r="C24" s="5" t="n">
        <x:f>IF(AND('요약'!$B$20,A24&lt;='요약'!$B$6),LARGE('계산'!$B$2:$B$2001,'요약'!$B$6-A24+1),"")</x:f>
        <x:v>-0.021148912506557326</x:v>
      </x:c>
      <x:c r="D24" s="5" t="n">
        <x:f>IF(ISNUMBER(B24),'요약'!$B$7+'요약'!$B$13*B24,"")</x:f>
        <x:v>-0.020916686134606354</x:v>
      </x:c>
      <x:c r="E24" s="1"/>
      <x:c r="F24" s="1"/>
      <x:c r="G24" s="1"/>
      <x:c r="H24" s="1"/>
      <x:c r="I24" s="1" t="str">
        <x:v>2. 삽입 → 분산형(XY) → 표식만.</x:v>
      </x:c>
      <x:c r="J24" s="1"/>
      <x:c r="K24" s="1"/>
      <x:c r="L24" s="1"/>
    </x:row>
    <x:row r="25">
      <x:c r="A25" s="1" t="n">
        <x:f>21</x:f>
        <x:v>21</x:v>
      </x:c>
      <x:c r="B25" s="5" t="n">
        <x:f>IF(AND('요약'!$B$20,A25&lt;='요약'!$B$6),NORM.S.INV((A25-0.5)/'요약'!$B$6),"")</x:f>
        <x:v>-2.0435300074398572</x:v>
      </x:c>
      <x:c r="C25" s="5" t="n">
        <x:f>IF(AND('요약'!$B$20,A25&lt;='요약'!$B$6),LARGE('계산'!$B$2:$B$2001,'요약'!$B$6-A25+1),"")</x:f>
        <x:v>-0.020936895692796983</x:v>
      </x:c>
      <x:c r="D25" s="5" t="n">
        <x:f>IF(ISNUMBER(B25),'요약'!$B$7+'요약'!$B$13*B25,"")</x:f>
        <x:v>-0.020707849877929785</x:v>
      </x:c>
      <x:c r="E25" s="1"/>
      <x:c r="F25" s="1"/>
      <x:c r="G25" s="1"/>
      <x:c r="H25" s="1"/>
      <x:c r="I25" s="1" t="str">
        <x:v>3. 데이터 선택에서 각 계열의 X값을 B5:B1004로 지정.</x:v>
      </x:c>
      <x:c r="J25" s="1"/>
      <x:c r="K25" s="1"/>
      <x:c r="L25" s="1"/>
    </x:row>
    <x:row r="26">
      <x:c r="A26" s="1" t="n">
        <x:f>22</x:f>
        <x:v>22</x:v>
      </x:c>
      <x:c r="B26" s="5" t="n">
        <x:f>IF(AND('요약'!$B$20,A26&lt;='요약'!$B$6),NORM.S.INV((A26-0.5)/'요약'!$B$6),"")</x:f>
        <x:v>-2.0237099909349667</x:v>
      </x:c>
      <x:c r="C26" s="5" t="n">
        <x:f>IF(AND('요약'!$B$20,A26&lt;='요약'!$B$6),LARGE('계산'!$B$2:$B$2001,'요약'!$B$6-A26+1),"")</x:f>
        <x:v>-0.02036362477375037</x:v>
      </x:c>
      <x:c r="D26" s="5" t="n">
        <x:f>IF(ISNUMBER(B26),'요약'!$B$7+'요약'!$B$13*B26,"")</x:f>
        <x:v>-0.02050747414544125</x:v>
      </x:c>
      <x:c r="E26" s="1"/>
      <x:c r="F26" s="1"/>
      <x:c r="G26" s="1"/>
      <x:c r="H26" s="1"/>
      <x:c r="I26" s="1" t="str">
        <x:v>4. 첫 Y값 C5:C1004, 두 번째 Y값 D5:D1004 지정.</x:v>
      </x:c>
      <x:c r="J26" s="1"/>
      <x:c r="K26" s="1"/>
      <x:c r="L26" s="1"/>
    </x:row>
    <x:row r="27">
      <x:c r="A27" s="1" t="n">
        <x:f>23</x:f>
        <x:v>23</x:v>
      </x:c>
      <x:c r="B27" s="5" t="n">
        <x:f>IF(AND('요약'!$B$20,A27&lt;='요약'!$B$6),NORM.S.INV((A27-0.5)/'요약'!$B$6),"")</x:f>
        <x:v>-2.004654461765096</x:v>
      </x:c>
      <x:c r="C27" s="5" t="n">
        <x:f>IF(AND('요약'!$B$20,A27&lt;='요약'!$B$6),LARGE('계산'!$B$2:$B$2001,'요약'!$B$6-A27+1),"")</x:f>
        <x:v>-0.02007897012850595</x:v>
      </x:c>
      <x:c r="D27" s="5" t="n">
        <x:f>IF(ISNUMBER(B27),'요약'!$B$7+'요약'!$B$13*B27,"")</x:f>
        <x:v>-0.020314827201155038</x:v>
      </x:c>
      <x:c r="E27" s="1"/>
      <x:c r="F27" s="1"/>
      <x:c r="G27" s="1"/>
      <x:c r="H27" s="1"/>
      <x:c r="I27" s="1" t="str">
        <x:v>5. X축이 약 −3.29~3.29인지 확인. 1~1000이면 잘못 지정.</x:v>
      </x:c>
      <x:c r="J27" s="1"/>
      <x:c r="K27" s="1"/>
      <x:c r="L27" s="1"/>
    </x:row>
    <x:row r="28">
      <x:c r="A28" s="1" t="n">
        <x:f>24</x:f>
        <x:v>24</x:v>
      </x:c>
      <x:c r="B28" s="5" t="n">
        <x:f>IF(AND('요약'!$B$20,A28&lt;='요약'!$B$6),NORM.S.INV((A28-0.5)/'요약'!$B$6),"")</x:f>
        <x:v>-1.986300204129427</x:v>
      </x:c>
      <x:c r="C28" s="5" t="n">
        <x:f>IF(AND('요약'!$B$20,A28&lt;='요약'!$B$6),LARGE('계산'!$B$2:$B$2001,'요약'!$B$6-A28+1),"")</x:f>
        <x:v>-0.019781655856033704</x:v>
      </x:c>
      <x:c r="D28" s="5" t="n">
        <x:f>IF(ISNUMBER(B28),'요약'!$B$7+'요약'!$B$13*B28,"")</x:f>
        <x:v>-0.020129269948106186</x:v>
      </x:c>
      <x:c r="E28" s="1"/>
      <x:c r="F28" s="1"/>
      <x:c r="G28" s="1"/>
      <x:c r="H28" s="1"/>
      <x:c r="I28" s="1" t="str">
        <x:v>n개일 때 마지막 행은 n+4. 실제 표본 수에 맞게 범위 변경.</x:v>
      </x:c>
      <x:c r="J28" s="1"/>
      <x:c r="K28" s="1"/>
      <x:c r="L28" s="1"/>
    </x:row>
    <x:row r="29">
      <x:c r="A29" s="1" t="n">
        <x:f>25</x:f>
        <x:v>25</x:v>
      </x:c>
      <x:c r="B29" s="5" t="n">
        <x:f>IF(AND('요약'!$B$20,A29&lt;='요약'!$B$6),NORM.S.INV((A29-0.5)/'요약'!$B$6),"")</x:f>
        <x:v>-1.9685916691865946</x:v>
      </x:c>
      <x:c r="C29" s="5" t="n">
        <x:f>IF(AND('요약'!$B$20,A29&lt;='요약'!$B$6),LARGE('계산'!$B$2:$B$2001,'요약'!$B$6-A29+1),"")</x:f>
        <x:v>-0.019723877251752297</x:v>
      </x:c>
      <x:c r="D29" s="5" t="n">
        <x:f>IF(ISNUMBER(B29),'요약'!$B$7+'요약'!$B$13*B29,"")</x:f>
        <x:v>-0.019950240800497086</x:v>
      </x:c>
      <x:c r="E29" s="1"/>
      <x:c r="F29" s="1"/>
      <x:c r="G29" s="1"/>
      <x:c r="H29" s="1"/>
      <x:c r="I29" s="1" t="str">
        <x:v>이론 z와 정렬 수익률이 직선에서 어떻게 벗어나는지 비교.</x:v>
      </x:c>
      <x:c r="J29" s="1"/>
      <x:c r="K29" s="1"/>
      <x:c r="L29" s="1"/>
    </x:row>
    <x:row r="30">
      <x:c r="A30" s="1" t="n">
        <x:f>26</x:f>
        <x:v>26</x:v>
      </x:c>
      <x:c r="B30" s="5" t="n">
        <x:f>IF(AND('요약'!$B$20,A30&lt;='요약'!$B$6),NORM.S.INV((A30-0.5)/'요약'!$B$6),"")</x:f>
        <x:v>-1.9514797734758595</x:v>
      </x:c>
      <x:c r="C30" s="5" t="n">
        <x:f>IF(AND('요약'!$B$20,A30&lt;='요약'!$B$6),LARGE('계산'!$B$2:$B$2001,'요약'!$B$6-A30+1),"")</x:f>
        <x:v>-0.01948001153027287</x:v>
      </x:c>
      <x:c r="D30" s="5" t="n">
        <x:f>IF(ISNUMBER(B30),'요약'!$B$7+'요약'!$B$13*B30,"")</x:f>
        <x:v>-0.019777243536016512</x:v>
      </x:c>
      <x:c r="E30" s="1"/>
      <x:c r="F30" s="1"/>
      <x:c r="G30" s="1"/>
      <x:c r="H30" s="1"/>
      <x:c r="I30" s="1"/>
      <x:c r="J30" s="1"/>
      <x:c r="K30" s="1"/>
      <x:c r="L30" s="1"/>
    </x:row>
    <x:row r="31">
      <x:c r="A31" s="1" t="n">
        <x:f>27</x:f>
        <x:v>27</x:v>
      </x:c>
      <x:c r="B31" s="5" t="n">
        <x:f>IF(AND('요약'!$B$20,A31&lt;='요약'!$B$6),NORM.S.INV((A31-0.5)/'요약'!$B$6),"")</x:f>
        <x:v>-1.9349209248873926</x:v>
      </x:c>
      <x:c r="C31" s="5" t="n">
        <x:f>IF(AND('요약'!$B$20,A31&lt;='요약'!$B$6),LARGE('계산'!$B$2:$B$2001,'요약'!$B$6-A31+1),"")</x:f>
        <x:v>-0.01939890192131679</x:v>
      </x:c>
      <x:c r="D31" s="5" t="n">
        <x:f>IF(ISNUMBER(B31),'요약'!$B$7+'요약'!$B$13*B31,"")</x:f>
        <x:v>-0.019609837448626925</x:v>
      </x:c>
      <x:c r="E31" s="1"/>
      <x:c r="F31" s="1"/>
      <x:c r="G31" s="1"/>
      <x:c r="H31" s="1"/>
      <x:c r="I31" s="1"/>
      <x:c r="J31" s="1"/>
      <x:c r="K31" s="1"/>
      <x:c r="L31" s="1"/>
    </x:row>
    <x:row r="32">
      <x:c r="A32" s="1" t="n">
        <x:f>28</x:f>
        <x:v>28</x:v>
      </x:c>
      <x:c r="B32" s="5" t="n">
        <x:f>IF(AND('요약'!$B$20,A32&lt;='요약'!$B$6),NORM.S.INV((A32-0.5)/'요약'!$B$6),"")</x:f>
        <x:v>-1.9188762262165762</x:v>
      </x:c>
      <x:c r="C32" s="5" t="n">
        <x:f>IF(AND('요약'!$B$20,A32&lt;='요약'!$B$6),LARGE('계산'!$B$2:$B$2001,'요약'!$B$6-A32+1),"")</x:f>
        <x:v>-0.019297681219422616</x:v>
      </x:c>
      <x:c r="D32" s="5" t="n">
        <x:f>IF(ISNUMBER(B32),'요약'!$B$7+'요약'!$B$13*B32,"")</x:f>
        <x:v>-0.019447629296684702</x:v>
      </x:c>
      <x:c r="E32" s="1"/>
      <x:c r="F32" s="1"/>
      <x:c r="G32" s="1"/>
      <x:c r="H32" s="1"/>
      <x:c r="I32" s="1"/>
      <x:c r="J32" s="1"/>
      <x:c r="K32" s="1"/>
      <x:c r="L32" s="1"/>
    </x:row>
    <x:row r="33">
      <x:c r="A33" s="1" t="n">
        <x:f>29</x:f>
        <x:v>29</x:v>
      </x:c>
      <x:c r="B33" s="5" t="n">
        <x:f>IF(AND('요약'!$B$20,A33&lt;='요약'!$B$6),NORM.S.INV((A33-0.5)/'요약'!$B$6),"")</x:f>
        <x:v>-1.9033108187089973</x:v>
      </x:c>
      <x:c r="C33" s="5" t="n">
        <x:f>IF(AND('요약'!$B$20,A33&lt;='요약'!$B$6),LARGE('계산'!$B$2:$B$2001,'요약'!$B$6-A33+1),"")</x:f>
        <x:v>-0.018912084285960393</x:v>
      </x:c>
      <x:c r="D33" s="5" t="n">
        <x:f>IF(ISNUMBER(B33),'요약'!$B$7+'요약'!$B$13*B33,"")</x:f>
        <x:v>-0.01929026666633351</x:v>
      </x:c>
      <x:c r="E33" s="1"/>
      <x:c r="F33" s="1"/>
      <x:c r="G33" s="1"/>
      <x:c r="H33" s="1"/>
      <x:c r="I33" s="1"/>
      <x:c r="J33" s="1"/>
      <x:c r="K33" s="1"/>
      <x:c r="L33" s="1"/>
    </x:row>
    <x:row r="34">
      <x:c r="A34" s="1" t="n">
        <x:f>30</x:f>
        <x:v>30</x:v>
      </x:c>
      <x:c r="B34" s="5" t="n">
        <x:f>IF(AND('요약'!$B$20,A34&lt;='요약'!$B$6),NORM.S.INV((A34-0.5)/'요약'!$B$6),"")</x:f>
        <x:v>-1.8881933369885058</x:v>
      </x:c>
      <x:c r="C34" s="5" t="n">
        <x:f>IF(AND('요약'!$B$20,A34&lt;='요약'!$B$6),LARGE('계산'!$B$2:$B$2001,'요약'!$B$6-A34+1),"")</x:f>
        <x:v>-0.01861899070759166</x:v>
      </x:c>
      <x:c r="D34" s="5" t="n">
        <x:f>IF(ISNUMBER(B34),'요약'!$B$7+'요약'!$B$13*B34,"")</x:f>
        <x:v>-0.019137432460954416</x:v>
      </x:c>
      <x:c r="E34" s="1"/>
      <x:c r="F34" s="1"/>
      <x:c r="G34" s="1"/>
      <x:c r="H34" s="1"/>
      <x:c r="I34" s="1"/>
      <x:c r="J34" s="1"/>
      <x:c r="K34" s="1"/>
      <x:c r="L34" s="1"/>
    </x:row>
    <x:row r="35">
      <x:c r="A35" s="1" t="n">
        <x:f>31</x:f>
        <x:v>31</x:v>
      </x:c>
      <x:c r="B35" s="5" t="n">
        <x:f>IF(AND('요약'!$B$20,A35&lt;='요약'!$B$6),NORM.S.INV((A35-0.5)/'요약'!$B$6),"")</x:f>
        <x:v>-1.8734954533694919</x:v>
      </x:c>
      <x:c r="C35" s="5" t="n">
        <x:f>IF(AND('요약'!$B$20,A35&lt;='요약'!$B$6),LARGE('계산'!$B$2:$B$2001,'요약'!$B$6-A35+1),"")</x:f>
        <x:v>-0.018612551230186746</x:v>
      </x:c>
      <x:c r="D35" s="5" t="n">
        <x:f>IF(ISNUMBER(B35),'요약'!$B$7+'요약'!$B$13*B35,"")</x:f>
        <x:v>-0.01898884029426957</x:v>
      </x:c>
      <x:c r="E35" s="1"/>
      <x:c r="F35" s="1"/>
      <x:c r="G35" s="1"/>
      <x:c r="H35" s="1"/>
      <x:c r="I35" s="1"/>
      <x:c r="J35" s="1"/>
      <x:c r="K35" s="1"/>
      <x:c r="L35" s="1"/>
    </x:row>
    <x:row r="36">
      <x:c r="A36" s="1" t="n">
        <x:f>32</x:f>
        <x:v>32</x:v>
      </x:c>
      <x:c r="B36" s="5" t="n">
        <x:f>IF(AND('요약'!$B$20,A36&lt;='요약'!$B$6),NORM.S.INV((A36-0.5)/'요약'!$B$6),"")</x:f>
        <x:v>-1.859191494471868</x:v>
      </x:c>
      <x:c r="C36" s="5" t="n">
        <x:f>IF(AND('요약'!$B$20,A36&lt;='요약'!$B$6),LARGE('계산'!$B$2:$B$2001,'요약'!$B$6-A36+1),"")</x:f>
        <x:v>-0.018505373576398636</x:v>
      </x:c>
      <x:c r="D36" s="5" t="n">
        <x:f>IF(ISNUMBER(B36),'요약'!$B$7+'요약'!$B$13*B36,"")</x:f>
        <x:v>-0.01884423061440931</x:v>
      </x:c>
      <x:c r="E36" s="1"/>
      <x:c r="F36" s="1"/>
      <x:c r="G36" s="1"/>
      <x:c r="H36" s="1"/>
      <x:c r="I36" s="1"/>
      <x:c r="J36" s="1"/>
      <x:c r="K36" s="1"/>
      <x:c r="L36" s="1"/>
    </x:row>
    <x:row r="37">
      <x:c r="A37" s="1" t="n">
        <x:f>33</x:f>
        <x:v>33</x:v>
      </x:c>
      <x:c r="B37" s="5" t="n">
        <x:f>IF(AND('요약'!$B$20,A37&lt;='요약'!$B$6),NORM.S.INV((A37-0.5)/'요약'!$B$6),"")</x:f>
        <x:v>-1.8452581167555013</x:v>
      </x:c>
      <x:c r="C37" s="5" t="n">
        <x:f>IF(AND('요약'!$B$20,A37&lt;='요약'!$B$6),LARGE('계산'!$B$2:$B$2001,'요약'!$B$6-A37+1),"")</x:f>
        <x:v>-0.01830698487486911</x:v>
      </x:c>
      <x:c r="D37" s="5" t="n">
        <x:f>IF(ISNUMBER(B37),'요약'!$B$7+'요약'!$B$13*B37,"")</x:f>
        <x:v>-0.018703367423641155</x:v>
      </x:c>
      <x:c r="E37" s="1"/>
      <x:c r="F37" s="1"/>
      <x:c r="G37" s="1"/>
      <x:c r="H37" s="1"/>
      <x:c r="I37" s="1"/>
      <x:c r="J37" s="1"/>
      <x:c r="K37" s="1"/>
      <x:c r="L37" s="1"/>
    </x:row>
    <x:row r="38">
      <x:c r="A38" s="1" t="n">
        <x:f>34</x:f>
        <x:v>34</x:v>
      </x:c>
      <x:c r="B38" s="5" t="n">
        <x:f>IF(AND('요약'!$B$20,A38&lt;='요약'!$B$6),NORM.S.INV((A38-0.5)/'요약'!$B$6),"")</x:f>
        <x:v>-1.8316740304001808</x:v>
      </x:c>
      <x:c r="C38" s="5" t="n">
        <x:f>IF(AND('요약'!$B$20,A38&lt;='요약'!$B$6),LARGE('계산'!$B$2:$B$2001,'요약'!$B$6-A38+1),"")</x:f>
        <x:v>-0.018289307193044415</x:v>
      </x:c>
      <x:c r="D38" s="5" t="n">
        <x:f>IF(ISNUMBER(B38),'요약'!$B$7+'요약'!$B$13*B38,"")</x:f>
        <x:v>-0.01856603548686082</x:v>
      </x:c>
      <x:c r="E38" s="1"/>
      <x:c r="F38" s="1"/>
      <x:c r="G38" s="1"/>
      <x:c r="H38" s="1"/>
      <x:c r="I38" s="1"/>
      <x:c r="J38" s="1"/>
      <x:c r="K38" s="1"/>
      <x:c r="L38" s="1"/>
    </x:row>
    <x:row r="39">
      <x:c r="A39" s="1" t="n">
        <x:f>35</x:f>
        <x:v>35</x:v>
      </x:c>
      <x:c r="B39" s="5" t="n">
        <x:f>IF(AND('요약'!$B$20,A39&lt;='요약'!$B$6),NORM.S.INV((A39-0.5)/'요약'!$B$6),"")</x:f>
        <x:v>-1.8184197631112669</x:v>
      </x:c>
      <x:c r="C39" s="5" t="n">
        <x:f>IF(AND('요약'!$B$20,A39&lt;='요약'!$B$6),LARGE('계산'!$B$2:$B$2001,'요약'!$B$6-A39+1),"")</x:f>
        <x:v>-0.018147488889696316</x:v>
      </x:c>
      <x:c r="D39" s="5" t="n">
        <x:f>IF(ISNUMBER(B39),'요약'!$B$7+'요약'!$B$13*B39,"")</x:f>
        <x:v>-0.01843203794372257</x:v>
      </x:c>
      <x:c r="E39" s="1"/>
      <x:c r="F39" s="1"/>
      <x:c r="G39" s="1"/>
      <x:c r="H39" s="1"/>
      <x:c r="I39" s="1"/>
      <x:c r="J39" s="1"/>
      <x:c r="K39" s="1"/>
      <x:c r="L39" s="1"/>
    </x:row>
    <x:row r="40">
      <x:c r="A40" s="1" t="n">
        <x:f>36</x:f>
        <x:v>36</x:v>
      </x:c>
      <x:c r="B40" s="5" t="n">
        <x:f>IF(AND('요약'!$B$20,A40&lt;='요약'!$B$6),NORM.S.INV((A40-0.5)/'요약'!$B$6),"")</x:f>
        <x:v>-1.8054774570971481</x:v>
      </x:c>
      <x:c r="C40" s="5" t="n">
        <x:f>IF(AND('요약'!$B$20,A40&lt;='요약'!$B$6),LARGE('계산'!$B$2:$B$2001,'요약'!$B$6-A40+1),"")</x:f>
        <x:v>-0.018085246645736845</x:v>
      </x:c>
      <x:c r="D40" s="5" t="n">
        <x:f>IF(ISNUMBER(B40),'요약'!$B$7+'요약'!$B$13*B40,"")</x:f>
        <x:v>-0.018301194256128774</x:v>
      </x:c>
      <x:c r="E40" s="1"/>
      <x:c r="F40" s="1"/>
      <x:c r="G40" s="1"/>
      <x:c r="H40" s="1"/>
      <x:c r="I40" s="1"/>
      <x:c r="J40" s="1"/>
      <x:c r="K40" s="1"/>
      <x:c r="L40" s="1"/>
    </x:row>
    <x:row r="41">
      <x:c r="A41" t="n">
        <x:f>37</x:f>
        <x:v>37</x:v>
      </x:c>
      <x:c r="B41" s="7" t="n">
        <x:f>IF(AND('요약'!$B$20,A41&lt;='요약'!$B$6),NORM.S.INV((A41-0.5)/'요약'!$B$6),"")</x:f>
        <x:v>-1.792830693763752</x:v>
      </x:c>
      <x:c r="C41" s="7" t="n">
        <x:f>IF(AND('요약'!$B$20,A41&lt;='요약'!$B$6),LARGE('계산'!$B$2:$B$2001,'요약'!$B$6-A41+1),"")</x:f>
        <x:v>-0.018034626899946348</x:v>
      </x:c>
      <x:c r="D41" s="7" t="n">
        <x:f>IF(ISNUMBER(B41),'요약'!$B$7+'요약'!$B$13*B41,"")</x:f>
        <x:v>-0.018173338435932402</x:v>
      </x:c>
    </x:row>
    <x:row r="42">
      <x:c r="A42" t="n">
        <x:f>38</x:f>
        <x:v>38</x:v>
      </x:c>
      <x:c r="B42" s="7" t="n">
        <x:f>IF(AND('요약'!$B$20,A42&lt;='요약'!$B$6),NORM.S.INV((A42-0.5)/'요약'!$B$6),"")</x:f>
        <x:v>-1.780464341692026</x:v>
      </x:c>
      <x:c r="C42" s="7" t="n">
        <x:f>IF(AND('요약'!$B$20,A42&lt;='요약'!$B$6),LARGE('계산'!$B$2:$B$2001,'요약'!$B$6-A42+1),"")</x:f>
        <x:v>-0.017881130733850465</x:v>
      </x:c>
      <x:c r="D42" s="7" t="n">
        <x:f>IF(ISNUMBER(B42),'요약'!$B$7+'요약'!$B$13*B42,"")</x:f>
        <x:v>-0.018048317508024915</x:v>
      </x:c>
    </x:row>
    <x:row r="43">
      <x:c r="A43" t="n">
        <x:f>39</x:f>
        <x:v>39</x:v>
      </x:c>
      <x:c r="B43" s="7" t="n">
        <x:f>IF(AND('요약'!$B$20,A43&lt;='요약'!$B$6),NORM.S.INV((A43-0.5)/'요약'!$B$6),"")</x:f>
        <x:v>-1.7683644242721615</x:v>
      </x:c>
      <x:c r="C43" s="7" t="n">
        <x:f>IF(AND('요약'!$B$20,A43&lt;='요약'!$B$6),LARGE('계산'!$B$2:$B$2001,'요약'!$B$6-A43+1),"")</x:f>
        <x:v>-0.01731176889348308</x:v>
      </x:c>
      <x:c r="D43" s="7" t="n">
        <x:f>IF(ISNUMBER(B43),'요약'!$B$7+'요약'!$B$13*B43,"")</x:f>
        <x:v>-0.01792599017214919</x:v>
      </x:c>
    </x:row>
    <x:row r="44">
      <x:c r="A44" t="n">
        <x:f>40</x:f>
        <x:v>40</x:v>
      </x:c>
      <x:c r="B44" s="7" t="n">
        <x:f>IF(AND('요약'!$B$20,A44&lt;='요약'!$B$6),NORM.S.INV((A44-0.5)/'요약'!$B$6),"")</x:f>
        <x:v>-1.7565180040119146</x:v>
      </x:c>
      <x:c r="C44" s="7" t="n">
        <x:f>IF(AND('요약'!$B$20,A44&lt;='요약'!$B$6),LARGE('계산'!$B$2:$B$2001,'요약'!$B$6-A44+1),"")</x:f>
        <x:v>-0.017162044428578667</x:v>
      </x:c>
      <x:c r="D44" s="7" t="n">
        <x:f>IF(ISNUMBER(B44),'요약'!$B$7+'요약'!$B$13*B44,"")</x:f>
        <x:v>-0.017806225633283733</x:v>
      </x:c>
    </x:row>
    <x:row r="45">
      <x:c r="A45" t="n">
        <x:f>41</x:f>
        <x:v>41</x:v>
      </x:c>
      <x:c r="B45" s="7" t="n">
        <x:f>IF(AND('요약'!$B$20,A45&lt;='요약'!$B$6),NORM.S.INV((A45-0.5)/'요약'!$B$6),"")</x:f>
        <x:v>-1.744913081052489</x:v>
      </x:c>
      <x:c r="C45" s="7" t="n">
        <x:f>IF(AND('요약'!$B$20,A45&lt;='요약'!$B$6),LARGE('계산'!$B$2:$B$2001,'요약'!$B$6-A45+1),"")</x:f>
        <x:v>-0.017037754037745403</x:v>
      </x:c>
      <x:c r="D45" s="7" t="n">
        <x:f>IF(ISNUMBER(B45),'요약'!$B$7+'요약'!$B$13*B45,"")</x:f>
        <x:v>-0.017688902575661955</x:v>
      </x:c>
    </x:row>
    <x:row r="46">
      <x:c r="A46" t="n">
        <x:f>42</x:f>
        <x:v>42</x:v>
      </x:c>
      <x:c r="B46" s="7" t="n">
        <x:f>IF(AND('요약'!$B$20,A46&lt;='요약'!$B$6),NORM.S.INV((A46-0.5)/'요약'!$B$6),"")</x:f>
        <x:v>-1.7335385038417952</x:v>
      </x:c>
      <x:c r="C46" s="7" t="n">
        <x:f>IF(AND('요약'!$B$20,A46&lt;='요약'!$B$6),LARGE('계산'!$B$2:$B$2001,'요약'!$B$6-A46+1),"")</x:f>
        <x:v>-0.017004056213685045</x:v>
      </x:c>
      <x:c r="D46" s="7" t="n">
        <x:f>IF(ISNUMBER(B46),'요약'!$B$7+'요약'!$B$13*B46,"")</x:f>
        <x:v>-0.017573908259699716</x:v>
      </x:c>
    </x:row>
    <x:row r="47">
      <x:c r="A47" t="n">
        <x:f>43</x:f>
        <x:v>43</x:v>
      </x:c>
      <x:c r="B47" s="7" t="n">
        <x:f>IF(AND('요약'!$B$20,A47&lt;='요약'!$B$6),NORM.S.INV((A47-0.5)/'요약'!$B$6),"")</x:f>
        <x:v>-1.7223838902526907</x:v>
      </x:c>
      <x:c r="C47" s="7" t="n">
        <x:f>IF(AND('요약'!$B$20,A47&lt;='요약'!$B$6),LARGE('계산'!$B$2:$B$2001,'요약'!$B$6-A47+1),"")</x:f>
        <x:v>-0.016986206291626664</x:v>
      </x:c>
      <x:c r="D47" s="7" t="n">
        <x:f>IF(ISNUMBER(B47),'요약'!$B$7+'요약'!$B$13*B47,"")</x:f>
        <x:v>-0.017461137724519193</x:v>
      </x:c>
    </x:row>
    <x:row r="48">
      <x:c r="A48" t="n">
        <x:f>44</x:f>
        <x:v>44</x:v>
      </x:c>
      <x:c r="B48" s="7" t="n">
        <x:f>IF(AND('요약'!$B$20,A48&lt;='요약'!$B$6),NORM.S.INV((A48-0.5)/'요약'!$B$6),"")</x:f>
        <x:v>-1.7114395577093577</x:v>
      </x:c>
      <x:c r="C48" s="7" t="n">
        <x:f>IF(AND('요약'!$B$20,A48&lt;='요약'!$B$6),LARGE('계산'!$B$2:$B$2001,'요약'!$B$6-A48+1),"")</x:f>
        <x:v>-0.016814233828450844</x:v>
      </x:c>
      <x:c r="D48" s="7" t="n">
        <x:f>IF(ISNUMBER(B48),'요약'!$B$7+'요약'!$B$13*B48,"")</x:f>
        <x:v>-0.01735049308154287</x:v>
      </x:c>
    </x:row>
    <x:row r="49">
      <x:c r="A49" t="n">
        <x:f>45</x:f>
        <x:v>45</x:v>
      </x:c>
      <x:c r="B49" s="7" t="n">
        <x:f>IF(AND('요약'!$B$20,A49&lt;='요약'!$B$6),NORM.S.INV((A49-0.5)/'요약'!$B$6),"")</x:f>
        <x:v>-1.7006964611109079</x:v>
      </x:c>
      <x:c r="C49" s="7" t="n">
        <x:f>IF(AND('요약'!$B$20,A49&lt;='요약'!$B$6),LARGE('계산'!$B$2:$B$2001,'요약'!$B$6-A49+1),"")</x:f>
        <x:v>-0.016810549658583876</x:v>
      </x:c>
      <x:c r="D49" s="7" t="n">
        <x:f>IF(ISNUMBER(B49),'요약'!$B$7+'요약'!$B$13*B49,"")</x:f>
        <x:v>-0.01724188288691572</x:v>
      </x:c>
    </x:row>
    <x:row r="50">
      <x:c r="A50" t="n">
        <x:f>46</x:f>
        <x:v>46</x:v>
      </x:c>
      <x:c r="B50" s="7" t="n">
        <x:f>IF(AND('요약'!$B$20,A50&lt;='요약'!$B$6),NORM.S.INV((A50-0.5)/'요약'!$B$6),"")</x:f>
        <x:v>-1.6901461375274704</x:v>
      </x:c>
      <x:c r="C50" s="7" t="n">
        <x:f>IF(AND('요약'!$B$20,A50&lt;='요약'!$B$6),LARGE('계산'!$B$2:$B$2001,'요약'!$B$6-A50+1),"")</x:f>
        <x:v>-0.016807757532085934</x:v>
      </x:c>
      <x:c r="D50" s="7" t="n">
        <x:f>IF(ISNUMBER(B50),'요약'!$B$7+'요약'!$B$13*B50,"")</x:f>
        <x:v>-0.017135221582395582</x:v>
      </x:c>
    </x:row>
    <x:row r="51">
      <x:c r="A51" t="n">
        <x:f>47</x:f>
        <x:v>47</x:v>
      </x:c>
      <x:c r="B51" s="7" t="n">
        <x:f>IF(AND('요약'!$B$20,A51&lt;='요약'!$B$6),NORM.S.INV((A51-0.5)/'요약'!$B$6),"")</x:f>
        <x:v>-1.6797806567981288</x:v>
      </x:c>
      <x:c r="C51" s="7" t="n">
        <x:f>IF(AND('요약'!$B$20,A51&lt;='요약'!$B$6),LARGE('계산'!$B$2:$B$2001,'요약'!$B$6-A51+1),"")</x:f>
        <x:v>-0.016670850150673374</x:v>
      </x:c>
      <x:c r="D51" s="7" t="n">
        <x:f>IF(ISNUMBER(B51),'요약'!$B$7+'요약'!$B$13*B51,"")</x:f>
        <x:v>-0.017030428995909837</x:v>
      </x:c>
    </x:row>
    <x:row r="52">
      <x:c r="A52" t="n">
        <x:f>48</x:f>
        <x:v>48</x:v>
      </x:c>
      <x:c r="B52" s="7" t="n">
        <x:f>IF(AND('요약'!$B$20,A52&lt;='요약'!$B$6),NORM.S.INV((A52-0.5)/'요약'!$B$6),"")</x:f>
        <x:v>-1.6695925772881874</x:v>
      </x:c>
      <x:c r="C52" s="7" t="n">
        <x:f>IF(AND('요약'!$B$20,A52&lt;='요약'!$B$6),LARGE('계산'!$B$2:$B$2001,'요약'!$B$6-A52+1),"")</x:f>
        <x:v>-0.01665590005144632</x:v>
      </x:c>
      <x:c r="D52" s="7" t="n">
        <x:f>IF(ISNUMBER(B52),'요약'!$B$7+'요약'!$B$13*B52,"")</x:f>
        <x:v>-0.016927429894271744</x:v>
      </x:c>
    </x:row>
    <x:row r="53">
      <x:c r="A53" t="n">
        <x:f>49</x:f>
        <x:v>49</x:v>
      </x:c>
      <x:c r="B53" s="7" t="n">
        <x:f>IF(AND('요약'!$B$20,A53&lt;='요약'!$B$6),NORM.S.INV((A53-0.5)/'요약'!$B$6),"")</x:f>
        <x:v>-1.6595749061702607</x:v>
      </x:c>
      <x:c r="C53" s="7" t="n">
        <x:f>IF(AND('요약'!$B$20,A53&lt;='요약'!$B$6),LARGE('계산'!$B$2:$B$2001,'요약'!$B$6-A53+1),"")</x:f>
        <x:v>-0.016624142777716983</x:v>
      </x:c>
      <x:c r="D53" s="7" t="n">
        <x:f>IF(ISNUMBER(B53),'요약'!$B$7+'요약'!$B$13*B53,"")</x:f>
        <x:v>-0.016826153581631517</x:v>
      </x:c>
    </x:row>
    <x:row r="54">
      <x:c r="A54" t="n">
        <x:f>50</x:f>
        <x:v>50</x:v>
      </x:c>
      <x:c r="B54" s="7" t="n">
        <x:f>IF(AND('요약'!$B$20,A54&lt;='요약'!$B$6),NORM.S.INV((A54-0.5)/'요약'!$B$6),"")</x:f>
        <x:v>-1.6497210636833617</x:v>
      </x:c>
      <x:c r="C54" s="7" t="n">
        <x:f>IF(AND('요약'!$B$20,A54&lt;='요약'!$B$6),LARGE('계산'!$B$2:$B$2001,'요약'!$B$6-A54+1),"")</x:f>
        <x:v>-0.016592125068448697</x:v>
      </x:c>
      <x:c r="D54" s="7" t="n">
        <x:f>IF(ISNUMBER(B54),'요약'!$B$7+'요약'!$B$13*B54,"")</x:f>
        <x:v>-0.016726533538144073</x:v>
      </x:c>
    </x:row>
    <x:row r="55">
      <x:c r="A55" t="n">
        <x:f>51</x:f>
        <x:v>51</x:v>
      </x:c>
      <x:c r="B55" s="7" t="n">
        <x:f>IF(AND('요약'!$B$20,A55&lt;='요약'!$B$6),NORM.S.INV((A55-0.5)/'요약'!$B$6),"")</x:f>
        <x:v>-1.640024850899671</x:v>
      </x:c>
      <x:c r="C55" s="7" t="n">
        <x:f>IF(AND('요약'!$B$20,A55&lt;='요약'!$B$6),LARGE('계산'!$B$2:$B$2001,'요약'!$B$6-A55+1),"")</x:f>
        <x:v>-0.016391178897796593</x:v>
      </x:c>
      <x:c r="D55" s="7" t="n">
        <x:f>IF(ISNUMBER(B55),'요약'!$B$7+'요약'!$B$13*B55,"")</x:f>
        <x:v>-0.01662850709409862</x:v>
      </x:c>
    </x:row>
    <x:row r="56">
      <x:c r="A56" t="n">
        <x:f>52</x:f>
        <x:v>52</x:v>
      </x:c>
      <x:c r="B56" s="7" t="n">
        <x:f>IF(AND('요약'!$B$20,A56&lt;='요약'!$B$6),NORM.S.INV((A56-0.5)/'요약'!$B$6),"")</x:f>
        <x:v>-1.6304804205924208</x:v>
      </x:c>
      <x:c r="C56" s="7" t="n">
        <x:f>IF(AND('요약'!$B$20,A56&lt;='요약'!$B$6),LARGE('계산'!$B$2:$B$2001,'요약'!$B$6-A56+1),"")</x:f>
        <x:v>-0.016283015006215956</x:v>
      </x:c>
      <x:c r="D56" s="7" t="n">
        <x:f>IF(ISNUMBER(B56),'요약'!$B$7+'요약'!$B$13*B56,"")</x:f>
        <x:v>-0.016532015135399737</x:v>
      </x:c>
    </x:row>
    <x:row r="57">
      <x:c r="A57" t="n">
        <x:f>53</x:f>
        <x:v>53</x:v>
      </x:c>
      <x:c r="B57" s="7" t="n">
        <x:f>IF(AND('요약'!$B$20,A57&lt;='요약'!$B$6),NORM.S.INV((A57-0.5)/'요약'!$B$6),"")</x:f>
        <x:v>-1.6210822508524085</x:v>
      </x:c>
      <x:c r="C57" s="7" t="n">
        <x:f>IF(AND('요약'!$B$20,A57&lt;='요약'!$B$6),LARGE('계산'!$B$2:$B$2001,'요약'!$B$6-A57+1),"")</x:f>
        <x:v>-0.016219940947093354</x:v>
      </x:c>
      <x:c r="D57" s="7" t="n">
        <x:f>IF(ISNUMBER(B57),'요약'!$B$7+'요약'!$B$13*B57,"")</x:f>
        <x:v>-0.016437001836836548</x:v>
      </x:c>
    </x:row>
    <x:row r="58">
      <x:c r="A58" t="n">
        <x:f>54</x:f>
        <x:v>54</x:v>
      </x:c>
      <x:c r="B58" s="7" t="n">
        <x:f>IF(AND('요약'!$B$20,A58&lt;='요약'!$B$6),NORM.S.INV((A58-0.5)/'요약'!$B$6),"")</x:f>
        <x:v>-1.6118251211466301</x:v>
      </x:c>
      <x:c r="C58" s="7" t="n">
        <x:f>IF(AND('요약'!$B$20,A58&lt;='요약'!$B$6),LARGE('계산'!$B$2:$B$2001,'요약'!$B$6-A58+1),"")</x:f>
        <x:v>-0.01610562092279488</x:v>
      </x:c>
      <x:c r="D58" s="7" t="n">
        <x:f>IF(ISNUMBER(B58),'요약'!$B$7+'요약'!$B$13*B58,"")</x:f>
        <x:v>-0.016343414420041055</x:v>
      </x:c>
    </x:row>
    <x:row r="59">
      <x:c r="A59" t="n">
        <x:f>55</x:f>
        <x:v>55</x:v>
      </x:c>
      <x:c r="B59" s="7" t="n">
        <x:f>IF(AND('요약'!$B$20,A59&lt;='요약'!$B$6),NORM.S.INV((A59-0.5)/'요약'!$B$6),"")</x:f>
        <x:v>-1.6027040905517576</x:v>
      </x:c>
      <x:c r="C59" s="7" t="n">
        <x:f>IF(AND('요약'!$B$20,A59&lt;='요약'!$B$6),LARGE('계산'!$B$2:$B$2001,'요약'!$B$6-A59+1),"")</x:f>
        <x:v>-0.01607405948055355</x:v>
      </x:c>
      <x:c r="D59" s="7" t="n">
        <x:f>IF(ISNUMBER(B59),'요약'!$B$7+'요약'!$B$13*B59,"")</x:f>
        <x:v>-0.01625120293343372</x:v>
      </x:c>
    </x:row>
    <x:row r="60">
      <x:c r="A60" t="n">
        <x:f>56</x:f>
        <x:v>56</x:v>
      </x:c>
      <x:c r="B60" s="7" t="n">
        <x:f>IF(AND('요약'!$B$20,A60&lt;='요약'!$B$6),NORM.S.INV((A60-0.5)/'요약'!$B$6),"")</x:f>
        <x:v>-1.593714477928795</x:v>
      </x:c>
      <x:c r="C60" s="7" t="n">
        <x:f>IF(AND('요약'!$B$20,A60&lt;='요약'!$B$6),LARGE('계산'!$B$2:$B$2001,'요약'!$B$6-A60+1),"")</x:f>
        <x:v>-0.016044485741635885</x:v>
      </x:c>
      <x:c r="D60" s="7" t="n">
        <x:f>IF(ISNUMBER(B60),'요약'!$B$7+'요약'!$B$13*B60,"")</x:f>
        <x:v>-0.01616032005179385</x:v>
      </x:c>
    </x:row>
    <x:row r="61">
      <x:c r="A61" t="n">
        <x:f>57</x:f>
        <x:v>57</x:v>
      </x:c>
      <x:c r="B61" s="7" t="n">
        <x:f>IF(AND('요약'!$B$20,A61&lt;='요약'!$B$6),NORM.S.INV((A61-0.5)/'요약'!$B$6),"")</x:f>
        <x:v>-1.584851843834083</x:v>
      </x:c>
      <x:c r="C61" s="7" t="n">
        <x:f>IF(AND('요약'!$B$20,A61&lt;='요약'!$B$6),LARGE('계산'!$B$2:$B$2001,'요약'!$B$6-A61+1),"")</x:f>
        <x:v>-0.015998443577654734</x:v>
      </x:c>
      <x:c r="D61" s="7" t="n">
        <x:f>IF(ISNUMBER(B61),'요약'!$B$7+'요약'!$B$13*B61,"")</x:f>
        <x:v>-0.016070720893384086</x:v>
      </x:c>
    </x:row>
    <x:row r="62">
      <x:c r="A62" t="n">
        <x:f>58</x:f>
        <x:v>58</x:v>
      </x:c>
      <x:c r="B62" s="7" t="n">
        <x:f>IF(AND('요약'!$B$20,A62&lt;='요약'!$B$6),NORM.S.INV((A62-0.5)/'요약'!$B$6),"")</x:f>
        <x:v>-1.576111973986659</x:v>
      </x:c>
      <x:c r="C62" s="7" t="n">
        <x:f>IF(AND('요약'!$B$20,A62&lt;='요약'!$B$6),LARGE('계산'!$B$2:$B$2001,'요약'!$B$6-A62+1),"")</x:f>
        <x:v>-0.01580700037488527</x:v>
      </x:c>
      <x:c r="D62" s="7" t="n">
        <x:f>IF(ISNUMBER(B62),'요약'!$B$7+'요약'!$B$13*B62,"")</x:f>
        <x:v>-0.015982362852809302</x:v>
      </x:c>
    </x:row>
    <x:row r="63">
      <x:c r="A63" t="n">
        <x:f>59</x:f>
        <x:v>59</x:v>
      </x:c>
      <x:c r="B63" s="7" t="n">
        <x:f>IF(AND('요약'!$B$20,A63&lt;='요약'!$B$6),NORM.S.INV((A63-0.5)/'요약'!$B$6),"")</x:f>
        <x:v>-1.56749086413344</x:v>
      </x:c>
      <x:c r="C63" s="7" t="n">
        <x:f>IF(AND('요약'!$B$20,A63&lt;='요약'!$B$6),LARGE('계산'!$B$2:$B$2001,'요약'!$B$6-A63+1),"")</x:f>
        <x:v>-0.015438437029482612</x:v>
      </x:c>
      <x:c r="D63" s="7" t="n">
        <x:f>IF(ISNUMBER(B63),'요약'!$B$7+'요약'!$B$13*B63,"")</x:f>
        <x:v>-0.01589520544800711</x:v>
      </x:c>
    </x:row>
    <x:row r="64">
      <x:c r="A64" t="n">
        <x:f>60</x:f>
        <x:v>60</x:v>
      </x:c>
      <x:c r="B64" s="7" t="n">
        <x:f>IF(AND('요약'!$B$20,A64&lt;='요약'!$B$6),NORM.S.INV((A64-0.5)/'요약'!$B$6),"")</x:f>
        <x:v>-1.5589847061722557</x:v>
      </x:c>
      <x:c r="C64" s="7" t="n">
        <x:f>IF(AND('요약'!$B$20,A64&lt;='요약'!$B$6),LARGE('계산'!$B$2:$B$2001,'요약'!$B$6-A64+1),"")</x:f>
        <x:v>-0.015420384460475568</x:v>
      </x:c>
      <x:c r="D64" s="7" t="n">
        <x:f>IF(ISNUMBER(B64),'요약'!$B$7+'요약'!$B$13*B64,"")</x:f>
        <x:v>-0.015809210179954993</x:v>
      </x:c>
    </x:row>
    <x:row r="65">
      <x:c r="A65" t="n">
        <x:f>61</x:f>
        <x:v>61</x:v>
      </x:c>
      <x:c r="B65" s="7" t="n">
        <x:f>IF(AND('요약'!$B$20,A65&lt;='요약'!$B$6),NORM.S.INV((A65-0.5)/'요약'!$B$6),"")</x:f>
        <x:v>-1.5505898754088914</x:v>
      </x:c>
      <x:c r="C65" s="7" t="n">
        <x:f>IF(AND('요약'!$B$20,A65&lt;='요약'!$B$6),LARGE('계산'!$B$2:$B$2001,'요약'!$B$6-A65+1),"")</x:f>
        <x:v>-0.015282336460558238</x:v>
      </x:c>
      <x:c r="D65" s="7" t="n">
        <x:f>IF(ISNUMBER(B65),'요약'!$B$7+'요약'!$B$13*B65,"")</x:f>
        <x:v>-0.015724340403841974</x:v>
      </x:c>
    </x:row>
    <x:row r="66">
      <x:c r="A66" t="n">
        <x:f>62</x:f>
        <x:v>62</x:v>
      </x:c>
      <x:c r="B66" s="7" t="n">
        <x:f>IF(AND('요약'!$B$20,A66&lt;='요약'!$B$6),NORM.S.INV((A66-0.5)/'요약'!$B$6),"")</x:f>
        <x:v>-1.5423029188383177</x:v>
      </x:c>
      <x:c r="C66" s="7" t="n">
        <x:f>IF(AND('요약'!$B$20,A66&lt;='요약'!$B$6),LARGE('계산'!$B$2:$B$2001,'요약'!$B$6-A66+1),"")</x:f>
        <x:v>-0.015253759390740178</x:v>
      </x:c>
      <x:c r="D66" s="7" t="n">
        <x:f>IF(ISNUMBER(B66),'요약'!$B$7+'요약'!$B$13*B66,"")</x:f>
        <x:v>-0.0156405612105946</x:v>
      </x:c>
    </x:row>
    <x:row r="67">
      <x:c r="A67" t="n">
        <x:f>63</x:f>
        <x:v>63</x:v>
      </x:c>
      <x:c r="B67" s="7" t="n">
        <x:f>IF(AND('요약'!$B$20,A67&lt;='요약'!$B$6),NORM.S.INV((A67-0.5)/'요약'!$B$6),"")</x:f>
        <x:v>-1.5341205443525465</x:v>
      </x:c>
      <x:c r="C67" s="7" t="n">
        <x:f>IF(AND('요약'!$B$20,A67&lt;='요약'!$B$6),LARGE('계산'!$B$2:$B$2001,'요약'!$B$6-A67+1),"")</x:f>
        <x:v>-0.015215155248027482</x:v>
      </x:c>
      <x:c r="D67" s="7" t="n">
        <x:f>IF(ISNUMBER(B67),'요약'!$B$7+'요약'!$B$13*B67,"")</x:f>
        <x:v>-0.015557839317770881</x:v>
      </x:c>
    </x:row>
    <x:row r="68">
      <x:c r="A68" t="n">
        <x:f>64</x:f>
        <x:v>64</x:v>
      </x:c>
      <x:c r="B68" s="7" t="n">
        <x:f>IF(AND('요약'!$B$20,A68&lt;='요약'!$B$6),NORM.S.INV((A68-0.5)/'요약'!$B$6),"")</x:f>
        <x:v>-1.5260396107882268</x:v>
      </x:c>
      <x:c r="C68" s="7" t="n">
        <x:f>IF(AND('요약'!$B$20,A68&lt;='요약'!$B$6),LARGE('계산'!$B$2:$B$2001,'요약'!$B$6-A68+1),"")</x:f>
        <x:v>-0.015170320047872457</x:v>
      </x:c>
      <x:c r="D68" s="7" t="n">
        <x:f>IF(ISNUMBER(B68),'요약'!$B$7+'요약'!$B$13*B68,"")</x:f>
        <x:v>-0.015476142968943816</x:v>
      </x:c>
    </x:row>
    <x:row r="69">
      <x:c r="A69" t="n">
        <x:f>65</x:f>
        <x:v>65</x:v>
      </x:c>
      <x:c r="B69" s="7" t="n">
        <x:f>IF(AND('요약'!$B$20,A69&lt;='요약'!$B$6),NORM.S.INV((A69-0.5)/'요약'!$B$6),"")</x:f>
        <x:v>-1.518057118736495</x:v>
      </x:c>
      <x:c r="C69" s="7" t="n">
        <x:f>IF(AND('요약'!$B$20,A69&lt;='요약'!$B$6),LARGE('계산'!$B$2:$B$2001,'요약'!$B$6-A69+1),"")</x:f>
        <x:v>-0.0148341899724674</x:v>
      </x:c>
      <x:c r="D69" s="7" t="n">
        <x:f>IF(ISNUMBER(B69),'요약'!$B$7+'요약'!$B$13*B69,"")</x:f>
        <x:v>-0.015395441840791124</x:v>
      </x:c>
    </x:row>
    <x:row r="70">
      <x:c r="A70" t="n">
        <x:f>66</x:f>
        <x:v>66</x:v>
      </x:c>
      <x:c r="B70" s="7" t="n">
        <x:f>IF(AND('요약'!$B$20,A70&lt;='요약'!$B$6),NORM.S.INV((A70-0.5)/'요약'!$B$6),"")</x:f>
        <x:v>-1.510170202045823</x:v>
      </x:c>
      <x:c r="C70" s="7" t="n">
        <x:f>IF(AND('요약'!$B$20,A70&lt;='요약'!$B$6),LARGE('계산'!$B$2:$B$2001,'요약'!$B$6-A70+1),"")</x:f>
        <x:v>-0.014796993086359131</x:v>
      </x:c>
      <x:c r="D70" s="7" t="n">
        <x:f>IF(ISNUMBER(B70),'요약'!$B$7+'요약'!$B$13*B70,"")</x:f>
        <x:v>-0.015315706957191026</x:v>
      </x:c>
    </x:row>
    <x:row r="71">
      <x:c r="A71" t="n">
        <x:f>67</x:f>
        <x:v>67</x:v>
      </x:c>
      <x:c r="B71" s="7" t="n">
        <x:f>IF(AND('요약'!$B$20,A71&lt;='요약'!$B$6),NORM.S.INV((A71-0.5)/'요약'!$B$6),"")</x:f>
        <x:v>-1.5023761199558543</x:v>
      </x:c>
      <x:c r="C71" s="7" t="n">
        <x:f>IF(AND('요약'!$B$20,A71&lt;='요약'!$B$6),LARGE('계산'!$B$2:$B$2001,'요약'!$B$6-A71+1),"")</x:f>
        <x:v>-0.014710281805821152</x:v>
      </x:c>
      <x:c r="D71" s="7" t="n">
        <x:f>IF(ISNUMBER(B71),'요약'!$B$7+'요약'!$B$13*B71,"")</x:f>
        <x:v>-0.015236910609697176</x:v>
      </x:c>
    </x:row>
    <x:row r="72">
      <x:c r="A72" t="n">
        <x:f>68</x:f>
        <x:v>68</x:v>
      </x:c>
      <x:c r="B72" s="7" t="n">
        <x:f>IF(AND('요약'!$B$20,A72&lt;='요약'!$B$6),NORM.S.INV((A72-0.5)/'요약'!$B$6),"")</x:f>
        <x:v>-1.49467224980662</x:v>
      </x:c>
      <x:c r="C72" s="7" t="n">
        <x:f>IF(AND('요약'!$B$20,A72&lt;='요약'!$B$6),LARGE('계산'!$B$2:$B$2001,'요약'!$B$6-A72+1),"")</x:f>
        <x:v>-0.014692679406167915</x:v>
      </x:c>
      <x:c r="D72" s="7" t="n">
        <x:f>IF(ISNUMBER(B72),'요약'!$B$7+'요약'!$B$13*B72,"")</x:f>
        <x:v>-0.015159026283830522</x:v>
      </x:c>
    </x:row>
    <x:row r="73">
      <x:c r="A73" t="n">
        <x:f>69</x:f>
        <x:v>69</x:v>
      </x:c>
      <x:c r="B73" s="7" t="n">
        <x:f>IF(AND('요약'!$B$20,A73&lt;='요약'!$B$6),NORM.S.INV((A73-0.5)/'요약'!$B$6),"")</x:f>
        <x:v>-1.4870560802731703</x:v>
      </x:c>
      <x:c r="C73" s="7" t="n">
        <x:f>IF(AND('요약'!$B$20,A73&lt;='요약'!$B$6),LARGE('계산'!$B$2:$B$2001,'요약'!$B$6-A73+1),"")</x:f>
        <x:v>-0.014572031106112066</x:v>
      </x:c>
      <x:c r="D73" s="7" t="n">
        <x:f>IF(ISNUMBER(B73),'요약'!$B$7+'요약'!$B$13*B73,"")</x:f>
        <x:v>-0.015082028590683026</x:v>
      </x:c>
    </x:row>
    <x:row r="74">
      <x:c r="A74" t="n">
        <x:f>70</x:f>
        <x:v>70</x:v>
      </x:c>
      <x:c r="B74" s="7" t="n">
        <x:f>IF(AND('요약'!$B$20,A74&lt;='요약'!$B$6),NORM.S.INV((A74-0.5)/'요약'!$B$6),"")</x:f>
        <x:v>-1.4795252050806595</x:v>
      </x:c>
      <x:c r="C74" s="7" t="n">
        <x:f>IF(AND('요약'!$B$20,A74&lt;='요약'!$B$6),LARGE('계산'!$B$2:$B$2001,'요약'!$B$6-A74+1),"")</x:f>
        <x:v>-0.01451419520047328</x:v>
      </x:c>
      <x:c r="D74" s="7" t="n">
        <x:f>IF(ISNUMBER(B74),'요약'!$B$7+'요약'!$B$13*B74,"")</x:f>
        <x:v>-0.015005893203378647</x:v>
      </x:c>
    </x:row>
    <x:row r="75">
      <x:c r="A75" t="n">
        <x:f>71</x:f>
        <x:v>71</x:v>
      </x:c>
      <x:c r="B75" s="7" t="n">
        <x:f>IF(AND('요약'!$B$20,A75&lt;='요약'!$B$6),NORM.S.INV((A75-0.5)/'요약'!$B$6),"")</x:f>
        <x:v>-1.4720773171593673</x:v>
      </x:c>
      <x:c r="C75" s="7" t="n">
        <x:f>IF(AND('요약'!$B$20,A75&lt;='요약'!$B$6),LARGE('계산'!$B$2:$B$2001,'요약'!$B$6-A75+1),"")</x:f>
        <x:v>-0.014504278481696345</x:v>
      </x:c>
      <x:c r="D75" s="7" t="n">
        <x:f>IF(ISNUMBER(B75),'요약'!$B$7+'요약'!$B$13*B75,"")</x:f>
        <x:v>-0.01493059679798195</x:v>
      </x:c>
    </x:row>
    <x:row r="76">
      <x:c r="A76" t="n">
        <x:f>72</x:f>
        <x:v>72</x:v>
      </x:c>
      <x:c r="B76" s="7" t="n">
        <x:f>IF(AND('요약'!$B$20,A76&lt;='요약'!$B$6),NORM.S.INV((A76-0.5)/'요약'!$B$6),"")</x:f>
        <x:v>-1.4647102032030623</x:v>
      </x:c>
      <x:c r="C76" s="7" t="n">
        <x:f>IF(AND('요약'!$B$20,A76&lt;='요약'!$B$6),LARGE('계산'!$B$2:$B$2001,'요약'!$B$6-A76+1),"")</x:f>
        <x:v>-0.013981776953889436</x:v>
      </x:c>
      <x:c r="D76" s="7" t="n">
        <x:f>IF(ISNUMBER(B76),'요약'!$B$7+'요약'!$B$13*B76,"")</x:f>
        <x:v>-0.014856116998484466</x:v>
      </x:c>
    </x:row>
    <x:row r="77">
      <x:c r="A77" t="n">
        <x:f>73</x:f>
        <x:v>73</x:v>
      </x:c>
      <x:c r="B77" s="7" t="n">
        <x:f>IF(AND('요약'!$B$20,A77&lt;='요약'!$B$6),NORM.S.INV((A77-0.5)/'요약'!$B$6),"")</x:f>
        <x:v>-1.4574217385976513</x:v>
      </x:c>
      <x:c r="C77" s="7" t="n">
        <x:f>IF(AND('요약'!$B$20,A77&lt;='요약'!$B$6),LARGE('계산'!$B$2:$B$2001,'요약'!$B$6-A77+1),"")</x:f>
        <x:v>-0.013959795484007814</x:v>
      </x:c>
      <x:c r="D77" s="7" t="n">
        <x:f>IF(ISNUMBER(B77),'요약'!$B$7+'요약'!$B$13*B77,"")</x:f>
        <x:v>-0.01478243232553449</x:v>
      </x:c>
    </x:row>
    <x:row r="78">
      <x:c r="A78" t="n">
        <x:f>74</x:f>
        <x:v>74</x:v>
      </x:c>
      <x:c r="B78" s="7" t="n">
        <x:f>IF(AND('요약'!$B$20,A78&lt;='요약'!$B$6),NORM.S.INV((A78-0.5)/'요약'!$B$6),"")</x:f>
        <x:v>-1.4502098826901597</x:v>
      </x:c>
      <x:c r="C78" s="7" t="n">
        <x:f>IF(AND('요약'!$B$20,A78&lt;='요약'!$B$6),LARGE('계산'!$B$2:$B$2001,'요약'!$B$6-A78+1),"")</x:f>
        <x:v>-0.013953404880829254</x:v>
      </x:c>
      <x:c r="D78" s="7" t="n">
        <x:f>IF(ISNUMBER(B78),'요약'!$B$7+'요약'!$B$13*B78,"")</x:f>
        <x:v>-0.014709522148607603</x:v>
      </x:c>
    </x:row>
    <x:row r="79">
      <x:c r="A79" t="n">
        <x:f>75</x:f>
        <x:v>75</x:v>
      </x:c>
      <x:c r="B79" s="7" t="n">
        <x:f>IF(AND('요약'!$B$20,A79&lt;='요약'!$B$6),NORM.S.INV((A79-0.5)/'요약'!$B$6),"")</x:f>
        <x:v>-1.443072674370901</x:v>
      </x:c>
      <x:c r="C79" s="7" t="n">
        <x:f>IF(AND('요약'!$B$20,A79&lt;='요약'!$B$6),LARGE('계산'!$B$2:$B$2001,'요약'!$B$6-A79+1),"")</x:f>
        <x:v>-0.013939775511801911</x:v>
      </x:c>
      <x:c r="D79" s="7" t="n">
        <x:f>IF(ISNUMBER(B79),'요약'!$B$7+'요약'!$B$13*B79,"")</x:f>
        <x:v>-0.014637366641343429</x:v>
      </x:c>
    </x:row>
    <x:row r="80">
      <x:c r="A80" t="n">
        <x:f>76</x:f>
        <x:v>76</x:v>
      </x:c>
      <x:c r="B80" s="7" t="n">
        <x:f>IF(AND('요약'!$B$20,A80&lt;='요약'!$B$6),NORM.S.INV((A80-0.5)/'요약'!$B$6),"")</x:f>
        <x:v>-1.436008227944182</x:v>
      </x:c>
      <x:c r="C80" s="7" t="n">
        <x:f>IF(AND('요약'!$B$20,A80&lt;='요약'!$B$6),LARGE('계산'!$B$2:$B$2001,'요약'!$B$6-A80+1),"")</x:f>
        <x:v>-0.013775728794797755</x:v>
      </x:c>
      <x:c r="D80" s="7" t="n">
        <x:f>IF(ISNUMBER(B80),'요약'!$B$7+'요약'!$B$13*B80,"")</x:f>
        <x:v>-0.014565946739799423</x:v>
      </x:c>
    </x:row>
    <x:row r="81">
      <x:c r="A81" t="n">
        <x:f>77</x:f>
        <x:v>77</x:v>
      </x:c>
      <x:c r="B81" s="7" t="n">
        <x:f>IF(AND('요약'!$B$20,A81&lt;='요약'!$B$6),NORM.S.INV((A81-0.5)/'요약'!$B$6),"")</x:f>
        <x:v>-1.4290147292651423</x:v>
      </x:c>
      <x:c r="C81" s="7" t="n">
        <x:f>IF(AND('요약'!$B$20,A81&lt;='요약'!$B$6),LARGE('계산'!$B$2:$B$2001,'요약'!$B$6-A81+1),"")</x:f>
        <x:v>-0.01376198435185111</x:v>
      </x:c>
      <x:c r="D81" s="7" t="n">
        <x:f>IF(ISNUMBER(B81),'요약'!$B$7+'요약'!$B$13*B81,"")</x:f>
        <x:v>-0.014495244103395241</x:v>
      </x:c>
    </x:row>
    <x:row r="82">
      <x:c r="A82" t="n">
        <x:f>78</x:f>
        <x:v>78</x:v>
      </x:c>
      <x:c r="B82" s="7" t="n">
        <x:f>IF(AND('요약'!$B$20,A82&lt;='요약'!$B$6),NORM.S.INV((A82-0.5)/'요약'!$B$6),"")</x:f>
        <x:v>-1.422090432122321</x:v>
      </x:c>
      <x:c r="C82" s="7" t="n">
        <x:f>IF(AND('요약'!$B$20,A82&lt;='요약'!$B$6),LARGE('계산'!$B$2:$B$2001,'요약'!$B$6-A82+1),"")</x:f>
        <x:v>-0.013613549996105673</x:v>
      </x:c>
      <x:c r="D82" s="7" t="n">
        <x:f>IF(ISNUMBER(B82),'요약'!$B$7+'요약'!$B$13*B82,"")</x:f>
        <x:v>-0.014425241078341314</x:v>
      </x:c>
    </x:row>
    <x:row r="83">
      <x:c r="A83" t="n">
        <x:f>79</x:f>
        <x:v>79</x:v>
      </x:c>
      <x:c r="B83" s="7" t="n">
        <x:f>IF(AND('요약'!$B$20,A83&lt;='요약'!$B$6),NORM.S.INV((A83-0.5)/'요약'!$B$6),"")</x:f>
        <x:v>-1.415233654847361</x:v>
      </x:c>
      <x:c r="C83" s="7" t="n">
        <x:f>IF(AND('요약'!$B$20,A83&lt;='요약'!$B$6),LARGE('계산'!$B$2:$B$2001,'요약'!$B$6-A83+1),"")</x:f>
        <x:v>-0.013592046602439543</x:v>
      </x:c>
      <x:c r="D83" s="7" t="n">
        <x:f>IF(ISNUMBER(B83),'요약'!$B$7+'요약'!$B$13*B83,"")</x:f>
        <x:v>-0.01435592066336377</x:v>
      </x:c>
    </x:row>
    <x:row r="84">
      <x:c r="A84" t="n">
        <x:f>80</x:f>
        <x:v>80</x:v>
      </x:c>
      <x:c r="B84" s="7" t="n">
        <x:f>IF(AND('요약'!$B$20,A84&lt;='요약'!$B$6),NORM.S.INV((A84-0.5)/'요약'!$B$6),"")</x:f>
        <x:v>-1.4084427771348884</x:v>
      </x:c>
      <x:c r="C84" s="7" t="n">
        <x:f>IF(AND('요약'!$B$20,A84&lt;='요약'!$B$6),LARGE('계산'!$B$2:$B$2001,'요약'!$B$6-A84+1),"")</x:f>
        <x:v>-0.013542278390993848</x:v>
      </x:c>
      <x:c r="D84" s="7" t="n">
        <x:f>IF(ISNUMBER(B84),'요약'!$B$7+'요약'!$B$13*B84,"")</x:f>
        <x:v>-0.014287266477554137</x:v>
      </x:c>
    </x:row>
    <x:row r="85">
      <x:c r="A85" t="n">
        <x:f>81</x:f>
        <x:v>81</x:v>
      </x:c>
      <x:c r="B85" s="7" t="n">
        <x:f>IF(AND('요약'!$B$20,A85&lt;='요약'!$B$6),NORM.S.INV((A85-0.5)/'요약'!$B$6),"")</x:f>
        <x:v>-1.401716237057051</x:v>
      </x:c>
      <x:c r="C85" s="7" t="n">
        <x:f>IF(AND('요약'!$B$20,A85&lt;='요약'!$B$6),LARGE('계산'!$B$2:$B$2001,'요약'!$B$6-A85+1),"")</x:f>
        <x:v>-0.013538341240681708</x:v>
      </x:c>
      <x:c r="D85" s="7" t="n">
        <x:f>IF(ISNUMBER(B85),'요약'!$B$7+'요약'!$B$13*B85,"")</x:f>
        <x:v>-0.014219262730187046</x:v>
      </x:c>
    </x:row>
    <x:row r="86">
      <x:c r="A86" t="n">
        <x:f>82</x:f>
        <x:v>82</x:v>
      </x:c>
      <x:c r="B86" s="7" t="n">
        <x:f>IF(AND('요약'!$B$20,A86&lt;='요약'!$B$6),NORM.S.INV((A86-0.5)/'요약'!$B$6),"")</x:f>
        <x:v>-1.3950525282585466</x:v>
      </x:c>
      <x:c r="C86" s="7" t="n">
        <x:f>IF(AND('요약'!$B$20,A86&lt;='요약'!$B$6),LARGE('계산'!$B$2:$B$2001,'요약'!$B$6-A86+1),"")</x:f>
        <x:v>-0.013500013955213736</x:v>
      </x:c>
      <x:c r="D86" s="7" t="n">
        <x:f>IF(ISNUMBER(B86),'요약'!$B$7+'요약'!$B$13*B86,"")</x:f>
        <x:v>-0.014151894192362614</x:v>
      </x:c>
    </x:row>
    <x:row r="87">
      <x:c r="A87" t="n">
        <x:f>83</x:f>
        <x:v>83</x:v>
      </x:c>
      <x:c r="B87" s="7" t="n">
        <x:f>IF(AND('요약'!$B$20,A87&lt;='요약'!$B$6),NORM.S.INV((A87-0.5)/'요약'!$B$6),"")</x:f>
        <x:v>-1.3884501973191474</x:v>
      </x:c>
      <x:c r="C87" s="7" t="n">
        <x:f>IF(AND('요약'!$B$20,A87&lt;='요약'!$B$6),LARGE('계산'!$B$2:$B$2001,'요약'!$B$6-A87+1),"")</x:f>
        <x:v>-0.013459024522374304</x:v>
      </x:c>
      <x:c r="D87" s="7" t="n">
        <x:f>IF(ISNUMBER(B87),'요약'!$B$7+'요약'!$B$13*B87,"")</x:f>
        <x:v>-0.014085146170342178</x:v>
      </x:c>
    </x:row>
    <x:row r="88">
      <x:c r="A88" t="n">
        <x:f>84</x:f>
        <x:v>84</x:v>
      </x:c>
      <x:c r="B88" s="7" t="n">
        <x:f>IF(AND('요약'!$B$20,A88&lt;='요약'!$B$6),NORM.S.INV((A88-0.5)/'요약'!$B$6),"")</x:f>
        <x:v>-1.3819078412718095</x:v>
      </x:c>
      <x:c r="C88" s="7" t="n">
        <x:f>IF(AND('요약'!$B$20,A88&lt;='요약'!$B$6),LARGE('계산'!$B$2:$B$2001,'요약'!$B$6-A88+1),"")</x:f>
        <x:v>-0.013443012550982202</x:v>
      </x:c>
      <x:c r="D88" s="7" t="n">
        <x:f>IF(ISNUMBER(B88),'요약'!$B$7+'요약'!$B$13*B88,"")</x:f>
        <x:v>-0.014019004480456974</x:v>
      </x:c>
    </x:row>
    <x:row r="89">
      <x:c r="A89" t="n">
        <x:f>85</x:f>
        <x:v>85</x:v>
      </x:c>
      <x:c r="B89" s="7" t="n">
        <x:f>IF(AND('요약'!$B$20,A89&lt;='요약'!$B$6),NORM.S.INV((A89-0.5)/'요약'!$B$6),"")</x:f>
        <x:v>-1.3754241052654512</x:v>
      </x:c>
      <x:c r="C89" s="7" t="n">
        <x:f>IF(AND('요약'!$B$20,A89&lt;='요약'!$B$6),LARGE('계산'!$B$2:$B$2001,'요약'!$B$6-A89+1),"")</x:f>
        <x:v>-0.013250397385467905</x:v>
      </x:c>
      <x:c r="D89" s="7" t="n">
        <x:f>IF(ISNUMBER(B89),'요약'!$B$7+'요약'!$B$13*B89,"")</x:f>
        <x:v>-0.013953455425479358</x:v>
      </x:c>
    </x:row>
    <x:row r="90">
      <x:c r="A90" t="n">
        <x:f>86</x:f>
        <x:v>86</x:v>
      </x:c>
      <x:c r="B90" s="7" t="n">
        <x:f>IF(AND('요약'!$B$20,A90&lt;='요약'!$B$6),NORM.S.INV((A90-0.5)/'요약'!$B$6),"")</x:f>
        <x:v>-1.3689976803623412</x:v>
      </x:c>
      <x:c r="C90" s="7" t="n">
        <x:f>IF(AND('요약'!$B$20,A90&lt;='요약'!$B$6),LARGE('계산'!$B$2:$B$2001,'요약'!$B$6-A90+1),"")</x:f>
        <x:v>-0.013135881188400967</x:v>
      </x:c>
      <x:c r="D90" s="7" t="n">
        <x:f>IF(ISNUMBER(B90),'요약'!$B$7+'요약'!$B$13*B90,"")</x:f>
        <x:v>-0.013888485772354927</x:v>
      </x:c>
    </x:row>
    <x:row r="91">
      <x:c r="A91" t="n">
        <x:f>87</x:f>
        <x:v>87</x:v>
      </x:c>
      <x:c r="B91" s="7" t="n">
        <x:f>IF(AND('요약'!$B$20,A91&lt;='요약'!$B$6),NORM.S.INV((A91-0.5)/'요약'!$B$6),"")</x:f>
        <x:v>-1.362627301460878</x:v>
      </x:c>
      <x:c r="C91" s="7" t="n">
        <x:f>IF(AND('요약'!$B$20,A91&lt;='요약'!$B$6),LARGE('계산'!$B$2:$B$2001,'요약'!$B$6-A91+1),"")</x:f>
        <x:v>-0.01310803939082209</x:v>
      </x:c>
      <x:c r="D91" s="7" t="n">
        <x:f>IF(ISNUMBER(B91),'요약'!$B$7+'요약'!$B$13*B91,"")</x:f>
        <x:v>-0.013824082731202303</x:v>
      </x:c>
    </x:row>
    <x:row r="92">
      <x:c r="A92" t="n">
        <x:f>88</x:f>
        <x:v>88</x:v>
      </x:c>
      <x:c r="B92" s="7" t="n">
        <x:f>IF(AND('요약'!$B$20,A92&lt;='요약'!$B$6),NORM.S.INV((A92-0.5)/'요약'!$B$6),"")</x:f>
        <x:v>-1.3563117453352473</x:v>
      </x:c>
      <x:c r="C92" s="7" t="n">
        <x:f>IF(AND('요약'!$B$20,A92&lt;='요약'!$B$6),LARGE('계산'!$B$2:$B$2001,'요약'!$B$6-A92+1),"")</x:f>
        <x:v>-0.013094849668135778</x:v>
      </x:c>
      <x:c r="D92" s="7" t="n">
        <x:f>IF(ISNUMBER(B92),'요약'!$B$7+'요약'!$B$13*B92,"")</x:f>
        <x:v>-0.013760233935494517</x:v>
      </x:c>
    </x:row>
    <x:row r="93">
      <x:c r="A93" t="n">
        <x:f>89</x:f>
        <x:v>89</x:v>
      </x:c>
      <x:c r="B93" s="7" t="n">
        <x:f>IF(AND('요약'!$B$20,A93&lt;='요약'!$B$6),NORM.S.INV((A93-0.5)/'요약'!$B$6),"")</x:f>
        <x:v>-1.3500498287841276</x:v>
      </x:c>
      <x:c r="C93" s="7" t="n">
        <x:f>IF(AND('요약'!$B$20,A93&lt;='요약'!$B$6),LARGE('계산'!$B$2:$B$2001,'요약'!$B$6-A93+1),"")</x:f>
        <x:v>-0.012924829214981857</x:v>
      </x:c>
      <x:c r="D93" s="7" t="n">
        <x:f>IF(ISNUMBER(B93),'요약'!$B$7+'요약'!$B$13*B93,"")</x:f>
        <x:v>-0.01369692742334287</x:v>
      </x:c>
    </x:row>
    <x:row r="94">
      <x:c r="A94" t="n">
        <x:f>90</x:f>
        <x:v>90</x:v>
      </x:c>
      <x:c r="B94" s="7" t="n">
        <x:f>IF(AND('요약'!$B$20,A94&lt;='요약'!$B$6),NORM.S.INV((A94-0.5)/'요약'!$B$6),"")</x:f>
        <x:v>-1.3438404068812135</x:v>
      </x:c>
      <x:c r="C94" s="7" t="n">
        <x:f>IF(AND('요약'!$B$20,A94&lt;='요약'!$B$6),LARGE('계산'!$B$2:$B$2001,'요약'!$B$6-A94+1),"")</x:f>
        <x:v>-0.012910366510437475</x:v>
      </x:c>
      <x:c r="D94" s="7" t="n">
        <x:f>IF(ISNUMBER(B94),'요약'!$B$7+'요약'!$B$13*B94,"")</x:f>
        <x:v>-0.013634151619810127</x:v>
      </x:c>
    </x:row>
    <x:row r="95">
      <x:c r="A95" t="n">
        <x:f>91</x:f>
        <x:v>91</x:v>
      </x:c>
      <x:c r="B95" s="7" t="n">
        <x:f>IF(AND('요약'!$B$20,A95&lt;='요약'!$B$6),NORM.S.INV((A95-0.5)/'요약'!$B$6),"")</x:f>
        <x:v>-1.337682371320883</x:v>
      </x:c>
      <x:c r="C95" s="7" t="n">
        <x:f>IF(AND('요약'!$B$20,A95&lt;='요약'!$B$6),LARGE('계산'!$B$2:$B$2001,'요약'!$B$6-A95+1),"")</x:f>
        <x:v>-0.012848510328746723</x:v>
      </x:c>
      <x:c r="D95" s="7" t="n">
        <x:f>IF(ISNUMBER(B95),'요약'!$B$7+'요약'!$B$13*B95,"")</x:f>
        <x:v>-0.013571895320185594</x:v>
      </x:c>
    </x:row>
    <x:row r="96">
      <x:c r="A96" t="n">
        <x:f>92</x:f>
        <x:v>92</x:v>
      </x:c>
      <x:c r="B96" s="7" t="n">
        <x:f>IF(AND('요약'!$B$20,A96&lt;='요약'!$B$6),NORM.S.INV((A96-0.5)/'요약'!$B$6),"")</x:f>
        <x:v>-1.3315746488528455</x:v>
      </x:c>
      <x:c r="C96" s="7" t="n">
        <x:f>IF(AND('요약'!$B$20,A96&lt;='요약'!$B$6),LARGE('계산'!$B$2:$B$2001,'요약'!$B$6-A96+1),"")</x:f>
        <x:v>-0.012744520949407073</x:v>
      </x:c>
      <x:c r="D96" s="7" t="n">
        <x:f>IF(ISNUMBER(B96),'요약'!$B$7+'요약'!$B$13*B96,"")</x:f>
        <x:v>-0.013510147674159784</x:v>
      </x:c>
    </x:row>
    <x:row r="97">
      <x:c r="A97" t="n">
        <x:f>93</x:f>
        <x:v>93</x:v>
      </x:c>
      <x:c r="B97" s="7" t="n">
        <x:f>IF(AND('요약'!$B$20,A97&lt;='요약'!$B$6),NORM.S.INV((A97-0.5)/'요약'!$B$6),"")</x:f>
        <x:v>-1.3255161998000575</x:v>
      </x:c>
      <x:c r="C97" s="7" t="n">
        <x:f>IF(AND('요약'!$B$20,A97&lt;='요약'!$B$6),LARGE('계산'!$B$2:$B$2001,'요약'!$B$6-A97+1),"")</x:f>
        <x:v>-0.012685540928688508</x:v>
      </x:c>
      <x:c r="D97" s="7" t="n">
        <x:f>IF(ISNUMBER(B97),'요약'!$B$7+'요약'!$B$13*B97,"")</x:f>
        <x:v>-0.013448898170840889</x:v>
      </x:c>
    </x:row>
    <x:row r="98">
      <x:c r="A98" t="n">
        <x:f>94</x:f>
        <x:v>94</x:v>
      </x:c>
      <x:c r="B98" s="7" t="n">
        <x:f>IF(AND('요약'!$B$20,A98&lt;='요약'!$B$6),NORM.S.INV((A98-0.5)/'요약'!$B$6),"")</x:f>
        <x:v>-1.3195060166546386</x:v>
      </x:c>
      <x:c r="C98" s="7" t="n">
        <x:f>IF(AND('요약'!$B$20,A98&lt;='요약'!$B$6),LARGE('계산'!$B$2:$B$2001,'요약'!$B$6-A98+1),"")</x:f>
        <x:v>-0.012678738627637473</x:v>
      </x:c>
      <x:c r="D98" s="7" t="n">
        <x:f>IF(ISNUMBER(B98),'요약'!$B$7+'요약'!$B$13*B98,"")</x:f>
        <x:v>-0.013388136624559815</x:v>
      </x:c>
    </x:row>
    <x:row r="99">
      <x:c r="A99" t="n">
        <x:f>95</x:f>
        <x:v>95</x:v>
      </x:c>
      <x:c r="B99" s="7" t="n">
        <x:f>IF(AND('요약'!$B$20,A99&lt;='요약'!$B$6),NORM.S.INV((A99-0.5)/'요약'!$B$6),"")</x:f>
        <x:v>-1.3135431227468757</x:v>
      </x:c>
      <x:c r="C99" s="7" t="n">
        <x:f>IF(AND('요약'!$B$20,A99&lt;='요약'!$B$6),LARGE('계산'!$B$2:$B$2001,'요약'!$B$6-A99+1),"")</x:f>
        <x:v>-0.012657816939224598</x:v>
      </x:c>
      <x:c r="D99" s="7" t="n">
        <x:f>IF(ISNUMBER(B99),'요약'!$B$7+'요약'!$B$13*B99,"")</x:f>
        <x:v>-0.013327853161414133</x:v>
      </x:c>
    </x:row>
    <x:row r="100">
      <x:c r="A100" t="n">
        <x:f>96</x:f>
        <x:v>96</x:v>
      </x:c>
      <x:c r="B100" s="7" t="n">
        <x:f>IF(AND('요약'!$B$20,A100&lt;='요약'!$B$6),NORM.S.INV((A100-0.5)/'요약'!$B$6),"")</x:f>
        <x:v>-1.3076265709827957</x:v>
      </x:c>
      <x:c r="C100" s="7" t="n">
        <x:f>IF(AND('요약'!$B$20,A100&lt;='요약'!$B$6),LARGE('계산'!$B$2:$B$2001,'요약'!$B$6-A100+1),"")</x:f>
        <x:v>-0.012596509716091811</x:v>
      </x:c>
      <x:c r="D100" s="7" t="n">
        <x:f>IF(ISNUMBER(B100),'요약'!$B$7+'요약'!$B$13*B100,"")</x:f>
        <x:v>-0.013268038206505224</x:v>
      </x:c>
    </x:row>
    <x:row r="101">
      <x:c r="A101" t="n">
        <x:f>97</x:f>
        <x:v>97</x:v>
      </x:c>
      <x:c r="B101" s="7" t="n">
        <x:f>IF(AND('요약'!$B$20,A101&lt;='요약'!$B$6),NORM.S.INV((A101-0.5)/'요약'!$B$6),"")</x:f>
        <x:v>-1.3017554426460813</x:v>
      </x:c>
      <x:c r="C101" s="7" t="n">
        <x:f>IF(AND('요약'!$B$20,A101&lt;='요약'!$B$6),LARGE('계산'!$B$2:$B$2001,'요약'!$B$6-A101+1),"")</x:f>
        <x:v>-0.01257834589197856</x:v>
      </x:c>
      <x:c r="D101" s="7" t="n">
        <x:f>IF(ISNUMBER(B101),'요약'!$B$7+'요약'!$B$13*B101,"")</x:f>
        <x:v>-0.01320868247182594</x:v>
      </x:c>
    </x:row>
    <x:row r="102">
      <x:c r="A102" t="n">
        <x:f>98</x:f>
        <x:v>98</x:v>
      </x:c>
      <x:c r="B102" s="7" t="n">
        <x:f>IF(AND('요약'!$B$20,A102&lt;='요약'!$B$6),NORM.S.INV((A102-0.5)/'요약'!$B$6),"")</x:f>
        <x:v>-1.2959288462604268</x:v>
      </x:c>
      <x:c r="C102" s="7" t="n">
        <x:f>IF(AND('요약'!$B$20,A102&lt;='요약'!$B$6),LARGE('계산'!$B$2:$B$2001,'요약'!$B$6-A102+1),"")</x:f>
        <x:v>-0.012568972117333746</x:v>
      </x:c>
      <x:c r="D102" s="7" t="n">
        <x:f>IF(ISNUMBER(B102),'요약'!$B$7+'요약'!$B$13*B102,"")</x:f>
        <x:v>-0.013149776944759276</x:v>
      </x:c>
    </x:row>
    <x:row r="103">
      <x:c r="A103" t="n">
        <x:f>99</x:f>
        <x:v>99</x:v>
      </x:c>
      <x:c r="B103" s="7" t="n">
        <x:f>IF(AND('요약'!$B$20,A103&lt;='요약'!$B$6),NORM.S.INV((A103-0.5)/'요약'!$B$6),"")</x:f>
        <x:v>-1.2901459165086897</x:v>
      </x:c>
      <x:c r="C103" s="7" t="n">
        <x:f>IF(AND('요약'!$B$20,A103&lt;='요약'!$B$6),LARGE('계산'!$B$2:$B$2001,'요약'!$B$6-A103+1),"")</x:f>
        <x:v>-0.012562026813249956</x:v>
      </x:c>
      <x:c r="D103" s="7" t="n">
        <x:f>IF(ISNUMBER(B103),'요약'!$B$7+'요약'!$B$13*B103,"")</x:f>
        <x:v>-0.013091312877151253</x:v>
      </x:c>
    </x:row>
    <x:row r="104">
      <x:c r="A104" t="n">
        <x:f>100</x:f>
        <x:v>100</x:v>
      </x:c>
      <x:c r="B104" s="7" t="n">
        <x:f>IF(AND('요약'!$B$20,A104&lt;='요약'!$B$6),NORM.S.INV((A104-0.5)/'요약'!$B$6),"")</x:f>
        <x:v>-1.2844058132054614</x:v>
      </x:c>
      <x:c r="C104" s="7" t="n">
        <x:f>IF(AND('요약'!$B$20,A104&lt;='요약'!$B$6),LARGE('계산'!$B$2:$B$2001,'요약'!$B$6-A104+1),"")</x:f>
        <x:v>-0.012528280903130122</x:v>
      </x:c>
      <x:c r="D104" s="7" t="n">
        <x:f>IF(ISNUMBER(B104),'요약'!$B$7+'요약'!$B$13*B104,"")</x:f>
        <x:v>-0.013033281774923845</x:v>
      </x:c>
    </x:row>
    <x:row r="105">
      <x:c r="A105" t="n">
        <x:f>101</x:f>
        <x:v>101</x:v>
      </x:c>
      <x:c r="B105" s="7" t="n">
        <x:f>IF(AND('요약'!$B$20,A105&lt;='요약'!$B$6),NORM.S.INV((A105-0.5)/'요약'!$B$6),"")</x:f>
        <x:v>-1.278707720319905</x:v>
      </x:c>
      <x:c r="C105" s="7" t="n">
        <x:f>IF(AND('요약'!$B$20,A105&lt;='요약'!$B$6),LARGE('계산'!$B$2:$B$2001,'요약'!$B$6-A105+1),"")</x:f>
        <x:v>-0.012523723652641556</x:v>
      </x:c>
      <x:c r="D105" s="7" t="n">
        <x:f>IF(ISNUMBER(B105),'요약'!$B$7+'요약'!$B$13*B105,"")</x:f>
        <x:v>-0.012975675388196098</x:v>
      </x:c>
    </x:row>
    <x:row r="106">
      <x:c r="A106" t="n">
        <x:f>102</x:f>
        <x:v>102</x:v>
      </x:c>
      <x:c r="B106" s="7" t="n">
        <x:f>IF(AND('요약'!$B$20,A106&lt;='요약'!$B$6),NORM.S.INV((A106-0.5)/'요약'!$B$6),"")</x:f>
        <x:v>-1.2730508450459193</x:v>
      </x:c>
      <x:c r="C106" s="7" t="n">
        <x:f>IF(AND('요약'!$B$20,A106&lt;='요약'!$B$6),LARGE('계산'!$B$2:$B$2001,'요약'!$B$6-A106+1),"")</x:f>
        <x:v>-0.012516121880832828</x:v>
      </x:c>
      <x:c r="D106" s="7" t="n">
        <x:f>IF(ISNUMBER(B106),'요약'!$B$7+'요약'!$B$13*B106,"")</x:f>
        <x:v>-0.012918485701883703</x:v>
      </x:c>
    </x:row>
    <x:row r="107">
      <x:c r="A107" t="n">
        <x:f>103</x:f>
        <x:v>103</x:v>
      </x:c>
      <x:c r="B107" s="7" t="n">
        <x:f>IF(AND('요약'!$B$20,A107&lt;='요약'!$B$6),NORM.S.INV((A107-0.5)/'요약'!$B$6),"")</x:f>
        <x:v>-1.2674344169169054</x:v>
      </x:c>
      <x:c r="C107" s="7" t="n">
        <x:f>IF(AND('요약'!$B$20,A107&lt;='요약'!$B$6),LARGE('계산'!$B$2:$B$2001,'요약'!$B$6-A107+1),"")</x:f>
        <x:v>-0.012485668717400313</x:v>
      </x:c>
      <x:c r="D107" s="7" t="n">
        <x:f>IF(ISNUMBER(B107),'요약'!$B$7+'요약'!$B$13*B107,"")</x:f>
        <x:v>-0.012861704926749502</x:v>
      </x:c>
    </x:row>
    <x:row r="108">
      <x:c r="A108" t="n">
        <x:f>104</x:f>
        <x:v>104</x:v>
      </x:c>
      <x:c r="B108" s="7" t="n">
        <x:f>IF(AND('요약'!$B$20,A108&lt;='요약'!$B$6),NORM.S.INV((A108-0.5)/'요약'!$B$6),"")</x:f>
        <x:v>-1.261857686962573</x:v>
      </x:c>
      <x:c r="C108" s="7" t="n">
        <x:f>IF(AND('요약'!$B$20,A108&lt;='요약'!$B$6),LARGE('계산'!$B$2:$B$2001,'요약'!$B$6-A108+1),"")</x:f>
        <x:v>-0.012297632340849995</x:v>
      </x:c>
      <x:c r="D108" s="7" t="n">
        <x:f>IF(ISNUMBER(B108),'요약'!$B$7+'요약'!$B$13*B108,"")</x:f>
        <x:v>-0.012805325490878984</x:v>
      </x:c>
    </x:row>
    <x:row r="109">
      <x:c r="A109" t="n">
        <x:f>105</x:f>
        <x:v>105</x:v>
      </x:c>
      <x:c r="B109" s="7" t="n">
        <x:f>IF(AND('요약'!$B$20,A109&lt;='요약'!$B$6),NORM.S.INV((A109-0.5)/'요약'!$B$6),"")</x:f>
        <x:v>-1.2563199269054064</x:v>
      </x:c>
      <x:c r="C109" s="7" t="n">
        <x:f>IF(AND('요약'!$B$20,A109&lt;='요약'!$B$6),LARGE('계산'!$B$2:$B$2001,'요약'!$B$6-A109+1),"")</x:f>
        <x:v>-0.012281149017812439</x:v>
      </x:c>
      <x:c r="D109" s="7" t="n">
        <x:f>IF(ISNUMBER(B109),'요약'!$B$7+'요약'!$B$13*B109,"")</x:f>
        <x:v>-0.012749340031556752</x:v>
      </x:c>
    </x:row>
    <x:row r="110">
      <x:c r="A110" t="n">
        <x:f>106</x:f>
        <x:v>106</x:v>
      </x:c>
      <x:c r="B110" s="7" t="n">
        <x:f>IF(AND('요약'!$B$20,A110&lt;='요약'!$B$6),NORM.S.INV((A110-0.5)/'요약'!$B$6),"")</x:f>
        <x:v>-1.2508204283945632</x:v>
      </x:c>
      <x:c r="C110" s="7" t="n">
        <x:f>IF(AND('요약'!$B$20,A110&lt;='요약'!$B$6),LARGE('계산'!$B$2:$B$2001,'요약'!$B$6-A110+1),"")</x:f>
        <x:v>-0.01224791606337454</x:v>
      </x:c>
      <x:c r="D110" s="7" t="n">
        <x:f>IF(ISNUMBER(B110),'요약'!$B$7+'요약'!$B$13*B110,"")</x:f>
        <x:v>-0.012693741387521421</x:v>
      </x:c>
    </x:row>
    <x:row r="111">
      <x:c r="A111" t="n">
        <x:f>107</x:f>
        <x:v>107</x:v>
      </x:c>
      <x:c r="B111" s="7" t="n">
        <x:f>IF(AND('요약'!$B$20,A111&lt;='요약'!$B$6),NORM.S.INV((A111-0.5)/'요약'!$B$6),"")</x:f>
        <x:v>-1.2453585022751221</x:v>
      </x:c>
      <x:c r="C111" s="7" t="n">
        <x:f>IF(AND('요약'!$B$20,A111&lt;='요약'!$B$6),LARGE('계산'!$B$2:$B$2001,'요약'!$B$6-A111+1),"")</x:f>
        <x:v>-0.012238951881390814</x:v>
      </x:c>
      <x:c r="D111" s="7" t="n">
        <x:f>IF(ISNUMBER(B111),'요약'!$B$7+'요약'!$B$13*B111,"")</x:f>
        <x:v>-0.012638522591577876</x:v>
      </x:c>
    </x:row>
    <x:row r="112">
      <x:c r="A112" t="n">
        <x:f>108</x:f>
        <x:v>108</x:v>
      </x:c>
      <x:c r="B112" s="7" t="n">
        <x:f>IF(AND('요약'!$B$20,A112&lt;='요약'!$B$6),NORM.S.INV((A112-0.5)/'요약'!$B$6),"")</x:f>
        <x:v>-1.239933477890738</x:v>
      </x:c>
      <x:c r="C112" s="7" t="n">
        <x:f>IF(AND('요약'!$B$20,A112&lt;='요약'!$B$6),LARGE('계산'!$B$2:$B$2001,'요약'!$B$6-A112+1),"")</x:f>
        <x:v>-0.01220507330320048</x:v>
      </x:c>
      <x:c r="D112" s="7" t="n">
        <x:f>IF(ISNUMBER(B112),'요약'!$B$7+'요약'!$B$13*B112,"")</x:f>
        <x:v>-0.01258367686354728</x:v>
      </x:c>
    </x:row>
    <x:row r="113">
      <x:c r="A113" t="n">
        <x:f>109</x:f>
        <x:v>109</x:v>
      </x:c>
      <x:c r="B113" s="7" t="n">
        <x:f>IF(AND('요약'!$B$20,A113&lt;='요약'!$B$6),NORM.S.INV((A113-0.5)/'요약'!$B$6),"")</x:f>
        <x:v>-1.2345447024178717</x:v>
      </x:c>
      <x:c r="C113" s="7" t="n">
        <x:f>IF(AND('요약'!$B$20,A113&lt;='요약'!$B$6),LARGE('계산'!$B$2:$B$2001,'요약'!$B$6-A113+1),"")</x:f>
        <x:v>-0.012192515091625097</x:v>
      </x:c>
      <x:c r="D113" s="7" t="n">
        <x:f>IF(ISNUMBER(B113),'요약'!$B$7+'요약'!$B$13*B113,"")</x:f>
        <x:v>-0.012529197603536303</x:v>
      </x:c>
    </x:row>
    <x:row r="114">
      <x:c r="A114" t="n">
        <x:f>110</x:f>
        <x:v>110</x:v>
      </x:c>
      <x:c r="B114" s="7" t="n">
        <x:f>IF(AND('요약'!$B$20,A114&lt;='요약'!$B$6),NORM.S.INV((A114-0.5)/'요약'!$B$6),"")</x:f>
        <x:v>-1.2291915402298945</x:v>
      </x:c>
      <x:c r="C114" s="7" t="n">
        <x:f>IF(AND('요약'!$B$20,A114&lt;='요약'!$B$6),LARGE('계산'!$B$2:$B$2001,'요약'!$B$6-A114+1),"")</x:f>
        <x:v>-0.012171186897808947</x:v>
      </x:c>
      <x:c r="D114" s="7" t="n">
        <x:f>IF(ISNUMBER(B114),'요약'!$B$7+'요약'!$B$13*B114,"")</x:f>
        <x:v>-0.012475078385508346</x:v>
      </x:c>
    </x:row>
    <x:row r="115">
      <x:c r="A115" t="n">
        <x:f>111</x:f>
        <x:v>111</x:v>
      </x:c>
      <x:c r="B115" s="7" t="n">
        <x:f>IF(AND('요약'!$B$20,A115&lt;='요약'!$B$6),NORM.S.INV((A115-0.5)/'요약'!$B$6),"")</x:f>
        <x:v>-1.2238733722894635</x:v>
      </x:c>
      <x:c r="C115" s="7" t="n">
        <x:f>IF(AND('요약'!$B$20,A115&lt;='요약'!$B$6),LARGE('계산'!$B$2:$B$2001,'요약'!$B$6-A115+1),"")</x:f>
        <x:v>-0.012119430629571461</x:v>
      </x:c>
      <x:c r="D115" s="7" t="n">
        <x:f>IF(ISNUMBER(B115),'요약'!$B$7+'요약'!$B$13*B115,"")</x:f>
        <x:v>-0.012421312951140623</x:v>
      </x:c>
    </x:row>
    <x:row r="116">
      <x:c r="A116" t="n">
        <x:f>112</x:f>
        <x:v>112</x:v>
      </x:c>
      <x:c r="B116" s="7" t="n">
        <x:f>IF(AND('요약'!$B$20,A116&lt;='요약'!$B$6),NORM.S.INV((A116-0.5)/'요약'!$B$6),"")</x:f>
        <x:v>-1.218589595567664</x:v>
      </x:c>
      <x:c r="C116" s="7" t="n">
        <x:f>IF(AND('요약'!$B$20,A116&lt;='요약'!$B$6),LARGE('계산'!$B$2:$B$2001,'요약'!$B$6-A116+1),"")</x:f>
        <x:v>-0.012035719684470297</x:v>
      </x:c>
      <x:c r="D116" s="7" t="n">
        <x:f>IF(ISNUMBER(B116),'요약'!$B$7+'요약'!$B$13*B116,"")</x:f>
        <x:v>-0.012367895203951805</x:v>
      </x:c>
    </x:row>
    <x:row r="117">
      <x:c r="A117" t="n">
        <x:f>113</x:f>
        <x:v>113</x:v>
      </x:c>
      <x:c r="B117" s="7" t="n">
        <x:f>IF(AND('요약'!$B$20,A117&lt;='요약'!$B$6),NORM.S.INV((A117-0.5)/'요약'!$B$6),"")</x:f>
        <x:v>-1.213339622488518</x:v>
      </x:c>
      <x:c r="C117" s="7" t="n">
        <x:f>IF(AND('요약'!$B$20,A117&lt;='요약'!$B$6),LARGE('계산'!$B$2:$B$2001,'요약'!$B$6-A117+1),"")</x:f>
        <x:v>-0.011999001531627779</x:v>
      </x:c>
      <x:c r="D117" s="7" t="n">
        <x:f>IF(ISNUMBER(B117),'요약'!$B$7+'요약'!$B$13*B117,"")</x:f>
        <x:v>-0.012314819203686145</x:v>
      </x:c>
    </x:row>
    <x:row r="118">
      <x:c r="A118" t="n">
        <x:f>114</x:f>
        <x:v>114</x:v>
      </x:c>
      <x:c r="B118" s="7" t="n">
        <x:f>IF(AND('요약'!$B$20,A118&lt;='요약'!$B$6),NORM.S.INV((A118-0.5)/'요약'!$B$6),"")</x:f>
        <x:v>-1.2081228803975244</x:v>
      </x:c>
      <x:c r="C118" s="7" t="n">
        <x:f>IF(AND('요약'!$B$20,A118&lt;='요약'!$B$6),LARGE('계산'!$B$2:$B$2001,'요약'!$B$6-A118+1),"")</x:f>
        <x:v>-0.011884766951783398</x:v>
      </x:c>
      <x:c r="D118" s="7" t="n">
        <x:f>IF(ISNUMBER(B118),'요약'!$B$7+'요약'!$B$13*B118,"")</x:f>
        <x:v>-0.012262079160940536</x:v>
      </x:c>
    </x:row>
    <x:row r="119">
      <x:c r="A119" t="n">
        <x:f>115</x:f>
        <x:v>115</x:v>
      </x:c>
      <x:c r="B119" s="7" t="n">
        <x:f>IF(AND('요약'!$B$20,A119&lt;='요약'!$B$6),NORM.S.INV((A119-0.5)/'요약'!$B$6),"")</x:f>
        <x:v>-1.2029388110529995</x:v>
      </x:c>
      <x:c r="C119" s="7" t="n">
        <x:f>IF(AND('요약'!$B$20,A119&lt;='요약'!$B$6),LARGE('계산'!$B$2:$B$2001,'요약'!$B$6-A119+1),"")</x:f>
        <x:v>-0.011795655861963667</x:v>
      </x:c>
      <x:c r="D119" s="7" t="n">
        <x:f>IF(ISNUMBER(B119),'요약'!$B$7+'요약'!$B$13*B119,"")</x:f>
        <x:v>-0.012209669432022086</x:v>
      </x:c>
    </x:row>
    <x:row r="120">
      <x:c r="A120" t="n">
        <x:f>116</x:f>
        <x:v>116</x:v>
      </x:c>
      <x:c r="B120" s="7" t="n">
        <x:f>IF(AND('요약'!$B$20,A120&lt;='요약'!$B$6),NORM.S.INV((A120-0.5)/'요약'!$B$6),"")</x:f>
        <x:v>-1.1977868701390408</x:v>
      </x:c>
      <x:c r="C120" s="7" t="n">
        <x:f>IF(AND('요약'!$B$20,A120&lt;='요약'!$B$6),LARGE('계산'!$B$2:$B$2001,'요약'!$B$6-A120+1),"")</x:f>
        <x:v>-0.011700217715819828</x:v>
      </x:c>
      <x:c r="D120" s="7" t="n">
        <x:f>IF(ISNUMBER(B120),'요약'!$B$7+'요약'!$B$13*B120,"")</x:f>
        <x:v>-0.012157584514024294</x:v>
      </x:c>
    </x:row>
    <x:row r="121">
      <x:c r="A121" t="n">
        <x:f>117</x:f>
        <x:v>117</x:v>
      </x:c>
      <x:c r="B121" s="7" t="n">
        <x:f>IF(AND('요약'!$B$20,A121&lt;='요약'!$B$6),NORM.S.INV((A121-0.5)/'요약'!$B$6),"")</x:f>
        <x:v>-1.1926665267990217</x:v>
      </x:c>
      <x:c r="C121" s="7" t="n">
        <x:f>IF(AND('요약'!$B$20,A121&lt;='요약'!$B$6),LARGE('계산'!$B$2:$B$2001,'요약'!$B$6-A121+1),"")</x:f>
        <x:v>-0.011680023219213822</x:v>
      </x:c>
      <x:c r="D121" s="7" t="n">
        <x:f>IF(ISNUMBER(B121),'요약'!$B$7+'요약'!$B$13*B121,"")</x:f>
        <x:v>-0.012105819040110792</x:v>
      </x:c>
    </x:row>
    <x:row r="122">
      <x:c r="A122" t="n">
        <x:f>118</x:f>
        <x:v>118</x:v>
      </x:c>
      <x:c r="B122" s="7" t="n">
        <x:f>IF(AND('요약'!$B$20,A122&lt;='요약'!$B$6),NORM.S.INV((A122-0.5)/'요약'!$B$6),"")</x:f>
        <x:v>-1.1875772631885784</x:v>
      </x:c>
      <x:c r="C122" s="7" t="n">
        <x:f>IF(AND('요약'!$B$20,A122&lt;='요약'!$B$6),LARGE('계산'!$B$2:$B$2001,'요약'!$B$6-A122+1),"")</x:f>
        <x:v>-0.011592217970907518</x:v>
      </x:c>
      <x:c r="D122" s="7" t="n">
        <x:f>IF(ISNUMBER(B122),'요약'!$B$7+'요약'!$B$13*B122,"")</x:f>
        <x:v>-0.012054367774996144</x:v>
      </x:c>
    </x:row>
    <x:row r="123">
      <x:c r="A123" t="n">
        <x:f>119</x:f>
        <x:v>119</x:v>
      </x:c>
      <x:c r="B123" s="7" t="n">
        <x:f>IF(AND('요약'!$B$20,A123&lt;='요약'!$B$6),NORM.S.INV((A123-0.5)/'요약'!$B$6),"")</x:f>
        <x:v>-1.1825185740471167</x:v>
      </x:c>
      <x:c r="C123" s="7" t="n">
        <x:f>IF(AND('요약'!$B$20,A123&lt;='요약'!$B$6),LARGE('계산'!$B$2:$B$2001,'요약'!$B$6-A123+1),"")</x:f>
        <x:v>-0.011584169029546626</x:v>
      </x:c>
      <x:c r="D123" s="7" t="n">
        <x:f>IF(ISNUMBER(B123),'요약'!$B$7+'요약'!$B$13*B123,"")</x:f>
        <x:v>-0.012003225610613885</x:v>
      </x:c>
    </x:row>
    <x:row r="124">
      <x:c r="A124" t="n">
        <x:f>120</x:f>
        <x:v>120</x:v>
      </x:c>
      <x:c r="B124" s="7" t="n">
        <x:f>IF(AND('요약'!$B$20,A124&lt;='요약'!$B$6),NORM.S.INV((A124-0.5)/'요약'!$B$6),"")</x:f>
        <x:v>-1.1774899662869251</x:v>
      </x:c>
      <x:c r="C124" s="7" t="n">
        <x:f>IF(AND('요약'!$B$20,A124&lt;='요약'!$B$6),LARGE('계산'!$B$2:$B$2001,'요약'!$B$6-A124+1),"")</x:f>
        <x:v>-0.011561577387990374</x:v>
      </x:c>
      <x:c r="D124" s="7" t="n">
        <x:f>IF(ISNUMBER(B124),'요약'!$B$7+'요약'!$B$13*B124,"")</x:f>
        <x:v>-0.01195238756196255</x:v>
      </x:c>
    </x:row>
    <x:row r="125">
      <x:c r="A125" t="n">
        <x:f>121</x:f>
        <x:v>121</x:v>
      </x:c>
      <x:c r="B125" s="7" t="n">
        <x:f>IF(AND('요약'!$B$20,A125&lt;='요약'!$B$6),NORM.S.INV((A125-0.5)/'요약'!$B$6),"")</x:f>
        <x:v>-1.1724909585990235</x:v>
      </x:c>
      <x:c r="C125" s="7" t="n">
        <x:f>IF(AND('요약'!$B$20,A125&lt;='요약'!$B$6),LARGE('계산'!$B$2:$B$2001,'요약'!$B$6-A125+1),"")</x:f>
        <x:v>-0.01153211691131885</x:v>
      </x:c>
      <x:c r="D125" s="7" t="n">
        <x:f>IF(ISNUMBER(B125),'요약'!$B$7+'요약'!$B$13*B125,"")</x:f>
        <x:v>-0.011901848763120887</x:v>
      </x:c>
    </x:row>
    <x:row r="126">
      <x:c r="A126" t="n">
        <x:f>122</x:f>
        <x:v>122</x:v>
      </x:c>
      <x:c r="B126" s="7" t="n">
        <x:f>IF(AND('요약'!$B$20,A126&lt;='요약'!$B$6),NORM.S.INV((A126-0.5)/'요약'!$B$6),"")</x:f>
        <x:v>-1.1675210810749368</x:v>
      </x:c>
      <x:c r="C126" s="7" t="n">
        <x:f>IF(AND('요약'!$B$20,A126&lt;='요약'!$B$6),LARGE('계산'!$B$2:$B$2001,'요약'!$B$6-A126+1),"")</x:f>
        <x:v>-0.011507636855559483</x:v>
      </x:c>
      <x:c r="D126" s="7" t="n">
        <x:f>IF(ISNUMBER(B126),'요약'!$B$7+'요약'!$B$13*B126,"")</x:f>
        <x:v>-0.01185160446342409</x:v>
      </x:c>
    </x:row>
    <x:row r="127">
      <x:c r="A127" t="n">
        <x:f>123</x:f>
        <x:v>123</x:v>
      </x:c>
      <x:c r="B127" s="7" t="n">
        <x:f>IF(AND('요약'!$B$20,A127&lt;='요약'!$B$6),NORM.S.INV((A127-0.5)/'요약'!$B$6),"")</x:f>
        <x:v>-1.162579874843623</x:v>
      </x:c>
      <x:c r="C127" s="7" t="n">
        <x:f>IF(AND('요약'!$B$20,A127&lt;='요약'!$B$6),LARGE('계산'!$B$2:$B$2001,'요약'!$B$6-A127+1),"")</x:f>
        <x:v>-0.011460948654318601</x:v>
      </x:c>
      <x:c r="D127" s="7" t="n">
        <x:f>IF(ISNUMBER(B127),'요약'!$B$7+'요약'!$B$13*B127,"")</x:f>
        <x:v>-0.01180165002379322</x:v>
      </x:c>
    </x:row>
    <x:row r="128">
      <x:c r="A128" t="n">
        <x:f>124</x:f>
        <x:v>124</x:v>
      </x:c>
      <x:c r="B128" s="7" t="n">
        <x:f>IF(AND('요약'!$B$20,A128&lt;='요약'!$B$6),NORM.S.INV((A128-0.5)/'요약'!$B$6),"")</x:f>
        <x:v>-1.1576668917228297</x:v>
      </x:c>
      <x:c r="C128" s="7" t="n">
        <x:f>IF(AND('요약'!$B$20,A128&lt;='요약'!$B$6),LARGE('계산'!$B$2:$B$2001,'요약'!$B$6-A128+1),"")</x:f>
        <x:v>-0.011417156519739553</x:v>
      </x:c>
      <x:c r="D128" s="7" t="n">
        <x:f>IF(ISNUMBER(B128),'요약'!$B$7+'요약'!$B$13*B128,"")</x:f>
        <x:v>-0.0117519809132105</x:v>
      </x:c>
    </x:row>
    <x:row r="129">
      <x:c r="A129" t="n">
        <x:f>125</x:f>
        <x:v>125</x:v>
      </x:c>
      <x:c r="B129" s="7" t="n">
        <x:f>IF(AND('요약'!$B$20,A129&lt;='요약'!$B$6),NORM.S.INV((A129-0.5)/'요약'!$B$6),"")</x:f>
        <x:v>-1.1527816938841928</x:v>
      </x:c>
      <x:c r="C129" s="7" t="n">
        <x:f>IF(AND('요약'!$B$20,A129&lt;='요약'!$B$6),LARGE('계산'!$B$2:$B$2001,'요약'!$B$6-A129+1),"")</x:f>
        <x:v>-0.011399391753293193</x:v>
      </x:c>
      <x:c r="D129" s="7" t="n">
        <x:f>IF(ISNUMBER(B129),'요약'!$B$7+'요약'!$B$13*B129,"")</x:f>
        <x:v>-0.011702592705333543</x:v>
      </x:c>
    </x:row>
    <x:row r="130">
      <x:c r="A130" t="n">
        <x:f>126</x:f>
        <x:v>126</x:v>
      </x:c>
      <x:c r="B130" s="7" t="n">
        <x:f>IF(AND('요약'!$B$20,A130&lt;='요약'!$B$6),NORM.S.INV((A130-0.5)/'요약'!$B$6),"")</x:f>
        <x:v>-1.1479238535314322</x:v>
      </x:c>
      <x:c r="C130" s="7" t="n">
        <x:f>IF(AND('요약'!$B$20,A130&lt;='요약'!$B$6),LARGE('계산'!$B$2:$B$2001,'요약'!$B$6-A130+1),"")</x:f>
        <x:v>-0.011324460803793483</x:v>
      </x:c>
      <x:c r="D130" s="7" t="n">
        <x:f>IF(ISNUMBER(B130),'요약'!$B$7+'요약'!$B$13*B130,"")</x:f>
        <x:v>-0.011653481075241985</x:v>
      </x:c>
    </x:row>
    <x:row r="131">
      <x:c r="A131" t="n">
        <x:f>127</x:f>
        <x:v>127</x:v>
      </x:c>
      <x:c r="B131" s="7" t="n">
        <x:f>IF(AND('요약'!$B$20,A131&lt;='요약'!$B$6),NORM.S.INV((A131-0.5)/'요약'!$B$6),"")</x:f>
        <x:v>-1.1430929525910276</x:v>
      </x:c>
      <x:c r="C131" s="7" t="n">
        <x:f>IF(AND('요약'!$B$20,A131&lt;='요약'!$B$6),LARGE('계산'!$B$2:$B$2001,'요약'!$B$6-A131+1),"")</x:f>
        <x:v>-0.0113001286827499</x:v>
      </x:c>
      <x:c r="D131" s="7" t="n">
        <x:f>IF(ISNUMBER(B131),'요약'!$B$7+'요약'!$B$13*B131,"")</x:f>
        <x:v>-0.011604641796310293</x:v>
      </x:c>
    </x:row>
    <x:row r="132">
      <x:c r="A132" t="n">
        <x:f>128</x:f>
        <x:v>128</x:v>
      </x:c>
      <x:c r="B132" s="7" t="n">
        <x:f>IF(AND('요약'!$B$20,A132&lt;='요약'!$B$6),NORM.S.INV((A132-0.5)/'요약'!$B$6),"")</x:f>
        <x:v>-1.1382885824147986</x:v>
      </x:c>
      <x:c r="C132" s="7" t="n">
        <x:f>IF(AND('요약'!$B$20,A132&lt;='요약'!$B$6),LARGE('계산'!$B$2:$B$2001,'요약'!$B$6-A132+1),"")</x:f>
        <x:v>-0.011298810995046043</x:v>
      </x:c>
      <x:c r="D132" s="7" t="n">
        <x:f>IF(ISNUMBER(B132),'요약'!$B$7+'요약'!$B$13*B132,"")</x:f>
        <x:v>-0.01155607073720091</x:v>
      </x:c>
    </x:row>
    <x:row r="133">
      <x:c r="A133" t="n">
        <x:f>129</x:f>
        <x:v>129</x:v>
      </x:c>
      <x:c r="B133" s="7" t="n">
        <x:f>IF(AND('요약'!$B$20,A133&lt;='요약'!$B$6),NORM.S.INV((A133-0.5)/'요약'!$B$6),"")</x:f>
        <x:v>-1.1335103434938416</x:v>
      </x:c>
      <x:c r="C133" s="7" t="n">
        <x:f>IF(AND('요약'!$B$20,A133&lt;='요약'!$B$6),LARGE('계산'!$B$2:$B$2001,'요약'!$B$6-A133+1),"")</x:f>
        <x:v>-0.011238440165744872</x:v>
      </x:c>
      <x:c r="D133" s="7" t="n">
        <x:f>IF(ISNUMBER(B133),'요약'!$B$7+'요약'!$B$13*B133,"")</x:f>
        <x:v>-0.011507763858972241</x:v>
      </x:c>
    </x:row>
    <x:row r="134">
      <x:c r="A134" t="n">
        <x:f>130</x:f>
        <x:v>130</x:v>
      </x:c>
      <x:c r="B134" s="7" t="n">
        <x:f>IF(AND('요약'!$B$20,A134&lt;='요약'!$B$6),NORM.S.INV((A134-0.5)/'요약'!$B$6),"")</x:f>
        <x:v>-1.1287578451833045</x:v>
      </x:c>
      <x:c r="C134" s="7" t="n">
        <x:f>IF(AND('요약'!$B$20,A134&lt;='요약'!$B$6),LARGE('계산'!$B$2:$B$2001,'요약'!$B$6-A134+1),"")</x:f>
        <x:v>-0.011133313394571511</x:v>
      </x:c>
      <x:c r="D134" s="7" t="n">
        <x:f>IF(ISNUMBER(B134),'요약'!$B$7+'요약'!$B$13*B134,"")</x:f>
        <x:v>-0.011459717212296168</x:v>
      </x:c>
    </x:row>
    <x:row r="135">
      <x:c r="A135" t="n">
        <x:f>131</x:f>
        <x:v>131</x:v>
      </x:c>
      <x:c r="B135" s="7" t="n">
        <x:f>IF(AND('요약'!$B$20,A135&lt;='요약'!$B$6),NORM.S.INV((A135-0.5)/'요약'!$B$6),"")</x:f>
        <x:v>-1.1240307054375034</x:v>
      </x:c>
      <x:c r="C135" s="7" t="n">
        <x:f>IF(AND('요약'!$B$20,A135&lt;='요약'!$B$6),LARGE('계산'!$B$2:$B$2001,'요약'!$B$6-A135+1),"")</x:f>
        <x:v>-0.011077821639914292</x:v>
      </x:c>
      <x:c r="D135" s="7" t="n">
        <x:f>IF(ISNUMBER(B135),'요약'!$B$7+'요약'!$B$13*B135,"")</x:f>
        <x:v>-0.011411926934780162</x:v>
      </x:c>
    </x:row>
    <x:row r="136">
      <x:c r="A136" t="n">
        <x:f>132</x:f>
        <x:v>132</x:v>
      </x:c>
      <x:c r="B136" s="7" t="n">
        <x:f>IF(AND('요약'!$B$20,A136&lt;='요약'!$B$6),NORM.S.INV((A136-0.5)/'요약'!$B$6),"")</x:f>
        <x:v>-1.1193285505549238</x:v>
      </x:c>
      <x:c r="C136" s="7" t="n">
        <x:f>IF(AND('요약'!$B$20,A136&lt;='요약'!$B$6),LARGE('계산'!$B$2:$B$2001,'요약'!$B$6-A136+1),"")</x:f>
        <x:v>-0.011058522815023246</x:v>
      </x:c>
      <x:c r="D136" s="7" t="n">
        <x:f>IF(ISNUMBER(B136),'요약'!$B$7+'요약'!$B$13*B136,"")</x:f>
        <x:v>-0.011364389248389289</x:v>
      </x:c>
    </x:row>
    <x:row r="137">
      <x:c r="A137" t="n">
        <x:f>133</x:f>
        <x:v>133</x:v>
      </x:c>
      <x:c r="B137" s="7" t="n">
        <x:f>IF(AND('요약'!$B$20,A137&lt;='요약'!$B$6),NORM.S.INV((A137-0.5)/'요약'!$B$6),"")</x:f>
        <x:v>-1.1146510149326594</x:v>
      </x:c>
      <x:c r="C137" s="7" t="n">
        <x:f>IF(AND('요약'!$B$20,A137&lt;='요약'!$B$6),LARGE('계산'!$B$2:$B$2001,'요약'!$B$6-A137+1),"")</x:f>
        <x:v>-0.011045980723211134</x:v>
      </x:c>
      <x:c r="D137" s="7" t="n">
        <x:f>IF(ISNUMBER(B137),'요약'!$B$7+'요약'!$B$13*B137,"")</x:f>
        <x:v>-0.011317100456963653</x:v>
      </x:c>
    </x:row>
    <x:row r="138">
      <x:c r="A138" t="n">
        <x:f>134</x:f>
        <x:v>134</x:v>
      </x:c>
      <x:c r="B138" s="7" t="n">
        <x:f>IF(AND('요약'!$B$20,A138&lt;='요약'!$B$6),NORM.S.INV((A138-0.5)/'요약'!$B$6),"")</x:f>
        <x:v>-1.109997740829874</x:v>
      </x:c>
      <x:c r="C138" s="7" t="n">
        <x:f>IF(AND('요약'!$B$20,A138&lt;='요약'!$B$6),LARGE('계산'!$B$2:$B$2001,'요약'!$B$6-A138+1),"")</x:f>
        <x:v>-0.011025338339459883</x:v>
      </x:c>
      <x:c r="D138" s="7" t="n">
        <x:f>IF(ISNUMBER(B138),'요약'!$B$7+'요약'!$B$13*B138,"")</x:f>
        <x:v>-0.011270056943827048</x:v>
      </x:c>
    </x:row>
    <x:row r="139">
      <x:c r="A139" t="n">
        <x:f>135</x:f>
        <x:v>135</x:v>
      </x:c>
      <x:c r="B139" s="7" t="n">
        <x:f>IF(AND('요약'!$B$20,A139&lt;='요약'!$B$6),NORM.S.INV((A139-0.5)/'요약'!$B$6),"")</x:f>
        <x:v>-1.1053683781398869</x:v>
      </x:c>
      <x:c r="C139" s="7" t="n">
        <x:f>IF(AND('요약'!$B$20,A139&lt;='요약'!$B$6),LARGE('계산'!$B$2:$B$2001,'요약'!$B$6-A139+1),"")</x:f>
        <x:v>-0.010925087586902362</x:v>
      </x:c>
      <x:c r="D139" s="7" t="n">
        <x:f>IF(ISNUMBER(B139),'요약'!$B$7+'요약'!$B$13*B139,"")</x:f>
        <x:v>-0.011223255169482796</x:v>
      </x:c>
    </x:row>
    <x:row r="140">
      <x:c r="A140" t="n">
        <x:f>136</x:f>
        <x:v>136</x:v>
      </x:c>
      <x:c r="B140" s="7" t="n">
        <x:f>IF(AND('요약'!$B$20,A140&lt;='요약'!$B$6),NORM.S.INV((A140-0.5)/'요약'!$B$6),"")</x:f>
        <x:v>-1.1007625841705073</x:v>
      </x:c>
      <x:c r="C140" s="7" t="n">
        <x:f>IF(AND('요약'!$B$20,A140&lt;='요약'!$B$6),LARGE('계산'!$B$2:$B$2001,'요약'!$B$6-A140+1),"")</x:f>
        <x:v>-0.010894848913916606</x:v>
      </x:c>
      <x:c r="D140" s="7" t="n">
        <x:f>IF(ISNUMBER(B140),'요약'!$B$7+'요약'!$B$13*B140,"")</x:f>
        <x:v>-0.011176691669392976</x:v>
      </x:c>
    </x:row>
    <x:row r="141">
      <x:c r="A141" t="n">
        <x:f>137</x:f>
        <x:v>137</x:v>
      </x:c>
      <x:c r="B141" s="7" t="n">
        <x:f>IF(AND('요약'!$B$20,A141&lt;='요약'!$B$6),NORM.S.INV((A141-0.5)/'요약'!$B$6),"")</x:f>
        <x:v>-1.096180023432261</x:v>
      </x:c>
      <x:c r="C141" s="7" t="n">
        <x:f>IF(AND('요약'!$B$20,A141&lt;='요약'!$B$6),LARGE('계산'!$B$2:$B$2001,'요약'!$B$6-A141+1),"")</x:f>
        <x:v>-0.010856221874915431</x:v>
      </x:c>
      <x:c r="D141" s="7" t="n">
        <x:f>IF(ISNUMBER(B141),'요약'!$B$7+'요약'!$B$13*B141,"")</x:f>
        <x:v>-0.011130363051837448</x:v>
      </x:c>
    </x:row>
    <x:row r="142">
      <x:c r="A142" t="n">
        <x:f>138</x:f>
        <x:v>138</x:v>
      </x:c>
      <x:c r="B142" s="7" t="n">
        <x:f>IF(AND('요약'!$B$20,A142&lt;='요약'!$B$6),NORM.S.INV((A142-0.5)/'요약'!$B$6),"")</x:f>
        <x:v>-1.0916203674341682</x:v>
      </x:c>
      <x:c r="C142" s="7" t="n">
        <x:f>IF(AND('요약'!$B$20,A142&lt;='요약'!$B$6),LARGE('계산'!$B$2:$B$2001,'요약'!$B$6-A142+1),"")</x:f>
        <x:v>-0.010838453319869696</x:v>
      </x:c>
      <x:c r="D142" s="7" t="n">
        <x:f>IF(ISNUMBER(B142),'요약'!$B$7+'요약'!$B$13*B142,"")</x:f>
        <x:v>-0.01108426599584922</x:v>
      </x:c>
    </x:row>
    <x:row r="143">
      <x:c r="A143" t="n">
        <x:f>139</x:f>
        <x:v>139</x:v>
      </x:c>
      <x:c r="B143" s="7" t="n">
        <x:f>IF(AND('요약'!$B$20,A143&lt;='요약'!$B$6),NORM.S.INV((A143-0.5)/'요약'!$B$6),"")</x:f>
        <x:v>-1.0870832944867508</x:v>
      </x:c>
      <x:c r="C143" s="7" t="n">
        <x:f>IF(AND('요약'!$B$20,A143&lt;='요약'!$B$6),LARGE('계산'!$B$2:$B$2001,'요약'!$B$6-A143+1),"")</x:f>
        <x:v>-0.010808632615040524</x:v>
      </x:c>
      <x:c r="D143" s="7" t="n">
        <x:f>IF(ISNUMBER(B143),'요약'!$B$7+'요약'!$B$13*B143,"")</x:f>
        <x:v>-0.01103839724922288</x:v>
      </x:c>
    </x:row>
    <x:row r="144">
      <x:c r="A144" t="n">
        <x:f>140</x:f>
        <x:v>140</x:v>
      </x:c>
      <x:c r="B144" s="7" t="n">
        <x:f>IF(AND('요약'!$B$20,A144&lt;='요약'!$B$6),NORM.S.INV((A144-0.5)/'요약'!$B$6),"")</x:f>
        <x:v>-1.0825684895119632</x:v>
      </x:c>
      <x:c r="C144" s="7" t="n">
        <x:f>IF(AND('요약'!$B$20,A144&lt;='요약'!$B$6),LARGE('계산'!$B$2:$B$2001,'요약'!$B$6-A144+1),"")</x:f>
        <x:v>-0.01080844862566199</x:v>
      </x:c>
      <x:c r="D144" s="7" t="n">
        <x:f>IF(ISNUMBER(B144),'요약'!$B$7+'요약'!$B$13*B144,"")</x:f>
        <x:v>-0.010992753626593065</x:v>
      </x:c>
    </x:row>
    <x:row r="145">
      <x:c r="A145" t="n">
        <x:f>141</x:f>
        <x:v>141</x:v>
      </x:c>
      <x:c r="B145" s="7" t="n">
        <x:f>IF(AND('요약'!$B$20,A145&lt;='요약'!$B$6),NORM.S.INV((A145-0.5)/'요약'!$B$6),"")</x:f>
        <x:v>-1.0780756438597567</x:v>
      </x:c>
      <x:c r="C145" s="7" t="n">
        <x:f>IF(AND('요약'!$B$20,A145&lt;='요약'!$B$6),LARGE('계산'!$B$2:$B$2001,'요약'!$B$6-A145+1),"")</x:f>
        <x:v>-0.010768551730769215</x:v>
      </x:c>
      <x:c r="D145" s="7" t="n">
        <x:f>IF(ISNUMBER(B145),'요약'!$B$7+'요약'!$B$13*B145,"")</x:f>
        <x:v>-0.010947332007579951</x:v>
      </x:c>
    </x:row>
    <x:row r="146">
      <x:c r="A146" t="n">
        <x:f>142</x:f>
        <x:v>142</x:v>
      </x:c>
      <x:c r="B146" s="7" t="n">
        <x:f>IF(AND('요약'!$B$20,A146&lt;='요약'!$B$6),NORM.S.INV((A146-0.5)/'요약'!$B$6),"")</x:f>
        <x:v>-1.0736044551309971</x:v>
      </x:c>
      <x:c r="C146" s="7" t="n">
        <x:f>IF(AND('요약'!$B$20,A146&lt;='요약'!$B$6),LARGE('계산'!$B$2:$B$2001,'요약'!$B$6-A146+1),"")</x:f>
        <x:v>-0.01070903899846889</x:v>
      </x:c>
      <x:c r="D146" s="7" t="n">
        <x:f>IF(ISNUMBER(B146),'요약'!$B$7+'요약'!$B$13*B146,"")</x:f>
        <x:v>-0.010902129334998997</x:v>
      </x:c>
    </x:row>
    <x:row r="147">
      <x:c r="A147" t="n">
        <x:f>143</x:f>
        <x:v>143</x:v>
      </x:c>
      <x:c r="B147" s="7" t="n">
        <x:f>IF(AND('요약'!$B$20,A147&lt;='요약'!$B$6),NORM.S.INV((A147-0.5)/'요약'!$B$6),"")</x:f>
        <x:v>-1.0691546270064725</x:v>
      </x:c>
      <x:c r="C147" s="7" t="n">
        <x:f>IF(AND('요약'!$B$20,A147&lt;='요약'!$B$6),LARGE('계산'!$B$2:$B$2001,'요약'!$B$6-A147+1),"")</x:f>
        <x:v>-0.010516217448162361</x:v>
      </x:c>
      <x:c r="D147" s="7" t="n">
        <x:f>IF(ISNUMBER(B147),'요약'!$B$7+'요약'!$B$13*B147,"")</x:f>
        <x:v>-0.010857142613132257</x:v>
      </x:c>
    </x:row>
    <x:row r="148">
      <x:c r="A148" t="n">
        <x:f>144</x:f>
        <x:v>144</x:v>
      </x:c>
      <x:c r="B148" s="7" t="n">
        <x:f>IF(AND('요약'!$B$20,A148&lt;='요약'!$B$6),NORM.S.INV((A148-0.5)/'요약'!$B$6),"")</x:f>
        <x:v>-1.064725869081746</x:v>
      </x:c>
      <x:c r="C148" s="7" t="n">
        <x:f>IF(AND('요약'!$B$20,A148&lt;='요약'!$B$6),LARGE('계산'!$B$2:$B$2001,'요약'!$B$6-A148+1),"")</x:f>
        <x:v>-0.010512687699501049</x:v>
      </x:c>
      <x:c r="D148" s="7" t="n">
        <x:f>IF(ISNUMBER(B148),'요약'!$B$7+'요약'!$B$13*B148,"")</x:f>
        <x:v>-0.01081236890605878</x:v>
      </x:c>
    </x:row>
    <x:row r="149">
      <x:c r="A149" t="n">
        <x:f>145</x:f>
        <x:v>145</x:v>
      </x:c>
      <x:c r="B149" s="7" t="n">
        <x:f>IF(AND('요약'!$B$20,A149&lt;='요약'!$B$6),NORM.S.INV((A149-0.5)/'요약'!$B$6),"")</x:f>
        <x:v>-1.0603178967076077</x:v>
      </x:c>
      <x:c r="C149" s="7" t="n">
        <x:f>IF(AND('요약'!$B$20,A149&lt;='요약'!$B$6),LARGE('계산'!$B$2:$B$2001,'요약'!$B$6-A149+1),"")</x:f>
        <x:v>-0.010493062802994836</x:v>
      </x:c>
      <x:c r="D149" s="7" t="n">
        <x:f>IF(ISNUMBER(B149),'요약'!$B$7+'요약'!$B$13*B149,"")</x:f>
        <x:v>-0.010767805336041608</x:v>
      </x:c>
    </x:row>
    <x:row r="150">
      <x:c r="A150" t="n">
        <x:f>146</x:f>
        <x:v>146</x:v>
      </x:c>
      <x:c r="B150" s="7" t="n">
        <x:f>IF(AND('요약'!$B$20,A150&lt;='요약'!$B$6),NORM.S.INV((A150-0.5)/'요약'!$B$6),"")</x:f>
        <x:v>-1.0559304308358974</x:v>
      </x:c>
      <x:c r="C150" s="7" t="n">
        <x:f>IF(AND('요약'!$B$20,A150&lt;='요약'!$B$6),LARGE('계산'!$B$2:$B$2001,'요약'!$B$6-A150+1),"")</x:f>
        <x:v>-0.010443985535068829</x:v>
      </x:c>
      <x:c r="D150" s="7" t="n">
        <x:f>IF(ISNUMBER(B150),'요약'!$B$7+'요약'!$B$13*B150,"")</x:f>
        <x:v>-0.010723449081969092</x:v>
      </x:c>
    </x:row>
    <x:row r="151">
      <x:c r="A151" t="n">
        <x:f>147</x:f>
        <x:v>147</x:v>
      </x:c>
      <x:c r="B151" s="7" t="n">
        <x:f>IF(AND('요약'!$B$20,A151&lt;='요약'!$B$6),NORM.S.INV((A151-0.5)/'요약'!$B$6),"")</x:f>
        <x:v>-1.0515631978704927</x:v>
      </x:c>
      <x:c r="C151" s="7" t="n">
        <x:f>IF(AND('요약'!$B$20,A151&lt;='요약'!$B$6),LARGE('계산'!$B$2:$B$2001,'요약'!$B$6-A151+1),"")</x:f>
        <x:v>-0.010358805363237729</x:v>
      </x:c>
      <x:c r="D151" s="7" t="n">
        <x:f>IF(ISNUMBER(B151),'요약'!$B$7+'요약'!$B$13*B151,"")</x:f>
        <x:v>-0.010679297377848406</x:v>
      </x:c>
    </x:row>
    <x:row r="152">
      <x:c r="A152" t="n">
        <x:f>148</x:f>
        <x:v>148</x:v>
      </x:c>
      <x:c r="B152" s="7" t="n">
        <x:f>IF(AND('요약'!$B$20,A152&lt;='요약'!$B$6),NORM.S.INV((A152-0.5)/'요약'!$B$6),"")</x:f>
        <x:v>-1.0472159295232386</x:v>
      </x:c>
      <x:c r="C152" s="7" t="n">
        <x:f>IF(AND('요약'!$B$20,A152&lt;='요약'!$B$6),LARGE('계산'!$B$2:$B$2001,'요약'!$B$6-A152+1),"")</x:f>
        <x:v>-0.010317504394273551</x:v>
      </x:c>
      <x:c r="D152" s="7" t="n">
        <x:f>IF(ISNUMBER(B152),'요약'!$B$7+'요약'!$B$13*B152,"")</x:f>
        <x:v>-0.010635347511349036</x:v>
      </x:c>
    </x:row>
    <x:row r="153">
      <x:c r="A153" t="n">
        <x:f>149</x:f>
        <x:v>149</x:v>
      </x:c>
      <x:c r="B153" s="7" t="n">
        <x:f>IF(AND('요약'!$B$20,A153&lt;='요약'!$B$6),NORM.S.INV((A153-0.5)/'요약'!$B$6),"")</x:f>
        <x:v>-1.0428883626746384</x:v>
      </x:c>
      <x:c r="C153" s="7" t="n">
        <x:f>IF(AND('요약'!$B$20,A153&lt;='요약'!$B$6),LARGE('계산'!$B$2:$B$2001,'요약'!$B$6-A153+1),"")</x:f>
        <x:v>-0.010295261224739331</x:v>
      </x:c>
      <x:c r="D153" s="7" t="n">
        <x:f>IF(ISNUMBER(B153),'요약'!$B$7+'요약'!$B$13*B153,"")</x:f>
        <x:v>-0.010591596822394392</x:v>
      </x:c>
    </x:row>
    <x:row r="154">
      <x:c r="A154" t="n">
        <x:f>150</x:f>
        <x:v>150</x:v>
      </x:c>
      <x:c r="B154" s="7" t="n">
        <x:f>IF(AND('요약'!$B$20,A154&lt;='요약'!$B$6),NORM.S.INV((A154-0.5)/'요약'!$B$6),"")</x:f>
        <x:v>-1.0385802392391073</x:v>
      </x:c>
      <x:c r="C154" s="7" t="n">
        <x:f>IF(AND('요약'!$B$20,A154&lt;='요약'!$B$6),LARGE('계산'!$B$2:$B$2001,'요약'!$B$6-A154+1),"")</x:f>
        <x:v>-0.010293615354681622</x:v>
      </x:c>
      <x:c r="D154" s="7" t="n">
        <x:f>IF(ISNUMBER(B154),'요약'!$B$7+'요약'!$B$13*B154,"")</x:f>
        <x:v>-0.01054804270179956</x:v>
      </x:c>
    </x:row>
    <x:row r="155">
      <x:c r="A155" t="n">
        <x:f>151</x:f>
        <x:v>151</x:v>
      </x:c>
      <x:c r="B155" s="7" t="n">
        <x:f>IF(AND('요약'!$B$20,A155&lt;='요약'!$B$6),NORM.S.INV((A155-0.5)/'요약'!$B$6),"")</x:f>
        <x:v>-1.0342913060346126</x:v>
      </x:c>
      <x:c r="C155" s="7" t="n">
        <x:f>IF(AND('요약'!$B$20,A155&lt;='요약'!$B$6),LARGE('계산'!$B$2:$B$2001,'요약'!$B$6-A155+1),"")</x:f>
        <x:v>-0.010288671787853945</x:v>
      </x:c>
      <x:c r="D155" s="7" t="n">
        <x:f>IF(ISNUMBER(B155),'요약'!$B$7+'요약'!$B$13*B155,"")</x:f>
        <x:v>-0.01050468258995339</x:v>
      </x:c>
    </x:row>
    <x:row r="156">
      <x:c r="A156" t="n">
        <x:f>152</x:f>
        <x:v>152</x:v>
      </x:c>
      <x:c r="B156" s="7" t="n">
        <x:f>IF(AND('요약'!$B$20,A156&lt;='요약'!$B$6),NORM.S.INV((A156-0.5)/'요약'!$B$6),"")</x:f>
        <x:v>-1.0300213146565296</x:v>
      </x:c>
      <x:c r="C156" s="7" t="n">
        <x:f>IF(AND('요약'!$B$20,A156&lt;='요약'!$B$6),LARGE('계산'!$B$2:$B$2001,'요약'!$B$6-A156+1),"")</x:f>
        <x:v>-0.010212082191505788</x:v>
      </x:c>
      <x:c r="D156" s="7" t="n">
        <x:f>IF(ISNUMBER(B156),'요약'!$B$7+'요약'!$B$13*B156,"")</x:f>
        <x:v>-0.010461513975543206</x:v>
      </x:c>
    </x:row>
    <x:row r="157">
      <x:c r="A157" t="n">
        <x:f>153</x:f>
        <x:v>153</x:v>
      </x:c>
      <x:c r="B157" s="7" t="n">
        <x:f>IF(AND('요약'!$B$20,A157&lt;='요약'!$B$6),NORM.S.INV((A157-0.5)/'요약'!$B$6),"")</x:f>
        <x:v>-1.0257700213555496</x:v>
      </x:c>
      <x:c r="C157" s="7" t="n">
        <x:f>IF(AND('요약'!$B$20,A157&lt;='요약'!$B$6),LARGE('계산'!$B$2:$B$2001,'요약'!$B$6-A157+1),"")</x:f>
        <x:v>-0.010124607523271972</x:v>
      </x:c>
      <x:c r="D157" s="7" t="n">
        <x:f>IF(ISNUMBER(B157),'요약'!$B$7+'요약'!$B$13*B157,"")</x:f>
        <x:v>-0.010418534394320493</x:v>
      </x:c>
    </x:row>
    <x:row r="158">
      <x:c r="A158" t="n">
        <x:f>154</x:f>
        <x:v>154</x:v>
      </x:c>
      <x:c r="B158" s="7" t="n">
        <x:f>IF(AND('요약'!$B$20,A158&lt;='요약'!$B$6),NORM.S.INV((A158-0.5)/'요약'!$B$6),"")</x:f>
        <x:v>-1.0215371869194867</x:v>
      </x:c>
      <x:c r="C158" s="7" t="n">
        <x:f>IF(AND('요약'!$B$20,A158&lt;='요약'!$B$6),LARGE('계산'!$B$2:$B$2001,'요약'!$B$6-A158+1),"")</x:f>
        <x:v>-0.010110507199385974</x:v>
      </x:c>
      <x:c r="D158" s="7" t="n">
        <x:f>IF(ISNUMBER(B158),'요약'!$B$7+'요약'!$B$13*B158,"")</x:f>
        <x:v>-0.010375741427905984</x:v>
      </x:c>
    </x:row>
    <x:row r="159">
      <x:c r="A159" t="n">
        <x:f>155</x:f>
        <x:v>155</x:v>
      </x:c>
      <x:c r="B159" s="7" t="n">
        <x:f>IF(AND('요약'!$B$20,A159&lt;='요약'!$B$6),NORM.S.INV((A159-0.5)/'요약'!$B$6),"")</x:f>
        <x:v>-1.017322576558828</x:v>
      </x:c>
      <x:c r="C159" s="7" t="n">
        <x:f>IF(AND('요약'!$B$20,A159&lt;='요약'!$B$6),LARGE('계산'!$B$2:$B$2001,'요약'!$B$6-A159+1),"")</x:f>
        <x:v>-0.010045365538607227</x:v>
      </x:c>
      <x:c r="D159" s="7" t="n">
        <x:f>IF(ISNUMBER(B159),'요약'!$B$7+'요약'!$B$13*B159,"")</x:f>
        <x:v>-0.010333132702632605</x:v>
      </x:c>
    </x:row>
    <x:row r="160">
      <x:c r="A160" t="n">
        <x:f>156</x:f>
        <x:v>156</x:v>
      </x:c>
      <x:c r="B160" s="7" t="n">
        <x:f>IF(AND('요약'!$B$20,A160&lt;='요약'!$B$6),NORM.S.INV((A160-0.5)/'요약'!$B$6),"")</x:f>
        <x:v>-1.0131259597958915</x:v>
      </x:c>
      <x:c r="C160" s="7" t="n">
        <x:f>IF(AND('요약'!$B$20,A160&lt;='요약'!$B$6),LARGE('계산'!$B$2:$B$2001,'요약'!$B$6-A160+1),"")</x:f>
        <x:v>-0.010035721851599544</x:v>
      </x:c>
      <x:c r="D160" s="7" t="n">
        <x:f>IF(ISNUMBER(B160),'요약'!$B$7+'요약'!$B$13*B160,"")</x:f>
        <x:v>-0.010290705888424878</x:v>
      </x:c>
    </x:row>
    <x:row r="161">
      <x:c r="A161" t="n">
        <x:f>157</x:f>
        <x:v>157</x:v>
      </x:c>
      <x:c r="B161" s="7" t="n">
        <x:f>IF(AND('요약'!$B$20,A161&lt;='요약'!$B$6),NORM.S.INV((A161-0.5)/'요약'!$B$6),"")</x:f>
        <x:v>-1.0089471103574519</x:v>
      </x:c>
      <x:c r="C161" s="7" t="n">
        <x:f>IF(AND('요약'!$B$20,A161&lt;='요약'!$B$6),LARGE('계산'!$B$2:$B$2001,'요약'!$B$6-A161+1),"")</x:f>
        <x:v>-0.009954499120917018</x:v>
      </x:c>
      <x:c r="D161" s="7" t="n">
        <x:f>IF(ISNUMBER(B161),'요약'!$B$7+'요약'!$B$13*B161,"")</x:f>
        <x:v>-0.010248458697713406</x:v>
      </x:c>
    </x:row>
    <x:row r="162">
      <x:c r="A162" t="n">
        <x:f>158</x:f>
        <x:v>158</x:v>
      </x:c>
      <x:c r="B162" s="7" t="n">
        <x:f>IF(AND('요약'!$B$20,A162&lt;='요약'!$B$6),NORM.S.INV((A162-0.5)/'요약'!$B$6),"")</x:f>
        <x:v>-1.0047858060707051</x:v>
      </x:c>
      <x:c r="C162" s="7" t="n">
        <x:f>IF(AND('요약'!$B$20,A162&lt;='요약'!$B$6),LARGE('계산'!$B$2:$B$2001,'요약'!$B$6-A162+1),"")</x:f>
        <x:v>-0.00984843448626662</x:v>
      </x:c>
      <x:c r="D162" s="7" t="n">
        <x:f>IF(ISNUMBER(B162),'요약'!$B$7+'요약'!$B$13*B162,"")</x:f>
        <x:v>-0.010206388884383088</x:v>
      </x:c>
    </x:row>
    <x:row r="163">
      <x:c r="A163" t="n">
        <x:f>159</x:f>
        <x:v>159</x:v>
      </x:c>
      <x:c r="B163" s="7" t="n">
        <x:f>IF(AND('요약'!$B$20,A163&lt;='요약'!$B$6),NORM.S.INV((A163-0.5)/'요약'!$B$6),"")</x:f>
        <x:v>-1.000641828762449</x:v>
      </x:c>
      <x:c r="C163" s="7" t="n">
        <x:f>IF(AND('요약'!$B$20,A163&lt;='요약'!$B$6),LARGE('계산'!$B$2:$B$2001,'요약'!$B$6-A163+1),"")</x:f>
        <x:v>-0.009789674868476535</x:v>
      </x:c>
      <x:c r="D163" s="7" t="n">
        <x:f>IF(ISNUMBER(B163),'요약'!$B$7+'요약'!$B$13*B163,"")</x:f>
        <x:v>-0.010164494242753865</x:v>
      </x:c>
    </x:row>
    <x:row r="164">
      <x:c r="A164" t="n">
        <x:f>160</x:f>
        <x:v>160</x:v>
      </x:c>
      <x:c r="B164" s="7" t="n">
        <x:f>IF(AND('요약'!$B$20,A164&lt;='요약'!$B$6),NORM.S.INV((A164-0.5)/'요약'!$B$6),"")</x:f>
        <x:v>-0.9965149641613579</x:v>
      </x:c>
      <x:c r="C164" s="7" t="n">
        <x:f>IF(AND('요약'!$B$20,A164&lt;='요약'!$B$6),LARGE('계산'!$B$2:$B$2001,'요약'!$B$6-A164+1),"")</x:f>
        <x:v>-0.00977685738909601</x:v>
      </x:c>
      <x:c r="D164" s="7" t="n">
        <x:f>IF(ISNUMBER(B164),'요약'!$B$7+'요약'!$B$13*B164,"")</x:f>
        <x:v>-0.010122772606592735</x:v>
      </x:c>
    </x:row>
    <x:row r="165">
      <x:c r="A165" t="n">
        <x:f>161</x:f>
        <x:v>161</x:v>
      </x:c>
      <x:c r="B165" s="7" t="n">
        <x:f>IF(AND('요약'!$B$20,A165&lt;='요약'!$B$6),NORM.S.INV((A165-0.5)/'요약'!$B$6),"")</x:f>
        <x:v>-0.9924050018032363</x:v>
      </x:c>
      <x:c r="C165" s="7" t="n">
        <x:f>IF(AND('요약'!$B$20,A165&lt;='요약'!$B$6),LARGE('계산'!$B$2:$B$2001,'요약'!$B$6-A165+1),"")</x:f>
        <x:v>-0.009750305965952211</x:v>
      </x:c>
      <x:c r="D165" s="7" t="n">
        <x:f>IF(ISNUMBER(B165),'요약'!$B$7+'요약'!$B$13*B165,"")</x:f>
        <x:v>-0.010081221848155894</x:v>
      </x:c>
    </x:row>
    <x:row r="166">
      <x:c r="A166" t="n">
        <x:f>162</x:f>
        <x:v>162</x:v>
      </x:c>
      <x:c r="B166" s="7" t="n">
        <x:f>IF(AND('요약'!$B$20,A166&lt;='요약'!$B$6),NORM.S.INV((A166-0.5)/'요약'!$B$6),"")</x:f>
        <x:v>-0.9883117349391507</x:v>
      </x:c>
      <x:c r="C166" s="7" t="n">
        <x:f>IF(AND('요약'!$B$20,A166&lt;='요약'!$B$6),LARGE('계산'!$B$2:$B$2001,'요약'!$B$6-A166+1),"")</x:f>
        <x:v>-0.009716430016534218</x:v>
      </x:c>
      <x:c r="D166" s="7" t="n">
        <x:f>IF(ISNUMBER(B166),'요약'!$B$7+'요약'!$B$13*B166,"")</x:f>
        <x:v>-0.010039839877259966</x:v>
      </x:c>
    </x:row>
    <x:row r="167">
      <x:c r="A167" t="n">
        <x:f>163</x:f>
        <x:v>163</x:v>
      </x:c>
      <x:c r="B167" s="7" t="n">
        <x:f>IF(AND('요약'!$B$20,A167&lt;='요약'!$B$6),NORM.S.INV((A167-0.5)/'요약'!$B$6),"")</x:f>
        <x:v>-0.9842349604463251</x:v>
      </x:c>
      <x:c r="C167" s="7" t="n">
        <x:f>IF(AND('요약'!$B$20,A167&lt;='요약'!$B$6),LARGE('계산'!$B$2:$B$2001,'요약'!$B$6-A167+1),"")</x:f>
        <x:v>-0.00969287959339782</x:v>
      </x:c>
      <x:c r="D167" s="7" t="n">
        <x:f>IF(ISNUMBER(B167),'요약'!$B$7+'요약'!$B$13*B167,"")</x:f>
        <x:v>-0.009998624640381181</x:v>
      </x:c>
    </x:row>
    <x:row r="168">
      <x:c r="A168" t="n">
        <x:f>164</x:f>
        <x:v>164</x:v>
      </x:c>
      <x:c r="B168" s="7" t="n">
        <x:f>IF(AND('요약'!$B$20,A168&lt;='요약'!$B$6),NORM.S.INV((A168-0.5)/'요약'!$B$6),"")</x:f>
        <x:v>-0.9801744787417052</x:v>
      </x:c>
      <x:c r="C168" s="7" t="n">
        <x:f>IF(AND('요약'!$B$20,A168&lt;='요약'!$B$6),LARGE('계산'!$B$2:$B$2001,'요약'!$B$6-A168+1),"")</x:f>
        <x:v>-0.00967205062806602</x:v>
      </x:c>
      <x:c r="D168" s="7" t="n">
        <x:f>IF(ISNUMBER(B168),'요약'!$B$7+'요약'!$B$13*B168,"")</x:f>
        <x:v>-0.009957574119781527</x:v>
      </x:c>
    </x:row>
    <x:row r="169">
      <x:c r="A169" t="n">
        <x:f>165</x:f>
        <x:v>165</x:v>
      </x:c>
      <x:c r="B169" s="7" t="n">
        <x:f>IF(AND('요약'!$B$20,A169&lt;='요약'!$B$6),NORM.S.INV((A169-0.5)/'요약'!$B$6),"")</x:f>
        <x:v>-0.9761300936980974</x:v>
      </x:c>
      <x:c r="C169" s="7" t="n">
        <x:f>IF(AND('요약'!$B$20,A169&lt;='요약'!$B$6),LARGE('계산'!$B$2:$B$2001,'요약'!$B$6-A169+1),"")</x:f>
        <x:v>-0.009638241576567513</x:v>
      </x:c>
      <x:c r="D169" s="7" t="n">
        <x:f>IF(ISNUMBER(B169),'요약'!$B$7+'요약'!$B$13*B169,"")</x:f>
        <x:v>-0.009916686332660936</x:v>
      </x:c>
    </x:row>
    <x:row r="170">
      <x:c r="A170" t="n">
        <x:f>166</x:f>
        <x:v>166</x:v>
      </x:c>
      <x:c r="B170" s="7" t="n">
        <x:f>IF(AND('요약'!$B$20,A170&lt;='요약'!$B$6),NORM.S.INV((A170-0.5)/'요약'!$B$6),"")</x:f>
        <x:v>-0.9721016125627847</x:v>
      </x:c>
      <x:c r="C170" s="7" t="n">
        <x:f>IF(AND('요약'!$B$20,A170&lt;='요약'!$B$6),LARGE('계산'!$B$2:$B$2001,'요약'!$B$6-A170+1),"")</x:f>
        <x:v>-0.009630961632016401</x:v>
      </x:c>
      <x:c r="D170" s="7" t="n">
        <x:f>IF(ISNUMBER(B170),'요약'!$B$7+'요약'!$B$13*B170,"")</x:f>
        <x:v>-0.009875959330334508</x:v>
      </x:c>
    </x:row>
    <x:row r="171">
      <x:c r="A171" t="n">
        <x:f>167</x:f>
        <x:v>167</x:v>
      </x:c>
      <x:c r="B171" s="7" t="n">
        <x:f>IF(AND('요약'!$B$20,A171&lt;='요약'!$B$6),NORM.S.INV((A171-0.5)/'요약'!$B$6),"")</x:f>
        <x:v>-0.9680888458785378</x:v>
      </x:c>
      <x:c r="C171" s="7" t="n">
        <x:f>IF(AND('요약'!$B$20,A171&lt;='요약'!$B$6),LARGE('계산'!$B$2:$B$2001,'요약'!$B$6-A171+1),"")</x:f>
        <x:v>-0.00961855981909022</x:v>
      </x:c>
      <x:c r="D171" s="7" t="n">
        <x:f>IF(ISNUMBER(B171),'요약'!$B$7+'요약'!$B$13*B171,"")</x:f>
        <x:v>-0.009835391197433955</x:v>
      </x:c>
    </x:row>
    <x:row r="172">
      <x:c r="A172" t="n">
        <x:f>168</x:f>
        <x:v>168</x:v>
      </x:c>
      <x:c r="B172" s="7" t="n">
        <x:f>IF(AND('요약'!$B$20,A172&lt;='요약'!$B$6),NORM.S.INV((A172-0.5)/'요약'!$B$6),"")</x:f>
        <x:v>-0.9640916074069343</x:v>
      </x:c>
      <x:c r="C172" s="7" t="n">
        <x:f>IF(AND('요약'!$B$20,A172&lt;='요약'!$B$6),LARGE('계산'!$B$2:$B$2001,'요약'!$B$6-A172+1),"")</x:f>
        <x:v>-0.009456287225166796</x:v>
      </x:c>
      <x:c r="D172" s="7" t="n">
        <x:f>IF(ISNUMBER(B172),'요약'!$B$7+'요약'!$B$13*B172,"")</x:f>
        <x:v>-0.009794980051132373</x:v>
      </x:c>
    </x:row>
    <x:row r="173">
      <x:c r="A173" t="n">
        <x:f>169</x:f>
        <x:v>169</x:v>
      </x:c>
      <x:c r="B173" s="7" t="n">
        <x:f>IF(AND('요약'!$B$20,A173&lt;='요약'!$B$6),NORM.S.INV((A173-0.5)/'요약'!$B$6),"")</x:f>
        <x:v>-0.9601097140539036</x:v>
      </x:c>
      <x:c r="C173" s="7" t="n">
        <x:f>IF(AND('요약'!$B$20,A173&lt;='요약'!$B$6),LARGE('계산'!$B$2:$B$2001,'요약'!$B$6-A173+1),"")</x:f>
        <x:v>-0.009455498527692903</x:v>
      </x:c>
      <x:c r="D173" s="7" t="n">
        <x:f>IF(ISNUMBER(B173),'요약'!$B$7+'요약'!$B$13*B173,"")</x:f>
        <x:v>-0.00975472404039152</x:v>
      </x:c>
    </x:row>
    <x:row r="174">
      <x:c r="A174" t="n">
        <x:f>170</x:f>
        <x:v>170</x:v>
      </x:c>
      <x:c r="B174" s="7" t="n">
        <x:f>IF(AND('요약'!$B$20,A174&lt;='요약'!$B$6),NORM.S.INV((A174-0.5)/'요약'!$B$6),"")</x:f>
        <x:v>-0.956142985797422</x:v>
      </x:c>
      <x:c r="C174" s="7" t="n">
        <x:f>IF(AND('요약'!$B$20,A174&lt;='요약'!$B$6),LARGE('계산'!$B$2:$B$2001,'요약'!$B$6-A174+1),"")</x:f>
        <x:v>-0.009419201440497231</x:v>
      </x:c>
      <x:c r="D174" s="7" t="n">
        <x:f>IF(ISNUMBER(B174),'요약'!$B$7+'요약'!$B$13*B174,"")</x:f>
        <x:v>-0.00971462134523083</x:v>
      </x:c>
    </x:row>
    <x:row r="175">
      <x:c r="A175" t="n">
        <x:f>171</x:f>
        <x:v>171</x:v>
      </x:c>
      <x:c r="B175" s="7" t="n">
        <x:f>IF(AND('요약'!$B$20,A175&lt;='요약'!$B$6),NORM.S.INV((A175-0.5)/'요약'!$B$6),"")</x:f>
        <x:v>-0.952191245617287</x:v>
      </x:c>
      <x:c r="C175" s="7" t="n">
        <x:f>IF(AND('요약'!$B$20,A175&lt;='요약'!$B$6),LARGE('계산'!$B$2:$B$2001,'요약'!$B$6-A175+1),"")</x:f>
        <x:v>-0.009412529290152941</x:v>
      </x:c>
      <x:c r="D175" s="7" t="n">
        <x:f>IF(ISNUMBER(B175),'요약'!$B$7+'요약'!$B$13*B175,"")</x:f>
        <x:v>-0.009674670176017449</x:v>
      </x:c>
    </x:row>
    <x:row r="176">
      <x:c r="A176" t="n">
        <x:f>172</x:f>
        <x:v>172</x:v>
      </x:c>
      <x:c r="B176" s="7" t="n">
        <x:f>IF(AND('요약'!$B$20,A176&lt;='요약'!$B$6),NORM.S.INV((A176-0.5)/'요약'!$B$6),"")</x:f>
        <x:v>-0.948254319426888</x:v>
      </x:c>
      <x:c r="C176" s="7" t="n">
        <x:f>IF(AND('요약'!$B$20,A176&lt;='요약'!$B$6),LARGE('계산'!$B$2:$B$2001,'요약'!$B$6-A176+1),"")</x:f>
        <x:v>-0.009352954384908477</x:v>
      </x:c>
      <x:c r="D176" s="7" t="n">
        <x:f>IF(ISNUMBER(B176),'요약'!$B$7+'요약'!$B$13*B176,"")</x:f>
        <x:v>-0.009634868772776445</x:v>
      </x:c>
    </x:row>
    <x:row r="177">
      <x:c r="A177" t="n">
        <x:f>173</x:f>
        <x:v>173</x:v>
      </x:c>
      <x:c r="B177" s="7" t="n">
        <x:f>IF(AND('요약'!$B$20,A177&lt;='요약'!$B$6),NORM.S.INV((A177-0.5)/'요약'!$B$6),"")</x:f>
        <x:v>-0.9443320360069192</x:v>
      </x:c>
      <x:c r="C177" s="7" t="n">
        <x:f>IF(AND('요약'!$B$20,A177&lt;='요약'!$B$6),LARGE('계산'!$B$2:$B$2001,'요약'!$B$6-A177+1),"")</x:f>
        <x:v>-0.009263278301018371</x:v>
      </x:c>
      <x:c r="D177" s="7" t="n">
        <x:f>IF(ISNUMBER(B177),'요약'!$B$7+'요약'!$B$13*B177,"")</x:f>
        <x:v>-0.009595215404520675</x:v>
      </x:c>
    </x:row>
    <x:row r="178">
      <x:c r="A178" t="n">
        <x:f>174</x:f>
        <x:v>174</x:v>
      </x:c>
      <x:c r="B178" s="7" t="n">
        <x:f>IF(AND('요약'!$B$20,A178&lt;='요약'!$B$6),NORM.S.INV((A178-0.5)/'요약'!$B$6),"")</x:f>
        <x:v>-0.9404242269409588</x:v>
      </x:c>
      <x:c r="C178" s="7" t="n">
        <x:f>IF(AND('요약'!$B$20,A178&lt;='요약'!$B$6),LARGE('계산'!$B$2:$B$2001,'요약'!$B$6-A178+1),"")</x:f>
        <x:v>-0.00925299042259414</x:v>
      </x:c>
      <x:c r="D178" s="7" t="n">
        <x:f>IF(ISNUMBER(B178),'요약'!$B$7+'요약'!$B$13*B178,"")</x:f>
        <x:v>-0.009555708368599493</x:v>
      </x:c>
    </x:row>
    <x:row r="179">
      <x:c r="A179" t="n">
        <x:f>175</x:f>
        <x:v>175</x:v>
      </x:c>
      <x:c r="B179" s="7" t="n">
        <x:f>IF(AND('요약'!$B$20,A179&lt;='요약'!$B$6),NORM.S.INV((A179-0.5)/'요약'!$B$6),"")</x:f>
        <x:v>-0.9365307265528551</x:v>
      </x:c>
      <x:c r="C179" s="7" t="n">
        <x:f>IF(AND('요약'!$B$20,A179&lt;='요약'!$B$6),LARGE('계산'!$B$2:$B$2001,'요약'!$B$6-A179+1),"")</x:f>
        <x:v>-0.009225371667586047</x:v>
      </x:c>
      <x:c r="D179" s="7" t="n">
        <x:f>IF(ISNUMBER(B179),'요약'!$B$7+'요약'!$B$13*B179,"")</x:f>
        <x:v>-0.009516345990065742</x:v>
      </x:c>
    </x:row>
    <x:row r="180">
      <x:c r="A180" t="n">
        <x:f>176</x:f>
        <x:v>176</x:v>
      </x:c>
      <x:c r="B180" s="7" t="n">
        <x:f>IF(AND('요약'!$B$20,A180&lt;='요약'!$B$6),NORM.S.INV((A180-0.5)/'요약'!$B$6),"")</x:f>
        <x:v>-0.9326513718458574</x:v>
      </x:c>
      <x:c r="C180" s="7" t="n">
        <x:f>IF(AND('요약'!$B$20,A180&lt;='요약'!$B$6),LARGE('계산'!$B$2:$B$2001,'요약'!$B$6-A180+1),"")</x:f>
        <x:v>-0.009175004662843218</x:v>
      </x:c>
      <x:c r="D180" s="7" t="n">
        <x:f>IF(ISNUMBER(B180),'요약'!$B$7+'요약'!$B$13*B180,"")</x:f>
        <x:v>-0.00947712662106039</x:v>
      </x:c>
    </x:row>
    <x:row r="181">
      <x:c r="A181" t="n">
        <x:f>177</x:f>
        <x:v>177</x:v>
      </x:c>
      <x:c r="B181" s="7" t="n">
        <x:f>IF(AND('요약'!$B$20,A181&lt;='요약'!$B$6),NORM.S.INV((A181-0.5)/'요약'!$B$6),"")</x:f>
        <x:v>-0.9287860024434342</x:v>
      </x:c>
      <x:c r="C181" s="7" t="n">
        <x:f>IF(AND('요약'!$B$20,A181&lt;='요약'!$B$6),LARGE('계산'!$B$2:$B$2001,'요약'!$B$6-A181+1),"")</x:f>
        <x:v>-0.009157658504444171</x:v>
      </x:c>
      <x:c r="D181" s="7" t="n">
        <x:f>IF(ISNUMBER(B181),'요약'!$B$7+'요약'!$B$13*B181,"")</x:f>
        <x:v>-0.009438048640214197</x:v>
      </x:c>
    </x:row>
    <x:row r="182">
      <x:c r="A182" t="n">
        <x:f>178</x:f>
        <x:v>178</x:v>
      </x:c>
      <x:c r="B182" s="7" t="n">
        <x:f>IF(AND('요약'!$B$20,A182&lt;='요약'!$B$6),NORM.S.INV((A182-0.5)/'요약'!$B$6),"")</x:f>
        <x:v>-0.9249344605317255</x:v>
      </x:c>
      <x:c r="C182" s="7" t="n">
        <x:f>IF(AND('요약'!$B$20,A182&lt;='요약'!$B$6),LARGE('계산'!$B$2:$B$2001,'요약'!$B$6-A182+1),"")</x:f>
        <x:v>-0.009076212647084138</x:v>
      </x:c>
      <x:c r="D182" s="7" t="n">
        <x:f>IF(ISNUMBER(B182),'요약'!$B$7+'요약'!$B$13*B182,"")</x:f>
        <x:v>-0.009399110452065944</x:v>
      </x:c>
    </x:row>
    <x:row r="183">
      <x:c r="A183" t="n">
        <x:f>179</x:f>
        <x:v>179</x:v>
      </x:c>
      <x:c r="B183" s="7" t="n">
        <x:f>IF(AND('요약'!$B$20,A183&lt;='요약'!$B$6),NORM.S.INV((A183-0.5)/'요약'!$B$6),"")</x:f>
        <x:v>-0.9210965908035641</x:v>
      </x:c>
      <x:c r="C183" s="7" t="n">
        <x:f>IF(AND('요약'!$B$20,A183&lt;='요약'!$B$6),LARGE('계산'!$B$2:$B$2001,'요약'!$B$6-A183+1),"")</x:f>
        <x:v>-0.009022689607352995</x:v>
      </x:c>
      <x:c r="D183" s="7" t="n">
        <x:f>IF(ISNUMBER(B183),'요약'!$B$7+'요약'!$B$13*B183,"")</x:f>
        <x:v>-0.009360310486496482</x:v>
      </x:c>
    </x:row>
    <x:row r="184">
      <x:c r="A184" t="n">
        <x:f>180</x:f>
        <x:v>180</x:v>
      </x:c>
      <x:c r="B184" s="7" t="n">
        <x:f>IF(AND('요약'!$B$20,A184&lt;='요약'!$B$6),NORM.S.INV((A184-0.5)/'요약'!$B$6),"")</x:f>
        <x:v>-0.9172722404040337</x:v>
      </x:c>
      <x:c r="C184" s="7" t="n">
        <x:f>IF(AND('요약'!$B$20,A184&lt;='요약'!$B$6),LARGE('계산'!$B$2:$B$2001,'요약'!$B$6-A184+1),"")</x:f>
        <x:v>-0.009003455307806425</x:v>
      </x:c>
      <x:c r="D184" s="7" t="n">
        <x:f>IF(ISNUMBER(B184),'요약'!$B$7+'요약'!$B$13*B184,"")</x:f>
        <x:v>-0.009321647198178351</x:v>
      </x:c>
    </x:row>
    <x:row r="185">
      <x:c r="A185" t="n">
        <x:f>181</x:f>
        <x:v>181</x:v>
      </x:c>
      <x:c r="B185" s="7" t="n">
        <x:f>IF(AND('요약'!$B$20,A185&lt;='요약'!$B$6),NORM.S.INV((A185-0.5)/'요약'!$B$6),"")</x:f>
        <x:v>-0.9134612588774915</x:v>
      </x:c>
      <x:c r="C185" s="7" t="n">
        <x:f>IF(AND('요약'!$B$20,A185&lt;='요약'!$B$6),LARGE('계산'!$B$2:$B$2001,'요약'!$B$6-A185+1),"")</x:f>
        <x:v>-0.008889511854668509</x:v>
      </x:c>
      <x:c r="D185" s="7" t="n">
        <x:f>IF(ISNUMBER(B185),'요약'!$B$7+'요약'!$B$13*B185,"")</x:f>
        <x:v>-0.00928311906604018</x:v>
      </x:c>
    </x:row>
    <x:row r="186">
      <x:c r="A186" t="n">
        <x:f>182</x:f>
        <x:v>182</x:v>
      </x:c>
      <x:c r="B186" s="7" t="n">
        <x:f>IF(AND('요약'!$B$20,A186&lt;='요약'!$B$6),NORM.S.INV((A186-0.5)/'요약'!$B$6),"")</x:f>
        <x:v>-0.9096634981160243</x:v>
      </x:c>
      <x:c r="C186" s="7" t="n">
        <x:f>IF(AND('요약'!$B$20,A186&lt;='요약'!$B$6),LARGE('계산'!$B$2:$B$2001,'요약'!$B$6-A186+1),"")</x:f>
        <x:v>-0.008831265310285604</x:v>
      </x:c>
      <x:c r="D186" s="7" t="n">
        <x:f>IF(ISNUMBER(B186),'요약'!$B$7+'요약'!$B$13*B186,"")</x:f>
        <x:v>-0.009244724592745597</x:v>
      </x:c>
    </x:row>
    <x:row r="187">
      <x:c r="A187" t="n">
        <x:f>183</x:f>
        <x:v>183</x:v>
      </x:c>
      <x:c r="B187" s="7" t="n">
        <x:f>IF(AND('요약'!$B$20,A187&lt;='요약'!$B$6),NORM.S.INV((A187-0.5)/'요약'!$B$6),"")</x:f>
        <x:v>-0.9058788123092846</x:v>
      </x:c>
      <x:c r="C187" s="7" t="n">
        <x:f>IF(AND('요약'!$B$20,A187&lt;='요약'!$B$6),LARGE('계산'!$B$2:$B$2001,'요약'!$B$6-A187+1),"")</x:f>
        <x:v>-0.008830179291464811</x:v>
      </x:c>
      <x:c r="D187" s="7" t="n">
        <x:f>IF(ISNUMBER(B187),'요약'!$B$7+'요약'!$B$13*B187,"")</x:f>
        <x:v>-0.009206462304186085</x:v>
      </x:c>
    </x:row>
    <x:row r="188">
      <x:c r="A188" t="n">
        <x:f>184</x:f>
        <x:v>184</x:v>
      </x:c>
      <x:c r="B188" s="7" t="n">
        <x:f>IF(AND('요약'!$B$20,A188&lt;='요약'!$B$6),NORM.S.INV((A188-0.5)/'요약'!$B$6),"")</x:f>
        <x:v>-0.9021070578956625</x:v>
      </x:c>
      <x:c r="C188" s="7" t="n">
        <x:f>IF(AND('요약'!$B$20,A188&lt;='요약'!$B$6),LARGE('계산'!$B$2:$B$2001,'요약'!$B$6-A188+1),"")</x:f>
        <x:v>-0.008822918079933174</x:v>
      </x:c>
      <x:c r="D188" s="7" t="n">
        <x:f>IF(ISNUMBER(B188),'요약'!$B$7+'요약'!$B$13*B188,"")</x:f>
        <x:v>-0.009168330748987335</x:v>
      </x:c>
    </x:row>
    <x:row r="189">
      <x:c r="A189" t="n">
        <x:f>185</x:f>
        <x:v>185</x:v>
      </x:c>
      <x:c r="B189" s="7" t="n">
        <x:f>IF(AND('요약'!$B$20,A189&lt;='요약'!$B$6),NORM.S.INV((A189-0.5)/'요약'!$B$6),"")</x:f>
        <x:v>-0.8983480935147531</x:v>
      </x:c>
      <x:c r="C189" s="7" t="n">
        <x:f>IF(AND('요약'!$B$20,A189&lt;='요약'!$B$6),LARGE('계산'!$B$2:$B$2001,'요약'!$B$6-A189+1),"")</x:f>
        <x:v>-0.008792378989518323</x:v>
      </x:c>
      <x:c r="D189" s="7" t="n">
        <x:f>IF(ISNUMBER(B189),'요약'!$B$7+'요약'!$B$13*B189,"")</x:f>
        <x:v>-0.009130328498028705</x:v>
      </x:c>
    </x:row>
    <x:row r="190">
      <x:c r="A190" t="n">
        <x:f>186</x:f>
        <x:v>186</x:v>
      </x:c>
      <x:c r="B190" s="7" t="n">
        <x:f>IF(AND('요약'!$B$20,A190&lt;='요약'!$B$6),NORM.S.INV((A190-0.5)/'요약'!$B$6),"")</x:f>
        <x:v>-0.8946017799610745</x:v>
      </x:c>
      <x:c r="C190" s="7" t="n">
        <x:f>IF(AND('요약'!$B$20,A190&lt;='요약'!$B$6),LARGE('계산'!$B$2:$B$2001,'요약'!$B$6-A190+1),"")</x:f>
        <x:v>-0.008773633438673836</x:v>
      </x:c>
      <x:c r="D190" s="7" t="n">
        <x:f>IF(ISNUMBER(B190),'요약'!$B$7+'요약'!$B$13*B190,"")</x:f>
        <x:v>-0.009092454143975325</x:v>
      </x:c>
    </x:row>
    <x:row r="191">
      <x:c r="A191" t="n">
        <x:f>187</x:f>
        <x:v>187</x:v>
      </x:c>
      <x:c r="B191" s="7" t="n">
        <x:f>IF(AND('요약'!$B$20,A191&lt;='요약'!$B$6),NORM.S.INV((A191-0.5)/'요약'!$B$6),"")</x:f>
        <x:v>-0.8908679801390023</x:v>
      </x:c>
      <x:c r="C191" s="7" t="n">
        <x:f>IF(AND('요약'!$B$20,A191&lt;='요약'!$B$6),LARGE('계산'!$B$2:$B$2001,'요약'!$B$6-A191+1),"")</x:f>
        <x:v>-0.00875128570897251</x:v>
      </x:c>
      <x:c r="D191" s="7" t="n">
        <x:f>IF(ISNUMBER(B191),'요약'!$B$7+'요약'!$B$13*B191,"")</x:f>
        <x:v>-0.009054706300822486</x:v>
      </x:c>
    </x:row>
    <x:row r="192">
      <x:c r="A192" t="n">
        <x:f>188</x:f>
        <x:v>188</x:v>
      </x:c>
      <x:c r="B192" s="7" t="n">
        <x:f>IF(AND('요약'!$B$20,A192&lt;='요약'!$B$6),NORM.S.INV((A192-0.5)/'요약'!$B$6),"")</x:f>
        <x:v>-0.8871465590188761</x:v>
      </x:c>
      <x:c r="C192" s="7" t="n">
        <x:f>IF(AND('요약'!$B$20,A192&lt;='요약'!$B$6),LARGE('계산'!$B$2:$B$2001,'요약'!$B$6-A192+1),"")</x:f>
        <x:v>-0.008737237352907507</x:v>
      </x:c>
      <x:c r="D192" s="7" t="n">
        <x:f>IF(ISNUMBER(B192),'요약'!$B$7+'요약'!$B$13*B192,"")</x:f>
        <x:v>-0.009017083603451896</x:v>
      </x:c>
    </x:row>
    <x:row r="193">
      <x:c r="A193" t="n">
        <x:f>189</x:f>
        <x:v>189</x:v>
      </x:c>
      <x:c r="B193" s="7" t="n">
        <x:f>IF(AND('요약'!$B$20,A193&lt;='요약'!$B$6),NORM.S.INV((A193-0.5)/'요약'!$B$6),"")</x:f>
        <x:v>-0.8834373835942453</x:v>
      </x:c>
      <x:c r="C193" s="7" t="n">
        <x:f>IF(AND('요약'!$B$20,A193&lt;='요약'!$B$6),LARGE('계산'!$B$2:$B$2001,'요약'!$B$6-A193+1),"")</x:f>
        <x:v>-0.008707003521318184</x:v>
      </x:c>
      <x:c r="D193" s="7" t="n">
        <x:f>IF(ISNUMBER(B193),'요약'!$B$7+'요약'!$B$13*B193,"")</x:f>
        <x:v>-0.00897958470719944</x:v>
      </x:c>
    </x:row>
    <x:row r="194">
      <x:c r="A194" t="n">
        <x:f>190</x:f>
        <x:v>190</x:v>
      </x:c>
      <x:c r="B194" s="7" t="n">
        <x:f>IF(AND('요약'!$B$20,A194&lt;='요약'!$B$6),NORM.S.INV((A194-0.5)/'요약'!$B$6),"")</x:f>
        <x:v>-0.8797403228402194</x:v>
      </x:c>
      <x:c r="C194" s="7" t="n">
        <x:f>IF(AND('요약'!$B$20,A194&lt;='요약'!$B$6),LARGE('계산'!$B$2:$B$2001,'요약'!$B$6-A194+1),"")</x:f>
        <x:v>-0.008647264487774147</x:v>
      </x:c>
      <x:c r="D194" s="7" t="n">
        <x:f>IF(ISNUMBER(B194),'요약'!$B$7+'요약'!$B$13*B194,"")</x:f>
        <x:v>-0.008942208287434111</x:v>
      </x:c>
    </x:row>
    <x:row r="195">
      <x:c r="A195" t="n">
        <x:f>191</x:f>
        <x:v>191</x:v>
      </x:c>
      <x:c r="B195" s="7" t="n">
        <x:f>IF(AND('요약'!$B$20,A195&lt;='요약'!$B$6),NORM.S.INV((A195-0.5)/'요약'!$B$6),"")</x:f>
        <x:v>-0.8760552476728833</x:v>
      </x:c>
      <x:c r="C195" s="7" t="n">
        <x:f>IF(AND('요약'!$B$20,A195&lt;='요약'!$B$6),LARGE('계산'!$B$2:$B$2001,'요약'!$B$6-A195+1),"")</x:f>
        <x:v>-0.008595677849985824</x:v>
      </x:c>
      <x:c r="D195" s="7" t="n">
        <x:f>IF(ISNUMBER(B195),'요약'!$B$7+'요약'!$B$13*B195,"")</x:f>
        <x:v>-0.00890495303914771</x:v>
      </x:c>
    </x:row>
    <x:row r="196">
      <x:c r="A196" t="n">
        <x:f>192</x:f>
        <x:v>192</x:v>
      </x:c>
      <x:c r="B196" s="7" t="n">
        <x:f>IF(AND('요약'!$B$20,A196&lt;='요약'!$B$6),NORM.S.INV((A196-0.5)/'요약'!$B$6),"")</x:f>
        <x:v>-0.8723820309097523</x:v>
      </x:c>
      <x:c r="C196" s="7" t="n">
        <x:f>IF(AND('요약'!$B$20,A196&lt;='요약'!$B$6),LARGE('계산'!$B$2:$B$2001,'요약'!$B$6-A196+1),"")</x:f>
        <x:v>-0.008593697066977024</x:v>
      </x:c>
      <x:c r="D196" s="7" t="n">
        <x:f>IF(ISNUMBER(B196),'요약'!$B$7+'요약'!$B$13*B196,"")</x:f>
        <x:v>-0.008867817676555055</x:v>
      </x:c>
    </x:row>
    <x:row r="197">
      <x:c r="A197" t="n">
        <x:f>193</x:f>
        <x:v>193</x:v>
      </x:c>
      <x:c r="B197" s="7" t="n">
        <x:f>IF(AND('요약'!$B$20,A197&lt;='요약'!$B$6),NORM.S.INV((A197-0.5)/'요약'!$B$6),"")</x:f>
        <x:v>-0.8687205472312284</x:v>
      </x:c>
      <x:c r="C197" s="7" t="n">
        <x:f>IF(AND('요약'!$B$20,A197&lt;='요약'!$B$6),LARGE('계산'!$B$2:$B$2001,'요약'!$B$6-A197+1),"")</x:f>
        <x:v>-0.008590043760813513</x:v>
      </x:c>
      <x:c r="D197" s="7" t="n">
        <x:f>IF(ISNUMBER(B197),'요약'!$B$7+'요약'!$B$13*B197,"")</x:f>
        <x:v>-0.008830800932704311</x:v>
      </x:c>
    </x:row>
    <x:row r="198">
      <x:c r="A198" t="n">
        <x:f>194</x:f>
        <x:v>194</x:v>
      </x:c>
      <x:c r="B198" s="7" t="n">
        <x:f>IF(AND('요약'!$B$20,A198&lt;='요약'!$B$6),NORM.S.INV((A198-0.5)/'요약'!$B$6),"")</x:f>
        <x:v>-0.8650706731430314</x:v>
      </x:c>
      <x:c r="C198" s="7" t="n">
        <x:f>IF(AND('요약'!$B$20,A198&lt;='요약'!$B$6),LARGE('계산'!$B$2:$B$2001,'요약'!$B$6-A198+1),"")</x:f>
        <x:v>-0.008574695036646074</x:v>
      </x:c>
      <x:c r="D198" s="7" t="n">
        <x:f>IF(ISNUMBER(B198),'요약'!$B$7+'요약'!$B$13*B198,"")</x:f>
        <x:v>-0.008793901559097183</x:v>
      </x:c>
    </x:row>
    <x:row r="199">
      <x:c r="A199" t="n">
        <x:f>195</x:f>
        <x:v>195</x:v>
      </x:c>
      <x:c r="B199" s="7" t="n">
        <x:f>IF(AND('요약'!$B$20,A199&lt;='요약'!$B$6),NORM.S.INV((A199-0.5)/'요약'!$B$6),"")</x:f>
        <x:v>-0.861432286939572</x:v>
      </x:c>
      <x:c r="C199" s="7" t="n">
        <x:f>IF(AND('요약'!$B$20,A199&lt;='요약'!$B$6),LARGE('계산'!$B$2:$B$2001,'요약'!$B$6-A199+1),"")</x:f>
        <x:v>-0.008553057330325532</x:v>
      </x:c>
      <x:c r="D199" s="7" t="n">
        <x:f>IF(ISNUMBER(B199),'요약'!$B$7+'요약'!$B$13*B199,"")</x:f>
        <x:v>-0.00875711832531862</x:v>
      </x:c>
    </x:row>
    <x:row r="200">
      <x:c r="A200" t="n">
        <x:f>196</x:f>
        <x:v>196</x:v>
      </x:c>
      <x:c r="B200" s="7" t="n">
        <x:f>IF(AND('요약'!$B$20,A200&lt;='요약'!$B$6),NORM.S.INV((A200-0.5)/'요약'!$B$6),"")</x:f>
        <x:v>-0.8578052686682434</x:v>
      </x:c>
      <x:c r="C200" s="7" t="n">
        <x:f>IF(AND('요약'!$B$20,A200&lt;='요약'!$B$6),LARGE('계산'!$B$2:$B$2001,'요약'!$B$6-A200+1),"")</x:f>
        <x:v>-0.008550518590530052</x:v>
      </x:c>
      <x:c r="D200" s="7" t="n">
        <x:f>IF(ISNUMBER(B200),'요약'!$B$7+'요약'!$B$13*B200,"")</x:f>
        <x:v>-0.008720450018675817</x:v>
      </x:c>
    </x:row>
    <x:row r="201">
      <x:c r="A201" t="n">
        <x:f>197</x:f>
        <x:v>197</x:v>
      </x:c>
      <x:c r="B201" s="7" t="n">
        <x:f>IF(AND('요약'!$B$20,A201&lt;='요약'!$B$6),NORM.S.INV((A201-0.5)/'요약'!$B$6),"")</x:f>
        <x:v>-0.8541895000945976</x:v>
      </x:c>
      <x:c r="C201" s="7" t="n">
        <x:f>IF(AND('요약'!$B$20,A201&lt;='요약'!$B$6),LARGE('계산'!$B$2:$B$2001,'요약'!$B$6-A201+1),"")</x:f>
        <x:v>-0.008548816400578656</x:v>
      </x:c>
      <x:c r="D201" s="7" t="n">
        <x:f>IF(ISNUMBER(B201),'요약'!$B$7+'요약'!$B$13*B201,"")</x:f>
        <x:v>-0.00868389544384615</x:v>
      </x:c>
    </x:row>
    <x:row r="202">
      <x:c r="A202" t="n">
        <x:f>198</x:f>
        <x:v>198</x:v>
      </x:c>
      <x:c r="B202" s="7" t="n">
        <x:f>IF(AND('요약'!$B$20,A202&lt;='요약'!$B$6),NORM.S.INV((A202-0.5)/'요약'!$B$6),"")</x:f>
        <x:v>-0.8505848646683848</x:v>
      </x:c>
      <x:c r="C202" s="7" t="n">
        <x:f>IF(AND('요약'!$B$20,A202&lt;='요약'!$B$6),LARGE('계산'!$B$2:$B$2001,'요약'!$B$6-A202+1),"")</x:f>
        <x:v>-0.008502926312635313</x:v>
      </x:c>
      <x:c r="D202" s="7" t="n">
        <x:f>IF(ISNUMBER(B202),'요약'!$B$7+'요약'!$B$13*B202,"")</x:f>
        <x:v>-0.00864745342253384</x:v>
      </x:c>
    </x:row>
    <x:row r="203">
      <x:c r="A203" t="n">
        <x:f>199</x:f>
        <x:v>199</x:v>
      </x:c>
      <x:c r="B203" s="7" t="n">
        <x:f>IF(AND('요약'!$B$20,A203&lt;='요약'!$B$6),NORM.S.INV((A203-0.5)/'요약'!$B$6),"")</x:f>
        <x:v>-0.8469912474904282</x:v>
      </x:c>
      <x:c r="C203" s="7" t="n">
        <x:f>IF(AND('요약'!$B$20,A203&lt;='요약'!$B$6),LARGE('계산'!$B$2:$B$2001,'요약'!$B$6-A203+1),"")</x:f>
        <x:v>-0.008483570704801905</x:v>
      </x:c>
      <x:c r="D203" s="7" t="n">
        <x:f>IF(ISNUMBER(B203),'요약'!$B$7+'요약'!$B$13*B203,"")</x:f>
        <x:v>-0.008611122793135084</x:v>
      </x:c>
    </x:row>
    <x:row r="204">
      <x:c r="A204" t="n">
        <x:f>200</x:f>
        <x:v>200</x:v>
      </x:c>
      <x:c r="B204" s="7" t="n">
        <x:f>IF(AND('요약'!$B$20,A204&lt;='요약'!$B$6),NORM.S.INV((A204-0.5)/'요약'!$B$6),"")</x:f>
        <x:v>-0.8434085352803098</x:v>
      </x:c>
      <x:c r="C204" s="7" t="n">
        <x:f>IF(AND('요약'!$B$20,A204&lt;='요약'!$B$6),LARGE('계산'!$B$2:$B$2001,'요약'!$B$6-A204+1),"")</x:f>
        <x:v>-0.008458274261792556</x:v>
      </x:c>
      <x:c r="D204" s="7" t="n">
        <x:f>IF(ISNUMBER(B204),'요약'!$B$7+'요약'!$B$13*B204,"")</x:f>
        <x:v>-0.00857490241041134</x:v>
      </x:c>
    </x:row>
    <x:row r="205">
      <x:c r="A205" t="n">
        <x:f>201</x:f>
        <x:v>201</x:v>
      </x:c>
      <x:c r="B205" s="7" t="n">
        <x:f>IF(AND('요약'!$B$20,A205&lt;='요약'!$B$6),NORM.S.INV((A205-0.5)/'요약'!$B$6),"")</x:f>
        <x:v>-0.8398366163448432</x:v>
      </x:c>
      <x:c r="C205" s="7" t="n">
        <x:f>IF(AND('요약'!$B$20,A205&lt;='요약'!$B$6),LARGE('계산'!$B$2:$B$2001,'요약'!$B$6-A205+1),"")</x:f>
        <x:v>-0.008451322765017855</x:v>
      </x:c>
      <x:c r="D205" s="7" t="n">
        <x:f>IF(ISNUMBER(B205),'요약'!$B$7+'요약'!$B$13*B205,"")</x:f>
        <x:v>-0.008538791145170607</x:v>
      </x:c>
    </x:row>
    <x:row r="206">
      <x:c r="A206" t="n">
        <x:f>202</x:f>
        <x:v>202</x:v>
      </x:c>
      <x:c r="B206" s="7" t="n">
        <x:f>IF(AND('요약'!$B$20,A206&lt;='요약'!$B$6),NORM.S.INV((A206-0.5)/'요약'!$B$6),"")</x:f>
        <x:v>-0.8362753805473111</x:v>
      </x:c>
      <x:c r="C206" s="7" t="n">
        <x:f>IF(AND('요약'!$B$20,A206&lt;='요약'!$B$6),LARGE('계산'!$B$2:$B$2001,'요약'!$B$6-A206+1),"")</x:f>
        <x:v>-0.008431068396385643</x:v>
      </x:c>
      <x:c r="D206" s="7" t="n">
        <x:f>IF(ISNUMBER(B206),'요약'!$B$7+'요약'!$B$13*B206,"")</x:f>
        <x:v>-0.00850278788395643</x:v>
      </x:c>
    </x:row>
    <x:row r="207">
      <x:c r="A207" t="n">
        <x:f>203</x:f>
        <x:v>203</x:v>
      </x:c>
      <x:c r="B207" s="7" t="n">
        <x:f>IF(AND('요약'!$B$20,A207&lt;='요약'!$B$6),NORM.S.INV((A207-0.5)/'요약'!$B$6),"")</x:f>
        <x:v>-0.8327247192774435</x:v>
      </x:c>
      <x:c r="C207" s="7" t="n">
        <x:f>IF(AND('요약'!$B$20,A207&lt;='요약'!$B$6),LARGE('계산'!$B$2:$B$2001,'요약'!$B$6-A207+1),"")</x:f>
        <x:v>-0.008406605770230294</x:v>
      </x:c>
      <x:c r="D207" s="7" t="n">
        <x:f>IF(ISNUMBER(B207),'요약'!$B$7+'요약'!$B$13*B207,"")</x:f>
        <x:v>-0.008466891528744374</x:v>
      </x:c>
    </x:row>
    <x:row r="208">
      <x:c r="A208" t="n">
        <x:f>204</x:f>
        <x:v>204</x:v>
      </x:c>
      <x:c r="B208" s="7" t="n">
        <x:f>IF(AND('요약'!$B$20,A208&lt;='요약'!$B$6),NORM.S.INV((A208-0.5)/'요약'!$B$6),"")</x:f>
        <x:v>-0.8291845254221183</x:v>
      </x:c>
      <x:c r="C208" s="7" t="n">
        <x:f>IF(AND('요약'!$B$20,A208&lt;='요약'!$B$6),LARGE('계산'!$B$2:$B$2001,'요약'!$B$6-A208+1),"")</x:f>
        <x:v>-0.008396441913414777</x:v>
      </x:c>
      <x:c r="D208" s="7" t="n">
        <x:f>IF(ISNUMBER(B208),'요약'!$B$7+'요약'!$B$13*B208,"")</x:f>
        <x:v>-0.008431100996645817</x:v>
      </x:c>
    </x:row>
    <x:row r="209">
      <x:c r="A209" t="n">
        <x:f>205</x:f>
        <x:v>205</x:v>
      </x:c>
      <x:c r="B209" s="7" t="n">
        <x:f>IF(AND('요약'!$B$20,A209&lt;='요약'!$B$6),NORM.S.INV((A209-0.5)/'요약'!$B$6),"")</x:f>
        <x:v>-0.8256546933367596</x:v>
      </x:c>
      <x:c r="C209" s="7" t="n">
        <x:f>IF(AND('요약'!$B$20,A209&lt;='요약'!$B$6),LARGE('계산'!$B$2:$B$2001,'요약'!$B$6-A209+1),"")</x:f>
        <x:v>-0.008289062808404937</x:v>
      </x:c>
      <x:c r="D209" s="7" t="n">
        <x:f>IF(ISNUMBER(B209),'요약'!$B$7+'요약'!$B$13*B209,"")</x:f>
        <x:v>-0.008395415219618802</x:v>
      </x:c>
    </x:row>
    <x:row r="210">
      <x:c r="A210" t="n">
        <x:f>206</x:f>
        <x:v>206</x:v>
      </x:c>
      <x:c r="B210" s="7" t="n">
        <x:f>IF(AND('요약'!$B$20,A210&lt;='요약'!$B$6),NORM.S.INV((A210-0.5)/'요약'!$B$6),"")</x:f>
        <x:v>-0.8221351188174142</x:v>
      </x:c>
      <x:c r="C210" s="7" t="n">
        <x:f>IF(AND('요약'!$B$20,A210&lt;='요약'!$B$6),LARGE('계산'!$B$2:$B$2001,'요약'!$B$6-A210+1),"")</x:f>
        <x:v>-0.008277830100517882</x:v>
      </x:c>
      <x:c r="D210" s="7" t="n">
        <x:f>IF(ISNUMBER(B210),'요약'!$B$7+'요약'!$B$13*B210,"")</x:f>
        <x:v>-0.008359833144185728</x:v>
      </x:c>
    </x:row>
    <x:row r="211">
      <x:c r="A211" t="n">
        <x:f>207</x:f>
        <x:v>207</x:v>
      </x:c>
      <x:c r="B211" s="7" t="n">
        <x:f>IF(AND('요약'!$B$20,A211&lt;='요약'!$B$6),NORM.S.INV((A211-0.5)/'요약'!$B$6),"")</x:f>
        <x:v>-0.818625699073495</x:v>
      </x:c>
      <x:c r="C211" s="7" t="n">
        <x:f>IF(AND('요약'!$B$20,A211&lt;='요약'!$B$6),LARGE('계산'!$B$2:$B$2001,'요약'!$B$6-A211+1),"")</x:f>
        <x:v>-0.008277394858336774</x:v>
      </x:c>
      <x:c r="D211" s="7" t="n">
        <x:f>IF(ISNUMBER(B211),'요약'!$B$7+'요약'!$B$13*B211,"")</x:f>
        <x:v>-0.008324353731157792</x:v>
      </x:c>
    </x:row>
    <x:row r="212">
      <x:c r="A212" t="n">
        <x:f>208</x:f>
        <x:v>208</x:v>
      </x:c>
      <x:c r="B212" s="7" t="n">
        <x:f>IF(AND('요약'!$B$20,A212&lt;='요약'!$B$6),NORM.S.INV((A212-0.5)/'요약'!$B$6),"")</x:f>
        <x:v>-0.8151263327011556</x:v>
      </x:c>
      <x:c r="C212" s="7" t="n">
        <x:f>IF(AND('요약'!$B$20,A212&lt;='요약'!$B$6),LARGE('계산'!$B$2:$B$2001,'요약'!$B$6-A212+1),"")</x:f>
        <x:v>-0.008258985331493787</x:v>
      </x:c>
      <x:c r="D212" s="7" t="n">
        <x:f>IF(ISNUMBER(B212),'요약'!$B$7+'요약'!$B$13*B212,"")</x:f>
        <x:v>-0.008288975955365818</x:v>
      </x:c>
    </x:row>
    <x:row r="213">
      <x:c r="A213" t="n">
        <x:f>209</x:f>
        <x:v>209</x:v>
      </x:c>
      <x:c r="B213" s="7" t="n">
        <x:f>IF(AND('요약'!$B$20,A213&lt;='요약'!$B$6),NORM.S.INV((A213-0.5)/'요약'!$B$6),"")</x:f>
        <x:v>-0.811636919657297</x:v>
      </x:c>
      <x:c r="C213" s="7" t="n">
        <x:f>IF(AND('요약'!$B$20,A213&lt;='요약'!$B$6),LARGE('계산'!$B$2:$B$2001,'요약'!$B$6-A213+1),"")</x:f>
        <x:v>-0.008180096948342581</x:v>
      </x:c>
      <x:c r="D213" s="7" t="n">
        <x:f>IF(ISNUMBER(B213),'요약'!$B$7+'요약'!$B$13*B213,"")</x:f>
        <x:v>-0.008253698805397466</x:v>
      </x:c>
    </x:row>
    <x:row r="214">
      <x:c r="A214" t="n">
        <x:f>210</x:f>
        <x:v>210</x:v>
      </x:c>
      <x:c r="B214" s="7" t="n">
        <x:f>IF(AND('요약'!$B$20,A214&lt;='요약'!$B$6),NORM.S.INV((A214-0.5)/'요약'!$B$6),"")</x:f>
        <x:v>-0.8081573612341748</x:v>
      </x:c>
      <x:c r="C214" s="7" t="n">
        <x:f>IF(AND('요약'!$B$20,A214&lt;='요약'!$B$6),LARGE('계산'!$B$2:$B$2001,'요약'!$B$6-A214+1),"")</x:f>
        <x:v>-0.008115341611531341</x:v>
      </x:c>
      <x:c r="D214" s="7" t="n">
        <x:f>IF(ISNUMBER(B214),'요약'!$B$7+'요약'!$B$13*B214,"")</x:f>
        <x:v>-0.008218521283340524</x:v>
      </x:c>
    </x:row>
    <x:row r="215">
      <x:c r="A215" t="n">
        <x:f>211</x:f>
        <x:v>211</x:v>
      </x:c>
      <x:c r="B215" s="7" t="n">
        <x:f>IF(AND('요약'!$B$20,A215&lt;='요약'!$B$6),NORM.S.INV((A215-0.5)/'요약'!$B$6),"")</x:f>
        <x:v>-0.8046875600345964</x:v>
      </x:c>
      <x:c r="C215" s="7" t="n">
        <x:f>IF(AND('요약'!$B$20,A215&lt;='요약'!$B$6),LARGE('계산'!$B$2:$B$2001,'요약'!$B$6-A215+1),"")</x:f>
        <x:v>-0.008072665125021732</x:v>
      </x:c>
      <x:c r="D215" s="7" t="n">
        <x:f>IF(ISNUMBER(B215),'요약'!$B$7+'요약'!$B$13*B215,"")</x:f>
        <x:v>-0.008183442404532145</x:v>
      </x:c>
    </x:row>
    <x:row r="216">
      <x:c r="A216" t="n">
        <x:f>212</x:f>
        <x:v>212</x:v>
      </x:c>
      <x:c r="B216" s="7" t="n">
        <x:f>IF(AND('요약'!$B$20,A216&lt;='요약'!$B$6),NORM.S.INV((A216-0.5)/'요약'!$B$6),"")</x:f>
        <x:v>-0.8012274199476919</x:v>
      </x:c>
      <x:c r="C216" s="7" t="n">
        <x:f>IF(AND('요약'!$B$20,A216&lt;='요약'!$B$6),LARGE('계산'!$B$2:$B$2001,'요약'!$B$6-A216+1),"")</x:f>
        <x:v>-0.008050427168993625</x:v>
      </x:c>
      <x:c r="D216" s="7" t="n">
        <x:f>IF(ISNUMBER(B216),'요약'!$B$7+'요약'!$B$13*B216,"")</x:f>
        <x:v>-0.00814846119731391</x:v>
      </x:c>
    </x:row>
    <x:row r="217">
      <x:c r="A217" t="n">
        <x:f>213</x:f>
        <x:v>213</x:v>
      </x:c>
      <x:c r="B217" s="7" t="n">
        <x:f>IF(AND('요약'!$B$20,A217&lt;='요약'!$B$6),NORM.S.INV((A217-0.5)/'요약'!$B$6),"")</x:f>
        <x:v>-0.7977768461252386</x:v>
      </x:c>
      <x:c r="C217" s="7" t="n">
        <x:f>IF(AND('요약'!$B$20,A217&lt;='요약'!$B$6),LARGE('계산'!$B$2:$B$2001,'요약'!$B$6-A217+1),"")</x:f>
        <x:v>-0.008037688466360481</x:v>
      </x:c>
      <x:c r="D217" s="7" t="n">
        <x:f>IF(ISNUMBER(B217),'요약'!$B$7+'요약'!$B$13*B217,"")</x:f>
        <x:v>-0.008113576702792464</x:v>
      </x:c>
    </x:row>
    <x:row r="218">
      <x:c r="A218" t="n">
        <x:f>214</x:f>
        <x:v>214</x:v>
      </x:c>
      <x:c r="B218" s="7" t="n">
        <x:f>IF(AND('요약'!$B$20,A218&lt;='요약'!$B$6),NORM.S.INV((A218-0.5)/'요약'!$B$6),"")</x:f>
        <x:v>-0.7943357449585282</x:v>
      </x:c>
      <x:c r="C218" s="7" t="n">
        <x:f>IF(AND('요약'!$B$20,A218&lt;='요약'!$B$6),LARGE('계산'!$B$2:$B$2001,'요약'!$B$6-A218+1),"")</x:f>
        <x:v>-0.008018054692380065</x:v>
      </x:c>
      <x:c r="D218" s="7" t="n">
        <x:f>IF(ISNUMBER(B218),'요약'!$B$7+'요약'!$B$13*B218,"")</x:f>
        <x:v>-0.008078787974605652</x:v>
      </x:c>
    </x:row>
    <x:row r="219">
      <x:c r="A219" t="n">
        <x:f>215</x:f>
        <x:v>215</x:v>
      </x:c>
      <x:c r="B219" s="7" t="n">
        <x:f>IF(AND('요약'!$B$20,A219&lt;='요약'!$B$6),NORM.S.INV((A219-0.5)/'요약'!$B$6),"")</x:f>
        <x:v>-0.790904024055763</x:v>
      </x:c>
      <x:c r="C219" s="7" t="n">
        <x:f>IF(AND('요약'!$B$20,A219&lt;='요약'!$B$6),LARGE('계산'!$B$2:$B$2001,'요약'!$B$6-A219+1),"")</x:f>
        <x:v>-0.00800114974729938</x:v>
      </x:c>
      <x:c r="D219" s="7" t="n">
        <x:f>IF(ISNUMBER(B219),'요약'!$B$7+'요약'!$B$13*B219,"")</x:f>
        <x:v>-0.008044094078694006</x:v>
      </x:c>
    </x:row>
    <x:row r="220">
      <x:c r="A220" t="n">
        <x:f>216</x:f>
        <x:v>216</x:v>
      </x:c>
      <x:c r="B220" s="7" t="n">
        <x:f>IF(AND('요약'!$B$20,A220&lt;='요약'!$B$6),NORM.S.INV((A220-0.5)/'요약'!$B$6),"")</x:f>
        <x:v>-0.7874815922199551</x:v>
      </x:c>
      <x:c r="C220" s="7" t="n">
        <x:f>IF(AND('요약'!$B$20,A220&lt;='요약'!$B$6),LARGE('계산'!$B$2:$B$2001,'요약'!$B$6-A220+1),"")</x:f>
        <x:v>-0.007993256619348387</x:v>
      </x:c>
      <x:c r="D220" s="7" t="n">
        <x:f>IF(ISNUMBER(B220),'요약'!$B$7+'요약'!$B$13*B220,"")</x:f>
        <x:v>-0.0080094940930773</x:v>
      </x:c>
    </x:row>
    <x:row r="221">
      <x:c r="A221" t="n">
        <x:f>217</x:f>
        <x:v>217</x:v>
      </x:c>
      <x:c r="B221" s="7" t="n">
        <x:f>IF(AND('요약'!$B$20,A221&lt;='요약'!$B$6),NORM.S.INV((A221-0.5)/'요약'!$B$6),"")</x:f>
        <x:v>-0.7840683594273347</x:v>
      </x:c>
      <x:c r="C221" s="7" t="n">
        <x:f>IF(AND('요약'!$B$20,A221&lt;='요약'!$B$6),LARGE('계산'!$B$2:$B$2001,'요약'!$B$6-A221+1),"")</x:f>
        <x:v>-0.007990078699675756</x:v>
      </x:c>
      <x:c r="D221" s="7" t="n">
        <x:f>IF(ISNUMBER(B221),'요약'!$B$7+'요약'!$B$13*B221,"")</x:f>
        <x:v>-0.007974987107636273</x:v>
      </x:c>
    </x:row>
    <x:row r="222">
      <x:c r="A222" t="n">
        <x:f>218</x:f>
        <x:v>218</x:v>
      </x:c>
      <x:c r="B222" s="7" t="n">
        <x:f>IF(AND('요약'!$B$20,A222&lt;='요약'!$B$6),NORM.S.INV((A222-0.5)/'요약'!$B$6),"")</x:f>
        <x:v>-0.7806642368062336</x:v>
      </x:c>
      <x:c r="C222" s="7" t="n">
        <x:f>IF(AND('요약'!$B$20,A222&lt;='요약'!$B$6),LARGE('계산'!$B$2:$B$2001,'요약'!$B$6-A222+1),"")</x:f>
        <x:v>-0.00797323069679752</x:v>
      </x:c>
      <x:c r="D222" s="7" t="n">
        <x:f>IF(ISNUMBER(B222),'요약'!$B$7+'요약'!$B$13*B222,"")</x:f>
        <x:v>-0.007940572223899137</x:v>
      </x:c>
    </x:row>
    <x:row r="223">
      <x:c r="A223" t="n">
        <x:f>219</x:f>
        <x:v>219</x:v>
      </x:c>
      <x:c r="B223" s="7" t="n">
        <x:f>IF(AND('요약'!$B$20,A223&lt;='요약'!$B$6),NORM.S.INV((A223-0.5)/'요약'!$B$6),"")</x:f>
        <x:v>-0.777269136616444</x:v>
      </x:c>
      <x:c r="C223" s="7" t="n">
        <x:f>IF(AND('요약'!$B$20,A223&lt;='요약'!$B$6),LARGE('계산'!$B$2:$B$2001,'요약'!$B$6-A223+1),"")</x:f>
        <x:v>-0.007964048034079603</x:v>
      </x:c>
      <x:c r="D223" s="7" t="n">
        <x:f>IF(ISNUMBER(B223),'요약'!$B$7+'요약'!$B$13*B223,"")</x:f>
        <x:v>-0.007906248554832908</x:v>
      </x:c>
    </x:row>
    <x:row r="224">
      <x:c r="A224" t="n">
        <x:f>220</x:f>
        <x:v>220</x:v>
      </x:c>
      <x:c r="B224" s="7" t="n">
        <x:f>IF(AND('요약'!$B$20,A224&lt;='요약'!$B$6),NORM.S.INV((A224-0.5)/'요약'!$B$6),"")</x:f>
        <x:v>-0.7738829722290367</x:v>
      </x:c>
      <x:c r="C224" s="7" t="n">
        <x:f>IF(AND('요약'!$B$20,A224&lt;='요약'!$B$6),LARGE('계산'!$B$2:$B$2001,'요약'!$B$6-A224+1),"")</x:f>
        <x:v>-0.007922188547745606</x:v>
      </x:c>
      <x:c r="D224" s="7" t="n">
        <x:f>IF(ISNUMBER(B224),'요약'!$B$7+'요약'!$B$13*B224,"")</x:f>
        <x:v>-0.00787201522463937</x:v>
      </x:c>
    </x:row>
    <x:row r="225">
      <x:c r="A225" t="n">
        <x:f>221</x:f>
        <x:v>221</x:v>
      </x:c>
      <x:c r="B225" s="7" t="n">
        <x:f>IF(AND('요약'!$B$20,A225&lt;='요약'!$B$6),NORM.S.INV((A225-0.5)/'요약'!$B$6),"")</x:f>
        <x:v>-0.7705056581066222</x:v>
      </x:c>
      <x:c r="C225" s="7" t="n">
        <x:f>IF(AND('요약'!$B$20,A225&lt;='요약'!$B$6),LARGE('계산'!$B$2:$B$2001,'요약'!$B$6-A225+1),"")</x:f>
        <x:v>-0.007919744203596568</x:v>
      </x:c>
      <x:c r="D225" s="7" t="n">
        <x:f>IF(ISNUMBER(B225),'요약'!$B$7+'요약'!$B$13*B225,"")</x:f>
        <x:v>-0.007837871368555512</x:v>
      </x:c>
    </x:row>
    <x:row r="226">
      <x:c r="A226" t="n">
        <x:f>222</x:f>
        <x:v>222</x:v>
      </x:c>
      <x:c r="B226" s="7" t="n">
        <x:f>IF(AND('요약'!$B$20,A226&lt;='요약'!$B$6),NORM.S.INV((A226-0.5)/'요약'!$B$6),"")</x:f>
        <x:v>-0.7671371097840487</x:v>
      </x:c>
      <x:c r="C226" s="7" t="n">
        <x:f>IF(AND('요약'!$B$20,A226&lt;='요약'!$B$6),LARGE('계산'!$B$2:$B$2001,'요약'!$B$6-A226+1),"")</x:f>
        <x:v>-0.007896436074829398</x:v>
      </x:c>
      <x:c r="D226" s="7" t="n">
        <x:f>IF(ISNUMBER(B226),'요약'!$B$7+'요약'!$B$13*B226,"")</x:f>
        <x:v>-0.007803816132658401</x:v>
      </x:c>
    </x:row>
    <x:row r="227">
      <x:c r="A227" t="n">
        <x:f>223</x:f>
        <x:v>223</x:v>
      </x:c>
      <x:c r="B227" s="7" t="n">
        <x:f>IF(AND('요약'!$B$20,A227&lt;='요약'!$B$6),NORM.S.INV((A227-0.5)/'요약'!$B$6),"")</x:f>
        <x:v>-0.7637772438495225</x:v>
      </x:c>
      <x:c r="C227" s="7" t="n">
        <x:f>IF(AND('요약'!$B$20,A227&lt;='요약'!$B$6),LARGE('계산'!$B$2:$B$2001,'요약'!$B$6-A227+1),"")</x:f>
        <x:v>-0.007851642431328696</x:v>
      </x:c>
      <x:c r="D227" s="7" t="n">
        <x:f>IF(ISNUMBER(B227),'요약'!$B$7+'요약'!$B$13*B227,"")</x:f>
        <x:v>-0.007769848673674306</x:v>
      </x:c>
    </x:row>
    <x:row r="228">
      <x:c r="A228" t="n">
        <x:f>224</x:f>
        <x:v>224</x:v>
      </x:c>
      <x:c r="B228" s="7" t="n">
        <x:f>IF(AND('요약'!$B$20,A228&lt;='요약'!$B$6),NORM.S.INV((A228-0.5)/'요약'!$B$6),"")</x:f>
        <x:v>-0.7604259779261413</x:v>
      </x:c>
      <x:c r="C228" s="7" t="n">
        <x:f>IF(AND('요약'!$B$20,A228&lt;='요약'!$B$6),LARGE('계산'!$B$2:$B$2001,'요약'!$B$6-A228+1),"")</x:f>
        <x:v>-0.007830266356353546</x:v>
      </x:c>
      <x:c r="D228" s="7" t="n">
        <x:f>IF(ISNUMBER(B228),'요약'!$B$7+'요약'!$B$13*B228,"")</x:f>
        <x:v>-0.007735968158792007</x:v>
      </x:c>
    </x:row>
    <x:row r="229">
      <x:c r="A229" t="n">
        <x:f>225</x:f>
        <x:v>225</x:v>
      </x:c>
      <x:c r="B229" s="7" t="n">
        <x:f>IF(AND('요약'!$B$20,A229&lt;='요약'!$B$6),NORM.S.INV((A229-0.5)/'요약'!$B$6),"")</x:f>
        <x:v>-0.7570832306538242</x:v>
      </x:c>
      <x:c r="C229" s="7" t="n">
        <x:f>IF(AND('요약'!$B$20,A229&lt;='요약'!$B$6),LARGE('계산'!$B$2:$B$2001,'요약'!$B$6-A229+1),"")</x:f>
        <x:v>-0.007792076239436539</x:v>
      </x:c>
      <x:c r="D229" s="7" t="n">
        <x:f>IF(ISNUMBER(B229),'요약'!$B$7+'요약'!$B$13*B229,"")</x:f>
        <x:v>-0.007702173765480109</x:v>
      </x:c>
    </x:row>
    <x:row r="230">
      <x:c r="A230" t="n">
        <x:f>226</x:f>
        <x:v>226</x:v>
      </x:c>
      <x:c r="B230" s="7" t="n">
        <x:f>IF(AND('요약'!$B$20,A230&lt;='요약'!$B$6),NORM.S.INV((A230-0.5)/'요약'!$B$6),"")</x:f>
        <x:v>-0.7537489216716375</x:v>
      </x:c>
      <x:c r="C230" s="7" t="n">
        <x:f>IF(AND('요약'!$B$20,A230&lt;='요약'!$B$6),LARGE('계산'!$B$2:$B$2001,'요약'!$B$6-A230+1),"")</x:f>
        <x:v>-0.007763835634602245</x:v>
      </x:c>
      <x:c r="D230" s="7" t="n">
        <x:f>IF(ISNUMBER(B230),'요약'!$B$7+'요약'!$B$13*B230,"")</x:f>
        <x:v>-0.007668464681308362</x:v>
      </x:c>
    </x:row>
    <x:row r="231">
      <x:c r="A231" t="n">
        <x:f>227</x:f>
        <x:v>227</x:v>
      </x:c>
      <x:c r="B231" s="7" t="n">
        <x:f>IF(AND('요약'!$B$20,A231&lt;='요약'!$B$6),NORM.S.INV((A231-0.5)/'요약'!$B$6),"")</x:f>
        <x:v>-0.7504229716004979</x:v>
      </x:c>
      <x:c r="C231" s="7" t="n">
        <x:f>IF(AND('요약'!$B$20,A231&lt;='요약'!$B$6),LARGE('계산'!$B$2:$B$2001,'요약'!$B$6-A231+1),"")</x:f>
        <x:v>-0.007734758953231581</x:v>
      </x:c>
      <x:c r="D231" s="7" t="n">
        <x:f>IF(ISNUMBER(B231),'요약'!$B$7+'요약'!$B$13*B231,"")</x:f>
        <x:v>-0.007634840103772796</x:v>
      </x:c>
    </x:row>
    <x:row r="232">
      <x:c r="A232" t="n">
        <x:f>228</x:f>
        <x:v>228</x:v>
      </x:c>
      <x:c r="B232" s="7" t="n">
        <x:f>IF(AND('요약'!$B$20,A232&lt;='요약'!$B$6),NORM.S.INV((A232-0.5)/'요약'!$B$6),"")</x:f>
        <x:v>-0.7471053020262449</x:v>
      </x:c>
      <x:c r="C232" s="7" t="n">
        <x:f>IF(AND('요약'!$B$20,A232&lt;='요약'!$B$6),LARGE('계산'!$B$2:$B$2001,'요약'!$B$6-A232+1),"")</x:f>
        <x:v>-0.007644124254867755</x:v>
      </x:c>
      <x:c r="D232" s="7" t="n">
        <x:f>IF(ISNUMBER(B232),'요약'!$B$7+'요약'!$B$13*B232,"")</x:f>
        <x:v>-0.007601299240124584</x:v>
      </x:c>
    </x:row>
    <x:row r="233">
      <x:c r="A233" t="n">
        <x:f>229</x:f>
        <x:v>229</x:v>
      </x:c>
      <x:c r="B233" s="7" t="n">
        <x:f>IF(AND('요약'!$B$20,A233&lt;='요약'!$B$6),NORM.S.INV((A233-0.5)/'요약'!$B$6),"")</x:f>
        <x:v>-0.7437958354830785</x:v>
      </x:c>
      <x:c r="C233" s="7" t="n">
        <x:f>IF(AND('요약'!$B$20,A233&lt;='요약'!$B$6),LARGE('계산'!$B$2:$B$2001,'요약'!$B$6-A233+1),"")</x:f>
        <x:v>-0.007630320758926683</x:v>
      </x:c>
      <x:c r="D233" s="7" t="n">
        <x:f>IF(ISNUMBER(B233),'요약'!$B$7+'요약'!$B$13*B233,"")</x:f>
        <x:v>-0.007567841307202598</x:v>
      </x:c>
    </x:row>
    <x:row r="234">
      <x:c r="A234" t="n">
        <x:f>230</x:f>
        <x:v>230</x:v>
      </x:c>
      <x:c r="B234" s="7" t="n">
        <x:f>IF(AND('요약'!$B$20,A234&lt;='요약'!$B$6),NORM.S.INV((A234-0.5)/'요약'!$B$6),"")</x:f>
        <x:v>-0.740494495437342</x:v>
      </x:c>
      <x:c r="C234" s="7" t="n">
        <x:f>IF(AND('요약'!$B$20,A234&lt;='요약'!$B$6),LARGE('계산'!$B$2:$B$2001,'요약'!$B$6-A234+1),"")</x:f>
        <x:v>-0.007608562069370647</x:v>
      </x:c>
      <x:c r="D234" s="7" t="n">
        <x:f>IF(ISNUMBER(B234),'요약'!$B$7+'요약'!$B$13*B234,"")</x:f>
        <x:v>-0.007534465531269468</x:v>
      </x:c>
    </x:row>
    <x:row r="235">
      <x:c r="A235" t="n">
        <x:f>231</x:f>
        <x:v>231</x:v>
      </x:c>
      <x:c r="B235" s="7" t="n">
        <x:f>IF(AND('요약'!$B$20,A235&lt;='요약'!$B$6),NORM.S.INV((A235-0.5)/'요약'!$B$6),"")</x:f>
        <x:v>-0.7372012062716544</x:v>
      </x:c>
      <x:c r="C235" s="7" t="n">
        <x:f>IF(AND('요약'!$B$20,A235&lt;='요약'!$B$6),LARGE('계산'!$B$2:$B$2001,'요약'!$B$6-A235+1),"")</x:f>
        <x:v>-0.007582590845727778</x:v>
      </x:c>
      <x:c r="D235" s="7" t="n">
        <x:f>IF(ISNUMBER(B235),'요약'!$B$7+'요약'!$B$13*B235,"")</x:f>
        <x:v>-0.007501171147851151</x:v>
      </x:c>
    </x:row>
    <x:row r="236">
      <x:c r="A236" t="n">
        <x:f>232</x:f>
        <x:v>232</x:v>
      </x:c>
      <x:c r="B236" s="7" t="n">
        <x:f>IF(AND('요약'!$B$20,A236&lt;='요약'!$B$6),NORM.S.INV((A236-0.5)/'요약'!$B$6),"")</x:f>
        <x:v>-0.7339158932693709</x:v>
      </x:c>
      <x:c r="C236" s="7" t="n">
        <x:f>IF(AND('요약'!$B$20,A236&lt;='요약'!$B$6),LARGE('계산'!$B$2:$B$2001,'요약'!$B$6-A236+1),"")</x:f>
        <x:v>-0.007525565654405688</x:v>
      </x:c>
      <x:c r="D236" s="7" t="n">
        <x:f>IF(ISNUMBER(B236),'요약'!$B$7+'요약'!$B$13*B236,"")</x:f>
        <x:v>-0.007467957401579839</x:v>
      </x:c>
    </x:row>
    <x:row r="237">
      <x:c r="A237" t="n">
        <x:f>233</x:f>
        <x:v>233</x:v>
      </x:c>
      <x:c r="B237" s="7" t="n">
        <x:f>IF(AND('요약'!$B$20,A237&lt;='요약'!$B$6),NORM.S.INV((A237-0.5)/'요약'!$B$6),"")</x:f>
        <x:v>-0.730638482599372</x:v>
      </x:c>
      <x:c r="C237" s="7" t="n">
        <x:f>IF(AND('요약'!$B$20,A237&lt;='요약'!$B$6),LARGE('계산'!$B$2:$B$2001,'요약'!$B$6-A237+1),"")</x:f>
        <x:v>-0.007469271847543831</x:v>
      </x:c>
      <x:c r="D237" s="7" t="n">
        <x:f>IF(ISNUMBER(B237),'요약'!$B$7+'요약'!$B$13*B237,"")</x:f>
        <x:v>-0.007434823546040177</x:v>
      </x:c>
    </x:row>
    <x:row r="238">
      <x:c r="A238" t="n">
        <x:f>234</x:f>
        <x:v>234</x:v>
      </x:c>
      <x:c r="B238" s="7" t="n">
        <x:f>IF(AND('요약'!$B$20,A238&lt;='요약'!$B$6),NORM.S.INV((A238-0.5)/'요약'!$B$6),"")</x:f>
        <x:v>-0.727368901301169</x:v>
      </x:c>
      <x:c r="C238" s="7" t="n">
        <x:f>IF(AND('요약'!$B$20,A238&lt;='요약'!$B$6),LARGE('계산'!$B$2:$B$2001,'요약'!$B$6-A238+1),"")</x:f>
        <x:v>-0.007425262842185186</x:v>
      </x:c>
      <x:c r="D238" s="7" t="n">
        <x:f>IF(ISNUMBER(B238),'요약'!$B$7+'요약'!$B$13*B238,"")</x:f>
        <x:v>-0.007401768843618684</x:v>
      </x:c>
    </x:row>
    <x:row r="239">
      <x:c r="A239" t="n">
        <x:f>235</x:f>
        <x:v>235</x:v>
      </x:c>
      <x:c r="B239" s="7" t="n">
        <x:f>IF(AND('요약'!$B$20,A239&lt;='요약'!$B$6),NORM.S.INV((A239-0.5)/'요약'!$B$6),"")</x:f>
        <x:v>-0.724107077270317</x:v>
      </x:c>
      <x:c r="C239" s="7" t="n">
        <x:f>IF(AND('요약'!$B$20,A239&lt;='요약'!$B$6),LARGE('계산'!$B$2:$B$2001,'요약'!$B$6-A239+1),"")</x:f>
        <x:v>-0.007417078829285955</x:v>
      </x:c>
      <x:c r="D239" s="7" t="n">
        <x:f>IF(ISNUMBER(B239),'요약'!$B$7+'요약'!$B$13*B239,"")</x:f>
        <x:v>-0.007368792565356282</x:v>
      </x:c>
    </x:row>
    <x:row r="240">
      <x:c r="A240" t="n">
        <x:f>236</x:f>
        <x:v>236</x:v>
      </x:c>
      <x:c r="B240" s="7" t="n">
        <x:f>IF(AND('요약'!$B$20,A240&lt;='요약'!$B$6),NORM.S.INV((A240-0.5)/'요약'!$B$6),"")</x:f>
        <x:v>-0.7208529392441332</x:v>
      </x:c>
      <x:c r="C240" s="7" t="n">
        <x:f>IF(AND('요약'!$B$20,A240&lt;='요약'!$B$6),LARGE('계산'!$B$2:$B$2001,'요약'!$B$6-A240+1),"")</x:f>
        <x:v>-0.007397888248251403</x:v>
      </x:c>
      <x:c r="D240" s="7" t="n">
        <x:f>IF(ISNUMBER(B240),'요약'!$B$7+'요약'!$B$13*B240,"")</x:f>
        <x:v>-0.007335893990803911</x:v>
      </x:c>
    </x:row>
    <x:row r="241">
      <x:c r="A241" t="n">
        <x:f>237</x:f>
        <x:v>237</x:v>
      </x:c>
      <x:c r="B241" s="7" t="n">
        <x:f>IF(AND('요약'!$B$20,A241&lt;='요약'!$B$6),NORM.S.INV((A241-0.5)/'요약'!$B$6),"")</x:f>
        <x:v>-0.7176064167877056</x:v>
      </x:c>
      <x:c r="C241" s="7" t="n">
        <x:f>IF(AND('요약'!$B$20,A241&lt;='요약'!$B$6),LARGE('계산'!$B$2:$B$2001,'요약'!$B$6-A241+1),"")</x:f>
        <x:v>-0.007375015349296976</x:v>
      </x:c>
      <x:c r="D241" s="7" t="n">
        <x:f>IF(ISNUMBER(B241),'요약'!$B$7+'요약'!$B$13*B241,"")</x:f>
        <x:v>-0.0073030724078810795</x:v>
      </x:c>
    </x:row>
    <x:row r="242">
      <x:c r="A242" t="n">
        <x:f>238</x:f>
        <x:v>238</x:v>
      </x:c>
      <x:c r="B242" s="7" t="n">
        <x:f>IF(AND('요약'!$B$20,A242&lt;='요약'!$B$6),NORM.S.INV((A242-0.5)/'요약'!$B$6),"")</x:f>
        <x:v>-0.7143674402801875</x:v>
      </x:c>
      <x:c r="C242" s="7" t="n">
        <x:f>IF(AND('요약'!$B$20,A242&lt;='요약'!$B$6),LARGE('계산'!$B$2:$B$2001,'요약'!$B$6-A242+1),"")</x:f>
        <x:v>-0.007345228619228224</x:v>
      </x:c>
      <x:c r="D242" s="7" t="n">
        <x:f>IF(ISNUMBER(B242),'요약'!$B$7+'요약'!$B$13*B242,"")</x:f>
        <x:v>-0.0072703271127373065</x:v>
      </x:c>
    </x:row>
    <x:row r="243">
      <x:c r="A243" t="n">
        <x:f>239</x:f>
        <x:v>239</x:v>
      </x:c>
      <x:c r="B243" s="7" t="n">
        <x:f>IF(AND('요약'!$B$20,A243&lt;='요약'!$B$6),NORM.S.INV((A243-0.5)/'요약'!$B$6),"")</x:f>
        <x:v>-0.7111359409013773</x:v>
      </x:c>
      <x:c r="C243" s="7" t="n">
        <x:f>IF(AND('요약'!$B$20,A243&lt;='요약'!$B$6),LARGE('계산'!$B$2:$B$2001,'요약'!$B$6-A243+1),"")</x:f>
        <x:v>-0.007316880683818478</x:v>
      </x:c>
      <x:c r="D243" s="7" t="n">
        <x:f>IF(ISNUMBER(B243),'요약'!$B$7+'요약'!$B$13*B243,"")</x:f>
        <x:v>-0.0072376574096164464</x:v>
      </x:c>
    </x:row>
    <x:row r="244">
      <x:c r="A244" t="n">
        <x:f>240</x:f>
        <x:v>240</x:v>
      </x:c>
      <x:c r="B244" s="7" t="n">
        <x:f>IF(AND('요약'!$B$20,A244&lt;='요약'!$B$6),NORM.S.INV((A244-0.5)/'요약'!$B$6),"")</x:f>
        <x:v>-0.7079118506185641</x:v>
      </x:c>
      <x:c r="C244" s="7" t="n">
        <x:f>IF(AND('요약'!$B$20,A244&lt;='요약'!$B$6),LARGE('계산'!$B$2:$B$2001,'요약'!$B$6-A244+1),"")</x:f>
        <x:v>-0.007285507868452679</x:v>
      </x:c>
      <x:c r="D244" s="7" t="n">
        <x:f>IF(ISNUMBER(B244),'요약'!$B$7+'요약'!$B$13*B244,"")</x:f>
        <x:v>-0.007205062610723697</x:v>
      </x:c>
    </x:row>
    <x:row r="245">
      <x:c r="A245" t="n">
        <x:f>241</x:f>
        <x:v>241</x:v>
      </x:c>
      <x:c r="B245" s="7" t="n">
        <x:f>IF(AND('요약'!$B$20,A245&lt;='요약'!$B$6),NORM.S.INV((A245-0.5)/'요약'!$B$6),"")</x:f>
        <x:v>-0.7046951021736431</x:v>
      </x:c>
      <x:c r="C245" s="7" t="n">
        <x:f>IF(AND('요약'!$B$20,A245&lt;='요약'!$B$6),LARGE('계산'!$B$2:$B$2001,'요약'!$B$6-A245+1),"")</x:f>
        <x:v>-0.0072422806375099045</x:v>
      </x:c>
      <x:c r="D245" s="7" t="n">
        <x:f>IF(ISNUMBER(B245),'요약'!$B$7+'요약'!$B$13*B245,"")</x:f>
        <x:v>-0.0071725420360953486</x:v>
      </x:c>
    </x:row>
    <x:row r="246">
      <x:c r="A246" t="n">
        <x:f>242</x:f>
        <x:v>242</x:v>
      </x:c>
      <x:c r="B246" s="7" t="n">
        <x:f>IF(AND('요약'!$B$20,A246&lt;='요약'!$B$6),NORM.S.INV((A246-0.5)/'요약'!$B$6),"")</x:f>
        <x:v>-0.7014856290704896</x:v>
      </x:c>
      <x:c r="C246" s="7" t="n">
        <x:f>IF(AND('요약'!$B$20,A246&lt;='요약'!$B$6),LARGE('계산'!$B$2:$B$2001,'요약'!$B$6-A246+1),"")</x:f>
        <x:v>-0.007239515332291735</x:v>
      </x:c>
      <x:c r="D246" s="7" t="n">
        <x:f>IF(ISNUMBER(B246),'요약'!$B$7+'요약'!$B$13*B246,"")</x:f>
        <x:v>-0.007140095013471128</x:v>
      </x:c>
    </x:row>
    <x:row r="247">
      <x:c r="A247" t="n">
        <x:f>243</x:f>
        <x:v>243</x:v>
      </x:c>
      <x:c r="B247" s="7" t="n">
        <x:f>IF(AND('요약'!$B$20,A247&lt;='요약'!$B$6),NORM.S.INV((A247-0.5)/'요약'!$B$6),"")</x:f>
        <x:v>-0.6982833655625879</x:v>
      </x:c>
      <x:c r="C247" s="7" t="n">
        <x:f>IF(AND('요약'!$B$20,A247&lt;='요약'!$B$6),LARGE('계산'!$B$2:$B$2001,'요약'!$B$6-A247+1),"")</x:f>
        <x:v>-0.0072027529866195055</x:v>
      </x:c>
      <x:c r="D247" s="7" t="n">
        <x:f>IF(ISNUMBER(B247),'요약'!$B$7+'요약'!$B$13*B247,"")</x:f>
        <x:v>-0.007107720878169132</x:v>
      </x:c>
    </x:row>
    <x:row r="248">
      <x:c r="A248" t="n">
        <x:f>244</x:f>
        <x:v>244</x:v>
      </x:c>
      <x:c r="B248" s="7" t="n">
        <x:f>IF(AND('요약'!$B$20,A248&lt;='요약'!$B$6),NORM.S.INV((A248-0.5)/'요약'!$B$6),"")</x:f>
        <x:v>-0.6950882466409004</x:v>
      </x:c>
      <x:c r="C248" s="7" t="n">
        <x:f>IF(AND('요약'!$B$20,A248&lt;='요약'!$B$6),LARGE('계산'!$B$2:$B$2001,'요약'!$B$6-A248+1),"")</x:f>
        <x:v>-0.007140449531146658</x:v>
      </x:c>
      <x:c r="D248" s="7" t="n">
        <x:f>IF(ISNUMBER(B248),'요약'!$B$7+'요약'!$B$13*B248,"")</x:f>
        <x:v>-0.007075418972963194</x:v>
      </x:c>
    </x:row>
    <x:row r="249">
      <x:c r="A249" t="n">
        <x:f>245</x:f>
        <x:v>245</x:v>
      </x:c>
      <x:c r="B249" s="7" t="n">
        <x:f>IF(AND('요약'!$B$20,A249&lt;='요약'!$B$6),NORM.S.INV((A249-0.5)/'요약'!$B$6),"")</x:f>
        <x:v>-0.6919002080219894</x:v>
      </x:c>
      <x:c r="C249" s="7" t="n">
        <x:f>IF(AND('요약'!$B$20,A249&lt;='요약'!$B$6),LARGE('계산'!$B$2:$B$2001,'요약'!$B$6-A249+1),"")</x:f>
        <x:v>-0.00706203836748955</x:v>
      </x:c>
      <x:c r="D249" s="7" t="n">
        <x:f>IF(ISNUMBER(B249),'요약'!$B$7+'요약'!$B$13*B249,"")</x:f>
        <x:v>-0.007043188647962789</x:v>
      </x:c>
    </x:row>
    <x:row r="250">
      <x:c r="A250" t="n">
        <x:f>246</x:f>
        <x:v>246</x:v>
      </x:c>
      <x:c r="B250" s="7" t="n">
        <x:f>IF(AND('요약'!$B$20,A250&lt;='요약'!$B$6),NORM.S.INV((A250-0.5)/'요약'!$B$6),"")</x:f>
        <x:v>-0.6887191861363625</x:v>
      </x:c>
      <x:c r="C250" s="7" t="n">
        <x:f>IF(AND('요약'!$B$20,A250&lt;='요약'!$B$6),LARGE('계산'!$B$2:$B$2001,'요약'!$B$6-A250+1),"")</x:f>
        <x:v>-0.007051861423648121</x:v>
      </x:c>
      <x:c r="D250" s="7" t="n">
        <x:f>IF(ISNUMBER(B250),'요약'!$B$7+'요약'!$B$13*B250,"")</x:f>
        <x:v>-0.007011029260495212</x:v>
      </x:c>
    </x:row>
    <x:row r="251">
      <x:c r="A251" t="n">
        <x:f>247</x:f>
        <x:v>247</x:v>
      </x:c>
      <x:c r="B251" s="7" t="n">
        <x:f>IF(AND('요약'!$B$20,A251&lt;='요약'!$B$6),NORM.S.INV((A251-0.5)/'요약'!$B$6),"")</x:f>
        <x:v>-0.6855451181170552</x:v>
      </x:c>
      <x:c r="C251" s="7" t="n">
        <x:f>IF(AND('요약'!$B$20,A251&lt;='요약'!$B$6),LARGE('계산'!$B$2:$B$2001,'요약'!$B$6-A251+1),"")</x:f>
        <x:v>-0.007032001934181405</x:v>
      </x:c>
      <x:c r="D251" s="7" t="n">
        <x:f>IF(ISNUMBER(B251),'요약'!$B$7+'요약'!$B$13*B251,"")</x:f>
        <x:v>-0.006978940174990153</x:v>
      </x:c>
    </x:row>
    <x:row r="252">
      <x:c r="A252" t="n">
        <x:f>248</x:f>
        <x:v>248</x:v>
      </x:c>
      <x:c r="B252" s="7" t="n">
        <x:f>IF(AND('요약'!$B$20,A252&lt;='요약'!$B$6),NORM.S.INV((A252-0.5)/'요약'!$B$6),"")</x:f>
        <x:v>-0.6823779417884339</x:v>
      </x:c>
      <x:c r="C252" s="7" t="n">
        <x:f>IF(AND('요약'!$B$20,A252&lt;='요약'!$B$6),LARGE('계산'!$B$2:$B$2001,'요약'!$B$6-A252+1),"")</x:f>
        <x:v>-0.00701350502314395</x:v>
      </x:c>
      <x:c r="D252" s="7" t="n">
        <x:f>IF(ISNUMBER(B252),'요약'!$B$7+'요약'!$B$13*B252,"")</x:f>
        <x:v>-0.006946920762866493</x:v>
      </x:c>
    </x:row>
    <x:row r="253">
      <x:c r="A253" t="n">
        <x:f>249</x:f>
        <x:v>249</x:v>
      </x:c>
      <x:c r="B253" s="7" t="n">
        <x:f>IF(AND('요약'!$B$20,A253&lt;='요약'!$B$6),NORM.S.INV((A253-0.5)/'요약'!$B$6),"")</x:f>
        <x:v>-0.6792175956552189</x:v>
      </x:c>
      <x:c r="C253" s="7" t="n">
        <x:f>IF(AND('요약'!$B$20,A253&lt;='요약'!$B$6),LARGE('계산'!$B$2:$B$2001,'요약'!$B$6-A253+1),"")</x:f>
        <x:v>-0.007007807321879418</x:v>
      </x:c>
      <x:c r="D253" s="7" t="n">
        <x:f>IF(ISNUMBER(B253),'요약'!$B$7+'요약'!$B$13*B253,"")</x:f>
        <x:v>-0.006914970402421333</x:v>
      </x:c>
    </x:row>
    <x:row r="254">
      <x:c r="A254" t="n">
        <x:f>250</x:f>
        <x:v>250</x:v>
      </x:c>
      <x:c r="B254" s="7" t="n">
        <x:f>IF(AND('요약'!$B$20,A254&lt;='요약'!$B$6),NORM.S.INV((A254-0.5)/'요약'!$B$6),"")</x:f>
        <x:v>-0.676064018891723</x:v>
      </x:c>
      <x:c r="C254" s="7" t="n">
        <x:f>IF(AND('요약'!$B$20,A254&lt;='요약'!$B$6),LARGE('계산'!$B$2:$B$2001,'요약'!$B$6-A254+1),"")</x:f>
        <x:v>-0.007007680495393634</x:v>
      </x:c>
      <x:c r="D254" s="7" t="n">
        <x:f>IF(ISNUMBER(B254),'요약'!$B$7+'요약'!$B$13*B254,"")</x:f>
        <x:v>-0.0068830884787212</x:v>
      </x:c>
    </x:row>
    <x:row r="255">
      <x:c r="A255" t="n">
        <x:f>251</x:f>
        <x:v>251</x:v>
      </x:c>
      <x:c r="B255" s="7" t="n">
        <x:f>IF(AND('요약'!$B$20,A255&lt;='요약'!$B$6),NORM.S.INV((A255-0.5)/'요약'!$B$6),"")</x:f>
        <x:v>-0.6729171513312943</x:v>
      </x:c>
      <x:c r="C255" s="7" t="n">
        <x:f>IF(AND('요약'!$B$20,A255&lt;='요약'!$B$6),LARGE('계산'!$B$2:$B$2001,'요약'!$B$6-A255+1),"")</x:f>
        <x:v>-0.006995953976207455</x:v>
      </x:c>
      <x:c r="D255" s="7" t="n">
        <x:f>IF(ISNUMBER(B255),'요약'!$B$7+'요약'!$B$13*B255,"")</x:f>
        <x:v>-0.006851274383495309</x:v>
      </x:c>
    </x:row>
    <x:row r="256">
      <x:c r="A256" t="n">
        <x:f>252</x:f>
        <x:v>252</x:v>
      </x:c>
      <x:c r="B256" s="7" t="n">
        <x:f>IF(AND('요약'!$B$20,A256&lt;='요약'!$B$6),NORM.S.INV((A256-0.5)/'요약'!$B$6),"")</x:f>
        <x:v>-0.6697769334559663</x:v>
      </x:c>
      <x:c r="C256" s="7" t="n">
        <x:f>IF(AND('요약'!$B$20,A256&lt;='요약'!$B$6),LARGE('계산'!$B$2:$B$2001,'요약'!$B$6-A256+1),"")</x:f>
        <x:v>-0.006981930250999928</x:v>
      </x:c>
      <x:c r="D256" s="7" t="n">
        <x:f>IF(ISNUMBER(B256),'요약'!$B$7+'요약'!$B$13*B256,"")</x:f>
        <x:v>-0.006819527515030939</x:v>
      </x:c>
    </x:row>
    <x:row r="257">
      <x:c r="A257" t="n">
        <x:f>253</x:f>
        <x:v>253</x:v>
      </x:c>
      <x:c r="B257" s="7" t="n">
        <x:f>IF(AND('요약'!$B$20,A257&lt;='요약'!$B$6),NORM.S.INV((A257-0.5)/'요약'!$B$6),"")</x:f>
        <x:v>-0.6666433063863062</x:v>
      </x:c>
      <x:c r="C257" s="7" t="n">
        <x:f>IF(AND('요약'!$B$20,A257&lt;='요약'!$B$6),LARGE('계산'!$B$2:$B$2001,'요약'!$B$6-A257+1),"")</x:f>
        <x:v>-0.006969714716492811</x:v>
      </x:c>
      <x:c r="D257" s="7" t="n">
        <x:f>IF(ISNUMBER(B257),'요약'!$B$7+'요약'!$B$13*B257,"")</x:f>
        <x:v>-0.006787847278070787</x:v>
      </x:c>
    </x:row>
    <x:row r="258">
      <x:c r="A258" t="n">
        <x:f>254</x:f>
        <x:v>254</x:v>
      </x:c>
      <x:c r="B258" s="7" t="n">
        <x:f>IF(AND('요약'!$B$20,A258&lt;='요약'!$B$6),NORM.S.INV((A258-0.5)/'요약'!$B$6),"")</x:f>
        <x:v>-0.6635162118714567</x:v>
      </x:c>
      <x:c r="C258" s="7" t="n">
        <x:f>IF(AND('요약'!$B$20,A258&lt;='요약'!$B$6),LARGE('계산'!$B$2:$B$2001,'요약'!$B$6-A258+1),"")</x:f>
        <x:v>-0.006921698386284776</x:v>
      </x:c>
      <x:c r="D258" s="7" t="n">
        <x:f>IF(ISNUMBER(B258),'요약'!$B$7+'요약'!$B$13*B258,"")</x:f>
        <x:v>-0.00675623308371231</x:v>
      </x:c>
    </x:row>
    <x:row r="259">
      <x:c r="A259" t="n">
        <x:f>255</x:f>
        <x:v>255</x:v>
      </x:c>
      <x:c r="B259" s="7" t="n">
        <x:f>IF(AND('요약'!$B$20,A259&lt;='요약'!$B$6),NORM.S.INV((A259-0.5)/'요약'!$B$6),"")</x:f>
        <x:v>-0.6603955922793687</x:v>
      </x:c>
      <x:c r="C259" s="7" t="n">
        <x:f>IF(AND('요약'!$B$20,A259&lt;='요약'!$B$6),LARGE('계산'!$B$2:$B$2001,'요약'!$B$6-A259+1),"")</x:f>
        <x:v>-0.006897774578512264</x:v>
      </x:c>
      <x:c r="D259" s="7" t="n">
        <x:f>IF(ISNUMBER(B259),'요약'!$B$7+'요약'!$B$13*B259,"")</x:f>
        <x:v>-0.006724684349308965</x:v>
      </x:c>
    </x:row>
    <x:row r="260">
      <x:c r="A260" t="n">
        <x:f>256</x:f>
        <x:v>256</x:v>
      </x:c>
      <x:c r="B260" s="7" t="n">
        <x:f>IF(AND('요약'!$B$20,A260&lt;='요약'!$B$6),NORM.S.INV((A260-0.5)/'요약'!$B$6),"")</x:f>
        <x:v>-0.6572813905872175</x:v>
      </x:c>
      <x:c r="C260" s="7" t="n">
        <x:f>IF(AND('요약'!$B$20,A260&lt;='요약'!$B$6),LARGE('계산'!$B$2:$B$2001,'요약'!$B$6-A260+1),"")</x:f>
        <x:v>-0.006886688238085468</x:v>
      </x:c>
      <x:c r="D260" s="7" t="n">
        <x:f>IF(ISNUMBER(B260),'요약'!$B$7+'요약'!$B$13*B260,"")</x:f>
        <x:v>-0.0066932004983733286</x:v>
      </x:c>
    </x:row>
    <x:row r="261">
      <x:c r="A261" t="n">
        <x:f>257</x:f>
        <x:v>257</x:v>
      </x:c>
      <x:c r="B261" s="7" t="n">
        <x:f>IF(AND('요약'!$B$20,A261&lt;='요약'!$B$6),NORM.S.INV((A261-0.5)/'요약'!$B$6),"")</x:f>
        <x:v>-0.6541735503720035</x:v>
      </x:c>
      <x:c r="C261" s="7" t="n">
        <x:f>IF(AND('요약'!$B$20,A261&lt;='요약'!$B$6),LARGE('계산'!$B$2:$B$2001,'요약'!$B$6-A261+1),"")</x:f>
        <x:v>-0.0068454659014370745</x:v>
      </x:c>
      <x:c r="D261" s="7" t="n">
        <x:f>IF(ISNUMBER(B261),'요약'!$B$7+'요약'!$B$13*B261,"")</x:f>
        <x:v>-0.006661780960482068</x:v>
      </x:c>
    </x:row>
    <x:row r="262">
      <x:c r="A262" t="n">
        <x:f>258</x:f>
        <x:v>258</x:v>
      </x:c>
      <x:c r="B262" s="7" t="n">
        <x:f>IF(AND('요약'!$B$20,A262&lt;='요약'!$B$6),NORM.S.INV((A262-0.5)/'요약'!$B$6),"")</x:f>
        <x:v>-0.6510720158013262</x:v>
      </x:c>
      <x:c r="C262" s="7" t="n">
        <x:f>IF(AND('요약'!$B$20,A262&lt;='요약'!$B$6),LARGE('계산'!$B$2:$B$2001,'요약'!$B$6-A262+1),"")</x:f>
        <x:v>-0.006815139889037774</x:v>
      </x:c>
      <x:c r="D262" s="7" t="n">
        <x:f>IF(ISNUMBER(B262),'요약'!$B$7+'요약'!$B$13*B262,"")</x:f>
        <x:v>-0.006630425171182668</x:v>
      </x:c>
    </x:row>
    <x:row r="263">
      <x:c r="A263" t="n">
        <x:f>259</x:f>
        <x:v>259</x:v>
      </x:c>
      <x:c r="B263" s="7" t="n">
        <x:f>IF(AND('요약'!$B$20,A263&lt;='요약'!$B$6),NORM.S.INV((A263-0.5)/'요약'!$B$6),"")</x:f>
        <x:v>-0.6479767316243344</x:v>
      </x:c>
      <x:c r="C263" s="7" t="n">
        <x:f>IF(AND('요약'!$B$20,A263&lt;='요약'!$B$6),LARGE('계산'!$B$2:$B$2001,'요약'!$B$6-A263+1),"")</x:f>
        <x:v>-0.006787858584820564</x:v>
      </x:c>
      <x:c r="D263" s="7" t="n">
        <x:f>IF(ISNUMBER(B263),'요약'!$B$7+'요약'!$B$13*B263,"")</x:f>
        <x:v>-0.006599132571901944</x:v>
      </x:c>
    </x:row>
    <x:row r="264">
      <x:c r="A264" t="n">
        <x:f>260</x:f>
        <x:v>260</x:v>
      </x:c>
      <x:c r="B264" s="7" t="n">
        <x:f>IF(AND('요약'!$B$20,A264&lt;='요약'!$B$6),NORM.S.INV((A264-0.5)/'요약'!$B$6),"")</x:f>
        <x:v>-0.6448876431628426</x:v>
      </x:c>
      <x:c r="C264" s="7" t="n">
        <x:f>IF(AND('요약'!$B$20,A264&lt;='요약'!$B$6),LARGE('계산'!$B$2:$B$2001,'요약'!$B$6-A264+1),"")</x:f>
        <x:v>-0.006739668425856036</x:v>
      </x:c>
      <x:c r="D264" s="7" t="n">
        <x:f>IF(ISNUMBER(B264),'요약'!$B$7+'요약'!$B$13*B264,"")</x:f>
        <x:v>-0.006567902609856222</x:v>
      </x:c>
    </x:row>
    <x:row r="265">
      <x:c r="A265" t="n">
        <x:f>261</x:f>
        <x:v>261</x:v>
      </x:c>
      <x:c r="B265" s="7" t="n">
        <x:f>IF(AND('요약'!$B$20,A265&lt;='요약'!$B$6),NORM.S.INV((A265-0.5)/'요약'!$B$6),"")</x:f>
        <x:v>-0.6418046963026159</x:v>
      </x:c>
      <x:c r="C265" s="7" t="n">
        <x:f>IF(AND('요약'!$B$20,A265&lt;='요약'!$B$6),LARGE('계산'!$B$2:$B$2001,'요약'!$B$6-A265+1),"")</x:f>
        <x:v>-0.0066185057407183705</x:v>
      </x:c>
      <x:c r="D265" s="7" t="n">
        <x:f>IF(ISNUMBER(B265),'요약'!$B$7+'요약'!$B$13*B265,"")</x:f>
        <x:v>-0.006536734737963244</x:v>
      </x:c>
    </x:row>
    <x:row r="266">
      <x:c r="A266" t="n">
        <x:f>262</x:f>
        <x:v>262</x:v>
      </x:c>
      <x:c r="B266" s="7" t="n">
        <x:f>IF(AND('요약'!$B$20,A266&lt;='요약'!$B$6),NORM.S.INV((A266-0.5)/'요약'!$B$6),"")</x:f>
        <x:v>-0.6387278374848111</x:v>
      </x:c>
      <x:c r="C266" s="7" t="n">
        <x:f>IF(AND('요약'!$B$20,A266&lt;='요약'!$B$6),LARGE('계산'!$B$2:$B$2001,'요약'!$B$6-A266+1),"")</x:f>
        <x:v>-0.0066181082904175495</x:v>
      </x:c>
      <x:c r="D266" s="7" t="n">
        <x:f>IF(ISNUMBER(B266),'요약'!$B$7+'요약'!$B$13*B266,"")</x:f>
        <x:v>-0.006505628414755626</x:v>
      </x:c>
    </x:row>
    <x:row r="267">
      <x:c r="A267" t="n">
        <x:f>263</x:f>
        <x:v>263</x:v>
      </x:c>
      <x:c r="B267" s="7" t="n">
        <x:f>IF(AND('요약'!$B$20,A267&lt;='요약'!$B$6),NORM.S.INV((A267-0.5)/'요약'!$B$6),"")</x:f>
        <x:v>-0.6356570136975825</x:v>
      </x:c>
      <x:c r="C267" s="7" t="n">
        <x:f>IF(AND('요약'!$B$20,A267&lt;='요약'!$B$6),LARGE('계산'!$B$2:$B$2001,'요약'!$B$6-A267+1),"")</x:f>
        <x:v>-0.006532494112654123</x:v>
      </x:c>
      <x:c r="D267" s="7" t="n">
        <x:f>IF(ISNUMBER(B267),'요약'!$B$7+'요약'!$B$13*B267,"")</x:f>
        <x:v>-0.006474583104296006</x:v>
      </x:c>
    </x:row>
    <x:row r="268">
      <x:c r="A268" t="n">
        <x:f>264</x:f>
        <x:v>264</x:v>
      </x:c>
      <x:c r="B268" s="7" t="n">
        <x:f>IF(AND('요약'!$B$20,A268&lt;='요약'!$B$6),NORM.S.INV((A268-0.5)/'요약'!$B$6),"")</x:f>
        <x:v>-0.632592172467837</x:v>
      </x:c>
      <x:c r="C268" s="7" t="n">
        <x:f>IF(AND('요약'!$B$20,A268&lt;='요약'!$B$6),LARGE('계산'!$B$2:$B$2001,'요약'!$B$6-A268+1),"")</x:f>
        <x:v>-0.00647121690529412</x:v>
      </x:c>
      <x:c r="D268" s="7" t="n">
        <x:f>IF(ISNUMBER(B268),'요약'!$B$7+'요약'!$B$13*B268,"")</x:f>
        <x:v>-0.006443598276093679</x:v>
      </x:c>
    </x:row>
    <x:row r="269">
      <x:c r="A269" t="n">
        <x:f>265</x:f>
        <x:v>265</x:v>
      </x:c>
      <x:c r="B269" s="7" t="n">
        <x:f>IF(AND('요약'!$B$20,A269&lt;='요약'!$B$6),NORM.S.INV((A269-0.5)/'요약'!$B$6),"")</x:f>
        <x:v>-0.6295332618531404</x:v>
      </x:c>
      <x:c r="C269" s="7" t="n">
        <x:f>IF(AND('요약'!$B$20,A269&lt;='요약'!$B$6),LARGE('계산'!$B$2:$B$2001,'요약'!$B$6-A269+1),"")</x:f>
        <x:v>-0.0064610243512319655</x:v>
      </x:c>
      <x:c r="D269" s="7" t="n">
        <x:f>IF(ISNUMBER(B269),'요약'!$B$7+'요약'!$B$13*B269,"")</x:f>
        <x:v>-0.0064126734050227825</x:v>
      </x:c>
    </x:row>
    <x:row r="270">
      <x:c r="A270" t="n">
        <x:f>266</x:f>
        <x:v>266</x:v>
      </x:c>
      <x:c r="B270" s="7" t="n">
        <x:f>IF(AND('요약'!$B$20,A270&lt;='요약'!$B$6),NORM.S.INV((A270-0.5)/'요약'!$B$6),"")</x:f>
        <x:v>-0.6264802304337751</x:v>
      </x:c>
      <x:c r="C270" s="7" t="n">
        <x:f>IF(AND('요약'!$B$20,A270&lt;='요약'!$B$6),LARGE('계산'!$B$2:$B$2001,'요약'!$B$6-A270+1),"")</x:f>
        <x:v>-0.006432104934311018</x:v>
      </x:c>
      <x:c r="D270" s="7" t="n">
        <x:f>IF(ISNUMBER(B270),'요약'!$B$7+'요약'!$B$13*B270,"")</x:f>
        <x:v>-0.006381807971241994</x:v>
      </x:c>
    </x:row>
    <x:row r="271">
      <x:c r="A271" t="n">
        <x:f>267</x:f>
        <x:v>267</x:v>
      </x:c>
      <x:c r="B271" s="7" t="n">
        <x:f>IF(AND('요약'!$B$20,A271&lt;='요약'!$B$6),NORM.S.INV((A271-0.5)/'요약'!$B$6),"")</x:f>
        <x:v>-0.6234330273049372</x:v>
      </x:c>
      <x:c r="C271" s="7" t="n">
        <x:f>IF(AND('요약'!$B$20,A271&lt;='요약'!$B$6),LARGE('계산'!$B$2:$B$2001,'요약'!$B$6-A271+1),"")</x:f>
        <x:v>-0.006405921443340147</x:v>
      </x:c>
      <x:c r="D271" s="7" t="n">
        <x:f>IF(ISNUMBER(B271),'요약'!$B$7+'요약'!$B$13*B271,"")</x:f>
        <x:v>-0.00635100146011565</x:v>
      </x:c>
    </x:row>
    <x:row r="272">
      <x:c r="A272" t="n">
        <x:f>268</x:f>
        <x:v>268</x:v>
      </x:c>
      <x:c r="B272" s="7" t="n">
        <x:f>IF(AND('요약'!$B$20,A272&lt;='요약'!$B$6),NORM.S.INV((A272-0.5)/'요약'!$B$6),"")</x:f>
        <x:v>-0.6203916020690777</x:v>
      </x:c>
      <x:c r="C272" s="7" t="n">
        <x:f>IF(AND('요약'!$B$20,A272&lt;='요약'!$B$6),LARGE('계산'!$B$2:$B$2001,'요약'!$B$6-A272+1),"")</x:f>
        <x:v>-0.006296486517157595</x:v>
      </x:c>
      <x:c r="D272" s="7" t="n">
        <x:f>IF(ISNUMBER(B272),'요약'!$B$7+'요약'!$B$13*B272,"")</x:f>
        <x:v>-0.006320253362136313</x:v>
      </x:c>
    </x:row>
    <x:row r="273">
      <x:c r="A273" t="n">
        <x:f>269</x:f>
        <x:v>269</x:v>
      </x:c>
      <x:c r="B273" s="7" t="n">
        <x:f>IF(AND('요약'!$B$20,A273&lt;='요약'!$B$6),NORM.S.INV((A273-0.5)/'요약'!$B$6),"")</x:f>
        <x:v>-0.6173559048283787</x:v>
      </x:c>
      <x:c r="C273" s="7" t="n">
        <x:f>IF(AND('요약'!$B$20,A273&lt;='요약'!$B$6),LARGE('계산'!$B$2:$B$2001,'요약'!$B$6-A273+1),"")</x:f>
        <x:v>-0.006247240928762026</x:v>
      </x:c>
      <x:c r="D273" s="7" t="n">
        <x:f>IF(ISNUMBER(B273),'요약'!$B$7+'요약'!$B$13*B273,"")</x:f>
        <x:v>-0.00628956317284871</x:v>
      </x:c>
    </x:row>
    <x:row r="274">
      <x:c r="A274" t="n">
        <x:f>270</x:f>
        <x:v>270</x:v>
      </x:c>
      <x:c r="B274" s="7" t="n">
        <x:f>IF(AND('요약'!$B$20,A274&lt;='요약'!$B$6),NORM.S.INV((A274-0.5)/'요약'!$B$6),"")</x:f>
        <x:v>-0.61432588617737</x:v>
      </x:c>
      <x:c r="C274" s="7" t="n">
        <x:f>IF(AND('요약'!$B$20,A274&lt;='요약'!$B$6),LARGE('계산'!$B$2:$B$2001,'요약'!$B$6-A274+1),"")</x:f>
        <x:v>-0.006234856743304114</x:v>
      </x:c>
      <x:c r="D274" s="7" t="n">
        <x:f>IF(ISNUMBER(B274),'요약'!$B$7+'요약'!$B$13*B274,"")</x:f>
        <x:v>-0.006258930392775094</x:v>
      </x:c>
    </x:row>
    <x:row r="275">
      <x:c r="A275" t="n">
        <x:f>271</x:f>
        <x:v>271</x:v>
      </x:c>
      <x:c r="B275" s="7" t="n">
        <x:f>IF(AND('요약'!$B$20,A275&lt;='요약'!$B$6),NORM.S.INV((A275-0.5)/'요약'!$B$6),"")</x:f>
        <x:v>-0.6113014971956711</x:v>
      </x:c>
      <x:c r="C275" s="7" t="n">
        <x:f>IF(AND('요약'!$B$20,A275&lt;='요약'!$B$6),LARGE('계산'!$B$2:$B$2001,'요약'!$B$6-A275+1),"")</x:f>
        <x:v>-0.006194379515585214</x:v>
      </x:c>
      <x:c r="D275" s="7" t="n">
        <x:f>IF(ISNUMBER(B275),'요약'!$B$7+'요약'!$B$13*B275,"")</x:f>
        <x:v>-0.006228354527341851</x:v>
      </x:c>
    </x:row>
    <x:row r="276">
      <x:c r="A276" t="n">
        <x:f>272</x:f>
        <x:v>272</x:v>
      </x:c>
      <x:c r="B276" s="7" t="n">
        <x:f>IF(AND('요약'!$B$20,A276&lt;='요약'!$B$6),NORM.S.INV((A276-0.5)/'요약'!$B$6),"")</x:f>
        <x:v>-0.6082826894408673</x:v>
      </x:c>
      <x:c r="C276" s="7" t="n">
        <x:f>IF(AND('요약'!$B$20,A276&lt;='요약'!$B$6),LARGE('계산'!$B$2:$B$2001,'요약'!$B$6-A276+1),"")</x:f>
        <x:v>-0.006185430945076251</x:v>
      </x:c>
      <x:c r="D276" s="7" t="n">
        <x:f>IF(ISNUMBER(B276),'요약'!$B$7+'요약'!$B$13*B276,"")</x:f>
        <x:v>-0.006197835086807499</x:v>
      </x:c>
    </x:row>
    <x:row r="277">
      <x:c r="A277" t="n">
        <x:f>273</x:f>
        <x:v>273</x:v>
      </x:c>
      <x:c r="B277" s="7" t="n">
        <x:f>IF(AND('요약'!$B$20,A277&lt;='요약'!$B$6),NORM.S.INV((A277-0.5)/'요약'!$B$6),"")</x:f>
        <x:v>-0.6052694149415094</x:v>
      </x:c>
      <x:c r="C277" s="7" t="n">
        <x:f>IF(AND('요약'!$B$20,A277&lt;='요약'!$B$6),LARGE('계산'!$B$2:$B$2001,'요약'!$B$6-A277+1),"")</x:f>
        <x:v>-0.006177616727879947</x:v>
      </x:c>
      <x:c r="D277" s="7" t="n">
        <x:f>IF(ISNUMBER(B277),'요약'!$B$7+'요약'!$B$13*B277,"")</x:f>
        <x:v>-0.006167371586191904</x:v>
      </x:c>
    </x:row>
    <x:row r="278">
      <x:c r="A278" t="n">
        <x:f>274</x:f>
        <x:v>274</x:v>
      </x:c>
      <x:c r="B278" s="7" t="n">
        <x:f>IF(AND('요약'!$B$20,A278&lt;='요약'!$B$6),NORM.S.INV((A278-0.5)/'요약'!$B$6),"")</x:f>
        <x:v>-0.6022616261902373</x:v>
      </x:c>
      <x:c r="C278" s="7" t="n">
        <x:f>IF(AND('요약'!$B$20,A278&lt;='요약'!$B$6),LARGE('계산'!$B$2:$B$2001,'요약'!$B$6-A278+1),"")</x:f>
        <x:v>-0.006123143287965661</x:v>
      </x:c>
      <x:c r="D278" s="7" t="n">
        <x:f>IF(ISNUMBER(B278),'요약'!$B$7+'요약'!$B$13*B278,"")</x:f>
        <x:v>-0.0061369635452067604</x:v>
      </x:c>
    </x:row>
    <x:row r="279">
      <x:c r="A279" t="n">
        <x:f>275</x:f>
        <x:v>275</x:v>
      </x:c>
      <x:c r="B279" s="7" t="n">
        <x:f>IF(AND('요약'!$B$20,A279&lt;='요약'!$B$6),NORM.S.INV((A279-0.5)/'요약'!$B$6),"")</x:f>
        <x:v>-0.5992592761370267</x:v>
      </x:c>
      <x:c r="C279" s="7" t="n">
        <x:f>IF(AND('요약'!$B$20,A279&lt;='요약'!$B$6),LARGE('계산'!$B$2:$B$2001,'요약'!$B$6-A279+1),"")</x:f>
        <x:v>-0.006118555651509669</x:v>
      </x:c>
      <x:c r="D279" s="7" t="n">
        <x:f>IF(ISNUMBER(B279),'요약'!$B$7+'요약'!$B$13*B279,"")</x:f>
        <x:v>-0.006106610488187327</x:v>
      </x:c>
    </x:row>
    <x:row r="280">
      <x:c r="A280" t="n">
        <x:f>276</x:f>
        <x:v>276</x:v>
      </x:c>
      <x:c r="B280" s="7" t="n">
        <x:f>IF(AND('요약'!$B$20,A280&lt;='요약'!$B$6),NORM.S.INV((A280-0.5)/'요약'!$B$6),"")</x:f>
        <x:v>-0.5962623181825502</x:v>
      </x:c>
      <x:c r="C280" s="7" t="n">
        <x:f>IF(AND('요약'!$B$20,A280&lt;='요약'!$B$6),LARGE('계산'!$B$2:$B$2001,'요약'!$B$6-A280+1),"")</x:f>
        <x:v>-0.006072930009955434</x:v>
      </x:c>
      <x:c r="D280" s="7" t="n">
        <x:f>IF(ISNUMBER(B280),'요약'!$B$7+'요약'!$B$13*B280,"")</x:f>
        <x:v>-0.006076311944025298</x:v>
      </x:c>
    </x:row>
    <x:row r="281">
      <x:c r="A281" t="n">
        <x:f>277</x:f>
        <x:v>277</x:v>
      </x:c>
      <x:c r="B281" s="7" t="n">
        <x:f>IF(AND('요약'!$B$20,A281&lt;='요약'!$B$6),NORM.S.INV((A281-0.5)/'요약'!$B$6),"")</x:f>
        <x:v>-0.5932707061716577</x:v>
      </x:c>
      <x:c r="C281" s="7" t="n">
        <x:f>IF(AND('요약'!$B$20,A281&lt;='요약'!$B$6),LARGE('계산'!$B$2:$B$2001,'요약'!$B$6-A281+1),"")</x:f>
        <x:v>-0.006030299255683936</x:v>
      </x:c>
      <x:c r="D281" s="7" t="n">
        <x:f>IF(ISNUMBER(B281),'요약'!$B$7+'요약'!$B$13*B281,"")</x:f>
        <x:v>-0.006046067446102899</x:v>
      </x:c>
    </x:row>
    <x:row r="282">
      <x:c r="A282" t="n">
        <x:f>278</x:f>
        <x:v>278</x:v>
      </x:c>
      <x:c r="B282" s="7" t="n">
        <x:f>IF(AND('요약'!$B$20,A282&lt;='요약'!$B$6),NORM.S.INV((A282-0.5)/'요약'!$B$6),"")</x:f>
        <x:v>-0.5902843943869688</x:v>
      </x:c>
      <x:c r="C282" s="7" t="n">
        <x:f>IF(AND('요약'!$B$20,A282&lt;='요약'!$B$6),LARGE('계산'!$B$2:$B$2001,'요약'!$B$6-A282+1),"")</x:f>
        <x:v>-0.005991602839611443</x:v>
      </x:c>
      <x:c r="D282" s="7" t="n">
        <x:f>IF(ISNUMBER(B282),'요약'!$B$7+'요약'!$B$13*B282,"")</x:f>
        <x:v>-0.006015876532228104</x:v>
      </x:c>
    </x:row>
    <x:row r="283">
      <x:c r="A283" t="n">
        <x:f>279</x:f>
        <x:v>279</x:v>
      </x:c>
      <x:c r="B283" s="7" t="n">
        <x:f>IF(AND('요약'!$B$20,A283&lt;='요약'!$B$6),NORM.S.INV((A283-0.5)/'요약'!$B$6),"")</x:f>
        <x:v>-0.5873033375425749</x:v>
      </x:c>
      <x:c r="C283" s="7" t="n">
        <x:f>IF(AND('요약'!$B$20,A283&lt;='요약'!$B$6),LARGE('계산'!$B$2:$B$2001,'요약'!$B$6-A283+1),"")</x:f>
        <x:v>-0.005949323433995082</x:v>
      </x:c>
      <x:c r="D283" s="7" t="n">
        <x:f>IF(ISNUMBER(B283),'요약'!$B$7+'요약'!$B$13*B283,"")</x:f>
        <x:v>-0.005985738744570966</x:v>
      </x:c>
    </x:row>
    <x:row r="284">
      <x:c r="A284" t="n">
        <x:f>280</x:f>
        <x:v>280</x:v>
      </x:c>
      <x:c r="B284" s="7" t="n">
        <x:f>IF(AND('요약'!$B$20,A284&lt;='요약'!$B$6),NORM.S.INV((A284-0.5)/'요약'!$B$6),"")</x:f>
        <x:v>-0.5843274907778541</x:v>
      </x:c>
      <x:c r="C284" s="7" t="n">
        <x:f>IF(AND('요약'!$B$20,A284&lt;='요약'!$B$6),LARGE('계산'!$B$2:$B$2001,'요약'!$B$6-A284+1),"")</x:f>
        <x:v>-0.005915572383946437</x:v>
      </x:c>
      <x:c r="D284" s="7" t="n">
        <x:f>IF(ISNUMBER(B284),'요약'!$B$7+'요약'!$B$13*B284,"")</x:f>
        <x:v>-0.005955653629601084</x:v>
      </x:c>
    </x:row>
    <x:row r="285">
      <x:c r="A285" t="n">
        <x:f>281</x:f>
        <x:v>281</x:v>
      </x:c>
      <x:c r="B285" s="7" t="n">
        <x:f>IF(AND('요약'!$B$20,A285&lt;='요약'!$B$6),NORM.S.INV((A285-0.5)/'요약'!$B$6),"")</x:f>
        <x:v>-0.5813568096513855</x:v>
      </x:c>
      <x:c r="C285" s="7" t="n">
        <x:f>IF(AND('요약'!$B$20,A285&lt;='요약'!$B$6),LARGE('계산'!$B$2:$B$2001,'요약'!$B$6-A285+1),"")</x:f>
        <x:v>-0.005908581046529403</x:v>
      </x:c>
      <x:c r="D285" s="7" t="n">
        <x:f>IF(ISNUMBER(B285),'요약'!$B$7+'요약'!$B$13*B285,"")</x:f>
        <x:v>-0.0059256207380260885</x:v>
      </x:c>
    </x:row>
    <x:row r="286">
      <x:c r="A286" t="n">
        <x:f>282</x:f>
        <x:v>282</x:v>
      </x:c>
      <x:c r="B286" s="7" t="n">
        <x:f>IF(AND('요약'!$B$20,A286&lt;='요약'!$B$6),NORM.S.INV((A286-0.5)/'요약'!$B$6),"")</x:f>
        <x:v>-0.578391250134974</x:v>
      </x:c>
      <x:c r="C286" s="7" t="n">
        <x:f>IF(AND('요약'!$B$20,A286&lt;='요약'!$B$6),LARGE('계산'!$B$2:$B$2001,'요약'!$B$6-A286+1),"")</x:f>
        <x:v>-0.005901773984809481</x:v>
      </x:c>
      <x:c r="D286" s="7" t="n">
        <x:f>IF(ISNUMBER(B286),'요약'!$B$7+'요약'!$B$13*B286,"")</x:f>
        <x:v>-0.005895639624731221</x:v>
      </x:c>
    </x:row>
    <x:row r="287">
      <x:c r="A287" t="n">
        <x:f>283</x:f>
        <x:v>283</x:v>
      </x:c>
      <x:c r="B287" s="7" t="n">
        <x:f>IF(AND('요약'!$B$20,A287&lt;='요약'!$B$6),NORM.S.INV((A287-0.5)/'요약'!$B$6),"")</x:f>
        <x:v>-0.5754307686077733</x:v>
      </x:c>
      <x:c r="C287" s="7" t="n">
        <x:f>IF(AND('요약'!$B$20,A287&lt;='요약'!$B$6),LARGE('계산'!$B$2:$B$2001,'요약'!$B$6-A287+1),"")</x:f>
        <x:v>-0.005884728193739775</x:v>
      </x:c>
      <x:c r="D287" s="7" t="n">
        <x:f>IF(ISNUMBER(B287),'요약'!$B$7+'요약'!$B$13*B287,"")</x:f>
        <x:v>-0.005865709848719922</x:v>
      </x:c>
    </x:row>
    <x:row r="288">
      <x:c r="A288" t="n">
        <x:f>284</x:f>
        <x:v>284</x:v>
      </x:c>
      <x:c r="B288" s="7" t="n">
        <x:f>IF(AND('요약'!$B$20,A288&lt;='요약'!$B$6),NORM.S.INV((A288-0.5)/'요약'!$B$6),"")</x:f>
        <x:v>-0.5724753218505094</x:v>
      </x:c>
      <x:c r="C288" s="7" t="n">
        <x:f>IF(AND('요약'!$B$20,A288&lt;='요약'!$B$6),LARGE('계산'!$B$2:$B$2001,'요약'!$B$6-A288+1),"")</x:f>
        <x:v>-0.005834105854617697</x:v>
      </x:c>
      <x:c r="D288" s="7" t="n">
        <x:f>IF(ISNUMBER(B288),'요약'!$B$7+'요약'!$B$13*B288,"")</x:f>
        <x:v>-0.005835830973055439</x:v>
      </x:c>
    </x:row>
    <x:row r="289">
      <x:c r="A289" t="n">
        <x:f>285</x:f>
        <x:v>285</x:v>
      </x:c>
      <x:c r="B289" s="7" t="n">
        <x:f>IF(AND('요약'!$B$20,A289&lt;='요약'!$B$6),NORM.S.INV((A289-0.5)/'요약'!$B$6),"")</x:f>
        <x:v>-0.5695248670398052</x:v>
      </x:c>
      <x:c r="C289" s="7" t="n">
        <x:f>IF(AND('요약'!$B$20,A289&lt;='요약'!$B$6),LARGE('계산'!$B$2:$B$2001,'요약'!$B$6-A289+1),"")</x:f>
        <x:v>-0.005832099312123247</x:v>
      </x:c>
      <x:c r="D289" s="7" t="n">
        <x:f>IF(ISNUMBER(B289),'요약'!$B$7+'요약'!$B$13*B289,"")</x:f>
        <x:v>-0.005806002564803444</x:v>
      </x:c>
    </x:row>
    <x:row r="290">
      <x:c r="A290" t="n">
        <x:f>286</x:f>
        <x:v>286</x:v>
      </x:c>
      <x:c r="B290" s="7" t="n">
        <x:f>IF(AND('요약'!$B$20,A290&lt;='요약'!$B$6),NORM.S.INV((A290-0.5)/'요약'!$B$6),"")</x:f>
        <x:v>-0.5665793617425916</x:v>
      </x:c>
      <x:c r="C290" s="7" t="n">
        <x:f>IF(AND('요약'!$B$20,A290&lt;='요약'!$B$6),LARGE('계산'!$B$2:$B$2001,'요약'!$B$6-A290+1),"")</x:f>
        <x:v>-0.005821821321266387</x:v>
      </x:c>
      <x:c r="D290" s="7" t="n">
        <x:f>IF(ISNUMBER(B290),'요약'!$B$7+'요약'!$B$13*B290,"")</x:f>
        <x:v>-0.005776224194975528</x:v>
      </x:c>
    </x:row>
    <x:row r="291">
      <x:c r="A291" t="n">
        <x:f>287</x:f>
        <x:v>287</x:v>
      </x:c>
      <x:c r="B291" s="7" t="n">
        <x:f>IF(AND('요약'!$B$20,A291&lt;='요약'!$B$6),NORM.S.INV((A291-0.5)/'요약'!$B$6),"")</x:f>
        <x:v>-0.5636387639106244</x:v>
      </x:c>
      <x:c r="C291" s="7" t="n">
        <x:f>IF(AND('요약'!$B$20,A291&lt;='요약'!$B$6),LARGE('계산'!$B$2:$B$2001,'요약'!$B$6-A291+1),"")</x:f>
        <x:v>-0.0058095531740345145</x:v>
      </x:c>
      <x:c r="D291" s="7" t="n">
        <x:f>IF(ISNUMBER(B291),'요약'!$B$7+'요약'!$B$13*B291,"")</x:f>
        <x:v>-0.0057464954384737746</x:v>
      </x:c>
    </x:row>
    <x:row r="292">
      <x:c r="A292" t="n">
        <x:f>288</x:f>
        <x:v>288</x:v>
      </x:c>
      <x:c r="B292" s="7" t="n">
        <x:f>IF(AND('요약'!$B$20,A292&lt;='요약'!$B$6),NORM.S.INV((A292-0.5)/'요약'!$B$6),"")</x:f>
        <x:v>-0.5607030318750834</x:v>
      </x:c>
      <x:c r="C292" s="7" t="n">
        <x:f>IF(AND('요약'!$B$20,A292&lt;='요약'!$B$6),LARGE('계산'!$B$2:$B$2001,'요약'!$B$6-A292+1),"")</x:f>
        <x:v>-0.005792849774608779</x:v>
      </x:c>
      <x:c r="D292" s="7" t="n">
        <x:f>IF(ISNUMBER(B292),'요약'!$B$7+'요약'!$B$13*B292,"")</x:f>
        <x:v>-0.005716815874036155</x:v>
      </x:c>
    </x:row>
    <x:row r="293">
      <x:c r="A293" t="n">
        <x:f>289</x:f>
        <x:v>289</x:v>
      </x:c>
      <x:c r="B293" s="7" t="n">
        <x:f>IF(AND('요약'!$B$20,A293&lt;='요약'!$B$6),NORM.S.INV((A293-0.5)/'요약'!$B$6),"")</x:f>
        <x:v>-0.5577721243412647</x:v>
      </x:c>
      <x:c r="C293" s="7" t="n">
        <x:f>IF(AND('요약'!$B$20,A293&lt;='요약'!$B$6),LARGE('계산'!$B$2:$B$2001,'요약'!$B$6-A293+1),"")</x:f>
        <x:v>-0.0057897424898058405</x:v>
      </x:c>
      <x:c r="D293" s="7" t="n">
        <x:f>IF(ISNUMBER(B293),'요약'!$B$7+'요약'!$B$13*B293,"")</x:f>
        <x:v>-0.005687185084182868</x:v>
      </x:c>
    </x:row>
    <x:row r="294">
      <x:c r="A294" t="n">
        <x:f>290</x:f>
        <x:v>290</x:v>
      </x:c>
      <x:c r="B294" s="7" t="n">
        <x:f>IF(AND('요약'!$B$20,A294&lt;='요약'!$B$6),NORM.S.INV((A294-0.5)/'요약'!$B$6),"")</x:f>
        <x:v>-0.5548460003833635</x:v>
      </x:c>
      <x:c r="C294" s="7" t="n">
        <x:f>IF(AND('요약'!$B$20,A294&lt;='요약'!$B$6),LARGE('계산'!$B$2:$B$2001,'요약'!$B$6-A294+1),"")</x:f>
        <x:v>-0.005764510812255913</x:v>
      </x:c>
      <x:c r="D294" s="7" t="n">
        <x:f>IF(ISNUMBER(B294),'요약'!$B$7+'요약'!$B$13*B294,"")</x:f>
        <x:v>-0.005657602655163598</x:v>
      </x:c>
    </x:row>
    <x:row r="295">
      <x:c r="A295" t="n">
        <x:f>291</x:f>
        <x:v>291</x:v>
      </x:c>
      <x:c r="B295" s="7" t="n">
        <x:f>IF(AND('요약'!$B$20,A295&lt;='요약'!$B$6),NORM.S.INV((A295-0.5)/'요약'!$B$6),"")</x:f>
        <x:v>-0.5519246194393377</x:v>
      </x:c>
      <x:c r="C295" s="7" t="n">
        <x:f>IF(AND('요약'!$B$20,A295&lt;='요약'!$B$6),LARGE('계산'!$B$2:$B$2001,'요약'!$B$6-A295+1),"")</x:f>
        <x:v>-0.005760949010888349</x:v>
      </x:c>
      <x:c r="D295" s="7" t="n">
        <x:f>IF(ISNUMBER(B295),'요약'!$B$7+'요약'!$B$13*B295,"")</x:f>
        <x:v>-0.005628068176905581</x:v>
      </x:c>
    </x:row>
    <x:row r="296">
      <x:c r="A296" t="n">
        <x:f>292</x:f>
        <x:v>292</x:v>
      </x:c>
      <x:c r="B296" s="7" t="n">
        <x:f>IF(AND('요약'!$B$20,A296&lt;='요약'!$B$6),NORM.S.INV((A296-0.5)/'요약'!$B$6),"")</x:f>
        <x:v>-0.5490079413058608</x:v>
      </x:c>
      <x:c r="C296" s="7" t="n">
        <x:f>IF(AND('요약'!$B$20,A296&lt;='요약'!$B$6),LARGE('계산'!$B$2:$B$2001,'요약'!$B$6-A296+1),"")</x:f>
        <x:v>-0.005748884340584213</x:v>
      </x:c>
      <x:c r="D296" s="7" t="n">
        <x:f>IF(ISNUMBER(B296),'요약'!$B$7+'요약'!$B$13*B296,"")</x:f>
        <x:v>-0.00559858124296259</x:v>
      </x:c>
    </x:row>
    <x:row r="297">
      <x:c r="A297" t="n">
        <x:f>293</x:f>
        <x:v>293</x:v>
      </x:c>
      <x:c r="B297" s="7" t="n">
        <x:f>IF(AND('요약'!$B$20,A297&lt;='요약'!$B$6),NORM.S.INV((A297-0.5)/'요약'!$B$6),"")</x:f>
        <x:v>-0.5460959261333561</x:v>
      </x:c>
      <x:c r="C297" s="7" t="n">
        <x:f>IF(AND('요약'!$B$20,A297&lt;='요약'!$B$6),LARGE('계산'!$B$2:$B$2001,'요약'!$B$6-A297+1),"")</x:f>
        <x:v>-0.00574497242744399</x:v>
      </x:c>
      <x:c r="D297" s="7" t="n">
        <x:f>IF(ISNUMBER(B297),'요약'!$B$7+'요약'!$B$13*B297,"")</x:f>
        <x:v>-0.005569141450464719</x:v>
      </x:c>
    </x:row>
    <x:row r="298">
      <x:c r="A298" t="n">
        <x:f>294</x:f>
        <x:v>294</x:v>
      </x:c>
      <x:c r="B298" s="7" t="n">
        <x:f>IF(AND('요약'!$B$20,A298&lt;='요약'!$B$6),NORM.S.INV((A298-0.5)/'요약'!$B$6),"")</x:f>
        <x:v>-0.5431885344211087</x:v>
      </x:c>
      <x:c r="C298" s="7" t="n">
        <x:f>IF(AND('요약'!$B$20,A298&lt;='요약'!$B$6),LARGE('계산'!$B$2:$B$2001,'요약'!$B$6-A298+1),"")</x:f>
        <x:v>-0.005697022555550598</x:v>
      </x:c>
      <x:c r="D298" s="7" t="n">
        <x:f>IF(ISNUMBER(B298),'요약'!$B$7+'요약'!$B$13*B298,"")</x:f>
        <x:v>-0.0055397484000689785</x:v>
      </x:c>
    </x:row>
    <x:row r="299">
      <x:c r="A299" t="n">
        <x:f>295</x:f>
        <x:v>295</x:v>
      </x:c>
      <x:c r="B299" s="7" t="n">
        <x:f>IF(AND('요약'!$B$20,A299&lt;='요약'!$B$6),NORM.S.INV((A299-0.5)/'요약'!$B$6),"")</x:f>
        <x:v>-0.5402857270124634</x:v>
      </x:c>
      <x:c r="C299" s="7" t="n">
        <x:f>IF(AND('요약'!$B$20,A299&lt;='요약'!$B$6),LARGE('계산'!$B$2:$B$2001,'요약'!$B$6-A299+1),"")</x:f>
        <x:v>-0.0056812645345842286</x:v>
      </x:c>
      <x:c r="D299" s="7" t="n">
        <x:f>IF(ISNUMBER(B299),'요약'!$B$7+'요약'!$B$13*B299,"")</x:f>
        <x:v>-0.005510401695910739</x:v>
      </x:c>
    </x:row>
    <x:row r="300">
      <x:c r="A300" t="n">
        <x:f>296</x:f>
        <x:v>296</x:v>
      </x:c>
      <x:c r="B300" s="7" t="n">
        <x:f>IF(AND('요약'!$B$20,A300&lt;='요약'!$B$6),NORM.S.INV((A300-0.5)/'요약'!$B$6),"")</x:f>
        <x:v>-0.5373874650900956</x:v>
      </x:c>
      <x:c r="C300" s="7" t="n">
        <x:f>IF(AND('요약'!$B$20,A300&lt;='요약'!$B$6),LARGE('계산'!$B$2:$B$2001,'요약'!$B$6-A300+1),"")</x:f>
        <x:v>-0.005650332994904559</x:v>
      </x:c>
      <x:c r="D300" s="7" t="n">
        <x:f>IF(ISNUMBER(B300),'요약'!$B$7+'요약'!$B$13*B300,"")</x:f>
        <x:v>-0.005481100945555926</x:v>
      </x:c>
    </x:row>
    <x:row r="301">
      <x:c r="A301" t="n">
        <x:f>297</x:f>
        <x:v>297</x:v>
      </x:c>
      <x:c r="B301" s="7" t="n">
        <x:f>IF(AND('요약'!$B$20,A301&lt;='요약'!$B$6),NORM.S.INV((A301-0.5)/'요약'!$B$6),"")</x:f>
        <x:v>-0.5344937101713575</x:v>
      </x:c>
      <x:c r="C301" s="7" t="n">
        <x:f>IF(AND('요약'!$B$20,A301&lt;='요약'!$B$6),LARGE('계산'!$B$2:$B$2001,'요약'!$B$6-A301+1),"")</x:f>
        <x:v>-0.005621518914093455</x:v>
      </x:c>
      <x:c r="D301" s="7" t="n">
        <x:f>IF(ISNUMBER(B301),'요약'!$B$7+'요약'!$B$13*B301,"")</x:f>
        <x:v>-0.005451845759953968</x:v>
      </x:c>
    </x:row>
    <x:row r="302">
      <x:c r="A302" t="n">
        <x:f>298</x:f>
        <x:v>298</x:v>
      </x:c>
      <x:c r="B302" s="7" t="n">
        <x:f>IF(AND('요약'!$B$20,A302&lt;='요약'!$B$6),NORM.S.INV((A302-0.5)/'요약'!$B$6),"")</x:f>
        <x:v>-0.5316044241037056</x:v>
      </x:c>
      <x:c r="C302" s="7" t="n">
        <x:f>IF(AND('요약'!$B$20,A302&lt;='요약'!$B$6),LARGE('계산'!$B$2:$B$2001,'요약'!$B$6-A302+1),"")</x:f>
        <x:v>-0.005613439069050119</x:v>
      </x:c>
      <x:c r="D302" s="7" t="n">
        <x:f>IF(ISNUMBER(B302),'요약'!$B$7+'요약'!$B$13*B302,"")</x:f>
        <x:v>-0.005422635753391572</x:v>
      </x:c>
    </x:row>
    <x:row r="303">
      <x:c r="A303" t="n">
        <x:f>299</x:f>
        <x:v>299</x:v>
      </x:c>
      <x:c r="B303" s="7" t="n">
        <x:f>IF(AND('요약'!$B$20,A303&lt;='요약'!$B$6),NORM.S.INV((A303-0.5)/'요약'!$B$6),"")</x:f>
        <x:v>-0.5287195690601938</x:v>
      </x:c>
      <x:c r="C303" s="7" t="n">
        <x:f>IF(AND('요약'!$B$20,A303&lt;='요약'!$B$6),LARGE('계산'!$B$2:$B$2001,'요약'!$B$6-A303+1),"")</x:f>
        <x:v>-0.005599517875712533</x:v>
      </x:c>
      <x:c r="D303" s="7" t="n">
        <x:f>IF(ISNUMBER(B303),'요약'!$B$7+'요약'!$B$13*B303,"")</x:f>
        <x:v>-0.005393470543447156</x:v>
      </x:c>
    </x:row>
    <x:row r="304">
      <x:c r="A304" t="n">
        <x:f>300</x:f>
        <x:v>300</x:v>
      </x:c>
      <x:c r="B304" s="7" t="n">
        <x:f>IF(AND('요약'!$B$20,A304&lt;='요약'!$B$6),NORM.S.INV((A304-0.5)/'요약'!$B$6),"")</x:f>
        <x:v>-0.5258391075350427</x:v>
      </x:c>
      <x:c r="C304" s="7" t="n">
        <x:f>IF(AND('요약'!$B$20,A304&lt;='요약'!$B$6),LARGE('계산'!$B$2:$B$2001,'요약'!$B$6-A304+1),"")</x:f>
        <x:v>-0.005567635335377267</x:v>
      </x:c>
      <x:c r="D304" s="7" t="n">
        <x:f>IF(ISNUMBER(B304),'요약'!$B$7+'요약'!$B$13*B304,"")</x:f>
        <x:v>-0.0053643497509460614</x:v>
      </x:c>
    </x:row>
    <x:row r="305">
      <x:c r="A305" t="n">
        <x:f>301</x:f>
        <x:v>301</x:v>
      </x:c>
      <x:c r="B305" s="7" t="n">
        <x:f>IF(AND('요약'!$B$20,A305&lt;='요약'!$B$6),NORM.S.INV((A305-0.5)/'요약'!$B$6),"")</x:f>
        <x:v>-0.5229630023392792</x:v>
      </x:c>
      <x:c r="C305" s="7" t="n">
        <x:f>IF(AND('요약'!$B$20,A305&lt;='요약'!$B$6),LARGE('계산'!$B$2:$B$2001,'요약'!$B$6-A305+1),"")</x:f>
        <x:v>-0.005563088354444784</x:v>
      </x:c>
      <x:c r="D305" s="7" t="n">
        <x:f>IF(ISNUMBER(B305),'요약'!$B$7+'요약'!$B$13*B305,"")</x:f>
        <x:v>-0.005335272999916465</x:v>
      </x:c>
    </x:row>
    <x:row r="306">
      <x:c r="A306" t="n">
        <x:f>302</x:f>
        <x:v>302</x:v>
      </x:c>
      <x:c r="B306" s="7" t="n">
        <x:f>IF(AND('요약'!$B$20,A306&lt;='요약'!$B$6),NORM.S.INV((A306-0.5)/'요약'!$B$6),"")</x:f>
        <x:v>-0.520091216596443</x:v>
      </x:c>
      <x:c r="C306" s="7" t="n">
        <x:f>IF(AND('요약'!$B$20,A306&lt;='요약'!$B$6),LARGE('계산'!$B$2:$B$2001,'요약'!$B$6-A306+1),"")</x:f>
        <x:v>-0.005524640905539889</x:v>
      </x:c>
      <x:c r="D306" s="7" t="n">
        <x:f>IF(ISNUMBER(B306),'요약'!$B$7+'요약'!$B$13*B306,"")</x:f>
        <x:v>-0.005306239917545977</x:v>
      </x:c>
    </x:row>
    <x:row r="307">
      <x:c r="A307" t="n">
        <x:f>303</x:f>
        <x:v>303</x:v>
      </x:c>
      <x:c r="B307" s="7" t="n">
        <x:f>IF(AND('요약'!$B$20,A307&lt;='요약'!$B$6),NORM.S.INV((A307-0.5)/'요약'!$B$6),"")</x:f>
        <x:v>-0.5172237137383638</x:v>
      </x:c>
      <x:c r="C307" s="7" t="n">
        <x:f>IF(AND('요약'!$B$20,A307&lt;='요약'!$B$6),LARGE('계산'!$B$2:$B$2001,'요약'!$B$6-A307+1),"")</x:f>
        <x:v>-0.005469051575921468</x:v>
      </x:c>
      <x:c r="D307" s="7" t="n">
        <x:f>IF(ISNUMBER(B307),'요약'!$B$7+'요약'!$B$13*B307,"")</x:f>
        <x:v>-0.0052772501341389454</x:v>
      </x:c>
    </x:row>
    <x:row r="308">
      <x:c r="A308" t="n">
        <x:f>304</x:f>
        <x:v>304</x:v>
      </x:c>
      <x:c r="B308" s="7" t="n">
        <x:f>IF(AND('요약'!$B$20,A308&lt;='요약'!$B$6),NORM.S.INV((A308-0.5)/'요약'!$B$6),"")</x:f>
        <x:v>-0.5143604575010011</x:v>
      </x:c>
      <x:c r="C308" s="7" t="n">
        <x:f>IF(AND('요약'!$B$20,A308&lt;='요약'!$B$6),LARGE('계산'!$B$2:$B$2001,'요약'!$B$6-A308+1),"")</x:f>
        <x:v>-0.005456159796781647</x:v>
      </x:c>
      <x:c r="D308" s="7" t="n">
        <x:f>IF(ISNUMBER(B308),'요약'!$B$7+'요약'!$B$13*B308,"")</x:f>
        <x:v>-0.005248303283074399</x:v>
      </x:c>
    </x:row>
    <x:row r="309">
      <x:c r="A309" t="n">
        <x:f>305</x:f>
        <x:v>305</x:v>
      </x:c>
      <x:c r="B309" s="7" t="n">
        <x:f>IF(AND('요약'!$B$20,A309&lt;='요약'!$B$6),NORM.S.INV((A309-0.5)/'요약'!$B$6),"")</x:f>
        <x:v>-0.5115014119203533</x:v>
      </x:c>
      <x:c r="C309" s="7" t="n">
        <x:f>IF(AND('요약'!$B$20,A309&lt;='요약'!$B$6),LARGE('계산'!$B$2:$B$2001,'요약'!$B$6-A309+1),"")</x:f>
        <x:v>-0.005409876655383346</x:v>
      </x:c>
      <x:c r="D309" s="7" t="n">
        <x:f>IF(ISNUMBER(B309),'요약'!$B$7+'요약'!$B$13*B309,"")</x:f>
        <x:v>-0.005219399000764692</x:v>
      </x:c>
    </x:row>
    <x:row r="310">
      <x:c r="A310" t="n">
        <x:f>306</x:f>
        <x:v>306</x:v>
      </x:c>
      <x:c r="B310" s="7" t="n">
        <x:f>IF(AND('요약'!$B$20,A310&lt;='요약'!$B$6),NORM.S.INV((A310-0.5)/'요약'!$B$6),"")</x:f>
        <x:v>-0.5086465413284255</x:v>
      </x:c>
      <x:c r="C310" s="7" t="n">
        <x:f>IF(AND('요약'!$B$20,A310&lt;='요약'!$B$6),LARGE('계산'!$B$2:$B$2001,'요약'!$B$6-A310+1),"")</x:f>
        <x:v>-0.0054032635298660895</x:v>
      </x:c>
      <x:c r="D310" s="7" t="n">
        <x:f>IF(ISNUMBER(B310),'요약'!$B$7+'요약'!$B$13*B310,"")</x:f>
        <x:v>-0.005190536926614735</x:v>
      </x:c>
    </x:row>
    <x:row r="311">
      <x:c r="A311" t="n">
        <x:f>307</x:f>
        <x:v>307</x:v>
      </x:c>
      <x:c r="B311" s="7" t="n">
        <x:f>IF(AND('요약'!$B$20,A311&lt;='요약'!$B$6),NORM.S.INV((A311-0.5)/'요약'!$B$6),"")</x:f>
        <x:v>-0.5057958103492657</x:v>
      </x:c>
      <x:c r="C311" s="7" t="n">
        <x:f>IF(AND('요약'!$B$20,A311&lt;='요약'!$B$6),LARGE('계산'!$B$2:$B$2001,'요약'!$B$6-A311+1),"")</x:f>
        <x:v>-0.005395700422384599</x:v>
      </x:c>
      <x:c r="D311" s="7" t="n">
        <x:f>IF(ISNUMBER(B311),'요약'!$B$7+'요약'!$B$13*B311,"")</x:f>
        <x:v>-0.005161716702981927</x:v>
      </x:c>
    </x:row>
    <x:row r="312">
      <x:c r="A312" t="n">
        <x:f>308</x:f>
        <x:v>308</x:v>
      </x:c>
      <x:c r="B312" s="7" t="n">
        <x:f>IF(AND('요약'!$B$20,A312&lt;='요약'!$B$6),NORM.S.INV((A312-0.5)/'요약'!$B$6),"")</x:f>
        <x:v>-0.5029491838950578</x:v>
      </x:c>
      <x:c r="C312" s="7" t="n">
        <x:f>IF(AND('요약'!$B$20,A312&lt;='요약'!$B$6),LARGE('계산'!$B$2:$B$2001,'요약'!$B$6-A312+1),"")</x:f>
        <x:v>-0.005327816639710119</x:v>
      </x:c>
      <x:c r="D312" s="7" t="n">
        <x:f>IF(ISNUMBER(B312),'요약'!$B$7+'요약'!$B$13*B312,"")</x:f>
        <x:v>-0.005132937975136651</x:v>
      </x:c>
    </x:row>
    <x:row r="313">
      <x:c r="A313" t="n">
        <x:f>309</x:f>
        <x:v>309</x:v>
      </x:c>
      <x:c r="B313" s="7" t="n">
        <x:f>IF(AND('요약'!$B$20,A313&lt;='요약'!$B$6),NORM.S.INV((A313-0.5)/'요약'!$B$6),"")</x:f>
        <x:v>-0.5001066271622766</x:v>
      </x:c>
      <x:c r="C313" s="7" t="n">
        <x:f>IF(AND('요약'!$B$20,A313&lt;='요약'!$B$6),LARGE('계산'!$B$2:$B$2001,'요약'!$B$6-A313+1),"")</x:f>
        <x:v>-0.0053118542652201214</x:v>
      </x:c>
      <x:c r="D313" s="7" t="n">
        <x:f>IF(ISNUMBER(B313),'요약'!$B$7+'요약'!$B$13*B313,"")</x:f>
        <x:v>-0.005104200391223403</x:v>
      </x:c>
    </x:row>
    <x:row r="314">
      <x:c r="A314" t="n">
        <x:f>310</x:f>
        <x:v>310</x:v>
      </x:c>
      <x:c r="B314" s="7" t="n">
        <x:f>IF(AND('요약'!$B$20,A314&lt;='요약'!$B$6),NORM.S.INV((A314-0.5)/'요약'!$B$6),"")</x:f>
        <x:v>-0.4972681056279013</x:v>
      </x:c>
      <x:c r="C314" s="7" t="n">
        <x:f>IF(AND('요약'!$B$20,A314&lt;='요약'!$B$6),LARGE('계산'!$B$2:$B$2001,'요약'!$B$6-A314+1),"")</x:f>
        <x:v>-0.005306209816711059</x:v>
      </x:c>
      <x:c r="D314" s="7" t="n">
        <x:f>IF(ISNUMBER(B314),'요약'!$B$7+'요약'!$B$13*B314,"")</x:f>
        <x:v>-0.005075503602222517</x:v>
      </x:c>
    </x:row>
    <x:row r="315">
      <x:c r="A315" t="n">
        <x:f>311</x:f>
        <x:v>311</x:v>
      </x:c>
      <x:c r="B315" s="7" t="n">
        <x:f>IF(AND('요약'!$B$20,A315&lt;='요약'!$B$6),NORM.S.INV((A315-0.5)/'요약'!$B$6),"")</x:f>
        <x:v>-0.49443358504568696</x:v>
      </x:c>
      <x:c r="C315" s="7" t="n">
        <x:f>IF(AND('요약'!$B$20,A315&lt;='요약'!$B$6),LARGE('계산'!$B$2:$B$2001,'요약'!$B$6-A315+1),"")</x:f>
        <x:v>-0.005293029398187518</x:v>
      </x:c>
      <x:c r="D315" s="7" t="n">
        <x:f>IF(ISNUMBER(B315),'요약'!$B$7+'요약'!$B$13*B315,"")</x:f>
        <x:v>-0.005046847261912463</x:v>
      </x:c>
    </x:row>
    <x:row r="316">
      <x:c r="A316" t="n">
        <x:f>312</x:f>
        <x:v>312</x:v>
      </x:c>
      <x:c r="B316" s="7" t="n">
        <x:f>IF(AND('요약'!$B$20,A316&lt;='요약'!$B$6),NORM.S.INV((A316-0.5)/'요약'!$B$6),"")</x:f>
        <x:v>-0.49160303144249373</x:v>
      </x:c>
      <x:c r="C316" s="7" t="n">
        <x:f>IF(AND('요약'!$B$20,A316&lt;='요약'!$B$6),LARGE('계산'!$B$2:$B$2001,'요약'!$B$6-A316+1),"")</x:f>
        <x:v>-0.005281377898661701</x:v>
      </x:c>
      <x:c r="D316" s="7" t="n">
        <x:f>IF(ISNUMBER(B316),'요약'!$B$7+'요약'!$B$13*B316,"")</x:f>
        <x:v>-0.005018231026832742</x:v>
      </x:c>
    </x:row>
    <x:row r="317">
      <x:c r="A317" t="n">
        <x:f>313</x:f>
        <x:v>313</x:v>
      </x:c>
      <x:c r="B317" s="7" t="n">
        <x:f>IF(AND('요약'!$B$20,A317&lt;='요약'!$B$6),NORM.S.INV((A317-0.5)/'요약'!$B$6),"")</x:f>
        <x:v>-0.48877641111466946</x:v>
      </x:c>
      <x:c r="C317" s="7" t="n">
        <x:f>IF(AND('요약'!$B$20,A317&lt;='요약'!$B$6),LARGE('계산'!$B$2:$B$2001,'요약'!$B$6-A317+1),"")</x:f>
        <x:v>-0.005269958753779177</x:v>
      </x:c>
      <x:c r="D317" s="7" t="n">
        <x:f>IF(ISNUMBER(B317),'요약'!$B$7+'요약'!$B$13*B317,"")</x:f>
        <x:v>-0.004989654556247311</x:v>
      </x:c>
    </x:row>
    <x:row r="318">
      <x:c r="A318" t="n">
        <x:f>314</x:f>
        <x:v>314</x:v>
      </x:c>
      <x:c r="B318" s="7" t="n">
        <x:f>IF(AND('요약'!$B$20,A318&lt;='요약'!$B$6),NORM.S.INV((A318-0.5)/'요약'!$B$6),"")</x:f>
        <x:v>-0.4859536906244903</x:v>
      </x:c>
      <x:c r="C318" s="7" t="n">
        <x:f>IF(AND('요약'!$B$20,A318&lt;='요약'!$B$6),LARGE('계산'!$B$2:$B$2001,'요약'!$B$6-A318+1),"")</x:f>
        <x:v>-0.00526582240860342</x:v>
      </x:c>
      <x:c r="D318" s="7" t="n">
        <x:f>IF(ISNUMBER(B318),'요약'!$B$7+'요약'!$B$13*B318,"")</x:f>
        <x:v>-0.0049611175121086004</x:v>
      </x:c>
    </x:row>
    <x:row r="319">
      <x:c r="A319" t="n">
        <x:f>315</x:f>
        <x:v>315</x:v>
      </x:c>
      <x:c r="B319" s="7" t="n">
        <x:f>IF(AND('요약'!$B$20,A319&lt;='요약'!$B$6),NORM.S.INV((A319-0.5)/'요약'!$B$6),"")</x:f>
        <x:v>-0.4831348367966513</x:v>
      </x:c>
      <x:c r="C319" s="7" t="n">
        <x:f>IF(AND('요약'!$B$20,A319&lt;='요약'!$B$6),LARGE('계산'!$B$2:$B$2001,'요약'!$B$6-A319+1),"")</x:f>
        <x:v>-0.00525082313337429</x:v>
      </x:c>
      <x:c r="D319" s="7" t="n">
        <x:f>IF(ISNUMBER(B319),'요약'!$B$7+'요약'!$B$13*B319,"")</x:f>
        <x:v>-0.004932619559022034</x:v>
      </x:c>
    </x:row>
    <x:row r="320">
      <x:c r="A320" t="n">
        <x:f>316</x:f>
        <x:v>316</x:v>
      </x:c>
      <x:c r="B320" s="7" t="n">
        <x:f>IF(AND('요약'!$B$20,A320&lt;='요약'!$B$6),NORM.S.INV((A320-0.5)/'요약'!$B$6),"")</x:f>
        <x:v>-0.4803198167148111</x:v>
      </x:c>
      <x:c r="C320" s="7" t="n">
        <x:f>IF(AND('요약'!$B$20,A320&lt;='요약'!$B$6),LARGE('계산'!$B$2:$B$2001,'요약'!$B$6-A320+1),"")</x:f>
        <x:v>-0.0051784821596471175</x:v>
      </x:c>
      <x:c r="D320" s="7" t="n">
        <x:f>IF(ISNUMBER(B320),'요약'!$B$7+'요약'!$B$13*B320,"")</x:f>
        <x:v>-0.004904160364211097</x:v>
      </x:c>
    </x:row>
    <x:row r="321">
      <x:c r="A321" t="n">
        <x:f>317</x:f>
        <x:v>317</x:v>
      </x:c>
      <x:c r="B321" s="7" t="n">
        <x:f>IF(AND('요약'!$B$20,A321&lt;='요약'!$B$6),NORM.S.INV((A321-0.5)/'요약'!$B$6),"")</x:f>
        <x:v>-0.47750859771818926</x:v>
      </x:c>
      <x:c r="C321" s="7" t="n">
        <x:f>IF(AND('요약'!$B$20,A321&lt;='요약'!$B$6),LARGE('계산'!$B$2:$B$2001,'요약'!$B$6-A321+1),"")</x:f>
        <x:v>-0.00514978285043289</x:v>
      </x:c>
      <x:c r="D321" s="7" t="n">
        <x:f>IF(ISNUMBER(B321),'요약'!$B$7+'요약'!$B$13*B321,"")</x:f>
        <x:v>-0.004875739597482937</x:v>
      </x:c>
    </x:row>
    <x:row r="322">
      <x:c r="A322" t="n">
        <x:f>318</x:f>
        <x:v>318</x:v>
      </x:c>
      <x:c r="B322" s="7" t="n">
        <x:f>IF(AND('요약'!$B$20,A322&lt;='요약'!$B$6),NORM.S.INV((A322-0.5)/'요약'!$B$6),"")</x:f>
        <x:v>-0.474701147398213</x:v>
      </x:c>
      <x:c r="C322" s="7" t="n">
        <x:f>IF(AND('요약'!$B$20,A322&lt;='요약'!$B$6),LARGE('계산'!$B$2:$B$2001,'요약'!$B$6-A322+1),"")</x:f>
        <x:v>-0.005138549724051736</x:v>
      </x:c>
      <x:c r="D322" s="7" t="n">
        <x:f>IF(ISNUMBER(B322),'요약'!$B$7+'요약'!$B$13*B322,"")</x:f>
        <x:v>-0.004847356931194461</x:v>
      </x:c>
    </x:row>
    <x:row r="323">
      <x:c r="A323" t="n">
        <x:f>319</x:f>
        <x:v>319</x:v>
      </x:c>
      <x:c r="B323" s="7" t="n">
        <x:f>IF(AND('요약'!$B$20,A323&lt;='요약'!$B$6),NORM.S.INV((A323-0.5)/'요약'!$B$6),"")</x:f>
        <x:v>-0.4718974335952136</x:v>
      </x:c>
      <x:c r="C323" s="7" t="n">
        <x:f>IF(AND('요약'!$B$20,A323&lt;='요약'!$B$6),LARGE('계산'!$B$2:$B$2001,'요약'!$B$6-A323+1),"")</x:f>
        <x:v>-0.005129297103209032</x:v>
      </x:c>
      <x:c r="D323" s="7" t="n">
        <x:f>IF(ISNUMBER(B323),'요약'!$B$7+'요약'!$B$13*B323,"")</x:f>
        <x:v>-0.004819012040218936</x:v>
      </x:c>
    </x:row>
    <x:row r="324">
      <x:c r="A324" t="n">
        <x:f>320</x:f>
        <x:v>320</x:v>
      </x:c>
      <x:c r="B324" s="7" t="n">
        <x:f>IF(AND('요약'!$B$20,A324&lt;='요약'!$B$6),NORM.S.INV((A324-0.5)/'요약'!$B$6),"")</x:f>
        <x:v>-0.4690974243951715</x:v>
      </x:c>
      <x:c r="C324" s="7" t="n">
        <x:f>IF(AND('요약'!$B$20,A324&lt;='요약'!$B$6),LARGE('계산'!$B$2:$B$2001,'요약'!$B$6-A324+1),"")</x:f>
        <x:v>-0.005098827535173896</x:v>
      </x:c>
      <x:c r="D324" s="7" t="n">
        <x:f>IF(ISNUMBER(B324),'요약'!$B$7+'요약'!$B$13*B324,"")</x:f>
        <x:v>-0.004790704601913089</x:v>
      </x:c>
    </x:row>
    <x:row r="325">
      <x:c r="A325" t="n">
        <x:f>321</x:f>
        <x:v>321</x:v>
      </x:c>
      <x:c r="B325" s="7" t="n">
        <x:f>IF(AND('요약'!$B$20,A325&lt;='요약'!$B$6),NORM.S.INV((A325-0.5)/'요약'!$B$6),"")</x:f>
        <x:v>-0.4663010881265105</x:v>
      </x:c>
      <x:c r="C325" s="7" t="n">
        <x:f>IF(AND('요약'!$B$20,A325&lt;='요약'!$B$6),LARGE('계산'!$B$2:$B$2001,'요약'!$B$6-A325+1),"")</x:f>
        <x:v>-0.005082566848025149</x:v>
      </x:c>
      <x:c r="D325" s="7" t="n">
        <x:f>IF(ISNUMBER(B325),'요약'!$B$7+'요약'!$B$13*B325,"")</x:f>
        <x:v>-0.004762434296084688</x:v>
      </x:c>
    </x:row>
    <x:row r="326">
      <x:c r="A326" t="n">
        <x:f>322</x:f>
        <x:v>322</x:v>
      </x:c>
      <x:c r="B326" s="7" t="n">
        <x:f>IF(AND('요약'!$B$20,A326&lt;='요약'!$B$6),NORM.S.INV((A326-0.5)/'요약'!$B$6),"")</x:f>
        <x:v>-0.46350839335693683</x:v>
      </x:c>
      <x:c r="C326" s="7" t="n">
        <x:f>IF(AND('요약'!$B$20,A326&lt;='요약'!$B$6),LARGE('계산'!$B$2:$B$2001,'요약'!$B$6-A326+1),"")</x:f>
        <x:v>-0.0050729456075886085</x:v>
      </x:c>
      <x:c r="D326" s="7" t="n">
        <x:f>IF(ISNUMBER(B326),'요약'!$B$7+'요약'!$B$13*B326,"")</x:f>
        <x:v>-0.004734200804960595</x:v>
      </x:c>
    </x:row>
    <x:row r="327">
      <x:c r="A327" t="n">
        <x:f>323</x:f>
        <x:v>323</x:v>
      </x:c>
      <x:c r="B327" s="7" t="n">
        <x:f>IF(AND('요약'!$B$20,A327&lt;='요약'!$B$6),NORM.S.INV((A327-0.5)/'요약'!$B$6),"")</x:f>
        <x:v>-0.4607193088903254</x:v>
      </x:c>
      <x:c r="C327" s="7" t="n">
        <x:f>IF(AND('요약'!$B$20,A327&lt;='요약'!$B$6),LARGE('계산'!$B$2:$B$2001,'요약'!$B$6-A327+1),"")</x:f>
        <x:v>-0.0050238476969218975</x:v>
      </x:c>
      <x:c r="D327" s="7" t="n">
        <x:f>IF(ISNUMBER(B327),'요약'!$B$7+'요약'!$B$13*B327,"")</x:f>
        <x:v>-0.004706003813155278</x:v>
      </x:c>
    </x:row>
    <x:row r="328">
      <x:c r="A328" t="n">
        <x:f>324</x:f>
        <x:v>324</x:v>
      </x:c>
      <x:c r="B328" s="7" t="n">
        <x:f>IF(AND('요약'!$B$20,A328&lt;='요약'!$B$6),NORM.S.INV((A328-0.5)/'요약'!$B$6),"")</x:f>
        <x:v>-0.4579338037636524</x:v>
      </x:c>
      <x:c r="C328" s="7" t="n">
        <x:f>IF(AND('요약'!$B$20,A328&lt;='요약'!$B$6),LARGE('계산'!$B$2:$B$2001,'요약'!$B$6-A328+1),"")</x:f>
        <x:v>-0.005001267226887378</x:v>
      </x:c>
      <x:c r="D328" s="7" t="n">
        <x:f>IF(ISNUMBER(B328),'요약'!$B$7+'요약'!$B$13*B328,"")</x:f>
        <x:v>-0.0046778430076398056</x:v>
      </x:c>
    </x:row>
    <x:row r="329">
      <x:c r="A329" t="n">
        <x:f>325</x:f>
        <x:v>325</x:v>
      </x:c>
      <x:c r="B329" s="7" t="n">
        <x:f>IF(AND('요약'!$B$20,A329&lt;='요약'!$B$6),NORM.S.INV((A329-0.5)/'요약'!$B$6),"")</x:f>
        <x:v>-0.45515184724396907</x:v>
      </x:c>
      <x:c r="C329" s="7" t="n">
        <x:f>IF(AND('요약'!$B$20,A329&lt;='요약'!$B$6),LARGE('계산'!$B$2:$B$2001,'요약'!$B$6-A329+1),"")</x:f>
        <x:v>-0.004934857127770907</x:v>
      </x:c>
      <x:c r="D329" s="7" t="n">
        <x:f>IF(ISNUMBER(B329),'요약'!$B$7+'요약'!$B$13*B329,"")</x:f>
        <x:v>-0.004649718077711253</x:v>
      </x:c>
    </x:row>
    <x:row r="330">
      <x:c r="A330" t="n">
        <x:f>326</x:f>
        <x:v>326</x:v>
      </x:c>
      <x:c r="B330" s="7" t="n">
        <x:f>IF(AND('요약'!$B$20,A330&lt;='요약'!$B$6),NORM.S.INV((A330-0.5)/'요약'!$B$6),"")</x:f>
        <x:v>-0.45237340882542326</x:v>
      </x:c>
      <x:c r="C330" s="7" t="n">
        <x:f>IF(AND('요약'!$B$20,A330&lt;='요약'!$B$6),LARGE('계산'!$B$2:$B$2001,'요약'!$B$6-A330+1),"")</x:f>
        <x:v>-0.0048624143260089445</x:v>
      </x:c>
      <x:c r="D330" s="7" t="n">
        <x:f>IF(ISNUMBER(B330),'요약'!$B$7+'요약'!$B$13*B330,"")</x:f>
        <x:v>-0.004621628714962588</x:v>
      </x:c>
    </x:row>
    <x:row r="331">
      <x:c r="A331" t="n">
        <x:f>327</x:f>
        <x:v>327</x:v>
      </x:c>
      <x:c r="B331" s="7" t="n">
        <x:f>IF(AND('요약'!$B$20,A331&lt;='요약'!$B$6),NORM.S.INV((A331-0.5)/'요약'!$B$6),"")</x:f>
        <x:v>-0.44959845822631994</x:v>
      </x:c>
      <x:c r="C331" s="7" t="n">
        <x:f>IF(AND('요약'!$B$20,A331&lt;='요약'!$B$6),LARGE('계산'!$B$2:$B$2001,'요약'!$B$6-A331+1),"")</x:f>
        <x:v>-0.00485629690045672</x:v>
      </x:c>
      <x:c r="D331" s="7" t="n">
        <x:f>IF(ISNUMBER(B331),'요약'!$B$7+'요약'!$B$13*B331,"")</x:f>
        <x:v>-0.004593574613252954</x:v>
      </x:c>
    </x:row>
    <x:row r="332">
      <x:c r="A332" t="n">
        <x:f>328</x:f>
        <x:v>328</x:v>
      </x:c>
      <x:c r="B332" s="7" t="n">
        <x:f>IF(AND('요약'!$B$20,A332&lt;='요약'!$B$6),NORM.S.INV((A332-0.5)/'요약'!$B$6),"")</x:f>
        <x:v>-0.4468269653862262</x:v>
      </x:c>
      <x:c r="C332" s="7" t="n">
        <x:f>IF(AND('요약'!$B$20,A332&lt;='요약'!$B$6),LARGE('계산'!$B$2:$B$2001,'요약'!$B$6-A332+1),"")</x:f>
        <x:v>-0.004835117258516478</x:v>
      </x:c>
      <x:c r="D332" s="7" t="n">
        <x:f>IF(ISNUMBER(B332),'요약'!$B$7+'요약'!$B$13*B332,"")</x:f>
        <x:v>-0.004565555468678403</x:v>
      </x:c>
    </x:row>
    <x:row r="333">
      <x:c r="A333" t="n">
        <x:f>329</x:f>
        <x:v>329</x:v>
      </x:c>
      <x:c r="B333" s="7" t="n">
        <x:f>IF(AND('요약'!$B$20,A333&lt;='요약'!$B$6),NORM.S.INV((A333-0.5)/'요약'!$B$6),"")</x:f>
        <x:v>-0.4440589004631145</x:v>
      </x:c>
      <x:c r="C333" s="7" t="n">
        <x:f>IF(AND('요약'!$B$20,A333&lt;='요약'!$B$6),LARGE('계산'!$B$2:$B$2001,'요약'!$B$6-A333+1),"")</x:f>
        <x:v>-0.004800524020877993</x:v>
      </x:c>
      <x:c r="D333" s="7" t="n">
        <x:f>IF(ISNUMBER(B333),'요약'!$B$7+'요약'!$B$13*B333,"")</x:f>
        <x:v>-0.004537570979543016</x:v>
      </x:c>
    </x:row>
    <x:row r="334">
      <x:c r="A334" t="n">
        <x:f>330</x:f>
        <x:v>330</x:v>
      </x:c>
      <x:c r="B334" s="7" t="n">
        <x:f>IF(AND('요약'!$B$20,A334&lt;='요약'!$B$6),NORM.S.INV((A334-0.5)/'요약'!$B$6),"")</x:f>
        <x:v>-0.4412942338305523</x:v>
      </x:c>
      <x:c r="C334" s="7" t="n">
        <x:f>IF(AND('요약'!$B$20,A334&lt;='요약'!$B$6),LARGE('계산'!$B$2:$B$2001,'요약'!$B$6-A334+1),"")</x:f>
        <x:v>-0.004795544534613346</x:v>
      </x:c>
      <x:c r="D334" s="7" t="n">
        <x:f>IF(ISNUMBER(B334),'요약'!$B$7+'요약'!$B$13*B334,"")</x:f>
        <x:v>-0.004509620846330485</x:v>
      </x:c>
    </x:row>
    <x:row r="335">
      <x:c r="A335" t="n">
        <x:f>331</x:f>
        <x:v>331</x:v>
      </x:c>
      <x:c r="B335" s="7" t="n">
        <x:f>IF(AND('요약'!$B$20,A335&lt;='요약'!$B$6),NORM.S.INV((A335-0.5)/'요약'!$B$6),"")</x:f>
        <x:v>-0.43853293607492344</x:v>
      </x:c>
      <x:c r="C335" s="7" t="n">
        <x:f>IF(AND('요약'!$B$20,A335&lt;='요약'!$B$6),LARGE('계산'!$B$2:$B$2001,'요약'!$B$6-A335+1),"")</x:f>
        <x:v>-0.004747960628400405</x:v>
      </x:c>
      <x:c r="D335" s="7" t="n">
        <x:f>IF(ISNUMBER(B335),'요약'!$B$7+'요약'!$B$13*B335,"")</x:f>
        <x:v>-0.004481704771676028</x:v>
      </x:c>
    </x:row>
    <x:row r="336">
      <x:c r="A336" t="n">
        <x:f>332</x:f>
        <x:v>332</x:v>
      </x:c>
      <x:c r="B336" s="7" t="n">
        <x:f>IF(AND('요약'!$B$20,A336&lt;='요약'!$B$6),NORM.S.INV((A336-0.5)/'요약'!$B$6),"")</x:f>
        <x:v>-0.4357749779926944</x:v>
      </x:c>
      <x:c r="C336" s="7" t="n">
        <x:f>IF(AND('요약'!$B$20,A336&lt;='요약'!$B$6),LARGE('계산'!$B$2:$B$2001,'요약'!$B$6-A336+1),"")</x:f>
        <x:v>-0.004745797998132663</x:v>
      </x:c>
      <x:c r="D336" s="7" t="n">
        <x:f>IF(ISNUMBER(B336),'요약'!$B$7+'요약'!$B$13*B336,"")</x:f>
        <x:v>-0.004453822460338752</x:v>
      </x:c>
    </x:row>
    <x:row r="337">
      <x:c r="A337" t="n">
        <x:f>333</x:f>
        <x:v>333</x:v>
      </x:c>
      <x:c r="B337" s="7" t="n">
        <x:f>IF(AND('요약'!$B$20,A337&lt;='요약'!$B$6),NORM.S.INV((A337-0.5)/'요약'!$B$6),"")</x:f>
        <x:v>-0.43302033058771855</x:v>
      </x:c>
      <x:c r="C337" s="7" t="n">
        <x:f>IF(AND('요약'!$B$20,A337&lt;='요약'!$B$6),LARGE('계산'!$B$2:$B$2001,'요약'!$B$6-A337+1),"")</x:f>
        <x:v>-0.00471256215662566</x:v>
      </x:c>
      <x:c r="D337" s="7" t="n">
        <x:f>IF(ISNUMBER(B337),'요약'!$B$7+'요약'!$B$13*B337,"")</x:f>
        <x:v>-0.004425973619174393</x:v>
      </x:c>
    </x:row>
    <x:row r="338">
      <x:c r="A338" t="n">
        <x:f>334</x:f>
        <x:v>334</x:v>
      </x:c>
      <x:c r="B338" s="7" t="n">
        <x:f>IF(AND('요약'!$B$20,A338&lt;='요약'!$B$6),NORM.S.INV((A338-0.5)/'요약'!$B$6),"")</x:f>
        <x:v>-0.43026896506857343</x:v>
      </x:c>
      <x:c r="C338" s="7" t="n">
        <x:f>IF(AND('요약'!$B$20,A338&lt;='요약'!$B$6),LARGE('계산'!$B$2:$B$2001,'요약'!$B$6-A338+1),"")</x:f>
        <x:v>-0.004686771536345569</x:v>
      </x:c>
      <x:c r="D338" s="7" t="n">
        <x:f>IF(ISNUMBER(B338),'요약'!$B$7+'요약'!$B$13*B338,"")</x:f>
        <x:v>-0.004398157957108403</x:v>
      </x:c>
    </x:row>
    <x:row r="339">
      <x:c r="A339" t="n">
        <x:f>335</x:f>
        <x:v>335</x:v>
      </x:c>
      <x:c r="B339" s="7" t="n">
        <x:f>IF(AND('요약'!$B$20,A339&lt;='요약'!$B$6),NORM.S.INV((A339-0.5)/'요약'!$B$6),"")</x:f>
        <x:v>-0.4275208528459398</x:v>
      </x:c>
      <x:c r="C339" s="7" t="n">
        <x:f>IF(AND('요약'!$B$20,A339&lt;='요약'!$B$6),LARGE('계산'!$B$2:$B$2001,'요약'!$B$6-A339+1),"")</x:f>
        <x:v>-0.004641377681978425</x:v>
      </x:c>
      <x:c r="D339" s="7" t="n">
        <x:f>IF(ISNUMBER(B339),'요약'!$B$7+'요약'!$B$13*B339,"")</x:f>
        <x:v>-0.004370375185109448</x:v>
      </x:c>
    </x:row>
    <x:row r="340">
      <x:c r="A340" t="n">
        <x:f>336</x:f>
        <x:v>336</x:v>
      </x:c>
      <x:c r="B340" s="7" t="n">
        <x:f>IF(AND('요약'!$B$20,A340&lt;='요약'!$B$6),NORM.S.INV((A340-0.5)/'요약'!$B$6),"")</x:f>
        <x:v>-0.4247759655300155</x:v>
      </x:c>
      <x:c r="C340" s="7" t="n">
        <x:f>IF(AND('요약'!$B$20,A340&lt;='요약'!$B$6),LARGE('계산'!$B$2:$B$2001,'요약'!$B$6-A340+1),"")</x:f>
        <x:v>-0.004623375552676866</x:v>
      </x:c>
      <x:c r="D340" s="7" t="n">
        <x:f>IF(ISNUMBER(B340),'요약'!$B$7+'요약'!$B$13*B340,"")</x:f>
        <x:v>-0.004342625016163266</x:v>
      </x:c>
    </x:row>
    <x:row r="341">
      <x:c r="A341" t="n">
        <x:f>337</x:f>
        <x:v>337</x:v>
      </x:c>
      <x:c r="B341" s="7" t="n">
        <x:f>IF(AND('요약'!$B$20,A341&lt;='요약'!$B$6),NORM.S.INV((A341-0.5)/'요약'!$B$6),"")</x:f>
        <x:v>-0.4220342749279632</x:v>
      </x:c>
      <x:c r="C341" s="7" t="n">
        <x:f>IF(AND('요약'!$B$20,A341&lt;='요약'!$B$6),LARGE('계산'!$B$2:$B$2001,'요약'!$B$6-A341+1),"")</x:f>
        <x:v>-0.004586716138183455</x:v>
      </x:c>
      <x:c r="D341" s="7" t="n">
        <x:f>IF(ISNUMBER(B341),'요약'!$B$7+'요약'!$B$13*B341,"")</x:f>
        <x:v>-0.0043149071652468654</x:v>
      </x:c>
    </x:row>
    <x:row r="342">
      <x:c r="A342" t="n">
        <x:f>338</x:f>
        <x:v>338</x:v>
      </x:c>
      <x:c r="B342" s="7" t="n">
        <x:f>IF(AND('요약'!$B$20,A342&lt;='요약'!$B$6),NORM.S.INV((A342-0.5)/'요약'!$B$6),"")</x:f>
        <x:v>-0.41929575304139566</x:v>
      </x:c>
      <x:c r="C342" s="7" t="n">
        <x:f>IF(AND('요약'!$B$20,A342&lt;='요약'!$B$6),LARGE('계산'!$B$2:$B$2001,'요약'!$B$6-A342+1),"")</x:f>
        <x:v>-0.004559077131881404</x:v>
      </x:c>
      <x:c r="D342" s="7" t="n">
        <x:f>IF(ISNUMBER(B342),'요약'!$B$7+'요약'!$B$13*B342,"")</x:f>
        <x:v>-0.004287221349303097</x:v>
      </x:c>
    </x:row>
    <x:row r="343">
      <x:c r="A343" t="n">
        <x:f>339</x:f>
        <x:v>339</x:v>
      </x:c>
      <x:c r="B343" s="7" t="n">
        <x:f>IF(AND('요약'!$B$20,A343&lt;='요약'!$B$6),NORM.S.INV((A343-0.5)/'요약'!$B$6),"")</x:f>
        <x:v>-0.4165603720638952</x:v>
      </x:c>
      <x:c r="C343" s="7" t="n">
        <x:f>IF(AND('요약'!$B$20,A343&lt;='요약'!$B$6),LARGE('계산'!$B$2:$B$2001,'요약'!$B$6-A343+1),"")</x:f>
        <x:v>-0.004536128668631163</x:v>
      </x:c>
      <x:c r="D343" s="7" t="n">
        <x:f>IF(ISNUMBER(B343),'요약'!$B$7+'요약'!$B$13*B343,"")</x:f>
        <x:v>-0.00425956728721558</x:v>
      </x:c>
    </x:row>
    <x:row r="344">
      <x:c r="A344" t="n">
        <x:f>340</x:f>
        <x:v>340</x:v>
      </x:c>
      <x:c r="B344" s="7" t="n">
        <x:f>IF(AND('요약'!$B$20,A344&lt;='요약'!$B$6),NORM.S.INV((A344-0.5)/'요약'!$B$6),"")</x:f>
        <x:v>-0.41382810437856166</x:v>
      </x:c>
      <x:c r="C344" s="7" t="n">
        <x:f>IF(AND('요약'!$B$20,A344&lt;='요약'!$B$6),LARGE('계산'!$B$2:$B$2001,'요약'!$B$6-A344+1),"")</x:f>
        <x:v>-0.004468691293201363</x:v>
      </x:c>
      <x:c r="D344" s="7" t="n">
        <x:f>IF(ISNUMBER(B344),'요약'!$B$7+'요약'!$B$13*B344,"")</x:f>
        <x:v>-0.004231944699783911</x:v>
      </x:c>
    </x:row>
    <x:row r="345">
      <x:c r="A345" t="n">
        <x:f>341</x:f>
        <x:v>341</x:v>
      </x:c>
      <x:c r="B345" s="7" t="n">
        <x:f>IF(AND('요약'!$B$20,A345&lt;='요약'!$B$6),NORM.S.INV((A345-0.5)/'요약'!$B$6),"")</x:f>
        <x:v>-0.4110989225556044</x:v>
      </x:c>
      <x:c r="C345" s="7" t="n">
        <x:f>IF(AND('요약'!$B$20,A345&lt;='요약'!$B$6),LARGE('계산'!$B$2:$B$2001,'요약'!$B$6-A345+1),"")</x:f>
        <x:v>-0.0044655696593354525</x:v>
      </x:c>
      <x:c r="D345" s="7" t="n">
        <x:f>IF(ISNUMBER(B345),'요약'!$B$7+'요약'!$B$13*B345,"")</x:f>
        <x:v>-0.004204353309699321</x:v>
      </x:c>
    </x:row>
    <x:row r="346">
      <x:c r="A346" t="n">
        <x:f>342</x:f>
        <x:v>342</x:v>
      </x:c>
      <x:c r="B346" s="7" t="n">
        <x:f>IF(AND('요약'!$B$20,A346&lt;='요약'!$B$6),NORM.S.INV((A346-0.5)/'요약'!$B$6),"")</x:f>
        <x:v>-0.40837279934995346</x:v>
      </x:c>
      <x:c r="C346" s="7" t="n">
        <x:f>IF(AND('요약'!$B$20,A346&lt;='요약'!$B$6),LARGE('계산'!$B$2:$B$2001,'요약'!$B$6-A346+1),"")</x:f>
        <x:v>-0.004441287657977122</x:v>
      </x:c>
      <x:c r="D346" s="7" t="n">
        <x:f>IF(ISNUMBER(B346),'요약'!$B$7+'요약'!$B$13*B346,"")</x:f>
        <x:v>-0.004176792841520523</x:v>
      </x:c>
    </x:row>
    <x:row r="347">
      <x:c r="A347" t="n">
        <x:f>343</x:f>
        <x:v>343</x:v>
      </x:c>
      <x:c r="B347" s="7" t="n">
        <x:f>IF(AND('요약'!$B$20,A347&lt;='요약'!$B$6),NORM.S.INV((A347-0.5)/'요약'!$B$6),"")</x:f>
        <x:v>-0.4056497076989143</x:v>
      </x:c>
      <x:c r="C347" s="7" t="n">
        <x:f>IF(AND('요약'!$B$20,A347&lt;='요약'!$B$6),LARGE('계산'!$B$2:$B$2001,'요약'!$B$6-A347+1),"")</x:f>
        <x:v>-0.004416813833649036</x:v>
      </x:c>
      <x:c r="D347" s="7" t="n">
        <x:f>IF(ISNUMBER(B347),'요약'!$B$7+'요약'!$B$13*B347,"")</x:f>
        <x:v>-0.004149263021650002</x:v>
      </x:c>
    </x:row>
    <x:row r="348">
      <x:c r="A348" t="n">
        <x:f>344</x:f>
        <x:v>344</x:v>
      </x:c>
      <x:c r="B348" s="7" t="n">
        <x:f>IF(AND('요약'!$B$20,A348&lt;='요약'!$B$6),NORM.S.INV((A348-0.5)/'요약'!$B$6),"")</x:f>
        <x:v>-0.4029296207198474</x:v>
      </x:c>
      <x:c r="C348" s="7" t="n">
        <x:f>IF(AND('요약'!$B$20,A348&lt;='요약'!$B$6),LARGE('계산'!$B$2:$B$2001,'요약'!$B$6-A348+1),"")</x:f>
        <x:v>-0.004302526822069905</x:v>
      </x:c>
      <x:c r="D348" s="7" t="n">
        <x:f>IF(ISNUMBER(B348),'요약'!$B$7+'요약'!$B$13*B348,"")</x:f>
        <x:v>-0.00412176357831056</x:v>
      </x:c>
    </x:row>
    <x:row r="349">
      <x:c r="A349" t="n">
        <x:f>345</x:f>
        <x:v>345</x:v>
      </x:c>
      <x:c r="B349" s="7" t="n">
        <x:f>IF(AND('요약'!$B$20,A349&lt;='요약'!$B$6),NORM.S.INV((A349-0.5)/'요약'!$B$6),"")</x:f>
        <x:v>-0.4002125117078796</x:v>
      </x:c>
      <x:c r="C349" s="7" t="n">
        <x:f>IF(AND('요약'!$B$20,A349&lt;='요약'!$B$6),LARGE('계산'!$B$2:$B$2001,'요약'!$B$6-A349+1),"")</x:f>
        <x:v>-0.004264639790131049</x:v>
      </x:c>
      <x:c r="D349" s="7" t="n">
        <x:f>IF(ISNUMBER(B349),'요약'!$B$7+'요약'!$B$13*B349,"")</x:f>
        <x:v>-0.004094294241522172</x:v>
      </x:c>
    </x:row>
    <x:row r="350">
      <x:c r="A350" t="n">
        <x:f>346</x:f>
        <x:v>346</x:v>
      </x:c>
      <x:c r="B350" s="7" t="n">
        <x:f>IF(AND('요약'!$B$20,A350&lt;='요약'!$B$6),NORM.S.INV((A350-0.5)/'요약'!$B$6),"")</x:f>
        <x:v>-0.3974983541336472</x:v>
      </x:c>
      <x:c r="C350" s="7" t="n">
        <x:f>IF(AND('요약'!$B$20,A350&lt;='요약'!$B$6),LARGE('계산'!$B$2:$B$2001,'요약'!$B$6-A350+1),"")</x:f>
        <x:v>-0.00425355798594773</x:v>
      </x:c>
      <x:c r="D350" s="7" t="n">
        <x:f>IF(ISNUMBER(B350),'요약'!$B$7+'요약'!$B$13*B350,"")</x:f>
        <x:v>-0.004066854743079175</x:v>
      </x:c>
    </x:row>
    <x:row r="351">
      <x:c r="A351" t="n">
        <x:f>347</x:f>
        <x:v>347</x:v>
      </x:c>
      <x:c r="B351" s="7" t="n">
        <x:f>IF(AND('요약'!$B$20,A351&lt;='요약'!$B$6),NORM.S.INV((A351-0.5)/'요약'!$B$6),"")</x:f>
        <x:v>-0.39478712164106994</x:v>
      </x:c>
      <x:c r="C351" s="7" t="n">
        <x:f>IF(AND('요약'!$B$20,A351&lt;='요약'!$B$6),LARGE('계산'!$B$2:$B$2001,'요약'!$B$6-A351+1),"")</x:f>
        <x:v>-0.004207163854700712</x:v>
      </x:c>
      <x:c r="D351" s="7" t="n">
        <x:f>IF(ISNUMBER(B351),'요약'!$B$7+'요약'!$B$13*B351,"")</x:f>
        <x:v>-0.004039444816527761</x:v>
      </x:c>
    </x:row>
    <x:row r="352">
      <x:c r="A352" t="n">
        <x:f>348</x:f>
        <x:v>348</x:v>
      </x:c>
      <x:c r="B352" s="7" t="n">
        <x:f>IF(AND('요약'!$B$20,A352&lt;='요약'!$B$6),NORM.S.INV((A352-0.5)/'요약'!$B$6),"")</x:f>
        <x:v>-0.3920787880451494</x:v>
      </x:c>
      <x:c r="C352" s="7" t="n">
        <x:f>IF(AND('요약'!$B$20,A352&lt;='요약'!$B$6),LARGE('계산'!$B$2:$B$2001,'요약'!$B$6-A352+1),"")</x:f>
        <x:v>-0.00406797832798722</x:v>
      </x:c>
      <x:c r="D352" s="7" t="n">
        <x:f>IF(ISNUMBER(B352),'요약'!$B$7+'요약'!$B$13*B352,"")</x:f>
        <x:v>-0.004012064197143716</x:v>
      </x:c>
    </x:row>
    <x:row r="353">
      <x:c r="A353" t="n">
        <x:f>349</x:f>
        <x:v>349</x:v>
      </x:c>
      <x:c r="B353" s="7" t="n">
        <x:f>IF(AND('요약'!$B$20,A353&lt;='요약'!$B$6),NORM.S.INV((A353-0.5)/'요약'!$B$6),"")</x:f>
        <x:v>-0.3893733273298024</x:v>
      </x:c>
      <x:c r="C353" s="7" t="n">
        <x:f>IF(AND('요약'!$B$20,A353&lt;='요약'!$B$6),LARGE('계산'!$B$2:$B$2001,'요약'!$B$6-A353+1),"")</x:f>
        <x:v>-0.0040168915688236755</x:v>
      </x:c>
      <x:c r="D353" s="7" t="n">
        <x:f>IF(ISNUMBER(B353),'요약'!$B$7+'요약'!$B$13*B353,"")</x:f>
        <x:v>-0.003984712621910525</x:v>
      </x:c>
    </x:row>
    <x:row r="354">
      <x:c r="A354" t="n">
        <x:f>350</x:f>
        <x:v>350</x:v>
      </x:c>
      <x:c r="B354" s="7" t="n">
        <x:f>IF(AND('요약'!$B$20,A354&lt;='요약'!$B$6),NORM.S.INV((A354-0.5)/'요약'!$B$6),"")</x:f>
        <x:v>-0.3866707136457168</x:v>
      </x:c>
      <x:c r="C354" s="7" t="n">
        <x:f>IF(AND('요약'!$B$20,A354&lt;='요약'!$B$6),LARGE('계산'!$B$2:$B$2001,'요약'!$B$6-A354+1),"")</x:f>
        <x:v>-0.003981063101434524</x:v>
      </x:c>
      <x:c r="D354" s="7" t="n">
        <x:f>IF(ISNUMBER(B354),'요약'!$B$7+'요약'!$B$13*B354,"")</x:f>
        <x:v>-0.003957389829497685</x:v>
      </x:c>
    </x:row>
    <x:row r="355">
      <x:c r="A355" t="n">
        <x:f>351</x:f>
        <x:v>351</x:v>
      </x:c>
      <x:c r="B355" s="7" t="n">
        <x:f>IF(AND('요약'!$B$20,A355&lt;='요약'!$B$6),NORM.S.INV((A355-0.5)/'요약'!$B$6),"")</x:f>
        <x:v>-0.3839709213082388</x:v>
      </x:c>
      <x:c r="C355" s="7" t="n">
        <x:f>IF(AND('요약'!$B$20,A355&lt;='요약'!$B$6),LARGE('계산'!$B$2:$B$2001,'요약'!$B$6-A355+1),"")</x:f>
        <x:v>-0.003972720292914435</x:v>
      </x:c>
      <x:c r="D355" s="7" t="n">
        <x:f>IF(ISNUMBER(B355),'요약'!$B$7+'요약'!$B$13*B355,"")</x:f>
        <x:v>-0.003930095560239353</x:v>
      </x:c>
    </x:row>
    <x:row r="356">
      <x:c r="A356" t="n">
        <x:f>352</x:f>
        <x:v>352</x:v>
      </x:c>
      <x:c r="B356" s="7" t="n">
        <x:f>IF(AND('요약'!$B$20,A356&lt;='요약'!$B$6),NORM.S.INV((A356-0.5)/'요약'!$B$6),"")</x:f>
        <x:v>-0.38127392479528915</x:v>
      </x:c>
      <x:c r="C356" s="7" t="n">
        <x:f>IF(AND('요약'!$B$20,A356&lt;='요약'!$B$6),LARGE('계산'!$B$2:$B$2001,'요약'!$B$6-A356+1),"")</x:f>
        <x:v>-0.0038428280509251907</x:v>
      </x:c>
      <x:c r="D356" s="7" t="n">
        <x:f>IF(ISNUMBER(B356),'요약'!$B$7+'요약'!$B$13*B356,"")</x:f>
        <x:v>-0.0039028295561132735</x:v>
      </x:c>
    </x:row>
    <x:row r="357">
      <x:c r="A357" t="n">
        <x:f>353</x:f>
        <x:v>353</x:v>
      </x:c>
      <x:c r="B357" s="7" t="n">
        <x:f>IF(AND('요약'!$B$20,A357&lt;='요약'!$B$6),NORM.S.INV((A357-0.5)/'요약'!$B$6),"")</x:f>
        <x:v>-0.37857969874529795</x:v>
      </x:c>
      <x:c r="C357" s="7" t="n">
        <x:f>IF(AND('요약'!$B$20,A357&lt;='요약'!$B$6),LARGE('계산'!$B$2:$B$2001,'요약'!$B$6-A357+1),"")</x:f>
        <x:v>-0.0038190358422596354</x:v>
      </x:c>
      <x:c r="D357" s="7" t="n">
        <x:f>IF(ISNUMBER(B357),'요약'!$B$7+'요약'!$B$13*B357,"")</x:f>
        <x:v>-0.003875591560719906</x:v>
      </x:c>
    </x:row>
    <x:row r="358">
      <x:c r="A358" t="n">
        <x:f>354</x:f>
        <x:v>354</x:v>
      </x:c>
      <x:c r="B358" s="7" t="n">
        <x:f>IF(AND('요약'!$B$20,A358&lt;='요약'!$B$6),NORM.S.INV((A358-0.5)/'요약'!$B$6),"")</x:f>
        <x:v>-0.3758882179551774</x:v>
      </x:c>
      <x:c r="C358" s="7" t="n">
        <x:f>IF(AND('요약'!$B$20,A358&lt;='요약'!$B$6),LARGE('계산'!$B$2:$B$2001,'요약'!$B$6-A358+1),"")</x:f>
        <x:v>-0.0038184077088340234</x:v>
      </x:c>
      <x:c r="D358" s="7" t="n">
        <x:f>IF(ISNUMBER(B358),'요약'!$B$7+'요약'!$B$13*B358,"")</x:f>
        <x:v>-0.0038483813192619265</x:v>
      </x:c>
    </x:row>
    <x:row r="359">
      <x:c r="A359" t="n">
        <x:f>355</x:f>
        <x:v>355</x:v>
      </x:c>
      <x:c r="B359" s="7" t="n">
        <x:f>IF(AND('요약'!$B$20,A359&lt;='요약'!$B$6),NORM.S.INV((A359-0.5)/'요약'!$B$6),"")</x:f>
        <x:v>-0.3731994573783096</x:v>
      </x:c>
      <x:c r="C359" s="7" t="n">
        <x:f>IF(AND('요약'!$B$20,A359&lt;='요약'!$B$6),LARGE('계산'!$B$2:$B$2001,'요약'!$B$6-A359+1),"")</x:f>
        <x:v>-0.0038117715128138854</x:v>
      </x:c>
      <x:c r="D359" s="7" t="n">
        <x:f>IF(ISNUMBER(B359),'요약'!$B$7+'요약'!$B$13*B359,"")</x:f>
        <x:v>-0.0038211985785238834</x:v>
      </x:c>
    </x:row>
    <x:row r="360">
      <x:c r="A360" t="n">
        <x:f>356</x:f>
        <x:v>356</x:v>
      </x:c>
      <x:c r="B360" s="7" t="n">
        <x:f>IF(AND('요약'!$B$20,A360&lt;='요약'!$B$6),NORM.S.INV((A360-0.5)/'요약'!$B$6),"")</x:f>
        <x:v>-0.3705133921225671</x:v>
      </x:c>
      <x:c r="C360" s="7" t="n">
        <x:f>IF(AND('요약'!$B$20,A360&lt;='요약'!$B$6),LARGE('계산'!$B$2:$B$2001,'요약'!$B$6-A360+1),"")</x:f>
        <x:v>-0.003798618200648166</x:v>
      </x:c>
      <x:c r="D360" s="7" t="n">
        <x:f>IF(ISNUMBER(B360),'요약'!$B$7+'요약'!$B$13*B360,"")</x:f>
        <x:v>-0.003794043086852189</x:v>
      </x:c>
    </x:row>
    <x:row r="361">
      <x:c r="A361" t="n">
        <x:f>357</x:f>
        <x:v>357</x:v>
      </x:c>
      <x:c r="B361" s="7" t="n">
        <x:f>IF(AND('요약'!$B$20,A361&lt;='요약'!$B$6),NORM.S.INV((A361-0.5)/'요약'!$B$6),"")</x:f>
        <x:v>-0.36782999744835626</x:v>
      </x:c>
      <x:c r="C361" s="7" t="n">
        <x:f>IF(AND('요약'!$B$20,A361&lt;='요약'!$B$6),LARGE('계산'!$B$2:$B$2001,'요약'!$B$6-A361+1),"")</x:f>
        <x:v>-0.0037937702695647843</x:v>
      </x:c>
      <x:c r="D361" s="7" t="n">
        <x:f>IF(ISNUMBER(B361),'요약'!$B$7+'요약'!$B$13*B361,"")</x:f>
        <x:v>-0.003766914594135336</x:v>
      </x:c>
    </x:row>
    <x:row r="362">
      <x:c r="A362" t="n">
        <x:f>358</x:f>
        <x:v>358</x:v>
      </x:c>
      <x:c r="B362" s="7" t="n">
        <x:f>IF(AND('요약'!$B$20,A362&lt;='요약'!$B$6),NORM.S.INV((A362-0.5)/'요약'!$B$6),"")</x:f>
        <x:v>-0.36514924876668237</x:v>
      </x:c>
      <x:c r="C362" s="7" t="n">
        <x:f>IF(AND('요약'!$B$20,A362&lt;='요약'!$B$6),LARGE('계산'!$B$2:$B$2001,'요약'!$B$6-A362+1),"")</x:f>
        <x:v>-0.003791382567076844</x:v>
      </x:c>
      <x:c r="D362" s="7" t="n">
        <x:f>IF(ISNUMBER(B362),'요약'!$B$7+'요약'!$B$13*B362,"")</x:f>
        <x:v>-0.003739812851784338</x:v>
      </x:c>
    </x:row>
    <x:row r="363">
      <x:c r="A363" t="n">
        <x:f>359</x:f>
        <x:v>359</x:v>
      </x:c>
      <x:c r="B363" s="7" t="n">
        <x:f>IF(AND('요약'!$B$20,A363&lt;='요약'!$B$6),NORM.S.INV((A363-0.5)/'요약'!$B$6),"")</x:f>
        <x:v>-0.36247112163724376</x:v>
      </x:c>
      <x:c r="C363" s="7" t="n">
        <x:f>IF(AND('요약'!$B$20,A363&lt;='요약'!$B$6),LARGE('계산'!$B$2:$B$2001,'요약'!$B$6-A363+1),"")</x:f>
        <x:v>-0.00374451760594855</x:v>
      </x:c>
      <x:c r="D363" s="7" t="n">
        <x:f>IF(ISNUMBER(B363),'요약'!$B$7+'요약'!$B$13*B363,"")</x:f>
        <x:v>-0.003712737612713459</x:v>
      </x:c>
    </x:row>
    <x:row r="364">
      <x:c r="A364" t="n">
        <x:f>360</x:f>
        <x:v>360</x:v>
      </x:c>
      <x:c r="B364" s="7" t="n">
        <x:f>IF(AND('요약'!$B$20,A364&lt;='요약'!$B$6),NORM.S.INV((A364-0.5)/'요약'!$B$6),"")</x:f>
        <x:v>-0.3597955917665467</x:v>
      </x:c>
      <x:c r="C364" s="7" t="n">
        <x:f>IF(AND('요약'!$B$20,A364&lt;='요약'!$B$6),LARGE('계산'!$B$2:$B$2001,'요약'!$B$6-A364+1),"")</x:f>
        <x:v>-0.003720523797651686</x:v>
      </x:c>
      <x:c r="D364" s="7" t="n">
        <x:f>IF(ISNUMBER(B364),'요약'!$B$7+'요약'!$B$13*B364,"")</x:f>
        <x:v>-0.0036856886313211584</x:v>
      </x:c>
    </x:row>
    <x:row r="365">
      <x:c r="A365" t="n">
        <x:f>361</x:f>
        <x:v>361</x:v>
      </x:c>
      <x:c r="B365" s="7" t="n">
        <x:f>IF(AND('요약'!$B$20,A365&lt;='요약'!$B$6),NORM.S.INV((A365-0.5)/'요약'!$B$6),"")</x:f>
        <x:v>-0.3571226350060442</x:v>
      </x:c>
      <x:c r="C365" s="7" t="n">
        <x:f>IF(AND('요약'!$B$20,A365&lt;='요약'!$B$6),LARGE('계산'!$B$2:$B$2001,'요약'!$B$6-A365+1),"")</x:f>
        <x:v>-0.003713506742716031</x:v>
      </x:c>
      <x:c r="D365" s="7" t="n">
        <x:f>IF(ISNUMBER(B365),'요약'!$B$7+'요약'!$B$13*B365,"")</x:f>
        <x:v>-0.003658665663471273</x:v>
      </x:c>
    </x:row>
    <x:row r="366">
      <x:c r="A366" t="n">
        <x:f>362</x:f>
        <x:v>362</x:v>
      </x:c>
      <x:c r="B366" s="7" t="n">
        <x:f>IF(AND('요약'!$B$20,A366&lt;='요약'!$B$6),NORM.S.INV((A366-0.5)/'요약'!$B$6),"")</x:f>
        <x:v>-0.3544522273502961</x:v>
      </x:c>
      <x:c r="C366" s="7" t="n">
        <x:f>IF(AND('요약'!$B$20,A366&lt;='요약'!$B$6),LARGE('계산'!$B$2:$B$2001,'요약'!$B$6-A366+1),"")</x:f>
        <x:v>-0.0036846177992957262</x:v>
      </x:c>
      <x:c r="D366" s="7" t="n">
        <x:f>IF(ISNUMBER(B366),'요약'!$B$7+'요약'!$B$13*B366,"")</x:f>
        <x:v>-0.0036316684664744144</x:v>
      </x:c>
    </x:row>
    <x:row r="367">
      <x:c r="A367" t="n">
        <x:f>363</x:f>
        <x:v>363</x:v>
      </x:c>
      <x:c r="B367" s="7" t="n">
        <x:f>IF(AND('요약'!$B$20,A367&lt;='요약'!$B$6),NORM.S.INV((A367-0.5)/'요약'!$B$6),"")</x:f>
        <x:v>-0.3517843449351564</x:v>
      </x:c>
      <x:c r="C367" s="7" t="n">
        <x:f>IF(AND('요약'!$B$20,A367&lt;='요약'!$B$6),LARGE('계산'!$B$2:$B$2001,'요약'!$B$6-A367+1),"")</x:f>
        <x:v>-0.003578415567973179</x:v>
      </x:c>
      <x:c r="D367" s="7" t="n">
        <x:f>IF(ISNUMBER(B367),'요약'!$B$7+'요약'!$B$13*B367,"")</x:f>
        <x:v>-0.0036046967990696482</x:v>
      </x:c>
    </x:row>
    <x:row r="368">
      <x:c r="A368" t="n">
        <x:f>364</x:f>
        <x:v>364</x:v>
      </x:c>
      <x:c r="B368" s="7" t="n">
        <x:f>IF(AND('요약'!$B$20,A368&lt;='요약'!$B$6),NORM.S.INV((A368-0.5)/'요약'!$B$6),"")</x:f>
        <x:v>-0.34911896403597686</x:v>
      </x:c>
      <x:c r="C368" s="7" t="n">
        <x:f>IF(AND('요약'!$B$20,A368&lt;='요약'!$B$6),LARGE('계산'!$B$2:$B$2001,'요약'!$B$6-A368+1),"")</x:f>
        <x:v>-0.003507510065242051</x:v>
      </x:c>
      <x:c r="D368" s="7" t="n">
        <x:f>IF(ISNUMBER(B368),'요약'!$B$7+'요약'!$B$13*B368,"")</x:f>
        <x:v>-0.0035777504214063267</x:v>
      </x:c>
    </x:row>
    <x:row r="369">
      <x:c r="A369" t="n">
        <x:f>365</x:f>
        <x:v>365</x:v>
      </x:c>
      <x:c r="B369" s="7" t="n">
        <x:f>IF(AND('요약'!$B$20,A369&lt;='요약'!$B$6),NORM.S.INV((A369-0.5)/'요약'!$B$6),"")</x:f>
        <x:v>-0.3464560610658369</x:v>
      </x:c>
      <x:c r="C369" s="7" t="n">
        <x:f>IF(AND('요약'!$B$20,A369&lt;='요약'!$B$6),LARGE('계산'!$B$2:$B$2001,'요약'!$B$6-A369+1),"")</x:f>
        <x:v>-0.0034637503690971893</x:v>
      </x:c>
      <x:c r="D369" s="7" t="n">
        <x:f>IF(ISNUMBER(B369),'요약'!$B$7+'요약'!$B$13*B369,"")</x:f>
        <x:v>-0.0035508290950261984</x:v>
      </x:c>
    </x:row>
    <x:row r="370">
      <x:c r="A370" t="n">
        <x:f>366</x:f>
        <x:v>366</x:v>
      </x:c>
      <x:c r="B370" s="7" t="n">
        <x:f>IF(AND('요약'!$B$20,A370&lt;='요약'!$B$6),NORM.S.INV((A370-0.5)/'요약'!$B$6),"")</x:f>
        <x:v>-0.34379561257379204</x:v>
      </x:c>
      <x:c r="C370" s="7" t="n">
        <x:f>IF(AND('요약'!$B$20,A370&lt;='요약'!$B$6),LARGE('계산'!$B$2:$B$2001,'요약'!$B$6-A370+1),"")</x:f>
        <x:v>-0.0034274023718717057</x:v>
      </x:c>
      <x:c r="D370" s="7" t="n">
        <x:f>IF(ISNUMBER(B370),'요약'!$B$7+'요약'!$B$13*B370,"")</x:f>
        <x:v>-0.0035239325828456984</x:v>
      </x:c>
    </x:row>
    <x:row r="371">
      <x:c r="A371" t="n">
        <x:f>367</x:f>
        <x:v>367</x:v>
      </x:c>
      <x:c r="B371" s="7" t="n">
        <x:f>IF(AND('요약'!$B$20,A371&lt;='요약'!$B$6),NORM.S.INV((A371-0.5)/'요약'!$B$6),"")</x:f>
        <x:v>-0.34113759524314596</x:v>
      </x:c>
      <x:c r="C371" s="7" t="n">
        <x:f>IF(AND('요약'!$B$20,A371&lt;='요약'!$B$6),LARGE('계산'!$B$2:$B$2001,'요약'!$B$6-A371+1),"")</x:f>
        <x:v>-0.0034240077316593323</x:v>
      </x:c>
      <x:c r="D371" s="7" t="n">
        <x:f>IF(ISNUMBER(B371),'요약'!$B$7+'요약'!$B$13*B371,"")</x:f>
        <x:v>-0.003497060649138479</x:v>
      </x:c>
    </x:row>
    <x:row r="372">
      <x:c r="A372" t="n">
        <x:f>368</x:f>
        <x:v>368</x:v>
      </x:c>
      <x:c r="B372" s="7" t="n">
        <x:f>IF(AND('요약'!$B$20,A372&lt;='요약'!$B$6),NORM.S.INV((A372-0.5)/'요약'!$B$6),"")</x:f>
        <x:v>-0.33848198588973977</x:v>
      </x:c>
      <x:c r="C372" s="7" t="n">
        <x:f>IF(AND('요약'!$B$20,A372&lt;='요약'!$B$6),LARGE('계산'!$B$2:$B$2001,'요약'!$B$6-A372+1),"")</x:f>
        <x:v>-0.0033940898365148763</x:v>
      </x:c>
      <x:c r="D372" s="7" t="n">
        <x:f>IF(ISNUMBER(B372),'요약'!$B$7+'요약'!$B$13*B372,"")</x:f>
        <x:v>-0.0034702130595181133</x:v>
      </x:c>
    </x:row>
    <x:row r="373">
      <x:c r="A373" t="n">
        <x:f>369</x:f>
        <x:v>369</x:v>
      </x:c>
      <x:c r="B373" s="7" t="n">
        <x:f>IF(AND('요약'!$B$20,A373&lt;='요약'!$B$6),NORM.S.INV((A373-0.5)/'요약'!$B$6),"")</x:f>
        <x:v>-0.3358287614602655</x:v>
      </x:c>
      <x:c r="C373" s="7" t="n">
        <x:f>IF(AND('요약'!$B$20,A373&lt;='요약'!$B$6),LARGE('계산'!$B$2:$B$2001,'요약'!$B$6-A373+1),"")</x:f>
        <x:v>-0.0033803974599708225</x:v>
      </x:c>
      <x:c r="D373" s="7" t="n">
        <x:f>IF(ISNUMBER(B373),'요약'!$B$7+'요약'!$B$13*B373,"")</x:f>
        <x:v>-0.0034433895809210502</x:v>
      </x:c>
    </x:row>
    <x:row r="374">
      <x:c r="A374" t="n">
        <x:f>370</x:f>
        <x:v>370</x:v>
      </x:c>
      <x:c r="B374" s="7" t="n">
        <x:f>IF(AND('요약'!$B$20,A374&lt;='요약'!$B$6),NORM.S.INV((A374-0.5)/'요약'!$B$6),"")</x:f>
        <x:v>-0.33317789903059636</x:v>
      </x:c>
      <x:c r="C374" s="7" t="n">
        <x:f>IF(AND('요약'!$B$20,A374&lt;='요약'!$B$6),LARGE('계산'!$B$2:$B$2001,'요약'!$B$6-A374+1),"")</x:f>
        <x:v>-0.0033596417507400717</x:v>
      </x:c>
      <x:c r="D374" s="7" t="n">
        <x:f>IF(ISNUMBER(B374),'요약'!$B$7+'요약'!$B$13*B374,"")</x:f>
        <x:v>-0.0034165899815897264</x:v>
      </x:c>
    </x:row>
    <x:row r="375">
      <x:c r="A375" t="n">
        <x:f>371</x:f>
        <x:v>371</x:v>
      </x:c>
      <x:c r="B375" s="7" t="n">
        <x:f>IF(AND('요약'!$B$20,A375&lt;='요약'!$B$6),NORM.S.INV((A375-0.5)/'요약'!$B$6),"")</x:f>
        <x:v>-0.33052937580413966</x:v>
      </x:c>
      <x:c r="C375" s="7" t="n">
        <x:f>IF(AND('요약'!$B$20,A375&lt;='요약'!$B$6),LARGE('계산'!$B$2:$B$2001,'요약'!$B$6-A375+1),"")</x:f>
        <x:v>-0.0033505754849919973</x:v>
      </x:c>
      <x:c r="D375" s="7" t="n">
        <x:f>IF(ISNUMBER(B375),'요약'!$B$7+'요약'!$B$13*B375,"")</x:f>
        <x:v>-0.0033898140310559214</x:v>
      </x:c>
    </x:row>
    <x:row r="376">
      <x:c r="A376" t="n">
        <x:f>372</x:f>
        <x:v>372</x:v>
      </x:c>
      <x:c r="B376" s="7" t="n">
        <x:f>IF(AND('요약'!$B$20,A376&lt;='요약'!$B$6),NORM.S.INV((A376-0.5)/'요약'!$B$6),"")</x:f>
        <x:v>-0.3278831691102047</x:v>
      </x:c>
      <x:c r="C376" s="7" t="n">
        <x:f>IF(AND('요약'!$B$20,A376&lt;='요약'!$B$6),LARGE('계산'!$B$2:$B$2001,'요약'!$B$6-A376+1),"")</x:f>
        <x:v>-0.003343110391344389</x:v>
      </x:c>
      <x:c r="D376" s="7" t="n">
        <x:f>IF(ISNUMBER(B376),'요약'!$B$7+'요약'!$B$13*B376,"")</x:f>
        <x:v>-0.0033630615001242524</x:v>
      </x:c>
    </x:row>
    <x:row r="377">
      <x:c r="A377" t="n">
        <x:f>373</x:f>
        <x:v>373</x:v>
      </x:c>
      <x:c r="B377" s="7" t="n">
        <x:f>IF(AND('요약'!$B$20,A377&lt;='요약'!$B$6),NORM.S.INV((A377-0.5)/'요약'!$B$6),"")</x:f>
        <x:v>-0.32523925640239554</x:v>
      </x:c>
      <x:c r="C377" s="7" t="n">
        <x:f>IF(AND('요약'!$B$20,A377&lt;='요약'!$B$6),LARGE('계산'!$B$2:$B$2001,'요약'!$B$6-A377+1),"")</x:f>
        <x:v>-0.003331363329018371</x:v>
      </x:c>
      <x:c r="D377" s="7" t="n">
        <x:f>IF(ISNUMBER(B377),'요약'!$B$7+'요약'!$B$13*B377,"")</x:f>
        <x:v>-0.003336332160855928</x:v>
      </x:c>
    </x:row>
    <x:row r="378">
      <x:c r="A378" t="n">
        <x:f>374</x:f>
        <x:v>374</x:v>
      </x:c>
      <x:c r="B378" s="7" t="n">
        <x:f>IF(AND('요약'!$B$20,A378&lt;='요약'!$B$6),NORM.S.INV((A378-0.5)/'요약'!$B$6),"")</x:f>
        <x:v>-0.32259761525701636</x:v>
      </x:c>
      <x:c r="C378" s="7" t="n">
        <x:f>IF(AND('요약'!$B$20,A378&lt;='요약'!$B$6),LARGE('계산'!$B$2:$B$2001,'요약'!$B$6-A378+1),"")</x:f>
        <x:v>-0.0033197245754116454</x:v>
      </x:c>
      <x:c r="D378" s="7" t="n">
        <x:f>IF(ISNUMBER(B378),'요약'!$B$7+'요약'!$B$13*B378,"")</x:f>
        <x:v>-0.003309625786552628</x:v>
      </x:c>
    </x:row>
    <x:row r="379">
      <x:c r="A379" t="n">
        <x:f>375</x:f>
        <x:v>375</x:v>
      </x:c>
      <x:c r="B379" s="7" t="n">
        <x:f>IF(AND('요약'!$B$20,A379&lt;='요약'!$B$6),NORM.S.INV((A379-0.5)/'요약'!$B$6),"")</x:f>
        <x:v>-0.3199582233714995</x:v>
      </x:c>
      <x:c r="C379" s="7" t="n">
        <x:f>IF(AND('요약'!$B$20,A379&lt;='요약'!$B$6),LARGE('계산'!$B$2:$B$2001,'요약'!$B$6-A379+1),"")</x:f>
        <x:v>-0.0032796736914583948</x:v>
      </x:c>
      <x:c r="D379" s="7" t="n">
        <x:f>IF(ISNUMBER(B379),'요약'!$B$7+'요약'!$B$13*B379,"")</x:f>
        <x:v>-0.0032829421517406067</x:v>
      </x:c>
    </x:row>
    <x:row r="380">
      <x:c r="A380" t="n">
        <x:f>376</x:f>
        <x:v>376</x:v>
      </x:c>
      <x:c r="B380" s="7" t="n">
        <x:f>IF(AND('요약'!$B$20,A380&lt;='요약'!$B$6),NORM.S.INV((A380-0.5)/'요약'!$B$6),"")</x:f>
        <x:v>-0.31732105856285064</x:v>
      </x:c>
      <x:c r="C380" s="7" t="n">
        <x:f>IF(AND('요약'!$B$20,A380&lt;='요약'!$B$6),LARGE('계산'!$B$2:$B$2001,'요약'!$B$6-A380+1),"")</x:f>
        <x:v>-0.0032660214099032004</x:v>
      </x:c>
      <x:c r="D380" s="7" t="n">
        <x:f>IF(ISNUMBER(B380),'요약'!$B$7+'요약'!$B$13*B380,"")</x:f>
        <x:v>-0.0032562810321549794</x:v>
      </x:c>
    </x:row>
    <x:row r="381">
      <x:c r="A381" t="n">
        <x:f>377</x:f>
        <x:v>377</x:v>
      </x:c>
      <x:c r="B381" s="7" t="n">
        <x:f>IF(AND('요약'!$B$20,A381&lt;='요약'!$B$6),NORM.S.INV((A381-0.5)/'요약'!$B$6),"")</x:f>
        <x:v>-0.3146860987661098</x:v>
      </x:c>
      <x:c r="C381" s="7" t="n">
        <x:f>IF(AND('요약'!$B$20,A381&lt;='요약'!$B$6),LARGE('계산'!$B$2:$B$2001,'요약'!$B$6-A381+1),"")</x:f>
        <x:v>-0.0032556537024080235</x:v>
      </x:c>
      <x:c r="D381" s="7" t="n">
        <x:f>IF(ISNUMBER(B381),'요약'!$B$7+'요약'!$B$13*B381,"")</x:f>
        <x:v>-0.0032296422047241595</x:v>
      </x:c>
    </x:row>
    <x:row r="382">
      <x:c r="A382" t="n">
        <x:f>378</x:f>
        <x:v>378</x:v>
      </x:c>
      <x:c r="B382" s="7" t="n">
        <x:f>IF(AND('요약'!$B$20,A382&lt;='요약'!$B$6),NORM.S.INV((A382-0.5)/'요약'!$B$6),"")</x:f>
        <x:v>-0.3120533220328325</x:v>
      </x:c>
      <x:c r="C382" s="7" t="n">
        <x:f>IF(AND('요약'!$B$20,A382&lt;='요약'!$B$6),LARGE('계산'!$B$2:$B$2001,'요약'!$B$6-A382+1),"")</x:f>
        <x:v>-0.0032492769523037248</x:v>
      </x:c>
      <x:c r="D382" s="7" t="n">
        <x:f>IF(ISNUMBER(B382),'요약'!$B$7+'요약'!$B$13*B382,"")</x:f>
        <x:v>-0.003203025447554505</x:v>
      </x:c>
    </x:row>
    <x:row r="383">
      <x:c r="A383" t="n">
        <x:f>379</x:f>
        <x:v>379</x:v>
      </x:c>
      <x:c r="B383" s="7" t="n">
        <x:f>IF(AND('요약'!$B$20,A383&lt;='요약'!$B$6),NORM.S.INV((A383-0.5)/'요약'!$B$6),"")</x:f>
        <x:v>-0.3094227065295837</x:v>
      </x:c>
      <x:c r="C383" s="7" t="n">
        <x:f>IF(AND('요약'!$B$20,A383&lt;='요약'!$B$6),LARGE('계산'!$B$2:$B$2001,'요약'!$B$6-A383+1),"")</x:f>
        <x:v>-0.0032231888301986786</x:v>
      </x:c>
      <x:c r="D383" s="7" t="n">
        <x:f>IF(ISNUMBER(B383),'요약'!$B$7+'요약'!$B$13*B383,"")</x:f>
        <x:v>-0.0031764305399150945</x:v>
      </x:c>
    </x:row>
    <x:row r="384">
      <x:c r="A384" t="n">
        <x:f>380</x:f>
        <x:v>380</x:v>
      </x:c>
      <x:c r="B384" s="7" t="n">
        <x:f>IF(AND('요약'!$B$20,A384&lt;='요약'!$B$6),NORM.S.INV((A384-0.5)/'요약'!$B$6),"")</x:f>
        <x:v>-0.3067942305364565</x:v>
      </x:c>
      <x:c r="C384" s="7" t="n">
        <x:f>IF(AND('요약'!$B$20,A384&lt;='요약'!$B$6),LARGE('계산'!$B$2:$B$2001,'요약'!$B$6-A384+1),"")</x:f>
        <x:v>-0.0031960561413526822</x:v>
      </x:c>
      <x:c r="D384" s="7" t="n">
        <x:f>IF(ISNUMBER(B384),'요약'!$B$7+'요약'!$B$13*B384,"")</x:f>
        <x:v>-0.0031498572622227455</x:v>
      </x:c>
    </x:row>
    <x:row r="385">
      <x:c r="A385" t="n">
        <x:f>381</x:f>
        <x:v>381</x:v>
      </x:c>
      <x:c r="B385" s="7" t="n">
        <x:f>IF(AND('요약'!$B$20,A385&lt;='요약'!$B$6),NORM.S.INV((A385-0.5)/'요약'!$B$6),"")</x:f>
        <x:v>-0.30416787244559845</x:v>
      </x:c>
      <x:c r="C385" s="7" t="n">
        <x:f>IF(AND('요약'!$B$20,A385&lt;='요약'!$B$6),LARGE('계산'!$B$2:$B$2001,'요약'!$B$6-A385+1),"")</x:f>
        <x:v>-0.0031306105711563386</x:v>
      </x:c>
      <x:c r="D385" s="7" t="n">
        <x:f>IF(ISNUMBER(B385),'요약'!$B$7+'요약'!$B$13*B385,"")</x:f>
        <x:v>-0.003123305396027124</x:v>
      </x:c>
    </x:row>
    <x:row r="386">
      <x:c r="A386" t="n">
        <x:f>382</x:f>
        <x:v>382</x:v>
      </x:c>
      <x:c r="B386" s="7" t="n">
        <x:f>IF(AND('요약'!$B$20,A386&lt;='요약'!$B$6),NORM.S.INV((A386-0.5)/'요약'!$B$6),"")</x:f>
        <x:v>-0.30154361075976005</x:v>
      </x:c>
      <x:c r="C386" s="7" t="n">
        <x:f>IF(AND('요약'!$B$20,A386&lt;='요약'!$B$6),LARGE('계산'!$B$2:$B$2001,'요약'!$B$6-A386+1),"")</x:f>
        <x:v>-0.0030982901190132455</x:v>
      </x:c>
      <x:c r="D386" s="7" t="n">
        <x:f>IF(ISNUMBER(B386),'요약'!$B$7+'요약'!$B$13*B386,"")</x:f>
        <x:v>-0.0030967747239960632</x:v>
      </x:c>
    </x:row>
    <x:row r="387">
      <x:c r="A387" t="n">
        <x:f>383</x:f>
        <x:v>383</x:v>
      </x:c>
      <x:c r="B387" s="7" t="n">
        <x:f>IF(AND('요약'!$B$20,A387&lt;='요약'!$B$6),NORM.S.INV((A387-0.5)/'요약'!$B$6),"")</x:f>
        <x:v>-0.2989214240908573</x:v>
      </x:c>
      <x:c r="C387" s="7" t="n">
        <x:f>IF(AND('요약'!$B$20,A387&lt;='요약'!$B$6),LARGE('계산'!$B$2:$B$2001,'요약'!$B$6-A387+1),"")</x:f>
        <x:v>-0.0030788007841164888</x:v>
      </x:c>
      <x:c r="D387" s="7" t="n">
        <x:f>IF(ISNUMBER(B387),'요약'!$B$7+'요약'!$B$13*B387,"")</x:f>
        <x:v>-0.0030702650299010356</x:v>
      </x:c>
    </x:row>
    <x:row r="388">
      <x:c r="A388" t="n">
        <x:f>384</x:f>
        <x:v>384</x:v>
      </x:c>
      <x:c r="B388" s="7" t="n">
        <x:f>IF(AND('요약'!$B$20,A388&lt;='요약'!$B$6),NORM.S.INV((A388-0.5)/'요약'!$B$6),"")</x:f>
        <x:v>-0.2963012911585491</x:v>
      </x:c>
      <x:c r="C388" s="7" t="n">
        <x:f>IF(AND('요약'!$B$20,A388&lt;='요약'!$B$6),LARGE('계산'!$B$2:$B$2001,'요약'!$B$6-A388+1),"")</x:f>
        <x:v>-0.0030577245886887544</x:v>
      </x:c>
      <x:c r="D388" s="7" t="n">
        <x:f>IF(ISNUMBER(B388),'요약'!$B$7+'요약'!$B$13*B388,"")</x:f>
        <x:v>-0.0030437760986027672</x:v>
      </x:c>
    </x:row>
    <x:row r="389">
      <x:c r="A389" t="n">
        <x:f>385</x:f>
        <x:v>385</x:v>
      </x:c>
      <x:c r="B389" s="7" t="n">
        <x:f>IF(AND('요약'!$B$20,A389&lt;='요약'!$B$6),NORM.S.INV((A389-0.5)/'요약'!$B$6),"")</x:f>
        <x:v>-0.29368319078883237</x:v>
      </x:c>
      <x:c r="C389" s="7" t="n">
        <x:f>IF(AND('요약'!$B$20,A389&lt;='요약'!$B$6),LARGE('계산'!$B$2:$B$2001,'요약'!$B$6-A389+1),"")</x:f>
        <x:v>-0.0030390493784978774</x:v>
      </x:c>
      <x:c r="D389" s="7" t="n">
        <x:f>IF(ISNUMBER(B389),'요약'!$B$7+'요약'!$B$13*B389,"")</x:f>
        <x:v>-0.0030173077160370394</x:v>
      </x:c>
    </x:row>
    <x:row r="390">
      <x:c r="A390" t="n">
        <x:f>386</x:f>
        <x:v>386</x:v>
      </x:c>
      <x:c r="B390" s="7" t="n">
        <x:f>IF(AND('요약'!$B$20,A390&lt;='요약'!$B$6),NORM.S.INV((A390-0.5)/'요약'!$B$6),"")</x:f>
        <x:v>-0.2910671019126516</x:v>
      </x:c>
      <x:c r="C390" s="7" t="n">
        <x:f>IF(AND('요약'!$B$20,A390&lt;='요약'!$B$6),LARGE('계산'!$B$2:$B$2001,'요약'!$B$6-A390+1),"")</x:f>
        <x:v>-0.0030048311450339973</x:v>
      </x:c>
      <x:c r="D390" s="7" t="n">
        <x:f>IF(ISNUMBER(B390),'요약'!$B$7+'요약'!$B$13*B390,"")</x:f>
        <x:v>-0.0029908596692006266</x:v>
      </x:c>
    </x:row>
    <x:row r="391">
      <x:c r="A391" t="n">
        <x:f>387</x:f>
        <x:v>387</x:v>
      </x:c>
      <x:c r="B391" s="7" t="n">
        <x:f>IF(AND('요약'!$B$20,A391&lt;='요약'!$B$6),NORM.S.INV((A391-0.5)/'요약'!$B$6),"")</x:f>
        <x:v>-0.28845300356452114</x:v>
      </x:c>
      <x:c r="C391" s="7" t="n">
        <x:f>IF(AND('요약'!$B$20,A391&lt;='요약'!$B$6),LARGE('계산'!$B$2:$B$2001,'요약'!$B$6-A391+1),"")</x:f>
        <x:v>-0.002951657080443583</x:v>
      </x:c>
      <x:c r="D391" s="7" t="n">
        <x:f>IF(ISNUMBER(B391),'요약'!$B$7+'요약'!$B$13*B391,"")</x:f>
        <x:v>-0.0029644317461373706</x:v>
      </x:c>
    </x:row>
    <x:row r="392">
      <x:c r="A392" t="n">
        <x:f>388</x:f>
        <x:v>388</x:v>
      </x:c>
      <x:c r="B392" s="7" t="n">
        <x:f>IF(AND('요약'!$B$20,A392&lt;='요약'!$B$6),NORM.S.INV((A392-0.5)/'요약'!$B$6),"")</x:f>
        <x:v>-0.2858408748811658</x:v>
      </x:c>
      <x:c r="C392" s="7" t="n">
        <x:f>IF(AND('요약'!$B$20,A392&lt;='요약'!$B$6),LARGE('계산'!$B$2:$B$2001,'요약'!$B$6-A392+1),"")</x:f>
        <x:v>-0.0028966775374889785</x:v>
      </x:c>
      <x:c r="D392" s="7" t="n">
        <x:f>IF(ISNUMBER(B392),'요약'!$B$7+'요약'!$B$13*B392,"")</x:f>
        <x:v>-0.0029380237359244383</x:v>
      </x:c>
    </x:row>
    <x:row r="393">
      <x:c r="A393" t="n">
        <x:f>389</x:f>
        <x:v>389</x:v>
      </x:c>
      <x:c r="B393" s="7" t="n">
        <x:f>IF(AND('요약'!$B$20,A393&lt;='요약'!$B$6),NORM.S.INV((A393-0.5)/'요약'!$B$6),"")</x:f>
        <x:v>-0.28323069510017357</x:v>
      </x:c>
      <x:c r="C393" s="7" t="n">
        <x:f>IF(AND('요약'!$B$20,A393&lt;='요약'!$B$6),LARGE('계산'!$B$2:$B$2001,'요약'!$B$6-A393+1),"")</x:f>
        <x:v>-0.002891786497149937</x:v>
      </x:c>
      <x:c r="D393" s="7" t="n">
        <x:f>IF(ISNUMBER(B393),'요약'!$B$7+'요약'!$B$13*B393,"")</x:f>
        <x:v>-0.0029116354286586993</x:v>
      </x:c>
    </x:row>
    <x:row r="394">
      <x:c r="A394" t="n">
        <x:f>390</x:f>
        <x:v>390</x:v>
      </x:c>
      <x:c r="B394" s="7" t="n">
        <x:f>IF(AND('요약'!$B$20,A394&lt;='요약'!$B$6),NORM.S.INV((A394-0.5)/'요약'!$B$6),"")</x:f>
        <x:v>-0.280622443558663</x:v>
      </x:c>
      <x:c r="C394" s="7" t="n">
        <x:f>IF(AND('요약'!$B$20,A394&lt;='요약'!$B$6),LARGE('계산'!$B$2:$B$2001,'요약'!$B$6-A394+1),"")</x:f>
        <x:v>-0.0028831880377310467</x:v>
      </x:c>
      <x:c r="D394" s="7" t="n">
        <x:f>IF(ISNUMBER(B394),'요약'!$B$7+'요약'!$B$13*B394,"")</x:f>
        <x:v>-0.002885266615443253</x:v>
      </x:c>
    </x:row>
    <x:row r="395">
      <x:c r="A395" t="n">
        <x:f>391</x:f>
        <x:v>391</x:v>
      </x:c>
      <x:c r="B395" s="7" t="n">
        <x:f>IF(AND('요약'!$B$20,A395&lt;='요약'!$B$6),NORM.S.INV((A395-0.5)/'요약'!$B$6),"")</x:f>
        <x:v>-0.2780160996919659</x:v>
      </x:c>
      <x:c r="C395" s="7" t="n">
        <x:f>IF(AND('요약'!$B$20,A395&lt;='요약'!$B$6),LARGE('계산'!$B$2:$B$2001,'요약'!$B$6-A395+1),"")</x:f>
        <x:v>-0.002855208455138448</x:v>
      </x:c>
      <x:c r="D395" s="7" t="n">
        <x:f>IF(ISNUMBER(B395),'요약'!$B$7+'요약'!$B$13*B395,"")</x:f>
        <x:v>-0.002858917088374112</x:v>
      </x:c>
    </x:row>
    <x:row r="396">
      <x:c r="A396" t="n">
        <x:f>392</x:f>
        <x:v>392</x:v>
      </x:c>
      <x:c r="B396" s="7" t="n">
        <x:f>IF(AND('요약'!$B$20,A396&lt;='요약'!$B$6),NORM.S.INV((A396-0.5)/'요약'!$B$6),"")</x:f>
        <x:v>-0.27541164303232074</x:v>
      </x:c>
      <x:c r="C396" s="7" t="n">
        <x:f>IF(AND('요약'!$B$20,A396&lt;='요약'!$B$6),LARGE('계산'!$B$2:$B$2001,'요약'!$B$6-A396+1),"")</x:f>
        <x:v>-0.0028446887006135634</x:v>
      </x:c>
      <x:c r="D396" s="7" t="n">
        <x:f>IF(ISNUMBER(B396),'요약'!$B$7+'요약'!$B$13*B396,"")</x:f>
        <x:v>-0.0028325866405269945</x:v>
      </x:c>
    </x:row>
    <x:row r="397">
      <x:c r="A397" t="n">
        <x:f>393</x:f>
        <x:v>393</x:v>
      </x:c>
      <x:c r="B397" s="7" t="n">
        <x:f>IF(AND('요약'!$B$20,A397&lt;='요약'!$B$6),NORM.S.INV((A397-0.5)/'요약'!$B$6),"")</x:f>
        <x:v>-0.2728090532075823</x:v>
      </x:c>
      <x:c r="C397" s="7" t="n">
        <x:f>IF(AND('요약'!$B$20,A397&lt;='요약'!$B$6),LARGE('계산'!$B$2:$B$2001,'요약'!$B$6-A397+1),"")</x:f>
        <x:v>-0.0028420126724351584</x:v>
      </x:c>
      <x:c r="D397" s="7" t="n">
        <x:f>IF(ISNUMBER(B397),'요약'!$B$7+'요약'!$B$13*B397,"")</x:f>
        <x:v>-0.0028062750659442748</x:v>
      </x:c>
    </x:row>
    <x:row r="398">
      <x:c r="A398" t="n">
        <x:f>394</x:f>
        <x:v>394</x:v>
      </x:c>
      <x:c r="B398" s="7" t="n">
        <x:f>IF(AND('요약'!$B$20,A398&lt;='요약'!$B$6),NORM.S.INV((A398-0.5)/'요약'!$B$6),"")</x:f>
        <x:v>-0.27020830993994516</x:v>
      </x:c>
      <x:c r="C398" s="7" t="n">
        <x:f>IF(AND('요약'!$B$20,A398&lt;='요약'!$B$6),LARGE('계산'!$B$2:$B$2001,'요약'!$B$6-A398+1),"")</x:f>
        <x:v>-0.002822212883262636</x:v>
      </x:c>
      <x:c r="D398" s="7" t="n">
        <x:f>IF(ISNUMBER(B398),'요약'!$B$7+'요약'!$B$13*B398,"")</x:f>
        <x:v>-0.002779982159622081</x:v>
      </x:c>
    </x:row>
    <x:row r="399">
      <x:c r="A399" t="n">
        <x:f>395</x:f>
        <x:v>395</x:v>
      </x:c>
      <x:c r="B399" s="7" t="n">
        <x:f>IF(AND('요약'!$B$20,A399&lt;='요약'!$B$6),NORM.S.INV((A399-0.5)/'요약'!$B$6),"")</x:f>
        <x:v>-0.26760939304467785</x:v>
      </x:c>
      <x:c r="C399" s="7" t="n">
        <x:f>IF(AND('요약'!$B$20,A399&lt;='요약'!$B$6),LARGE('계산'!$B$2:$B$2001,'요약'!$B$6-A399+1),"")</x:f>
        <x:v>-0.002791956889417228</x:v>
      </x:c>
      <x:c r="D399" s="7" t="n">
        <x:f>IF(ISNUMBER(B399),'요약'!$B$7+'요약'!$B$13*B399,"")</x:f>
        <x:v>-0.002753707717497499</x:v>
      </x:c>
    </x:row>
    <x:row r="400">
      <x:c r="A400" t="n">
        <x:f>396</x:f>
        <x:v>396</x:v>
      </x:c>
      <x:c r="B400" s="7" t="n">
        <x:f>IF(AND('요약'!$B$20,A400&lt;='요약'!$B$6),NORM.S.INV((A400-0.5)/'요약'!$B$6),"")</x:f>
        <x:v>-0.26501228242886904</x:v>
      </x:c>
      <x:c r="C400" s="7" t="n">
        <x:f>IF(AND('요약'!$B$20,A400&lt;='요약'!$B$6),LARGE('계산'!$B$2:$B$2001,'요약'!$B$6-A400+1),"")</x:f>
        <x:v>-0.0027836475460032346</x:v>
      </x:c>
      <x:c r="D400" s="7" t="n">
        <x:f>IF(ISNUMBER(B400),'요약'!$B$7+'요약'!$B$13*B400,"")</x:f>
        <x:v>-0.0027274515364358928</x:v>
      </x:c>
    </x:row>
    <x:row r="401">
      <x:c r="A401" t="n">
        <x:f>397</x:f>
        <x:v>397</x:v>
      </x:c>
      <x:c r="B401" s="7" t="n">
        <x:f>IF(AND('요약'!$B$20,A401&lt;='요약'!$B$6),NORM.S.INV((A401-0.5)/'요약'!$B$6),"")</x:f>
        <x:v>-0.26241695809019244</x:v>
      </x:c>
      <x:c r="C401" s="7" t="n">
        <x:f>IF(AND('요약'!$B$20,A401&lt;='요약'!$B$6),LARGE('계산'!$B$2:$B$2001,'요약'!$B$6-A401+1),"")</x:f>
        <x:v>-0.0026992374898124638</x:v>
      </x:c>
      <x:c r="D401" s="7" t="n">
        <x:f>IF(ISNUMBER(B401),'요약'!$B$7+'요약'!$B$13*B401,"")</x:f>
        <x:v>-0.00270121341421842</x:v>
      </x:c>
    </x:row>
    <x:row r="402">
      <x:c r="A402" t="n">
        <x:f>398</x:f>
        <x:v>398</x:v>
      </x:c>
      <x:c r="B402" s="7" t="n">
        <x:f>IF(AND('요약'!$B$20,A402&lt;='요약'!$B$6),NORM.S.INV((A402-0.5)/'요약'!$B$6),"")</x:f>
        <x:v>-0.2598234001156765</x:v>
      </x:c>
      <x:c r="C402" s="7" t="n">
        <x:f>IF(AND('요약'!$B$20,A402&lt;='요약'!$B$6),LARGE('계산'!$B$2:$B$2001,'요약'!$B$6-A402+1),"")</x:f>
        <x:v>-0.0026799185057129068</x:v>
      </x:c>
      <x:c r="D402" s="7" t="n">
        <x:f>IF(ISNUMBER(B402),'요약'!$B$7+'요약'!$B$13*B402,"")</x:f>
        <x:v>-0.0026749931495295954</x:v>
      </x:c>
    </x:row>
    <x:row r="403">
      <x:c r="A403" t="n">
        <x:f>399</x:f>
        <x:v>399</x:v>
      </x:c>
      <x:c r="B403" s="7" t="n">
        <x:f>IF(AND('요약'!$B$20,A403&lt;='요약'!$B$6),NORM.S.INV((A403-0.5)/'요약'!$B$6),"")</x:f>
        <x:v>-0.2572315886804915</x:v>
      </x:c>
      <x:c r="C403" s="7" t="n">
        <x:f>IF(AND('요약'!$B$20,A403&lt;='요약'!$B$6),LARGE('계산'!$B$2:$B$2001,'요약'!$B$6-A403+1),"")</x:f>
        <x:v>-0.0026765144387034213</x:v>
      </x:c>
      <x:c r="D403" s="7" t="n">
        <x:f>IF(ISNUMBER(B403),'요약'!$B$7+'요약'!$B$13*B403,"")</x:f>
        <x:v>-0.002648790541945025</x:v>
      </x:c>
    </x:row>
    <x:row r="404">
      <x:c r="A404" t="n">
        <x:f>400</x:f>
        <x:v>400</x:v>
      </x:c>
      <x:c r="B404" s="7" t="n">
        <x:f>IF(AND('요약'!$B$20,A404&lt;='요약'!$B$6),NORM.S.INV((A404-0.5)/'요약'!$B$6),"")</x:f>
        <x:v>-0.25464150404674524</x:v>
      </x:c>
      <x:c r="C404" s="7" t="n">
        <x:f>IF(AND('요약'!$B$20,A404&lt;='요약'!$B$6),LARGE('계산'!$B$2:$B$2001,'요약'!$B$6-A404+1),"")</x:f>
        <x:v>-0.0026662932983682296</x:v>
      </x:c>
      <x:c r="D404" s="7" t="n">
        <x:f>IF(ISNUMBER(B404),'요약'!$B$7+'요약'!$B$13*B404,"")</x:f>
        <x:v>-0.002622605391919235</x:v>
      </x:c>
    </x:row>
    <x:row r="405">
      <x:c r="A405" t="n">
        <x:f>401</x:f>
        <x:v>401</x:v>
      </x:c>
      <x:c r="B405" s="7" t="n">
        <x:f>IF(AND('요약'!$B$20,A405&lt;='요약'!$B$6),NORM.S.INV((A405-0.5)/'요약'!$B$6),"")</x:f>
        <x:v>-0.2520531265622942</x:v>
      </x:c>
      <x:c r="C405" s="7" t="n">
        <x:f>IF(AND('요약'!$B$20,A405&lt;='요약'!$B$6),LARGE('계산'!$B$2:$B$2001,'요약'!$B$6-A405+1),"")</x:f>
        <x:v>-0.0026355264236050534</x:v>
      </x:c>
      <x:c r="D405" s="7" t="n">
        <x:f>IF(ISNUMBER(B405),'요약'!$B$7+'요약'!$B$13*B405,"")</x:f>
        <x:v>-0.0025964375007736487</x:v>
      </x:c>
    </x:row>
    <x:row r="406">
      <x:c r="A406" t="n">
        <x:f>402</x:f>
        <x:v>402</x:v>
      </x:c>
      <x:c r="B406" s="7" t="n">
        <x:f>IF(AND('요약'!$B$20,A406&lt;='요약'!$B$6),NORM.S.INV((A406-0.5)/'요약'!$B$6),"")</x:f>
        <x:v>-0.24946643665956353</x:v>
      </x:c>
      <x:c r="C406" s="7" t="n">
        <x:f>IF(AND('요약'!$B$20,A406&lt;='요약'!$B$6),LARGE('계산'!$B$2:$B$2001,'요약'!$B$6-A406+1),"")</x:f>
        <x:v>-0.002614173142272831</x:v>
      </x:c>
      <x:c r="D406" s="7" t="n">
        <x:f>IF(ISNUMBER(B406),'요약'!$B$7+'요약'!$B$13*B406,"")</x:f>
        <x:v>-0.0025702866706846595</x:v>
      </x:c>
    </x:row>
    <x:row r="407">
      <x:c r="A407" t="n">
        <x:f>403</x:f>
        <x:v>403</x:v>
      </x:c>
      <x:c r="B407" s="7" t="n">
        <x:f>IF(AND('요약'!$B$20,A407&lt;='요약'!$B$6),NORM.S.INV((A407-0.5)/'요약'!$B$6),"")</x:f>
        <x:v>-0.24688141485437845</x:v>
      </x:c>
      <x:c r="C407" s="7" t="n">
        <x:f>IF(AND('요약'!$B$20,A407&lt;='요약'!$B$6),LARGE('계산'!$B$2:$B$2001,'요약'!$B$6-A407+1),"")</x:f>
        <x:v>-0.0026022879889856334</x:v>
      </x:c>
      <x:c r="D407" s="7" t="n">
        <x:f>IF(ISNUMBER(B407),'요약'!$B$7+'요약'!$B$13*B407,"")</x:f>
        <x:v>-0.0025441527046718166</x:v>
      </x:c>
    </x:row>
    <x:row r="408">
      <x:c r="A408" t="n">
        <x:f>404</x:f>
        <x:v>404</x:v>
      </x:c>
      <x:c r="B408" s="7" t="n">
        <x:f>IF(AND('요약'!$B$20,A408&lt;='요약'!$B$6),NORM.S.INV((A408-0.5)/'요약'!$B$6),"")</x:f>
        <x:v>-0.24429804174480807</x:v>
      </x:c>
      <x:c r="C408" s="7" t="n">
        <x:f>IF(AND('요약'!$B$20,A408&lt;='요약'!$B$6),LARGE('계산'!$B$2:$B$2001,'요약'!$B$6-A408+1),"")</x:f>
        <x:v>-0.0025902813663348906</x:v>
      </x:c>
      <x:c r="D408" s="7" t="n">
        <x:f>IF(ISNUMBER(B408),'요약'!$B$7+'요약'!$B$13*B408,"")</x:f>
        <x:v>-0.002518035406586136</x:v>
      </x:c>
    </x:row>
    <x:row r="409">
      <x:c r="A409" t="n">
        <x:f>405</x:f>
        <x:v>405</x:v>
      </x:c>
      <x:c r="B409" s="7" t="n">
        <x:f>IF(AND('요약'!$B$20,A409&lt;='요약'!$B$6),NORM.S.INV((A409-0.5)/'요약'!$B$6),"")</x:f>
        <x:v>-0.24171629801002176</x:v>
      </x:c>
      <x:c r="C409" s="7" t="n">
        <x:f>IF(AND('요약'!$B$20,A409&lt;='요약'!$B$6),LARGE('계산'!$B$2:$B$2001,'요약'!$B$6-A409+1),"")</x:f>
        <x:v>-0.0025775213335819634</x:v>
      </x:c>
      <x:c r="D409" s="7" t="n">
        <x:f>IF(ISNUMBER(B409),'요약'!$B$7+'요약'!$B$13*B409,"")</x:f>
        <x:v>-0.0024919345810985364</x:v>
      </x:c>
    </x:row>
    <x:row r="410">
      <x:c r="A410" t="n">
        <x:f>406</x:f>
        <x:v>406</x:v>
      </x:c>
      <x:c r="B410" s="7" t="n">
        <x:f>IF(AND('요약'!$B$20,A410&lt;='요약'!$B$6),NORM.S.INV((A410-0.5)/'요약'!$B$6),"")</x:f>
        <x:v>-0.23913616440914992</x:v>
      </x:c>
      <x:c r="C410" s="7" t="n">
        <x:f>IF(AND('요약'!$B$20,A410&lt;='요약'!$B$6),LARGE('계산'!$B$2:$B$2001,'요약'!$B$6-A410+1),"")</x:f>
        <x:v>-0.0025686037517112154</x:v>
      </x:c>
      <x:c r="D410" s="7" t="n">
        <x:f>IF(ISNUMBER(B410),'요약'!$B$7+'요약'!$B$13*B410,"")</x:f>
        <x:v>-0.002465850033688326</x:v>
      </x:c>
    </x:row>
    <x:row r="411">
      <x:c r="A411" t="n">
        <x:f>407</x:f>
        <x:v>407</x:v>
      </x:c>
      <x:c r="B411" s="7" t="n">
        <x:f>IF(AND('요약'!$B$20,A411&lt;='요약'!$B$6),NORM.S.INV((A411-0.5)/'요약'!$B$6),"")</x:f>
        <x:v>-0.23655762178016504</x:v>
      </x:c>
      <x:c r="C411" s="7" t="n">
        <x:f>IF(AND('요약'!$B$20,A411&lt;='요약'!$B$6),LARGE('계산'!$B$2:$B$2001,'요약'!$B$6-A411+1),"")</x:f>
        <x:v>-0.0025183427905784254</x:v>
      </x:c>
      <x:c r="D411" s="7" t="n">
        <x:f>IF(ISNUMBER(B411),'요약'!$B$7+'요약'!$B$13*B411,"")</x:f>
        <x:v>-0.002439781570631887</x:v>
      </x:c>
    </x:row>
    <x:row r="412">
      <x:c r="A412" t="n">
        <x:f>408</x:f>
        <x:v>408</x:v>
      </x:c>
      <x:c r="B412" s="7" t="n">
        <x:f>IF(AND('요약'!$B$20,A412&lt;='요약'!$B$6),NORM.S.INV((A412-0.5)/'요약'!$B$6),"")</x:f>
        <x:v>-0.2339806510387641</x:v>
      </x:c>
      <x:c r="C412" s="7" t="n">
        <x:f>IF(AND('요약'!$B$20,A412&lt;='요약'!$B$6),LARGE('계산'!$B$2:$B$2001,'요약'!$B$6-A412+1),"")</x:f>
        <x:v>-0.0025132040198492943</x:v>
      </x:c>
      <x:c r="D412" s="7" t="n">
        <x:f>IF(ISNUMBER(B412),'요약'!$B$7+'요약'!$B$13*B412,"")</x:f>
        <x:v>-0.002413728998991378</x:v>
      </x:c>
    </x:row>
    <x:row r="413">
      <x:c r="A413" t="n">
        <x:f>409</x:f>
        <x:v>409</x:v>
      </x:c>
      <x:c r="B413" s="7" t="n">
        <x:f>IF(AND('요약'!$B$20,A413&lt;='요약'!$B$6),NORM.S.INV((A413-0.5)/'요약'!$B$6),"")</x:f>
        <x:v>-0.23140523317726772</x:v>
      </x:c>
      <x:c r="C413" s="7" t="n">
        <x:f>IF(AND('요약'!$B$20,A413&lt;='요약'!$B$6),LARGE('계산'!$B$2:$B$2001,'요약'!$B$6-A413+1),"")</x:f>
        <x:v>-0.002495614018162474</x:v>
      </x:c>
      <x:c r="D413" s="7" t="n">
        <x:f>IF(ISNUMBER(B413),'요약'!$B$7+'요약'!$B$13*B413,"")</x:f>
        <x:v>-0.002387692126603605</x:v>
      </x:c>
    </x:row>
    <x:row r="414">
      <x:c r="A414" t="n">
        <x:f>410</x:f>
        <x:v>410</x:v>
      </x:c>
      <x:c r="B414" s="7" t="n">
        <x:f>IF(AND('요약'!$B$20,A414&lt;='요약'!$B$6),NORM.S.INV((A414-0.5)/'요약'!$B$6),"")</x:f>
        <x:v>-0.22883134926352455</x:v>
      </x:c>
      <x:c r="C414" s="7" t="n">
        <x:f>IF(AND('요약'!$B$20,A414&lt;='요약'!$B$6),LARGE('계산'!$B$2:$B$2001,'요약'!$B$6-A414+1),"")</x:f>
        <x:v>-0.002354332306926723</x:v>
      </x:c>
      <x:c r="D414" s="7" t="n">
        <x:f>IF(ISNUMBER(B414),'요약'!$B$7+'요약'!$B$13*B414,"")</x:f>
        <x:v>-0.002361670762068945</x:v>
      </x:c>
    </x:row>
    <x:row r="415">
      <x:c r="A415" t="n">
        <x:f>411</x:f>
        <x:v>411</x:v>
      </x:c>
      <x:c r="B415" s="7" t="n">
        <x:f>IF(AND('요약'!$B$20,A415&lt;='요약'!$B$6),NORM.S.INV((A415-0.5)/'요약'!$B$6),"")</x:f>
        <x:v>-0.22625898043983078</x:v>
      </x:c>
      <x:c r="C415" s="7" t="n">
        <x:f>IF(AND('요약'!$B$20,A415&lt;='요약'!$B$6),LARGE('계산'!$B$2:$B$2001,'요약'!$B$6-A415+1),"")</x:f>
        <x:v>-0.0023059546606393868</x:v>
      </x:c>
      <x:c r="D415" s="7" t="n">
        <x:f>IF(ISNUMBER(B415),'요약'!$B$7+'요약'!$B$13*B415,"")</x:f>
        <x:v>-0.0023356647147404212</x:v>
      </x:c>
    </x:row>
    <x:row r="416">
      <x:c r="A416" t="n">
        <x:f>412</x:f>
        <x:v>412</x:v>
      </x:c>
      <x:c r="B416" s="7" t="n">
        <x:f>IF(AND('요약'!$B$20,A416&lt;='요약'!$B$6),NORM.S.INV((A416-0.5)/'요약'!$B$6),"")</x:f>
        <x:v>-0.223688107921854</x:v>
      </x:c>
      <x:c r="C416" s="7" t="n">
        <x:f>IF(AND('요약'!$B$20,A416&lt;='요약'!$B$6),LARGE('계산'!$B$2:$B$2001,'요약'!$B$6-A416+1),"")</x:f>
        <x:v>-0.0022957784734392813</x:v>
      </x:c>
      <x:c r="D416" s="7" t="n">
        <x:f>IF(ISNUMBER(B416),'요약'!$B$7+'요약'!$B$13*B416,"")</x:f>
        <x:v>-0.0023096737947128254</x:v>
      </x:c>
    </x:row>
    <x:row r="417">
      <x:c r="A417" t="n">
        <x:f>413</x:f>
        <x:v>413</x:v>
      </x:c>
      <x:c r="B417" s="7" t="n">
        <x:f>IF(AND('요약'!$B$20,A417&lt;='요약'!$B$6),NORM.S.INV((A417-0.5)/'요약'!$B$6),"")</x:f>
        <x:v>-0.22111871299757058</x:v>
      </x:c>
      <x:c r="C417" s="7" t="n">
        <x:f>IF(AND('요약'!$B$20,A417&lt;='요약'!$B$6),LARGE('계산'!$B$2:$B$2001,'요약'!$B$6-A417+1),"")</x:f>
        <x:v>-0.0022946066631534534</x:v>
      </x:c>
      <x:c r="D417" s="7" t="n">
        <x:f>IF(ISNUMBER(B417),'요약'!$B$7+'요약'!$B$13*B417,"")</x:f>
        <x:v>-0.0022836978128119743</x:v>
      </x:c>
    </x:row>
    <x:row r="418">
      <x:c r="A418" t="n">
        <x:f>414</x:f>
        <x:v>414</x:v>
      </x:c>
      <x:c r="B418" s="7" t="n">
        <x:f>IF(AND('요약'!$B$20,A418&lt;='요약'!$B$6),NORM.S.INV((A418-0.5)/'요약'!$B$6),"")</x:f>
        <x:v>-0.21855077702621095</x:v>
      </x:c>
      <x:c r="C418" s="7" t="n">
        <x:f>IF(AND('요약'!$B$20,A418&lt;='요약'!$B$6),LARGE('계산'!$B$2:$B$2001,'요약'!$B$6-A418+1),"")</x:f>
        <x:v>-0.0022837890920121466</x:v>
      </x:c>
      <x:c r="D418" s="7" t="n">
        <x:f>IF(ISNUMBER(B418),'요약'!$B$7+'요약'!$B$13*B418,"")</x:f>
        <x:v>-0.002257736580584046</x:v>
      </x:c>
    </x:row>
    <x:row r="419">
      <x:c r="A419" t="n">
        <x:f>415</x:f>
        <x:v>415</x:v>
      </x:c>
      <x:c r="B419" s="7" t="n">
        <x:f>IF(AND('요약'!$B$20,A419&lt;='요약'!$B$6),NORM.S.INV((A419-0.5)/'요약'!$B$6),"")</x:f>
        <x:v>-0.21598428143721446</x:v>
      </x:c>
      <x:c r="C419" s="7" t="n">
        <x:f>IF(AND('요약'!$B$20,A419&lt;='요약'!$B$6),LARGE('계산'!$B$2:$B$2001,'요약'!$B$6-A419+1),"")</x:f>
        <x:v>-0.0022743563093937332</x:v>
      </x:c>
      <x:c r="D419" s="7" t="n">
        <x:f>IF(ISNUMBER(B419),'요약'!$B$7+'요약'!$B$13*B419,"")</x:f>
        <x:v>-0.0022317899102850145</x:v>
      </x:c>
    </x:row>
    <x:row r="420">
      <x:c r="A420" t="n">
        <x:f>416</x:f>
        <x:v>416</x:v>
      </x:c>
      <x:c r="B420" s="7" t="n">
        <x:f>IF(AND('요약'!$B$20,A420&lt;='요약'!$B$6),NORM.S.INV((A420-0.5)/'요약'!$B$6),"")</x:f>
        <x:v>-0.21341920772919232</x:v>
      </x:c>
      <x:c r="C420" s="7" t="n">
        <x:f>IF(AND('요약'!$B$20,A420&lt;='요약'!$B$6),LARGE('계산'!$B$2:$B$2001,'요약'!$B$6-A420+1),"")</x:f>
        <x:v>-0.0022601221219255914</x:v>
      </x:c>
      <x:c r="D420" s="7" t="n">
        <x:f>IF(ISNUMBER(B420),'요약'!$B$7+'요약'!$B$13*B420,"")</x:f>
        <x:v>-0.002205857614870165</x:v>
      </x:c>
    </x:row>
    <x:row r="421">
      <x:c r="A421" t="n">
        <x:f>417</x:f>
        <x:v>417</x:v>
      </x:c>
      <x:c r="B421" s="7" t="n">
        <x:f>IF(AND('요약'!$B$20,A421&lt;='요약'!$B$6),NORM.S.INV((A421-0.5)/'요약'!$B$6),"")</x:f>
        <x:v>-0.2108555374689014</x:v>
      </x:c>
      <x:c r="C421" s="7" t="n">
        <x:f>IF(AND('요약'!$B$20,A421&lt;='요약'!$B$6),LARGE('계산'!$B$2:$B$2001,'요약'!$B$6-A421+1),"")</x:f>
        <x:v>-0.0022542634025977844</x:v>
      </x:c>
      <x:c r="D421" s="7" t="n">
        <x:f>IF(ISNUMBER(B421),'요약'!$B$7+'요약'!$B$13*B421,"")</x:f>
        <x:v>-0.00217993950798372</x:v>
      </x:c>
    </x:row>
    <x:row r="422">
      <x:c r="A422" t="n">
        <x:f>418</x:f>
        <x:v>418</x:v>
      </x:c>
      <x:c r="B422" s="7" t="n">
        <x:f>IF(AND('요약'!$B$20,A422&lt;='요약'!$B$6),NORM.S.INV((A422-0.5)/'요약'!$B$6),"")</x:f>
        <x:v>-0.20829325229022497</x:v>
      </x:c>
      <x:c r="C422" s="7" t="n">
        <x:f>IF(AND('요약'!$B$20,A422&lt;='요약'!$B$6),LARGE('계산'!$B$2:$B$2001,'요약'!$B$6-A422+1),"")</x:f>
        <x:v>-0.0022142628675288966</x:v>
      </x:c>
      <x:c r="D422" s="7" t="n">
        <x:f>IF(ISNUMBER(B422),'요약'!$B$7+'요약'!$B$13*B422,"")</x:f>
        <x:v>-0.002154035403948533</x:v>
      </x:c>
    </x:row>
    <x:row r="423">
      <x:c r="A423" t="n">
        <x:f>419</x:f>
        <x:v>419</x:v>
      </x:c>
      <x:c r="B423" s="7" t="n">
        <x:f>IF(AND('요약'!$B$20,A423&lt;='요약'!$B$6),NORM.S.INV((A423-0.5)/'요약'!$B$6),"")</x:f>
        <x:v>-0.20573233389316353</x:v>
      </x:c>
      <x:c r="C423" s="7" t="n">
        <x:f>IF(AND('요약'!$B$20,A423&lt;='요약'!$B$6),LARGE('계산'!$B$2:$B$2001,'요약'!$B$6-A423+1),"")</x:f>
        <x:v>-0.0021339705190328013</x:v>
      </x:c>
      <x:c r="D423" s="7" t="n">
        <x:f>IF(ISNUMBER(B423),'요약'!$B$7+'요약'!$B$13*B423,"")</x:f>
        <x:v>-0.002128145117755889</x:v>
      </x:c>
    </x:row>
    <x:row r="424">
      <x:c r="A424" t="n">
        <x:f>420</x:f>
        <x:v>420</x:v>
      </x:c>
      <x:c r="B424" s="7" t="n">
        <x:f>IF(AND('요약'!$B$20,A424&lt;='요약'!$B$6),NORM.S.INV((A424-0.5)/'요약'!$B$6),"")</x:f>
        <x:v>-0.20317276404283313</x:v>
      </x:c>
      <x:c r="C424" s="7" t="n">
        <x:f>IF(AND('요약'!$B$20,A424&lt;='요약'!$B$6),LARGE('계산'!$B$2:$B$2001,'요약'!$B$6-A424+1),"")</x:f>
        <x:v>-0.0020963499064151816</x:v>
      </x:c>
      <x:c r="D424" s="7" t="n">
        <x:f>IF(ISNUMBER(B424),'요약'!$B$7+'요약'!$B$13*B424,"")</x:f>
        <x:v>-0.0021022684650553744</x:v>
      </x:c>
    </x:row>
    <x:row r="425">
      <x:c r="A425" t="n">
        <x:f>421</x:f>
        <x:v>421</x:v>
      </x:c>
      <x:c r="B425" s="7" t="n">
        <x:f>IF(AND('요약'!$B$20,A425&lt;='요약'!$B$6),NORM.S.INV((A425-0.5)/'요약'!$B$6),"")</x:f>
        <x:v>-0.20061452456847162</x:v>
      </x:c>
      <x:c r="C425" s="7" t="n">
        <x:f>IF(AND('요약'!$B$20,A425&lt;='요약'!$B$6),LARGE('계산'!$B$2:$B$2001,'요약'!$B$6-A425+1),"")</x:f>
        <x:v>-0.002077633379291932</x:v>
      </x:c>
      <x:c r="D425" s="7" t="n">
        <x:f>IF(ISNUMBER(B425),'요약'!$B$7+'요약'!$B$13*B425,"")</x:f>
        <x:v>-0.002076405262144833</x:v>
      </x:c>
    </x:row>
    <x:row r="426">
      <x:c r="A426" t="n">
        <x:f>422</x:f>
        <x:v>422</x:v>
      </x:c>
      <x:c r="B426" s="7" t="n">
        <x:f>IF(AND('요약'!$B$20,A426&lt;='요약'!$B$6),NORM.S.INV((A426-0.5)/'요약'!$B$6),"")</x:f>
        <x:v>-0.19805759736245485</x:v>
      </x:c>
      <x:c r="C426" s="7" t="n">
        <x:f>IF(AND('요약'!$B$20,A426&lt;='요약'!$B$6),LARGE('계산'!$B$2:$B$2001,'요약'!$B$6-A426+1),"")</x:f>
        <x:v>-0.0020701195601057574</x:v>
      </x:c>
      <x:c r="D426" s="7" t="n">
        <x:f>IF(ISNUMBER(B426),'요약'!$B$7+'요약'!$B$13*B426,"")</x:f>
        <x:v>-0.0020505553259604183</x:v>
      </x:c>
    </x:row>
    <x:row r="427">
      <x:c r="A427" t="n">
        <x:f>423</x:f>
        <x:v>423</x:v>
      </x:c>
      <x:c r="B427" s="7" t="n">
        <x:f>IF(AND('요약'!$B$20,A427&lt;='요약'!$B$6),NORM.S.INV((A427-0.5)/'요약'!$B$6),"")</x:f>
        <x:v>-0.19550196437931938</x:v>
      </x:c>
      <x:c r="C427" s="7" t="n">
        <x:f>IF(AND('요약'!$B$20,A427&lt;='요약'!$B$6),LARGE('계산'!$B$2:$B$2001,'요약'!$B$6-A427+1),"")</x:f>
        <x:v>-0.0020442048644158327</x:v>
      </x:c>
      <x:c r="D427" s="7" t="n">
        <x:f>IF(ISNUMBER(B427),'요약'!$B$7+'요약'!$B$13*B427,"")</x:f>
        <x:v>-0.0020247184740667143</x:v>
      </x:c>
    </x:row>
    <x:row r="428">
      <x:c r="A428" t="n">
        <x:f>424</x:f>
        <x:v>424</x:v>
      </x:c>
      <x:c r="B428" s="7" t="n">
        <x:f>IF(AND('요약'!$B$20,A428&lt;='요약'!$B$6),NORM.S.INV((A428-0.5)/'요약'!$B$6),"")</x:f>
        <x:v>-0.19294760763479396</x:v>
      </x:c>
      <x:c r="C428" s="7" t="n">
        <x:f>IF(AND('요약'!$B$20,A428&lt;='요약'!$B$6),LARGE('계산'!$B$2:$B$2001,'요약'!$B$6-A428+1),"")</x:f>
        <x:v>-0.0020407915197201473</x:v>
      </x:c>
      <x:c r="D428" s="7" t="n">
        <x:f>IF(ISNUMBER(B428),'요약'!$B$7+'요약'!$B$13*B428,"")</x:f>
        <x:v>-0.001998894524646944</x:v>
      </x:c>
    </x:row>
    <x:row r="429">
      <x:c r="A429" t="n">
        <x:f>425</x:f>
        <x:v>425</x:v>
      </x:c>
      <x:c r="B429" s="7" t="n">
        <x:f>IF(AND('요약'!$B$20,A429&lt;='요약'!$B$6),NORM.S.INV((A429-0.5)/'요약'!$B$6),"")</x:f>
        <x:v>-0.19039450920483675</x:v>
      </x:c>
      <x:c r="C429" s="7" t="n">
        <x:f>IF(AND('요약'!$B$20,A429&lt;='요약'!$B$6),LARGE('계산'!$B$2:$B$2001,'요약'!$B$6-A429+1),"")</x:f>
        <x:v>-0.0020096124925323288</x:v>
      </x:c>
      <x:c r="D429" s="7" t="n">
        <x:f>IF(ISNUMBER(B429),'요약'!$B$7+'요약'!$B$13*B429,"")</x:f>
        <x:v>-0.0019730832964932354</x:v>
      </x:c>
    </x:row>
    <x:row r="430">
      <x:c r="A430" t="n">
        <x:f>426</x:f>
        <x:v>426</x:v>
      </x:c>
      <x:c r="B430" s="7" t="n">
        <x:f>IF(AND('요약'!$B$20,A430&lt;='요약'!$B$6),NORM.S.INV((A430-0.5)/'요약'!$B$6),"")</x:f>
        <x:v>-0.18784265122468283</x:v>
      </x:c>
      <x:c r="C430" s="7" t="n">
        <x:f>IF(AND('요약'!$B$20,A430&lt;='요약'!$B$6),LARGE('계산'!$B$2:$B$2001,'요약'!$B$6-A430+1),"")</x:f>
        <x:v>-0.002006970089391868</x:v>
      </x:c>
      <x:c r="D430" s="7" t="n">
        <x:f>IF(ISNUMBER(B430),'요약'!$B$7+'요약'!$B$13*B430,"")</x:f>
        <x:v>-0.0019472846089969927</x:v>
      </x:c>
    </x:row>
    <x:row r="431">
      <x:c r="A431" t="n">
        <x:f>427</x:f>
        <x:v>427</x:v>
      </x:c>
      <x:c r="B431" s="7" t="n">
        <x:f>IF(AND('요약'!$B$20,A431&lt;='요약'!$B$6),NORM.S.INV((A431-0.5)/'요약'!$B$6),"")</x:f>
        <x:v>-0.18529201588789973</x:v>
      </x:c>
      <x:c r="C431" s="7" t="n">
        <x:f>IF(AND('요약'!$B$20,A431&lt;='요약'!$B$6),LARGE('계산'!$B$2:$B$2001,'요약'!$B$6-A431+1),"")</x:f>
        <x:v>-0.0020023186105635605</x:v>
      </x:c>
      <x:c r="D431" s="7" t="n">
        <x:f>IF(ISNUMBER(B431),'요약'!$B$7+'요약'!$B$13*B431,"")</x:f>
        <x:v>-0.0019214982821393466</x:v>
      </x:c>
    </x:row>
    <x:row r="432">
      <x:c r="A432" t="n">
        <x:f>428</x:f>
        <x:v>428</x:v>
      </x:c>
      <x:c r="B432" s="7" t="n">
        <x:f>IF(AND('요약'!$B$20,A432&lt;='요약'!$B$6),NORM.S.INV((A432-0.5)/'요약'!$B$6),"")</x:f>
        <x:v>-0.18274258544544408</x:v>
      </x:c>
      <x:c r="C432" s="7" t="n">
        <x:f>IF(AND('요약'!$B$20,A432&lt;='요약'!$B$6),LARGE('계산'!$B$2:$B$2001,'요약'!$B$6-A432+1),"")</x:f>
        <x:v>-0.001978478682771429</x:v>
      </x:c>
      <x:c r="D432" s="7" t="n">
        <x:f>IF(ISNUMBER(B432),'요약'!$B$7+'요약'!$B$13*B432,"")</x:f>
        <x:v>-0.0018957241364816189</x:v>
      </x:c>
    </x:row>
    <x:row r="433">
      <x:c r="A433" t="n">
        <x:f>429</x:f>
        <x:v>429</x:v>
      </x:c>
      <x:c r="B433" s="7" t="n">
        <x:f>IF(AND('요약'!$B$20,A433&lt;='요약'!$B$6),NORM.S.INV((A433-0.5)/'요약'!$B$6),"")</x:f>
        <x:v>-0.18019434220473404</x:v>
      </x:c>
      <x:c r="C433" s="7" t="n">
        <x:f>IF(AND('요약'!$B$20,A433&lt;='요약'!$B$6),LARGE('계산'!$B$2:$B$2001,'요약'!$B$6-A433+1),"")</x:f>
        <x:v>-0.0019779810015746685</x:v>
      </x:c>
      <x:c r="D433" s="7" t="n">
        <x:f>IF(ISNUMBER(B433),'요약'!$B$7+'요약'!$B$13*B433,"")</x:f>
        <x:v>-0.0018699619931559443</x:v>
      </x:c>
    </x:row>
    <x:row r="434">
      <x:c r="A434" t="n">
        <x:f>430</x:f>
        <x:v>430</x:v>
      </x:c>
      <x:c r="B434" s="7" t="n">
        <x:f>IF(AND('요약'!$B$20,A434&lt;='요약'!$B$6),NORM.S.INV((A434-0.5)/'요약'!$B$6),"")</x:f>
        <x:v>-0.17764726852872237</x:v>
      </x:c>
      <x:c r="C434" s="7" t="n">
        <x:f>IF(AND('요약'!$B$20,A434&lt;='요약'!$B$6),LARGE('계산'!$B$2:$B$2001,'요약'!$B$6-A434+1),"")</x:f>
        <x:v>-0.001973725154901454</x:v>
      </x:c>
      <x:c r="D434" s="7" t="n">
        <x:f>IF(ISNUMBER(B434),'요약'!$B$7+'요약'!$B$13*B434,"")</x:f>
        <x:v>-0.001844211673855899</x:v>
      </x:c>
    </x:row>
    <x:row r="435">
      <x:c r="A435" t="n">
        <x:f>431</x:f>
        <x:v>431</x:v>
      </x:c>
      <x:c r="B435" s="7" t="n">
        <x:f>IF(AND('요약'!$B$20,A435&lt;='요약'!$B$6),NORM.S.INV((A435-0.5)/'요약'!$B$6),"")</x:f>
        <x:v>-0.17510134683498094</x:v>
      </x:c>
      <x:c r="C435" s="7" t="n">
        <x:f>IF(AND('요약'!$B$20,A435&lt;='요약'!$B$6),LARGE('계산'!$B$2:$B$2001,'요약'!$B$6-A435+1),"")</x:f>
        <x:v>-0.0019724192860706437</x:v>
      </x:c>
      <x:c r="D435" s="7" t="n">
        <x:f>IF(ISNUMBER(B435),'요약'!$B$7+'요약'!$B$13*B435,"")</x:f>
        <x:v>-0.001818473000827246</x:v>
      </x:c>
    </x:row>
    <x:row r="436">
      <x:c r="A436" t="n">
        <x:f>432</x:f>
        <x:v>432</x:v>
      </x:c>
      <x:c r="B436" s="7" t="n">
        <x:f>IF(AND('요약'!$B$20,A436&lt;='요약'!$B$6),NORM.S.INV((A436-0.5)/'요약'!$B$6),"")</x:f>
        <x:v>-0.17255655959478697</x:v>
      </x:c>
      <x:c r="C436" s="7" t="n">
        <x:f>IF(AND('요약'!$B$20,A436&lt;='요약'!$B$6),LARGE('계산'!$B$2:$B$2001,'요약'!$B$6-A436+1),"")</x:f>
        <x:v>-0.0019312709091744177</x:v>
      </x:c>
      <x:c r="D436" s="7" t="n">
        <x:f>IF(ISNUMBER(B436),'요약'!$B$7+'요약'!$B$13*B436,"")</x:f>
        <x:v>-0.0017927457968586963</x:v>
      </x:c>
    </x:row>
    <x:row r="437">
      <x:c r="A437" t="n">
        <x:f>433</x:f>
        <x:v>433</x:v>
      </x:c>
      <x:c r="B437" s="7" t="n">
        <x:f>IF(AND('요약'!$B$20,A437&lt;='요약'!$B$6),NORM.S.INV((A437-0.5)/'요약'!$B$6),"")</x:f>
        <x:v>-0.1700128893322192</x:v>
      </x:c>
      <x:c r="C437" s="7" t="n">
        <x:f>IF(AND('요약'!$B$20,A437&lt;='요약'!$B$6),LARGE('계산'!$B$2:$B$2001,'요약'!$B$6-A437+1),"")</x:f>
        <x:v>-0.0019264832689393076</x:v>
      </x:c>
      <x:c r="D437" s="7" t="n">
        <x:f>IF(ISNUMBER(B437),'요약'!$B$7+'요약'!$B$13*B437,"")</x:f>
        <x:v>-0.0017670298852727727</x:v>
      </x:c>
    </x:row>
    <x:row r="438">
      <x:c r="A438" t="n">
        <x:f>434</x:f>
        <x:v>434</x:v>
      </x:c>
      <x:c r="B438" s="7" t="n">
        <x:f>IF(AND('요약'!$B$20,A438&lt;='요약'!$B$6),NORM.S.INV((A438-0.5)/'요약'!$B$6),"")</x:f>
        <x:v>-0.16747031862326384</x:v>
      </x:c>
      <x:c r="C438" s="7" t="n">
        <x:f>IF(AND('요약'!$B$20,A438&lt;='요약'!$B$6),LARGE('계산'!$B$2:$B$2001,'요약'!$B$6-A438+1),"")</x:f>
        <x:v>-0.0018530437018850101</x:v>
      </x:c>
      <x:c r="D438" s="7" t="n">
        <x:f>IF(ISNUMBER(B438),'요약'!$B$7+'요약'!$B$13*B438,"")</x:f>
        <x:v>-0.0017413250899167693</x:v>
      </x:c>
    </x:row>
    <x:row r="439">
      <x:c r="A439" t="n">
        <x:f>435</x:f>
        <x:v>435</x:v>
      </x:c>
      <x:c r="B439" s="7" t="n">
        <x:f>IF(AND('요약'!$B$20,A439&lt;='요약'!$B$6),NORM.S.INV((A439-0.5)/'요약'!$B$6),"")</x:f>
        <x:v>-0.1649288300949177</x:v>
      </x:c>
      <x:c r="C439" s="7" t="n">
        <x:f>IF(AND('요약'!$B$20,A439&lt;='요약'!$B$6),LARGE('계산'!$B$2:$B$2001,'요약'!$B$6-A439+1),"")</x:f>
        <x:v>-0.0018118028938827527</x:v>
      </x:c>
      <x:c r="D439" s="7" t="n">
        <x:f>IF(ISNUMBER(B439),'요약'!$B$7+'요약'!$B$13*B439,"")</x:f>
        <x:v>-0.0017156312351536867</x:v>
      </x:c>
    </x:row>
    <x:row r="440">
      <x:c r="A440" t="n">
        <x:f>436</x:f>
        <x:v>436</x:v>
      </x:c>
      <x:c r="B440" s="7" t="n">
        <x:f>IF(AND('요약'!$B$20,A440&lt;='요약'!$B$6),NORM.S.INV((A440-0.5)/'요약'!$B$6),"")</x:f>
        <x:v>-0.1623884064243072</x:v>
      </x:c>
      <x:c r="C440" s="7" t="n">
        <x:f>IF(AND('요약'!$B$20,A440&lt;='요약'!$B$6),LARGE('계산'!$B$2:$B$2001,'요약'!$B$6-A440+1),"")</x:f>
        <x:v>-0.001761477443182183</x:v>
      </x:c>
      <x:c r="D440" s="7" t="n">
        <x:f>IF(ISNUMBER(B440),'요약'!$B$7+'요약'!$B$13*B440,"")</x:f>
        <x:v>-0.001689948145853323</x:v>
      </x:c>
    </x:row>
    <x:row r="441">
      <x:c r="A441" t="n">
        <x:f>437</x:f>
        <x:v>437</x:v>
      </x:c>
      <x:c r="B441" s="7" t="n">
        <x:f>IF(AND('요약'!$B$20,A441&lt;='요약'!$B$6),NORM.S.INV((A441-0.5)/'요약'!$B$6),"")</x:f>
        <x:v>-0.15984903033780767</x:v>
      </x:c>
      <x:c r="C441" s="7" t="n">
        <x:f>IF(AND('요약'!$B$20,A441&lt;='요약'!$B$6),LARGE('계산'!$B$2:$B$2001,'요약'!$B$6-A441+1),"")</x:f>
        <x:v>-0.001745226015299739</x:v>
      </x:c>
      <x:c r="D441" s="7" t="n">
        <x:f>IF(ISNUMBER(B441),'요약'!$B$7+'요약'!$B$13*B441,"")</x:f>
        <x:v>-0.001664275647383372</x:v>
      </x:c>
    </x:row>
    <x:row r="442">
      <x:c r="A442" t="n">
        <x:f>438</x:f>
        <x:v>438</x:v>
      </x:c>
      <x:c r="B442" s="7" t="n">
        <x:f>IF(AND('요약'!$B$20,A442&lt;='요약'!$B$6),NORM.S.INV((A442-0.5)/'요약'!$B$6),"")</x:f>
        <x:v>-0.15731068461017056</x:v>
      </x:c>
      <x:c r="C442" s="7" t="n">
        <x:f>IF(AND('요약'!$B$20,A442&lt;='요약'!$B$6),LARGE('계산'!$B$2:$B$2001,'요약'!$B$6-A442+1),"")</x:f>
        <x:v>-0.001744541646398817</x:v>
      </x:c>
      <x:c r="D442" s="7" t="n">
        <x:f>IF(ISNUMBER(B442),'요약'!$B$7+'요약'!$B$13*B442,"")</x:f>
        <x:v>-0.0016386135656005984</x:v>
      </x:c>
    </x:row>
    <x:row r="443">
      <x:c r="A443" t="n">
        <x:f>439</x:f>
        <x:v>439</x:v>
      </x:c>
      <x:c r="B443" s="7" t="n">
        <x:f>IF(AND('요약'!$B$20,A443&lt;='요약'!$B$6),NORM.S.INV((A443-0.5)/'요약'!$B$6),"")</x:f>
        <x:v>-0.15477335206365736</x:v>
      </x:c>
      <x:c r="C443" s="7" t="n">
        <x:f>IF(AND('요약'!$B$20,A443&lt;='요약'!$B$6),LARGE('계산'!$B$2:$B$2001,'요약'!$B$6-A443+1),"")</x:f>
        <x:v>-0.0017426023361129756</x:v>
      </x:c>
      <x:c r="D443" s="7" t="n">
        <x:f>IF(ISNUMBER(B443),'요약'!$B$7+'요약'!$B$13*B443,"")</x:f>
        <x:v>-0.0016129617268420824</x:v>
      </x:c>
    </x:row>
    <x:row r="444">
      <x:c r="A444" t="n">
        <x:f>440</x:f>
        <x:v>440</x:v>
      </x:c>
      <x:c r="B444" s="7" t="n">
        <x:f>IF(AND('요약'!$B$20,A444&lt;='요약'!$B$6),NORM.S.INV((A444-0.5)/'요약'!$B$6),"")</x:f>
        <x:v>-0.15223701556717636</x:v>
      </x:c>
      <x:c r="C444" s="7" t="n">
        <x:f>IF(AND('요약'!$B$20,A444&lt;='요약'!$B$6),LARGE('계산'!$B$2:$B$2001,'요약'!$B$6-A444+1),"")</x:f>
        <x:v>-0.0017049768309571698</x:v>
      </x:c>
      <x:c r="D444" s="7" t="n">
        <x:f>IF(ISNUMBER(B444),'요약'!$B$7+'요약'!$B$13*B444,"")</x:f>
        <x:v>-0.0015873199579164927</x:v>
      </x:c>
    </x:row>
    <x:row r="445">
      <x:c r="A445" t="n">
        <x:f>441</x:f>
        <x:v>441</x:v>
      </x:c>
      <x:c r="B445" s="7" t="n">
        <x:f>IF(AND('요약'!$B$20,A445&lt;='요약'!$B$6),NORM.S.INV((A445-0.5)/'요약'!$B$6),"")</x:f>
        <x:v>-0.14970165803543078</x:v>
      </x:c>
      <x:c r="C445" s="7" t="n">
        <x:f>IF(AND('요약'!$B$20,A445&lt;='요약'!$B$6),LARGE('계산'!$B$2:$B$2001,'요약'!$B$6-A445+1),"")</x:f>
        <x:v>-0.0016923338602274527</x:v>
      </x:c>
      <x:c r="D445" s="7" t="n">
        <x:f>IF(ISNUMBER(B445),'요약'!$B$7+'요약'!$B$13*B445,"")</x:f>
        <x:v>-0.0015616880860954735</x:v>
      </x:c>
    </x:row>
    <x:row r="446">
      <x:c r="A446" t="n">
        <x:f>442</x:f>
        <x:v>442</x:v>
      </x:c>
      <x:c r="B446" s="7" t="n">
        <x:f>IF(AND('요약'!$B$20,A446&lt;='요약'!$B$6),NORM.S.INV((A446-0.5)/'요약'!$B$6),"")</x:f>
        <x:v>-0.14716726242806474</x:v>
      </x:c>
      <x:c r="C446" s="7" t="n">
        <x:f>IF(AND('요약'!$B$20,A446&lt;='요약'!$B$6),LARGE('계산'!$B$2:$B$2001,'요약'!$B$6-A446+1),"")</x:f>
        <x:v>-0.0016347457341131385</x:v>
      </x:c>
      <x:c r="D446" s="7" t="n">
        <x:f>IF(ISNUMBER(B446),'요약'!$B$7+'요약'!$B$13*B446,"")</x:f>
        <x:v>-0.0015360659391050115</x:v>
      </x:c>
    </x:row>
    <x:row r="447">
      <x:c r="A447" t="n">
        <x:f>443</x:f>
        <x:v>443</x:v>
      </x:c>
      <x:c r="B447" s="7" t="n">
        <x:f>IF(AND('요약'!$B$20,A447&lt;='요약'!$B$6),NORM.S.INV((A447-0.5)/'요약'!$B$6),"")</x:f>
        <x:v>-0.14463381174882092</x:v>
      </x:c>
      <x:c r="C447" s="7" t="n">
        <x:f>IF(AND('요약'!$B$20,A447&lt;='요약'!$B$6),LARGE('계산'!$B$2:$B$2001,'요약'!$B$6-A447+1),"")</x:f>
        <x:v>-0.001631088292271387</x:v>
      </x:c>
      <x:c r="D447" s="7" t="n">
        <x:f>IF(ISNUMBER(B447),'요약'!$B$7+'요약'!$B$13*B447,"")</x:f>
        <x:v>-0.0015104533451169191</x:v>
      </x:c>
    </x:row>
    <x:row r="448">
      <x:c r="A448" t="n">
        <x:f>444</x:f>
        <x:v>444</x:v>
      </x:c>
      <x:c r="B448" s="7" t="n">
        <x:f>IF(AND('요약'!$B$20,A448&lt;='요약'!$B$6),NORM.S.INV((A448-0.5)/'요약'!$B$6),"")</x:f>
        <x:v>-0.14210128904470268</x:v>
      </x:c>
      <x:c r="C448" s="7" t="n">
        <x:f>IF(AND('요약'!$B$20,A448&lt;='요약'!$B$6),LARGE('계산'!$B$2:$B$2001,'요약'!$B$6-A448+1),"")</x:f>
        <x:v>-0.0016294866733210093</x:v>
      </x:c>
      <x:c r="D448" s="7" t="n">
        <x:f>IF(ISNUMBER(B448),'요약'!$B$7+'요약'!$B$13*B448,"")</x:f>
        <x:v>-0.0014848501327403643</x:v>
      </x:c>
    </x:row>
    <x:row r="449">
      <x:c r="A449" t="n">
        <x:f>445</x:f>
        <x:v>445</x:v>
      </x:c>
      <x:c r="B449" s="7" t="n">
        <x:f>IF(AND('요약'!$B$20,A449&lt;='요약'!$B$6),NORM.S.INV((A449-0.5)/'요약'!$B$6),"")</x:f>
        <x:v>-0.13956967740513754</x:v>
      </x:c>
      <x:c r="C449" s="7" t="n">
        <x:f>IF(AND('요약'!$B$20,A449&lt;='요약'!$B$6),LARGE('계산'!$B$2:$B$2001,'요약'!$B$6-A449+1),"")</x:f>
        <x:v>-0.001621848876236423</x:v>
      </x:c>
      <x:c r="D449" s="7" t="n">
        <x:f>IF(ISNUMBER(B449),'요약'!$B$7+'요약'!$B$13*B449,"")</x:f>
        <x:v>-0.0014592561310134136</x:v>
      </x:c>
    </x:row>
    <x:row r="450">
      <x:c r="A450" t="n">
        <x:f>446</x:f>
        <x:v>446</x:v>
      </x:c>
      <x:c r="B450" s="7" t="n">
        <x:f>IF(AND('요약'!$B$20,A450&lt;='요약'!$B$6),NORM.S.INV((A450-0.5)/'요약'!$B$6),"")</x:f>
        <x:v>-0.13703895996114862</x:v>
      </x:c>
      <x:c r="C450" s="7" t="n">
        <x:f>IF(AND('요약'!$B$20,A450&lt;='요약'!$B$6),LARGE('계산'!$B$2:$B$2001,'요약'!$B$6-A450+1),"")</x:f>
        <x:v>-0.001607183093742827</x:v>
      </x:c>
      <x:c r="D450" s="7" t="n">
        <x:f>IF(ISNUMBER(B450),'요약'!$B$7+'요약'!$B$13*B450,"")</x:f>
        <x:v>-0.001433671169394655</x:v>
      </x:c>
    </x:row>
    <x:row r="451">
      <x:c r="A451" t="n">
        <x:f>447</x:f>
        <x:v>447</x:v>
      </x:c>
      <x:c r="B451" s="7" t="n">
        <x:f>IF(AND('요약'!$B$20,A451&lt;='요약'!$B$6),NORM.S.INV((A451-0.5)/'요약'!$B$6),"")</x:f>
        <x:v>-0.13450911988453293</x:v>
      </x:c>
      <x:c r="C451" s="7" t="n">
        <x:f>IF(AND('요약'!$B$20,A451&lt;='요약'!$B$6),LARGE('계산'!$B$2:$B$2001,'요약'!$B$6-A451+1),"")</x:f>
        <x:v>-0.001590342616727451</x:v>
      </x:c>
      <x:c r="D451" s="7" t="n">
        <x:f>IF(ISNUMBER(B451),'요약'!$B$7+'요약'!$B$13*B451,"")</x:f>
        <x:v>-0.0014080950777548911</x:v>
      </x:c>
    </x:row>
    <x:row r="452">
      <x:c r="A452" t="n">
        <x:f>448</x:f>
        <x:v>448</x:v>
      </x:c>
      <x:c r="B452" s="7" t="n">
        <x:f>IF(AND('요약'!$B$20,A452&lt;='요약'!$B$6),NORM.S.INV((A452-0.5)/'요약'!$B$6),"")</x:f>
        <x:v>-0.1319801403870412</x:v>
      </x:c>
      <x:c r="C452" s="7" t="n">
        <x:f>IF(AND('요약'!$B$20,A452&lt;='요약'!$B$6),LARGE('계산'!$B$2:$B$2001,'요약'!$B$6-A452+1),"")</x:f>
        <x:v>-0.001589499195825002</x:v>
      </x:c>
      <x:c r="D452" s="7" t="n">
        <x:f>IF(ISNUMBER(B452),'요약'!$B$7+'요약'!$B$13*B452,"")</x:f>
        <x:v>-0.001382527686368847</x:v>
      </x:c>
    </x:row>
    <x:row r="453">
      <x:c r="A453" t="n">
        <x:f>449</x:f>
        <x:v>449</x:v>
      </x:c>
      <x:c r="B453" s="7" t="n">
        <x:f>IF(AND('요약'!$B$20,A453&lt;='요약'!$B$6),NORM.S.INV((A453-0.5)/'요약'!$B$6),"")</x:f>
        <x:v>-0.12945200471956317</x:v>
      </x:c>
      <x:c r="C453" s="7" t="n">
        <x:f>IF(AND('요약'!$B$20,A453&lt;='요약'!$B$6),LARGE('계산'!$B$2:$B$2001,'요약'!$B$6-A453+1),"")</x:f>
        <x:v>-0.0015665227434560388</x:v>
      </x:c>
      <x:c r="D453" s="7" t="n">
        <x:f>IF(ISNUMBER(B453),'요약'!$B$7+'요약'!$B$13*B453,"")</x:f>
        <x:v>-0.001356968825906935</x:v>
      </x:c>
    </x:row>
    <x:row r="454">
      <x:c r="A454" t="n">
        <x:f>450</x:f>
        <x:v>450</x:v>
      </x:c>
      <x:c r="B454" s="7" t="n">
        <x:f>IF(AND('요약'!$B$20,A454&lt;='요약'!$B$6),NORM.S.INV((A454-0.5)/'요약'!$B$6),"")</x:f>
        <x:v>-0.12692469617131932</x:v>
      </x:c>
      <x:c r="C454" s="7" t="n">
        <x:f>IF(AND('요약'!$B$20,A454&lt;='요약'!$B$6),LARGE('계산'!$B$2:$B$2001,'요약'!$B$6-A454+1),"")</x:f>
        <x:v>-0.0015657100853035376</x:v>
      </x:c>
      <x:c r="D454" s="7" t="n">
        <x:f>IF(ISNUMBER(B454),'요약'!$B$7+'요약'!$B$13*B454,"")</x:f>
        <x:v>-0.0013314183274270807</x:v>
      </x:c>
    </x:row>
    <x:row r="455">
      <x:c r="A455" t="n">
        <x:f>451</x:f>
        <x:v>451</x:v>
      </x:c>
      <x:c r="B455" s="7" t="n">
        <x:f>IF(AND('요약'!$B$20,A455&lt;='요약'!$B$6),NORM.S.INV((A455-0.5)/'요약'!$B$6),"")</x:f>
        <x:v>-0.1243981980690544</x:v>
      </x:c>
      <x:c r="C455" s="7" t="n">
        <x:f>IF(AND('요약'!$B$20,A455&lt;='요약'!$B$6),LARGE('계산'!$B$2:$B$2001,'요약'!$B$6-A455+1),"")</x:f>
        <x:v>-0.0015467897680957474</x:v>
      </x:c>
      <x:c r="D455" s="7" t="n">
        <x:f>IF(ISNUMBER(B455),'요약'!$B$7+'요약'!$B$13*B455,"")</x:f>
        <x:v>-0.0013058760223665724</x:v>
      </x:c>
    </x:row>
    <x:row r="456">
      <x:c r="A456" t="n">
        <x:f>452</x:f>
        <x:v>452</x:v>
      </x:c>
      <x:c r="B456" s="7" t="n">
        <x:f>IF(AND('요약'!$B$20,A456&lt;='요약'!$B$6),NORM.S.INV((A456-0.5)/'요약'!$B$6),"")</x:f>
        <x:v>-0.12187249377623992</x:v>
      </x:c>
      <x:c r="C456" s="7" t="n">
        <x:f>IF(AND('요약'!$B$20,A456&lt;='요약'!$B$6),LARGE('계산'!$B$2:$B$2001,'요약'!$B$6-A456+1),"")</x:f>
        <x:v>-0.0013921630315477777</x:v>
      </x:c>
      <x:c r="D456" s="7" t="n">
        <x:f>IF(ISNUMBER(B456),'요약'!$B$7+'요약'!$B$13*B456,"")</x:f>
        <x:v>-0.0012803417425339973</x:v>
      </x:c>
    </x:row>
    <x:row r="457">
      <x:c r="A457" t="n">
        <x:f>453</x:f>
        <x:v>453</x:v>
      </x:c>
      <x:c r="B457" s="7" t="n">
        <x:f>IF(AND('요약'!$B$20,A457&lt;='요약'!$B$6),NORM.S.INV((A457-0.5)/'요약'!$B$6),"")</x:f>
        <x:v>-0.11934756669227536</x:v>
      </x:c>
      <x:c r="C457" s="7" t="n">
        <x:f>IF(AND('요약'!$B$20,A457&lt;='요약'!$B$6),LARGE('계산'!$B$2:$B$2001,'요약'!$B$6-A457+1),"")</x:f>
        <x:v>-0.0013686614258003064</x:v>
      </x:c>
      <x:c r="D457" s="7" t="n">
        <x:f>IF(ISNUMBER(B457),'요약'!$B$7+'요약'!$B$13*B457,"")</x:f>
        <x:v>-0.0012548153201011657</x:v>
      </x:c>
    </x:row>
    <x:row r="458">
      <x:c r="A458" t="n">
        <x:f>454</x:f>
        <x:v>454</x:v>
      </x:c>
      <x:c r="B458" s="7" t="n">
        <x:f>IF(AND('요약'!$B$20,A458&lt;='요약'!$B$6),NORM.S.INV((A458-0.5)/'요약'!$B$6),"")</x:f>
        <x:v>-0.11682340025169612</x:v>
      </x:c>
      <x:c r="C458" s="7" t="n">
        <x:f>IF(AND('요약'!$B$20,A458&lt;='요약'!$B$6),LARGE('계산'!$B$2:$B$2001,'요약'!$B$6-A458+1),"")</x:f>
        <x:v>-0.0013181488970811007</x:v>
      </x:c>
      <x:c r="D458" s="7" t="n">
        <x:f>IF(ISNUMBER(B458),'요약'!$B$7+'요약'!$B$13*B458,"")</x:f>
        <x:v>-0.0012292965875951034</x:v>
      </x:c>
    </x:row>
    <x:row r="459">
      <x:c r="A459" t="n">
        <x:f>455</x:f>
        <x:v>455</x:v>
      </x:c>
      <x:c r="B459" s="7" t="n">
        <x:f>IF(AND('요약'!$B$20,A459&lt;='요약'!$B$6),NORM.S.INV((A459-0.5)/'요약'!$B$6),"")</x:f>
        <x:v>-0.11429997792338954</x:v>
      </x:c>
      <x:c r="C459" s="7" t="n">
        <x:f>IF(AND('요약'!$B$20,A459&lt;='요약'!$B$6),LARGE('계산'!$B$2:$B$2001,'요약'!$B$6-A459+1),"")</x:f>
        <x:v>-0.0013128682226501512</x:v>
      </x:c>
      <x:c r="D459" s="7" t="n">
        <x:f>IF(ISNUMBER(B459),'요약'!$B$7+'요약'!$B$13*B459,"")</x:f>
        <x:v>-0.0012037853778901274</x:v>
      </x:c>
    </x:row>
    <x:row r="460">
      <x:c r="A460" t="n">
        <x:f>456</x:f>
        <x:v>456</x:v>
      </x:c>
      <x:c r="B460" s="7" t="n">
        <x:f>IF(AND('요약'!$B$20,A460&lt;='요약'!$B$6),NORM.S.INV((A460-0.5)/'요약'!$B$6),"")</x:f>
        <x:v>-0.1117772832098083</x:v>
      </x:c>
      <x:c r="C460" s="7" t="n">
        <x:f>IF(AND('요약'!$B$20,A460&lt;='요약'!$B$6),LARGE('계산'!$B$2:$B$2001,'요약'!$B$6-A460+1),"")</x:f>
        <x:v>-0.0012863445520617828</x:v>
      </x:c>
      <x:c r="D460" s="7" t="n">
        <x:f>IF(ISNUMBER(B460),'요약'!$B$7+'요약'!$B$13*B460,"")</x:f>
        <x:v>-0.0011782815241998914</x:v>
      </x:c>
    </x:row>
    <x:row r="461">
      <x:c r="A461" t="n">
        <x:f>457</x:f>
        <x:v>457</x:v>
      </x:c>
      <x:c r="B461" s="7" t="n">
        <x:f>IF(AND('요약'!$B$20,A461&lt;='요약'!$B$6),NORM.S.INV((A461-0.5)/'요약'!$B$6),"")</x:f>
        <x:v>-0.10925529964619031</x:v>
      </x:c>
      <x:c r="C461" s="7" t="n">
        <x:f>IF(AND('요약'!$B$20,A461&lt;='요약'!$B$6),LARGE('계산'!$B$2:$B$2001,'요약'!$B$6-A461+1),"")</x:f>
        <x:v>-0.0012824758436657657</x:v>
      </x:c>
      <x:c r="D461" s="7" t="n">
        <x:f>IF(ISNUMBER(B461),'요약'!$B$7+'요약'!$B$13*B461,"")</x:f>
        <x:v>-0.0011527848600695007</x:v>
      </x:c>
    </x:row>
    <x:row r="462">
      <x:c r="A462" t="n">
        <x:f>458</x:f>
        <x:v>458</x:v>
      </x:c>
      <x:c r="B462" s="7" t="n">
        <x:f>IF(AND('요약'!$B$20,A462&lt;='요약'!$B$6),NORM.S.INV((A462-0.5)/'요약'!$B$6),"")</x:f>
        <x:v>-0.10673401079978645</x:v>
      </x:c>
      <x:c r="C462" s="7" t="n">
        <x:f>IF(AND('요약'!$B$20,A462&lt;='요약'!$B$6),LARGE('계산'!$B$2:$B$2001,'요약'!$B$6-A462+1),"")</x:f>
        <x:v>-0.0012413149079240698</x:v>
      </x:c>
      <x:c r="D462" s="7" t="n">
        <x:f>IF(ISNUMBER(B462),'요약'!$B$7+'요약'!$B$13*B462,"")</x:f>
        <x:v>-0.001127295219367704</x:v>
      </x:c>
    </x:row>
    <x:row r="463">
      <x:c r="A463" t="n">
        <x:f>459</x:f>
        <x:v>459</x:v>
      </x:c>
      <x:c r="B463" s="7" t="n">
        <x:f>IF(AND('요약'!$B$20,A463&lt;='요약'!$B$6),NORM.S.INV((A463-0.5)/'요약'!$B$6),"")</x:f>
        <x:v>-0.1042134002690849</x:v>
      </x:c>
      <x:c r="C463" s="7" t="n">
        <x:f>IF(AND('요약'!$B$20,A463&lt;='요약'!$B$6),LARGE('계산'!$B$2:$B$2001,'요약'!$B$6-A463+1),"")</x:f>
        <x:v>-0.0012333608203295187</x:v>
      </x:c>
      <x:c r="D463" s="7" t="n">
        <x:f>IF(ISNUMBER(B463),'요약'!$B$7+'요약'!$B$13*B463,"")</x:f>
        <x:v>-0.001101812436279052</x:v>
      </x:c>
    </x:row>
    <x:row r="464">
      <x:c r="A464" t="n">
        <x:f>460</x:f>
        <x:v>460</x:v>
      </x:c>
      <x:c r="B464" s="7" t="n">
        <x:f>IF(AND('요약'!$B$20,A464&lt;='요약'!$B$6),NORM.S.INV((A464-0.5)/'요약'!$B$6),"")</x:f>
        <x:v>-0.10169345168304687</x:v>
      </x:c>
      <x:c r="C464" s="7" t="n">
        <x:f>IF(AND('요약'!$B$20,A464&lt;='요약'!$B$6),LARGE('계산'!$B$2:$B$2001,'요약'!$B$6-A464+1),"")</x:f>
        <x:v>-0.0011904105996441083</x:v>
      </x:c>
      <x:c r="D464" s="7" t="n">
        <x:f>IF(ISNUMBER(B464),'요약'!$B$7+'요약'!$B$13*B464,"")</x:f>
        <x:v>-0.00107633634529617</x:v>
      </x:c>
    </x:row>
    <x:row r="465">
      <x:c r="A465" t="n">
        <x:f>461</x:f>
        <x:v>461</x:v>
      </x:c>
      <x:c r="B465" s="7" t="n">
        <x:f>IF(AND('요약'!$B$20,A465&lt;='요약'!$B$6),NORM.S.INV((A465-0.5)/'요약'!$B$6),"")</x:f>
        <x:v>-0.09917414870033704</x:v>
      </x:c>
      <x:c r="C465" s="7" t="n">
        <x:f>IF(AND('요약'!$B$20,A465&lt;='요약'!$B$6),LARGE('계산'!$B$2:$B$2001,'요약'!$B$6-A465+1),"")</x:f>
        <x:v>-0.0011843625811873773</x:v>
      </x:c>
      <x:c r="D465" s="7" t="n">
        <x:f>IF(ISNUMBER(B465),'요약'!$B$7+'요약'!$B$13*B465,"")</x:f>
        <x:v>-0.0010508667812119791</x:v>
      </x:c>
    </x:row>
    <x:row r="466">
      <x:c r="A466" t="n">
        <x:f>462</x:f>
        <x:v>462</x:v>
      </x:c>
      <x:c r="B466" s="7" t="n">
        <x:f>IF(AND('요약'!$B$20,A466&lt;='요약'!$B$6),NORM.S.INV((A466-0.5)/'요약'!$B$6),"")</x:f>
        <x:v>-0.09665547500856739</x:v>
      </x:c>
      <x:c r="C466" s="7" t="n">
        <x:f>IF(AND('요약'!$B$20,A466&lt;='요약'!$B$6),LARGE('계산'!$B$2:$B$2001,'요약'!$B$6-A466+1),"")</x:f>
        <x:v>-0.0011583654511348493</x:v>
      </x:c>
      <x:c r="D466" s="7" t="n">
        <x:f>IF(ISNUMBER(B466),'요약'!$B$7+'요약'!$B$13*B466,"")</x:f>
        <x:v>-0.0010254035791120509</x:v>
      </x:c>
    </x:row>
    <x:row r="467">
      <x:c r="A467" t="n">
        <x:f>463</x:f>
        <x:v>463</x:v>
      </x:c>
      <x:c r="B467" s="7" t="n">
        <x:f>IF(AND('요약'!$B$20,A467&lt;='요약'!$B$6),NORM.S.INV((A467-0.5)/'요약'!$B$6),"")</x:f>
        <x:v>-0.09413741432353631</x:v>
      </x:c>
      <x:c r="C467" s="7" t="n">
        <x:f>IF(AND('요약'!$B$20,A467&lt;='요약'!$B$6),LARGE('계산'!$B$2:$B$2001,'요약'!$B$6-A467+1),"")</x:f>
        <x:v>-0.0011323722976707097</x:v>
      </x:c>
      <x:c r="D467" s="7" t="n">
        <x:f>IF(ISNUMBER(B467),'요약'!$B$7+'요약'!$B$13*B467,"")</x:f>
        <x:v>-0.0009999465743669145</x:v>
      </x:c>
    </x:row>
    <x:row r="468">
      <x:c r="A468" t="n">
        <x:f>464</x:f>
        <x:v>464</x:v>
      </x:c>
      <x:c r="B468" s="7" t="n">
        <x:f>IF(AND('요약'!$B$20,A468&lt;='요약'!$B$6),NORM.S.INV((A468-0.5)/'요약'!$B$6),"")</x:f>
        <x:v>-0.09161995038847488</x:v>
      </x:c>
      <x:c r="C468" s="7" t="n">
        <x:f>IF(AND('요약'!$B$20,A468&lt;='요약'!$B$6),LARGE('계산'!$B$2:$B$2001,'요약'!$B$6-A468+1),"")</x:f>
        <x:v>-0.001094507361633312</x:v>
      </x:c>
      <x:c r="D468" s="7" t="n">
        <x:f>IF(ISNUMBER(B468),'요약'!$B$7+'요약'!$B$13*B468,"")</x:f>
        <x:v>-0.0009744956026244376</x:v>
      </x:c>
    </x:row>
    <x:row r="469">
      <x:c r="A469" t="n">
        <x:f>465</x:f>
        <x:v>465</x:v>
      </x:c>
      <x:c r="B469" s="7" t="n">
        <x:f>IF(AND('요약'!$B$20,A469&lt;='요약'!$B$6),NORM.S.INV((A469-0.5)/'요약'!$B$6),"")</x:f>
        <x:v>-0.08910306697329565</x:v>
      </x:c>
      <x:c r="C469" s="7" t="n">
        <x:f>IF(AND('요약'!$B$20,A469&lt;='요약'!$B$6),LARGE('계산'!$B$2:$B$2001,'요약'!$B$6-A469+1),"")</x:f>
        <x:v>-0.0010684222430103628</x:v>
      </x:c>
      <x:c r="D469" s="7" t="n">
        <x:f>IF(ISNUMBER(B469),'요약'!$B$7+'요약'!$B$13*B469,"")</x:f>
        <x:v>-0.0009490504998022305</x:v>
      </x:c>
    </x:row>
    <x:row r="470">
      <x:c r="A470" t="n">
        <x:f>466</x:f>
        <x:v>466</x:v>
      </x:c>
      <x:c r="B470" s="7" t="n">
        <x:f>IF(AND('요약'!$B$20,A470&lt;='요약'!$B$6),NORM.S.INV((A470-0.5)/'요약'!$B$6),"")</x:f>
        <x:v>-0.08658674787384563</x:v>
      </x:c>
      <x:c r="C470" s="7" t="n">
        <x:f>IF(AND('요약'!$B$20,A470&lt;='요약'!$B$6),LARGE('계산'!$B$2:$B$2001,'요약'!$B$6-A470+1),"")</x:f>
        <x:v>-0.0010402140618060477</x:v>
      </x:c>
      <x:c r="D470" s="7" t="n">
        <x:f>IF(ISNUMBER(B470),'요약'!$B$7+'요약'!$B$13*B470,"")</x:f>
        <x:v>-0.000923611102080096</x:v>
      </x:c>
    </x:row>
    <x:row r="471">
      <x:c r="A471" t="n">
        <x:f>467</x:f>
        <x:v>467</x:v>
      </x:c>
      <x:c r="B471" s="7" t="n">
        <x:f>IF(AND('요약'!$B$20,A471&lt;='요약'!$B$6),NORM.S.INV((A471-0.5)/'요약'!$B$6),"")</x:f>
        <x:v>-0.08407097691115989</x:v>
      </x:c>
      <x:c r="C471" s="7" t="n">
        <x:f>IF(AND('요약'!$B$20,A471&lt;='요약'!$B$6),LARGE('계산'!$B$2:$B$2001,'요약'!$B$6-A471+1),"")</x:f>
        <x:v>-0.0009668486330066059</x:v>
      </x:c>
      <x:c r="D471" s="7" t="n">
        <x:f>IF(ISNUMBER(B471),'요약'!$B$7+'요약'!$B$13*B471,"")</x:f>
        <x:v>-0.0008981772458924813</x:v>
      </x:c>
    </x:row>
    <x:row r="472">
      <x:c r="A472" t="n">
        <x:f>468</x:f>
        <x:v>468</x:v>
      </x:c>
      <x:c r="B472" s="7" t="n">
        <x:f>IF(AND('요약'!$B$20,A472&lt;='요약'!$B$6),NORM.S.INV((A472-0.5)/'요약'!$B$6),"")</x:f>
        <x:v>-0.08155573793071848</x:v>
      </x:c>
      <x:c r="C472" s="7" t="n">
        <x:f>IF(AND('요약'!$B$20,A472&lt;='요약'!$B$6),LARGE('계산'!$B$2:$B$2001,'요약'!$B$6-A472+1),"")</x:f>
        <x:v>-0.000948399878766008</x:v>
      </x:c>
      <x:c r="D472" s="7" t="n">
        <x:f>IF(ISNUMBER(B472),'요약'!$B$7+'요약'!$B$13*B472,"")</x:f>
        <x:v>-0.0008727487679209671</x:v>
      </x:c>
    </x:row>
    <x:row r="473">
      <x:c r="A473" t="n">
        <x:f>469</x:f>
        <x:v>469</x:v>
      </x:c>
      <x:c r="B473" s="7" t="n">
        <x:f>IF(AND('요약'!$B$20,A473&lt;='요약'!$B$6),NORM.S.INV((A473-0.5)/'요약'!$B$6),"")</x:f>
        <x:v>-0.07904101480171025</x:v>
      </x:c>
      <x:c r="C473" s="7" t="n">
        <x:f>IF(AND('요약'!$B$20,A473&lt;='요약'!$B$6),LARGE('계산'!$B$2:$B$2001,'요약'!$B$6-A473+1),"")</x:f>
        <x:v>-0.0009273941829693723</x:v>
      </x:c>
      <x:c r="D473" s="7" t="n">
        <x:f>IF(ISNUMBER(B473),'요약'!$B$7+'요약'!$B$13*B473,"")</x:f>
        <x:v>-0.0008473255050868243</x:v>
      </x:c>
    </x:row>
    <x:row r="474">
      <x:c r="A474" t="n">
        <x:f>470</x:f>
        <x:v>470</x:v>
      </x:c>
      <x:c r="B474" s="7" t="n">
        <x:f>IF(AND('요약'!$B$20,A474&lt;='요약'!$B$6),NORM.S.INV((A474-0.5)/'요약'!$B$6),"")</x:f>
        <x:v>-0.07652679141629201</x:v>
      </x:c>
      <x:c r="C474" s="7" t="n">
        <x:f>IF(AND('요약'!$B$20,A474&lt;='요약'!$B$6),LARGE('계산'!$B$2:$B$2001,'요약'!$B$6-A474+1),"")</x:f>
        <x:v>-0.0009211703555071678</x:v>
      </x:c>
      <x:c r="D474" s="7" t="n">
        <x:f>IF(ISNUMBER(B474),'요약'!$B$7+'요약'!$B$13*B474,"")</x:f>
        <x:v>-0.0008219072945435249</x:v>
      </x:c>
    </x:row>
    <x:row r="475">
      <x:c r="A475" t="n">
        <x:f>471</x:f>
        <x:v>471</x:v>
      </x:c>
      <x:c r="B475" s="7" t="n">
        <x:f>IF(AND('요약'!$B$20,A475&lt;='요약'!$B$6),NORM.S.INV((A475-0.5)/'요약'!$B$6),"")</x:f>
        <x:v>-0.0740130516888604</x:v>
      </x:c>
      <x:c r="C475" s="7" t="n">
        <x:f>IF(AND('요약'!$B$20,A475&lt;='요약'!$B$6),LARGE('계산'!$B$2:$B$2001,'요약'!$B$6-A475+1),"")</x:f>
        <x:v>-0.0009153489523653442</x:v>
      </x:c>
      <x:c r="D475" s="7" t="n">
        <x:f>IF(ISNUMBER(B475),'요약'!$B$7+'요약'!$B$13*B475,"")</x:f>
        <x:v>-0.0007964939736693798</x:v>
      </x:c>
    </x:row>
    <x:row r="476">
      <x:c r="A476" t="n">
        <x:f>472</x:f>
        <x:v>472</x:v>
      </x:c>
      <x:c r="B476" s="7" t="n">
        <x:f>IF(AND('요약'!$B$20,A476&lt;='요약'!$B$6),NORM.S.INV((A476-0.5)/'요약'!$B$6),"")</x:f>
        <x:v>-0.07149977955531334</x:v>
      </x:c>
      <x:c r="C476" s="7" t="n">
        <x:f>IF(AND('요약'!$B$20,A476&lt;='요약'!$B$6),LARGE('계산'!$B$2:$B$2001,'요약'!$B$6-A476+1),"")</x:f>
        <x:v>-0.0009040073522944553</x:v>
      </x:c>
      <x:c r="D476" s="7" t="n">
        <x:f>IF(ISNUMBER(B476),'요약'!$B$7+'요약'!$B$13*B476,"")</x:f>
        <x:v>-0.0007710853800600734</x:v>
      </x:c>
    </x:row>
    <x:row r="477">
      <x:c r="A477" t="n">
        <x:f>473</x:f>
        <x:v>473</x:v>
      </x:c>
      <x:c r="B477" s="7" t="n">
        <x:f>IF(AND('요약'!$B$20,A477&lt;='요약'!$B$6),NORM.S.INV((A477-0.5)/'요약'!$B$6),"")</x:f>
        <x:v>-0.06898695897232808</x:v>
      </x:c>
      <x:c r="C477" s="7" t="n">
        <x:f>IF(AND('요약'!$B$20,A477&lt;='요약'!$B$6),LARGE('계산'!$B$2:$B$2001,'요약'!$B$6-A477+1),"")</x:f>
        <x:v>-0.000891915585894435</x:v>
      </x:c>
      <x:c r="D477" s="7" t="n">
        <x:f>IF(ISNUMBER(B477),'요약'!$B$7+'요약'!$B$13*B477,"")</x:f>
        <x:v>-0.0007456813515213639</x:v>
      </x:c>
    </x:row>
    <x:row r="478">
      <x:c r="A478" t="n">
        <x:f>474</x:f>
        <x:v>474</x:v>
      </x:c>
      <x:c r="B478" s="7" t="n">
        <x:f>IF(AND('요약'!$B$20,A478&lt;='요약'!$B$6),NORM.S.INV((A478-0.5)/'요약'!$B$6),"")</x:f>
        <x:v>-0.06647457391662914</x:v>
      </x:c>
      <x:c r="C478" s="7" t="n">
        <x:f>IF(AND('요약'!$B$20,A478&lt;='요약'!$B$6),LARGE('계산'!$B$2:$B$2001,'요약'!$B$6-A478+1),"")</x:f>
        <x:v>-0.0008890603035791245</x:v>
      </x:c>
      <x:c r="D478" s="7" t="n">
        <x:f>IF(ISNUMBER(B478),'요약'!$B$7+'요약'!$B$13*B478,"")</x:f>
        <x:v>-0.0007202817260616828</x:v>
      </x:c>
    </x:row>
    <x:row r="479">
      <x:c r="A479" t="n">
        <x:f>475</x:f>
        <x:v>475</x:v>
      </x:c>
      <x:c r="B479" s="7" t="n">
        <x:f>IF(AND('요약'!$B$20,A479&lt;='요약'!$B$6),NORM.S.INV((A479-0.5)/'요약'!$B$6),"")</x:f>
        <x:v>-0.06396260838426919</x:v>
      </x:c>
      <x:c r="C479" s="7" t="n">
        <x:f>IF(AND('요약'!$B$20,A479&lt;='요약'!$B$6),LARGE('계산'!$B$2:$B$2001,'요약'!$B$6-A479+1),"")</x:f>
        <x:v>-0.000869617654019456</x:v>
      </x:c>
      <x:c r="D479" s="7" t="n">
        <x:f>IF(ISNUMBER(B479),'요약'!$B$7+'요약'!$B$13*B479,"")</x:f>
        <x:v>-0.0006948863418848646</x:v>
      </x:c>
    </x:row>
    <x:row r="480">
      <x:c r="A480" t="n">
        <x:f>476</x:f>
        <x:v>476</x:v>
      </x:c>
      <x:c r="B480" s="7" t="n">
        <x:f>IF(AND('요약'!$B$20,A480&lt;='요약'!$B$6),NORM.S.INV((A480-0.5)/'요약'!$B$6),"")</x:f>
        <x:v>-0.06145104638990241</x:v>
      </x:c>
      <x:c r="C480" s="7" t="n">
        <x:f>IF(AND('요약'!$B$20,A480&lt;='요약'!$B$6),LARGE('계산'!$B$2:$B$2001,'요약'!$B$6-A480+1),"")</x:f>
        <x:v>-0.0008588463947359369</x:v>
      </x:c>
      <x:c r="D480" s="7" t="n">
        <x:f>IF(ISNUMBER(B480),'요약'!$B$7+'요약'!$B$13*B480,"")</x:f>
        <x:v>-0.0006694950373828009</x:v>
      </x:c>
    </x:row>
    <x:row r="481">
      <x:c r="A481" t="n">
        <x:f>477</x:f>
        <x:v>477</x:v>
      </x:c>
      <x:c r="B481" s="7" t="n">
        <x:f>IF(AND('요약'!$B$20,A481&lt;='요약'!$B$6),NORM.S.INV((A481-0.5)/'요약'!$B$6),"")</x:f>
        <x:v>-0.05893987196606893</x:v>
      </x:c>
      <x:c r="C481" s="7" t="n">
        <x:f>IF(AND('요약'!$B$20,A481&lt;='요약'!$B$6),LARGE('계산'!$B$2:$B$2001,'요약'!$B$6-A481+1),"")</x:f>
        <x:v>-0.0008380550078628504</x:v>
      </x:c>
      <x:c r="D481" s="7" t="n">
        <x:f>IF(ISNUMBER(B481),'요약'!$B$7+'요약'!$B$13*B481,"")</x:f>
        <x:v>-0.000644107651128206</x:v>
      </x:c>
    </x:row>
    <x:row r="482">
      <x:c r="A482" t="n">
        <x:f>478</x:f>
        <x:v>478</x:v>
      </x:c>
      <x:c r="B482" s="7" t="n">
        <x:f>IF(AND('요약'!$B$20,A482&lt;='요약'!$B$6),NORM.S.INV((A482-0.5)/'요약'!$B$6),"")</x:f>
        <x:v>-0.05642906916247456</x:v>
      </x:c>
      <x:c r="C482" s="7" t="n">
        <x:f>IF(AND('요약'!$B$20,A482&lt;='요약'!$B$6),LARGE('계산'!$B$2:$B$2001,'요약'!$B$6-A482+1),"")</x:f>
        <x:v>-0.0008147234184977954</x:v>
      </x:c>
      <x:c r="D482" s="7" t="n">
        <x:f>IF(ISNUMBER(B482),'요약'!$B$7+'요약'!$B$13*B482,"")</x:f>
        <x:v>-0.0006187240218673352</x:v>
      </x:c>
    </x:row>
    <x:row r="483">
      <x:c r="A483" t="n">
        <x:f>479</x:f>
        <x:v>479</x:v>
      </x:c>
      <x:c r="B483" s="7" t="n">
        <x:f>IF(AND('요약'!$B$20,A483&lt;='요약'!$B$6),NORM.S.INV((A483-0.5)/'요약'!$B$6),"")</x:f>
        <x:v>-0.05391862204527374</x:v>
      </x:c>
      <x:c r="C483" s="7" t="n">
        <x:f>IF(AND('요약'!$B$20,A483&lt;='요약'!$B$6),LARGE('계산'!$B$2:$B$2001,'요약'!$B$6-A483+1),"")</x:f>
        <x:v>-0.0008043804578739281</x:v>
      </x:c>
      <x:c r="D483" s="7" t="n">
        <x:f>IF(ISNUMBER(B483),'요약'!$B$7+'요약'!$B$13*B483,"")</x:f>
        <x:v>-0.0005933439885127354</x:v>
      </x:c>
    </x:row>
    <x:row r="484">
      <x:c r="A484" t="n">
        <x:f>480</x:f>
        <x:v>480</x:v>
      </x:c>
      <x:c r="B484" s="7" t="n">
        <x:f>IF(AND('요약'!$B$20,A484&lt;='요약'!$B$6),NORM.S.INV((A484-0.5)/'요약'!$B$6),"")</x:f>
        <x:v>-0.05140851469636221</x:v>
      </x:c>
      <x:c r="C484" s="7" t="n">
        <x:f>IF(AND('요약'!$B$20,A484&lt;='요약'!$B$6),LARGE('계산'!$B$2:$B$2001,'요약'!$B$6-A484+1),"")</x:f>
        <x:v>-0.0007814317343242293</x:v>
      </x:c>
      <x:c r="D484" s="7" t="n">
        <x:f>IF(ISNUMBER(B484),'요약'!$B$7+'요약'!$B$13*B484,"")</x:f>
        <x:v>-0.0005679673901360948</x:v>
      </x:c>
    </x:row>
    <x:row r="485">
      <x:c r="A485" t="n">
        <x:f>481</x:f>
        <x:v>481</x:v>
      </x:c>
      <x:c r="B485" s="7" t="n">
        <x:f>IF(AND('요약'!$B$20,A485&lt;='요약'!$B$6),NORM.S.INV((A485-0.5)/'요약'!$B$6),"")</x:f>
        <x:v>-0.048898731212656796</x:v>
      </x:c>
      <x:c r="C485" s="7" t="n">
        <x:f>IF(AND('요약'!$B$20,A485&lt;='요약'!$B$6),LARGE('계산'!$B$2:$B$2001,'요약'!$B$6-A485+1),"")</x:f>
        <x:v>-0.0007719231099002098</x:v>
      </x:c>
      <x:c r="D485" s="7" t="n">
        <x:f>IF(ISNUMBER(B485),'요약'!$B$7+'요약'!$B$13*B485,"")</x:f>
        <x:v>-0.0005425940659609607</x:v>
      </x:c>
    </x:row>
    <x:row r="486">
      <x:c r="A486" t="n">
        <x:f>482</x:f>
        <x:v>482</x:v>
      </x:c>
      <x:c r="B486" s="7" t="n">
        <x:f>IF(AND('요약'!$B$20,A486&lt;='요약'!$B$6),NORM.S.INV((A486-0.5)/'요약'!$B$6),"")</x:f>
        <x:v>-0.046389255705390035</x:v>
      </x:c>
      <x:c r="C486" s="7" t="n">
        <x:f>IF(AND('요약'!$B$20,A486&lt;='요약'!$B$6),LARGE('계산'!$B$2:$B$2001,'요약'!$B$6-A486+1),"")</x:f>
        <x:v>-0.0007538127542676815</x:v>
      </x:c>
      <x:c r="D486" s="7" t="n">
        <x:f>IF(ISNUMBER(B486),'요약'!$B$7+'요약'!$B$13*B486,"")</x:f>
        <x:v>-0.0005172238553556096</x:v>
      </x:c>
    </x:row>
    <x:row r="487">
      <x:c r="A487" t="n">
        <x:f>483</x:f>
        <x:v>483</x:v>
      </x:c>
      <x:c r="B487" s="7" t="n">
        <x:f>IF(AND('요약'!$B$20,A487&lt;='요약'!$B$6),NORM.S.INV((A487-0.5)/'요약'!$B$6),"")</x:f>
        <x:v>-0.04388007229940103</x:v>
      </x:c>
      <x:c r="C487" s="7" t="n">
        <x:f>IF(AND('요약'!$B$20,A487&lt;='요약'!$B$6),LARGE('계산'!$B$2:$B$2001,'요약'!$B$6-A487+1),"")</x:f>
        <x:v>-0.000745928448531951</x:v>
      </x:c>
      <x:c r="D487" s="7" t="n">
        <x:f>IF(ISNUMBER(B487),'요약'!$B$7+'요약'!$B$13*B487,"")</x:f>
        <x:v>-0.0004918565978258766</x:v>
      </x:c>
    </x:row>
    <x:row r="488">
      <x:c r="A488" t="n">
        <x:f>484</x:f>
        <x:v>484</x:v>
      </x:c>
      <x:c r="B488" s="7" t="n">
        <x:f>IF(AND('요약'!$B$20,A488&lt;='요약'!$B$6),NORM.S.INV((A488-0.5)/'요약'!$B$6),"")</x:f>
        <x:v>-0.04137116513242786</x:v>
      </x:c>
      <x:c r="C488" s="7" t="n">
        <x:f>IF(AND('요약'!$B$20,A488&lt;='요약'!$B$6),LARGE('계산'!$B$2:$B$2001,'요약'!$B$6-A488+1),"")</x:f>
        <x:v>-0.0007111175600784694</x:v>
      </x:c>
      <x:c r="D488" s="7" t="n">
        <x:f>IF(ISNUMBER(B488),'요약'!$B$7+'요약'!$B$13*B488,"")</x:f>
        <x:v>-0.00046649213300800255</x:v>
      </x:c>
    </x:row>
    <x:row r="489">
      <x:c r="A489" t="n">
        <x:f>485</x:f>
        <x:v>485</x:v>
      </x:c>
      <x:c r="B489" s="7" t="n">
        <x:f>IF(AND('요약'!$B$20,A489&lt;='요약'!$B$6),NORM.S.INV((A489-0.5)/'요약'!$B$6),"")</x:f>
        <x:v>-0.03886251835440046</x:v>
      </x:c>
      <x:c r="C489" s="7" t="n">
        <x:f>IF(AND('요약'!$B$20,A489&lt;='요약'!$B$6),LARGE('계산'!$B$2:$B$2001,'요약'!$B$6-A489+1),"")</x:f>
        <x:v>-0.0007076713205349386</x:v>
      </x:c>
      <x:c r="D489" s="7" t="n">
        <x:f>IF(ISNUMBER(B489),'요약'!$B$7+'요약'!$B$13*B489,"")</x:f>
        <x:v>-0.0004411303006614853</x:v>
      </x:c>
    </x:row>
    <x:row r="490">
      <x:c r="A490" t="n">
        <x:f>486</x:f>
        <x:v>486</x:v>
      </x:c>
      <x:c r="B490" s="7" t="n">
        <x:f>IF(AND('요약'!$B$20,A490&lt;='요약'!$B$6),NORM.S.INV((A490-0.5)/'요약'!$B$6),"")</x:f>
        <x:v>-0.0363541161267392</x:v>
      </x:c>
      <x:c r="C490" s="7" t="n">
        <x:f>IF(AND('요약'!$B$20,A490&lt;='요약'!$B$6),LARGE('계산'!$B$2:$B$2001,'요약'!$B$6-A490+1),"")</x:f>
        <x:v>-0.0006953210984156936</x:v>
      </x:c>
      <x:c r="D490" s="7" t="n">
        <x:f>IF(ISNUMBER(B490),'요약'!$B$7+'요약'!$B$13*B490,"")</x:f>
        <x:v>-0.00041577094066198834</x:v>
      </x:c>
    </x:row>
    <x:row r="491">
      <x:c r="A491" t="n">
        <x:f>487</x:f>
        <x:v>487</x:v>
      </x:c>
      <x:c r="B491" s="7" t="n">
        <x:f>IF(AND('요약'!$B$20,A491&lt;='요약'!$B$6),NORM.S.INV((A491-0.5)/'요약'!$B$6),"")</x:f>
        <x:v>-0.03384594262165154</x:v>
      </x:c>
      <x:c r="C491" s="7" t="n">
        <x:f>IF(AND('요약'!$B$20,A491&lt;='요약'!$B$6),LARGE('계산'!$B$2:$B$2001,'요약'!$B$6-A491+1),"")</x:f>
        <x:v>-0.0006687254315374864</x:v>
      </x:c>
      <x:c r="D491" s="7" t="n">
        <x:f>IF(ISNUMBER(B491),'요약'!$B$7+'요약'!$B$13*B491,"")</x:f>
        <x:v>-0.00039041389299422977</x:v>
      </x:c>
    </x:row>
    <x:row r="492">
      <x:c r="A492" t="n">
        <x:f>488</x:f>
        <x:v>488</x:v>
      </x:c>
      <x:c r="B492" s="7" t="n">
        <x:f>IF(AND('요약'!$B$20,A492&lt;='요약'!$B$6),NORM.S.INV((A492-0.5)/'요약'!$B$6),"")</x:f>
        <x:v>-0.03133798202142648</x:v>
      </x:c>
      <x:c r="C492" s="7" t="n">
        <x:f>IF(AND('요약'!$B$20,A492&lt;='요약'!$B$6),LARGE('계산'!$B$2:$B$2001,'요약'!$B$6-A492+1),"")</x:f>
        <x:v>-0.0006471902482871915</x:v>
      </x:c>
      <x:c r="D492" s="7" t="n">
        <x:f>IF(ISNUMBER(B492),'요약'!$B$7+'요약'!$B$13*B492,"")</x:f>
        <x:v>-0.0003650589977448501</x:v>
      </x:c>
    </x:row>
    <x:row r="493">
      <x:c r="A493" t="n">
        <x:f>489</x:f>
        <x:v>489</x:v>
      </x:c>
      <x:c r="B493" s="7" t="n">
        <x:f>IF(AND('요약'!$B$20,A493&lt;='요약'!$B$6),NORM.S.INV((A493-0.5)/'요약'!$B$6),"")</x:f>
        <x:v>-0.028830218517740154</x:v>
      </x:c>
      <x:c r="C493" s="7" t="n">
        <x:f>IF(AND('요약'!$B$20,A493&lt;='요약'!$B$6),LARGE('계산'!$B$2:$B$2001,'요약'!$B$6-A493+1),"")</x:f>
        <x:v>-0.0006374519234623296</x:v>
      </x:c>
      <x:c r="D493" s="7" t="n">
        <x:f>IF(ISNUMBER(B493),'요약'!$B$7+'요약'!$B$13*B493,"")</x:f>
        <x:v>-0.0003397060950953913</x:v>
      </x:c>
    </x:row>
    <x:row r="494">
      <x:c r="A494" t="n">
        <x:f>490</x:f>
        <x:v>490</x:v>
      </x:c>
      <x:c r="B494" s="7" t="n">
        <x:f>IF(AND('요약'!$B$20,A494&lt;='요약'!$B$6),NORM.S.INV((A494-0.5)/'요약'!$B$6),"")</x:f>
        <x:v>-0.026322636310952847</x:v>
      </x:c>
      <x:c r="C494" s="7" t="n">
        <x:f>IF(AND('요약'!$B$20,A494&lt;='요약'!$B$6),LARGE('계산'!$B$2:$B$2001,'요약'!$B$6-A494+1),"")</x:f>
        <x:v>-0.0005458388091806941</x:v>
      </x:c>
      <x:c r="D494" s="7" t="n">
        <x:f>IF(ISNUMBER(B494),'요약'!$B$7+'요약'!$B$13*B494,"")</x:f>
        <x:v>-0.00031435502531519015</x:v>
      </x:c>
    </x:row>
    <x:row r="495">
      <x:c r="A495" t="n">
        <x:f>491</x:f>
        <x:v>491</x:v>
      </x:c>
      <x:c r="B495" s="7" t="n">
        <x:f>IF(AND('요약'!$B$20,A495&lt;='요약'!$B$6),NORM.S.INV((A495-0.5)/'요약'!$B$6),"")</x:f>
        <x:v>-0.02381521960940934</x:v>
      </x:c>
      <x:c r="C495" s="7" t="n">
        <x:f>IF(AND('요약'!$B$20,A495&lt;='요약'!$B$6),LARGE('계산'!$B$2:$B$2001,'요약'!$B$6-A495+1),"")</x:f>
        <x:v>-0.0005455115002578137</x:v>
      </x:c>
      <x:c r="D495" s="7" t="n">
        <x:f>IF(ISNUMBER(B495),'요약'!$B$7+'요약'!$B$13*B495,"")</x:f>
        <x:v>-0.00028900562875430497</x:v>
      </x:c>
    </x:row>
    <x:row r="496">
      <x:c r="A496" t="n">
        <x:f>492</x:f>
        <x:v>492</x:v>
      </x:c>
      <x:c r="B496" s="7" t="n">
        <x:f>IF(AND('요약'!$B$20,A496&lt;='요약'!$B$6),NORM.S.INV((A496-0.5)/'요약'!$B$6),"")</x:f>
        <x:v>-0.021307952628745755</x:v>
      </x:c>
      <x:c r="C496" s="7" t="n">
        <x:f>IF(AND('요약'!$B$20,A496&lt;='요약'!$B$6),LARGE('계산'!$B$2:$B$2001,'요약'!$B$6-A496+1),"")</x:f>
        <x:v>-0.0005320697752673096</x:v>
      </x:c>
      <x:c r="D496" s="7" t="n">
        <x:f>IF(ISNUMBER(B496),'요약'!$B$7+'요약'!$B$13*B496,"")</x:f>
        <x:v>-0.00026365774583650756</x:v>
      </x:c>
    </x:row>
    <x:row r="497">
      <x:c r="A497" t="n">
        <x:f>493</x:f>
        <x:v>493</x:v>
      </x:c>
      <x:c r="B497" s="7" t="n">
        <x:f>IF(AND('요약'!$B$20,A497&lt;='요약'!$B$6),NORM.S.INV((A497-0.5)/'요약'!$B$6),"")</x:f>
        <x:v>-0.01880081959118744</x:v>
      </x:c>
      <x:c r="C497" s="7" t="n">
        <x:f>IF(AND('요약'!$B$20,A497&lt;='요약'!$B$6),LARGE('계산'!$B$2:$B$2001,'요약'!$B$6-A497+1),"")</x:f>
        <x:v>-0.0004971134711074458</x:v>
      </x:c>
      <x:c r="D497" s="7" t="n">
        <x:f>IF(ISNUMBER(B497),'요약'!$B$7+'요약'!$B$13*B497,"")</x:f>
        <x:v>-0.00023831121705218547</x:v>
      </x:c>
    </x:row>
    <x:row r="498">
      <x:c r="A498" t="n">
        <x:f>494</x:f>
        <x:v>494</x:v>
      </x:c>
      <x:c r="B498" s="7" t="n">
        <x:f>IF(AND('요약'!$B$20,A498&lt;='요약'!$B$6),NORM.S.INV((A498-0.5)/'요약'!$B$6),"")</x:f>
        <x:v>-0.01629380472485923</x:v>
      </x:c>
      <x:c r="C498" s="7" t="n">
        <x:f>IF(AND('요약'!$B$20,A498&lt;='요약'!$B$6),LARGE('계산'!$B$2:$B$2001,'요약'!$B$6-A498+1),"")</x:f>
        <x:v>-0.0004909432801963076</x:v>
      </x:c>
      <x:c r="D498" s="7" t="n">
        <x:f>IF(ISNUMBER(B498),'요약'!$B$7+'요약'!$B$13*B498,"")</x:f>
        <x:v>-0.00021296588295136859</x:v>
      </x:c>
    </x:row>
    <x:row r="499">
      <x:c r="A499" t="n">
        <x:f>495</x:f>
        <x:v>495</x:v>
      </x:c>
      <x:c r="B499" s="7" t="n">
        <x:f>IF(AND('요약'!$B$20,A499&lt;='요약'!$B$6),NORM.S.INV((A499-0.5)/'요약'!$B$6),"")</x:f>
        <x:v>-0.01378689226308429</x:v>
      </x:c>
      <x:c r="C499" s="7" t="n">
        <x:f>IF(AND('요약'!$B$20,A499&lt;='요약'!$B$6),LARGE('계산'!$B$2:$B$2001,'요약'!$B$6-A499+1),"")</x:f>
        <x:v>-0.00048429503253610384</x:v>
      </x:c>
      <x:c r="D499" s="7" t="n">
        <x:f>IF(ISNUMBER(B499),'요약'!$B$7+'요약'!$B$13*B499,"")</x:f>
        <x:v>-0.00018762158413664074</x:v>
      </x:c>
    </x:row>
    <x:row r="500">
      <x:c r="A500" t="n">
        <x:f>496</x:f>
        <x:v>496</x:v>
      </x:c>
      <x:c r="B500" s="7" t="n">
        <x:f>IF(AND('요약'!$B$20,A500&lt;='요약'!$B$6),NORM.S.INV((A500-0.5)/'요약'!$B$6),"")</x:f>
        <x:v>-0.011280066443692886</x:v>
      </x:c>
      <x:c r="C500" s="7" t="n">
        <x:f>IF(AND('요약'!$B$20,A500&lt;='요약'!$B$6),LARGE('계산'!$B$2:$B$2001,'요약'!$B$6-A500+1),"")</x:f>
        <x:v>-0.00043175123632135243</x:v>
      </x:c>
      <x:c r="D500" s="7" t="n">
        <x:f>IF(ISNUMBER(B500),'요약'!$B$7+'요약'!$B$13*B500,"")</x:f>
        <x:v>-0.0001622781612561514</x:v>
      </x:c>
    </x:row>
    <x:row r="501">
      <x:c r="A501" t="n">
        <x:f>497</x:f>
        <x:v>497</x:v>
      </x:c>
      <x:c r="B501" s="7" t="n">
        <x:f>IF(AND('요약'!$B$20,A501&lt;='요약'!$B$6),NORM.S.INV((A501-0.5)/'요약'!$B$6),"")</x:f>
        <x:v>-0.008773311508328174</x:v>
      </x:c>
      <x:c r="C501" s="7" t="n">
        <x:f>IF(AND('요약'!$B$20,A501&lt;='요약'!$B$6),LARGE('계산'!$B$2:$B$2001,'요약'!$B$6-A501+1),"")</x:f>
        <x:v>-0.0004008078294282397</x:v>
      </x:c>
      <x:c r="D501" s="7" t="n">
        <x:f>IF(ISNUMBER(B501),'요약'!$B$7+'요약'!$B$13*B501,"")</x:f>
        <x:v>-0.00013693545499659764</x:v>
      </x:c>
    </x:row>
    <x:row r="502">
      <x:c r="A502" t="n">
        <x:f>498</x:f>
        <x:v>498</x:v>
      </x:c>
      <x:c r="B502" s="7" t="n">
        <x:f>IF(AND('요약'!$B$20,A502&lt;='요약'!$B$6),NORM.S.INV((A502-0.5)/'요약'!$B$6),"")</x:f>
        <x:v>-0.006266611701750316</x:v>
      </x:c>
      <x:c r="C502" s="7" t="n">
        <x:f>IF(AND('요약'!$B$20,A502&lt;='요약'!$B$6),LARGE('계산'!$B$2:$B$2001,'요약'!$B$6-A502+1),"")</x:f>
        <x:v>-0.0004005616972949246</x:v>
      </x:c>
      <x:c r="D502" s="7" t="n">
        <x:f>IF(ISNUMBER(B502),'요약'!$B$7+'요약'!$B$13*B502,"")</x:f>
        <x:v>-0.00011159330607618859</x:v>
      </x:c>
    </x:row>
    <x:row r="503">
      <x:c r="A503" t="n">
        <x:f>499</x:f>
        <x:v>499</x:v>
      </x:c>
      <x:c r="B503" s="7" t="n">
        <x:f>IF(AND('요약'!$B$20,A503&lt;='요약'!$B$6),NORM.S.INV((A503-0.5)/'요약'!$B$6),"")</x:f>
        <x:v>-0.0037599512711458867</x:v>
      </x:c>
      <x:c r="C503" s="7" t="n">
        <x:f>IF(AND('요약'!$B$20,A503&lt;='요약'!$B$6),LARGE('계산'!$B$2:$B$2001,'요약'!$B$6-A503+1),"")</x:f>
        <x:v>-0.0003834916255107708</x:v>
      </x:c>
      <x:c r="D503" s="7" t="n">
        <x:f>IF(ISNUMBER(B503),'요약'!$B$7+'요약'!$B$13*B503,"")</x:f>
        <x:v>-0.0000862515552376639</x:v>
      </x:c>
    </x:row>
    <x:row r="504">
      <x:c r="A504" t="n">
        <x:f>500</x:f>
        <x:v>500</x:v>
      </x:c>
      <x:c r="B504" s="7" t="n">
        <x:f>IF(AND('요약'!$B$20,A504&lt;='요약'!$B$6),NORM.S.INV((A504-0.5)/'요약'!$B$6),"")</x:f>
        <x:v>-0.001253314465432305</x:v>
      </x:c>
      <x:c r="C504" s="7" t="n">
        <x:f>IF(AND('요약'!$B$20,A504&lt;='요약'!$B$6),LARGE('계산'!$B$2:$B$2001,'요약'!$B$6-A504+1),"")</x:f>
        <x:v>-0.0003554354914365791</x:v>
      </x:c>
      <x:c r="D504" s="7" t="n">
        <x:f>IF(ISNUMBER(B504),'요약'!$B$7+'요약'!$B$13*B504,"")</x:f>
        <x:v>-0.000060910043241261616</x:v>
      </x:c>
    </x:row>
    <x:row r="505">
      <x:c r="A505" t="n">
        <x:f>501</x:f>
        <x:v>501</x:v>
      </x:c>
      <x:c r="B505" s="7" t="n">
        <x:f>IF(AND('요약'!$B$20,A505&lt;='요약'!$B$6),NORM.S.INV((A505-0.5)/'요약'!$B$6),"")</x:f>
        <x:v>0.0012533144654321392</x:v>
      </x:c>
      <x:c r="C505" s="7" t="n">
        <x:f>IF(AND('요약'!$B$20,A505&lt;='요약'!$B$6),LARGE('계산'!$B$2:$B$2001,'요약'!$B$6-A505+1),"")</x:f>
        <x:v>-0.00035281104490927326</x:v>
      </x:c>
      <x:c r="D505" s="7" t="n">
        <x:f>IF(ISNUMBER(B505),'요약'!$B$7+'요약'!$B$13*B505,"")</x:f>
        <x:v>-0.00003556861085774281</x:v>
      </x:c>
    </x:row>
    <x:row r="506">
      <x:c r="A506" t="n">
        <x:f>502</x:f>
        <x:v>502</x:v>
      </x:c>
      <x:c r="B506" s="7" t="n">
        <x:f>IF(AND('요약'!$B$20,A506&lt;='요약'!$B$6),NORM.S.INV((A506-0.5)/'요약'!$B$6),"")</x:f>
        <x:v>0.0037599512711456377</x:v>
      </x:c>
      <x:c r="C506" s="7" t="n">
        <x:f>IF(AND('요약'!$B$20,A506&lt;='요약'!$B$6),LARGE('계산'!$B$2:$B$2001,'요약'!$B$6-A506+1),"")</x:f>
        <x:v>-0.0003472179916227781</x:v>
      </x:c>
      <x:c r="D506" s="7" t="n">
        <x:f>IF(ISNUMBER(B506),'요약'!$B$7+'요약'!$B$13*B506,"")</x:f>
        <x:v>-0.000010227098861341377</x:v>
      </x:c>
    </x:row>
    <x:row r="507">
      <x:c r="A507" t="n">
        <x:f>503</x:f>
        <x:v>503</x:v>
      </x:c>
      <x:c r="B507" s="7" t="n">
        <x:f>IF(AND('요약'!$B$20,A507&lt;='요약'!$B$6),NORM.S.INV((A507-0.5)/'요약'!$B$6),"")</x:f>
        <x:v>0.006266611701750037</x:v>
      </x:c>
      <x:c r="C507" s="7" t="n">
        <x:f>IF(AND('요약'!$B$20,A507&lt;='요약'!$B$6),LARGE('계산'!$B$2:$B$2001,'요약'!$B$6-A507+1),"")</x:f>
        <x:v>-0.00029943779651729353</x:v>
      </x:c>
      <x:c r="D507" s="7" t="n">
        <x:f>IF(ISNUMBER(B507),'요약'!$B$7+'요약'!$B$13*B507,"")</x:f>
        <x:v>0.000015114651977183014</x:v>
      </x:c>
    </x:row>
    <x:row r="508">
      <x:c r="A508" t="n">
        <x:f>504</x:f>
        <x:v>504</x:v>
      </x:c>
      <x:c r="B508" s="7" t="n">
        <x:f>IF(AND('요약'!$B$20,A508&lt;='요약'!$B$6),NORM.S.INV((A508-0.5)/'요약'!$B$6),"")</x:f>
        <x:v>0.008773311508327894</x:v>
      </x:c>
      <x:c r="C508" s="7" t="n">
        <x:f>IF(AND('요약'!$B$20,A508&lt;='요약'!$B$6),LARGE('계산'!$B$2:$B$2001,'요약'!$B$6-A508+1),"")</x:f>
        <x:v>-0.0002475390679883231</x:v>
      </x:c>
      <x:c r="D508" s="7" t="n">
        <x:f>IF(ISNUMBER(B508),'요약'!$B$7+'요약'!$B$13*B508,"")</x:f>
        <x:v>0.00004045680089759206</x:v>
      </x:c>
    </x:row>
    <x:row r="509">
      <x:c r="A509" t="n">
        <x:f>505</x:f>
        <x:v>505</x:v>
      </x:c>
      <x:c r="B509" s="7" t="n">
        <x:f>IF(AND('요약'!$B$20,A509&lt;='요약'!$B$6),NORM.S.INV((A509-0.5)/'요약'!$B$6),"")</x:f>
        <x:v>0.011280066443692999</x:v>
      </x:c>
      <x:c r="C509" s="7" t="n">
        <x:f>IF(AND('요약'!$B$20,A509&lt;='요약'!$B$6),LARGE('계산'!$B$2:$B$2001,'요약'!$B$6-A509+1),"")</x:f>
        <x:v>-0.00020311167132989485</x:v>
      </x:c>
      <x:c r="D509" s="7" t="n">
        <x:f>IF(ISNUMBER(B509),'요약'!$B$7+'요약'!$B$13*B509,"")</x:f>
        <x:v>0.00006579950715714978</x:v>
      </x:c>
    </x:row>
    <x:row r="510">
      <x:c r="A510" t="n">
        <x:f>506</x:f>
        <x:v>506</x:v>
      </x:c>
      <x:c r="B510" s="7" t="n">
        <x:f>IF(AND('요약'!$B$20,A510&lt;='요약'!$B$6),NORM.S.INV((A510-0.5)/'요약'!$B$6),"")</x:f>
        <x:v>0.01378689226308401</x:v>
      </x:c>
      <x:c r="C510" s="7" t="n">
        <x:f>IF(AND('요약'!$B$20,A510&lt;='요약'!$B$6),LARGE('계산'!$B$2:$B$2001,'요약'!$B$6-A510+1),"")</x:f>
        <x:v>-0.00020302596008934558</x:v>
      </x:c>
      <x:c r="D510" s="7" t="n">
        <x:f>IF(ISNUMBER(B510),'요약'!$B$7+'요약'!$B$13*B510,"")</x:f>
        <x:v>0.00009114293003763512</x:v>
      </x:c>
    </x:row>
    <x:row r="511">
      <x:c r="A511" t="n">
        <x:f>507</x:f>
        <x:v>507</x:v>
      </x:c>
      <x:c r="B511" s="7" t="n">
        <x:f>IF(AND('요약'!$B$20,A511&lt;='요약'!$B$6),NORM.S.INV((A511-0.5)/'요약'!$B$6),"")</x:f>
        <x:v>0.01629380472485895</x:v>
      </x:c>
      <x:c r="C511" s="7" t="n">
        <x:f>IF(AND('요약'!$B$20,A511&lt;='요약'!$B$6),LARGE('계산'!$B$2:$B$2001,'요약'!$B$6-A511+1),"")</x:f>
        <x:v>-0.000192303674555758</x:v>
      </x:c>
      <x:c r="D511" s="7" t="n">
        <x:f>IF(ISNUMBER(B511),'요약'!$B$7+'요약'!$B$13*B511,"")</x:f>
        <x:v>0.00011648722885236297</x:v>
      </x:c>
    </x:row>
    <x:row r="512">
      <x:c r="A512" t="n">
        <x:f>508</x:f>
        <x:v>508</x:v>
      </x:c>
      <x:c r="B512" s="7" t="n">
        <x:f>IF(AND('요약'!$B$20,A512&lt;='요약'!$B$6),NORM.S.INV((A512-0.5)/'요약'!$B$6),"")</x:f>
        <x:v>0.018800819591187855</x:v>
      </x:c>
      <x:c r="C512" s="7" t="n">
        <x:f>IF(AND('요약'!$B$20,A512&lt;='요약'!$B$6),LARGE('계산'!$B$2:$B$2001,'요약'!$B$6-A512+1),"")</x:f>
        <x:v>-0.0001461883344231346</x:v>
      </x:c>
      <x:c r="D512" s="7" t="n">
        <x:f>IF(ISNUMBER(B512),'요약'!$B$7+'요약'!$B$13*B512,"")</x:f>
        <x:v>0.0001418325629531869</x:v>
      </x:c>
    </x:row>
    <x:row r="513">
      <x:c r="A513" t="n">
        <x:f>509</x:f>
        <x:v>509</x:v>
      </x:c>
      <x:c r="B513" s="7" t="n">
        <x:f>IF(AND('요약'!$B$20,A513&lt;='요약'!$B$6),NORM.S.INV((A513-0.5)/'요약'!$B$6),"")</x:f>
        <x:v>0.021307952628745477</x:v>
      </x:c>
      <x:c r="C513" s="7" t="n">
        <x:f>IF(AND('요약'!$B$20,A513&lt;='요약'!$B$6),LARGE('계산'!$B$2:$B$2001,'요약'!$B$6-A513+1),"")</x:f>
        <x:v>-0.00011657298319013716</x:v>
      </x:c>
      <x:c r="D513" s="7" t="n">
        <x:f>IF(ISNUMBER(B513),'요약'!$B$7+'요약'!$B$13*B513,"")</x:f>
        <x:v>0.000167179091737502</x:v>
      </x:c>
    </x:row>
    <x:row r="514">
      <x:c r="A514" t="n">
        <x:f>510</x:f>
        <x:v>510</x:v>
      </x:c>
      <x:c r="B514" s="7" t="n">
        <x:f>IF(AND('요약'!$B$20,A514&lt;='요약'!$B$6),NORM.S.INV((A514-0.5)/'요약'!$B$6),"")</x:f>
        <x:v>0.023815219609409057</x:v>
      </x:c>
      <x:c r="C514" s="7" t="n">
        <x:f>IF(AND('요약'!$B$20,A514&lt;='요약'!$B$6),LARGE('계산'!$B$2:$B$2001,'요약'!$B$6-A514+1),"")</x:f>
        <x:v>-0.00009275097951660927</x:v>
      </x:c>
      <x:c r="D514" s="7" t="n">
        <x:f>IF(ISNUMBER(B514),'요약'!$B$7+'요약'!$B$13*B514,"")</x:f>
        <x:v>0.00019252697465529936</x:v>
      </x:c>
    </x:row>
    <x:row r="515">
      <x:c r="A515" t="n">
        <x:f>511</x:f>
        <x:v>511</x:v>
      </x:c>
      <x:c r="B515" s="7" t="n">
        <x:f>IF(AND('요약'!$B$20,A515&lt;='요약'!$B$6),NORM.S.INV((A515-0.5)/'요약'!$B$6),"")</x:f>
        <x:v>0.026322636310952562</x:v>
      </x:c>
      <x:c r="C515" s="7" t="n">
        <x:f>IF(AND('요약'!$B$20,A515&lt;='요약'!$B$6),LARGE('계산'!$B$2:$B$2001,'요약'!$B$6-A515+1),"")</x:f>
        <x:v>-0.0000863672877536059</x:v>
      </x:c>
      <x:c r="D515" s="7" t="n">
        <x:f>IF(ISNUMBER(B515),'요약'!$B$7+'요약'!$B$13*B515,"")</x:f>
        <x:v>0.00021787637121618454</x:v>
      </x:c>
    </x:row>
    <x:row r="516">
      <x:c r="A516" t="n">
        <x:f>512</x:f>
        <x:v>512</x:v>
      </x:c>
      <x:c r="B516" s="7" t="n">
        <x:f>IF(AND('요약'!$B$20,A516&lt;='요약'!$B$6),NORM.S.INV((A516-0.5)/'요약'!$B$6),"")</x:f>
        <x:v>0.028830218517739873</x:v>
      </x:c>
      <x:c r="C516" s="7" t="n">
        <x:f>IF(AND('요약'!$B$20,A516&lt;='요약'!$B$6),LARGE('계산'!$B$2:$B$2001,'요약'!$B$6-A516+1),"")</x:f>
        <x:v>-0.00002055780964194593</x:v>
      </x:c>
      <x:c r="D516" s="7" t="n">
        <x:f>IF(ISNUMBER(B516),'요약'!$B$7+'요약'!$B$13*B516,"")</x:f>
        <x:v>0.0002432274409963857</x:v>
      </x:c>
    </x:row>
    <x:row r="517">
      <x:c r="A517" t="n">
        <x:f>513</x:f>
        <x:v>513</x:v>
      </x:c>
      <x:c r="B517" s="7" t="n">
        <x:f>IF(AND('요약'!$B$20,A517&lt;='요약'!$B$6),NORM.S.INV((A517-0.5)/'요약'!$B$6),"")</x:f>
        <x:v>0.03133798202142648</x:v>
      </x:c>
      <x:c r="C517" s="7" t="n">
        <x:f>IF(AND('요약'!$B$20,A517&lt;='요약'!$B$6),LARGE('계산'!$B$2:$B$2001,'요약'!$B$6-A517+1),"")</x:f>
        <x:v>0.000010993621395234826</x:v>
      </x:c>
      <x:c r="D517" s="7" t="n">
        <x:f>IF(ISNUMBER(B517),'요약'!$B$7+'요약'!$B$13*B517,"")</x:f>
        <x:v>0.0002685803436458474</x:v>
      </x:c>
    </x:row>
    <x:row r="518">
      <x:c r="A518" t="n">
        <x:f>514</x:f>
        <x:v>514</x:v>
      </x:c>
      <x:c r="B518" s="7" t="n">
        <x:f>IF(AND('요약'!$B$20,A518&lt;='요약'!$B$6),NORM.S.INV((A518-0.5)/'요약'!$B$6),"")</x:f>
        <x:v>0.03384594262165127</x:v>
      </x:c>
      <x:c r="C518" s="7" t="n">
        <x:f>IF(AND('요약'!$B$20,A518&lt;='요약'!$B$6),LARGE('계산'!$B$2:$B$2001,'요약'!$B$6-A518+1),"")</x:f>
        <x:v>0.0000202071640632205</x:v>
      </x:c>
      <x:c r="D518" s="7" t="n">
        <x:f>IF(ISNUMBER(B518),'요약'!$B$7+'요약'!$B$13*B518,"")</x:f>
        <x:v>0.00029393523889522435</x:v>
      </x:c>
    </x:row>
    <x:row r="519">
      <x:c r="A519" t="n">
        <x:f>515</x:f>
        <x:v>515</x:v>
      </x:c>
      <x:c r="B519" s="7" t="n">
        <x:f>IF(AND('요약'!$B$20,A519&lt;='요약'!$B$6),NORM.S.INV((A519-0.5)/'요약'!$B$6),"")</x:f>
        <x:v>0.03635411612673932</x:v>
      </x:c>
      <x:c r="C519" s="7" t="n">
        <x:f>IF(AND('요약'!$B$20,A519&lt;='요약'!$B$6),LARGE('계산'!$B$2:$B$2001,'요약'!$B$6-A519+1),"")</x:f>
        <x:v>0.000030140364168842644</x:v>
      </x:c>
      <x:c r="D519" s="7" t="n">
        <x:f>IF(ISNUMBER(B519),'요약'!$B$7+'요약'!$B$13*B519,"")</x:f>
        <x:v>0.0003192922865629868</x:v>
      </x:c>
    </x:row>
    <x:row r="520">
      <x:c r="A520" t="n">
        <x:f>516</x:f>
        <x:v>516</x:v>
      </x:c>
      <x:c r="B520" s="7" t="n">
        <x:f>IF(AND('요약'!$B$20,A520&lt;='요약'!$B$6),NORM.S.INV((A520-0.5)/'요약'!$B$6),"")</x:f>
        <x:v>0.038862518354400515</x:v>
      </x:c>
      <x:c r="C520" s="7" t="n">
        <x:f>IF(AND('요약'!$B$20,A520&lt;='요약'!$B$6),LARGE('계산'!$B$2:$B$2001,'요약'!$B$6-A520+1),"")</x:f>
        <x:v>0.0000646630865436053</x:v>
      </x:c>
      <x:c r="D520" s="7" t="n">
        <x:f>IF(ISNUMBER(B520),'요약'!$B$7+'요약'!$B$13*B520,"")</x:f>
        <x:v>0.0003446516465624832</x:v>
      </x:c>
    </x:row>
    <x:row r="521">
      <x:c r="A521" t="n">
        <x:f>517</x:f>
        <x:v>517</x:v>
      </x:c>
      <x:c r="B521" s="7" t="n">
        <x:f>IF(AND('요약'!$B$20,A521&lt;='요약'!$B$6),NORM.S.INV((A521-0.5)/'요약'!$B$6),"")</x:f>
        <x:v>0.04137116513242758</x:v>
      </x:c>
      <x:c r="C521" s="7" t="n">
        <x:f>IF(AND('요약'!$B$20,A521&lt;='요약'!$B$6),LARGE('계산'!$B$2:$B$2001,'요약'!$B$6-A521+1),"")</x:f>
        <x:v>0.00007641479607975786</x:v>
      </x:c>
      <x:c r="D521" s="7" t="n">
        <x:f>IF(ISNUMBER(B521),'요약'!$B$7+'요약'!$B$13*B521,"")</x:f>
        <x:v>0.00037001347890899697</x:v>
      </x:c>
    </x:row>
    <x:row r="522">
      <x:c r="A522" t="n">
        <x:f>518</x:f>
        <x:v>518</x:v>
      </x:c>
      <x:c r="B522" s="7" t="n">
        <x:f>IF(AND('요약'!$B$20,A522&lt;='요약'!$B$6),NORM.S.INV((A522-0.5)/'요약'!$B$6),"")</x:f>
        <x:v>0.04388007229940075</x:v>
      </x:c>
      <x:c r="C522" s="7" t="n">
        <x:f>IF(AND('요약'!$B$20,A522&lt;='요약'!$B$6),LARGE('계산'!$B$2:$B$2001,'요약'!$B$6-A522+1),"")</x:f>
        <x:v>0.00009084222968199747</x:v>
      </x:c>
      <x:c r="D522" s="7" t="n">
        <x:f>IF(ISNUMBER(B522),'요약'!$B$7+'요약'!$B$13*B522,"")</x:f>
        <x:v>0.00039537794372687104</x:v>
      </x:c>
    </x:row>
    <x:row r="523">
      <x:c r="A523" t="n">
        <x:f>519</x:f>
        <x:v>519</x:v>
      </x:c>
      <x:c r="B523" s="7" t="n">
        <x:f>IF(AND('요약'!$B$20,A523&lt;='요약'!$B$6),NORM.S.INV((A523-0.5)/'요약'!$B$6),"")</x:f>
        <x:v>0.04638925570538975</x:v>
      </x:c>
      <x:c r="C523" s="7" t="n">
        <x:f>IF(AND('요약'!$B$20,A523&lt;='요약'!$B$6),LARGE('계산'!$B$2:$B$2001,'요약'!$B$6-A523+1),"")</x:f>
        <x:v>0.00009801125894415032</x:v>
      </x:c>
      <x:c r="D523" s="7" t="n">
        <x:f>IF(ISNUMBER(B523),'요약'!$B$7+'요약'!$B$13*B523,"")</x:f>
        <x:v>0.00042074520125660403</x:v>
      </x:c>
    </x:row>
    <x:row r="524">
      <x:c r="A524" t="n">
        <x:f>520</x:f>
        <x:v>520</x:v>
      </x:c>
      <x:c r="B524" s="7" t="n">
        <x:f>IF(AND('요약'!$B$20,A524&lt;='요약'!$B$6),NORM.S.INV((A524-0.5)/'요약'!$B$6),"")</x:f>
        <x:v>0.04889873121265652</x:v>
      </x:c>
      <x:c r="C524" s="7" t="n">
        <x:f>IF(AND('요약'!$B$20,A524&lt;='요약'!$B$6),LARGE('계산'!$B$2:$B$2001,'요약'!$B$6-A524+1),"")</x:f>
        <x:v>0.00010209358648309034</x:v>
      </x:c>
      <x:c r="D524" s="7" t="n">
        <x:f>IF(ISNUMBER(B524),'요약'!$B$7+'요약'!$B$13*B524,"")</x:f>
        <x:v>0.0004461154118619552</x:v>
      </x:c>
    </x:row>
    <x:row r="525">
      <x:c r="A525" t="n">
        <x:f>521</x:f>
        <x:v>521</x:v>
      </x:c>
      <x:c r="B525" s="7" t="n">
        <x:f>IF(AND('요약'!$B$20,A525&lt;='요약'!$B$6),NORM.S.INV((A525-0.5)/'요약'!$B$6),"")</x:f>
        <x:v>0.051408514696361714</x:v>
      </x:c>
      <x:c r="C525" s="7" t="n">
        <x:f>IF(AND('요약'!$B$20,A525&lt;='요약'!$B$6),LARGE('계산'!$B$2:$B$2001,'요약'!$B$6-A525+1),"")</x:f>
        <x:v>0.0001374943622591287</x:v>
      </x:c>
      <x:c r="D525" s="7" t="n">
        <x:f>IF(ISNUMBER(B525),'요약'!$B$7+'요약'!$B$13*B525,"")</x:f>
        <x:v>0.000471488736037087</x:v>
      </x:c>
    </x:row>
    <x:row r="526">
      <x:c r="A526" t="n">
        <x:f>522</x:f>
        <x:v>522</x:v>
      </x:c>
      <x:c r="B526" s="7" t="n">
        <x:f>IF(AND('요약'!$B$20,A526&lt;='요약'!$B$6),NORM.S.INV((A526-0.5)/'요약'!$B$6),"")</x:f>
        <x:v>0.053918622045274166</x:v>
      </x:c>
      <x:c r="C526" s="7" t="n">
        <x:f>IF(AND('요약'!$B$20,A526&lt;='요약'!$B$6),LARGE('계산'!$B$2:$B$2001,'요약'!$B$6-A526+1),"")</x:f>
        <x:v>0.00016187203572607268</x:v>
      </x:c>
      <x:c r="D526" s="7" t="n">
        <x:f>IF(ISNUMBER(B526),'요약'!$B$7+'요약'!$B$13*B526,"")</x:f>
        <x:v>0.000496865334413737</x:v>
      </x:c>
    </x:row>
    <x:row r="527">
      <x:c r="A527" t="n">
        <x:f>523</x:f>
        <x:v>523</x:v>
      </x:c>
      <x:c r="B527" s="7" t="n">
        <x:f>IF(AND('요약'!$B$20,A527&lt;='요약'!$B$6),NORM.S.INV((A527-0.5)/'요약'!$B$6),"")</x:f>
        <x:v>0.056429069162474275</x:v>
      </x:c>
      <x:c r="C527" s="7" t="n">
        <x:f>IF(AND('요약'!$B$20,A527&lt;='요약'!$B$6),LARGE('계산'!$B$2:$B$2001,'요약'!$B$6-A527+1),"")</x:f>
        <x:v>0.00018121228057491588</x:v>
      </x:c>
      <x:c r="D527" s="7" t="n">
        <x:f>IF(ISNUMBER(B527),'요약'!$B$7+'요약'!$B$13*B527,"")</x:f>
        <x:v>0.0005222453677683296</x:v>
      </x:c>
    </x:row>
    <x:row r="528">
      <x:c r="A528" t="n">
        <x:f>524</x:f>
        <x:v>524</x:v>
      </x:c>
      <x:c r="B528" s="7" t="n">
        <x:f>IF(AND('요약'!$B$20,A528&lt;='요약'!$B$6),NORM.S.INV((A528-0.5)/'요약'!$B$6),"")</x:f>
        <x:v>0.058939871966068653</x:v>
      </x:c>
      <x:c r="C528" s="7" t="n">
        <x:f>IF(AND('요약'!$B$20,A528&lt;='요약'!$B$6),LARGE('계산'!$B$2:$B$2001,'요약'!$B$6-A528+1),"")</x:f>
        <x:v>0.0001956501235352979</x:v>
      </x:c>
      <x:c r="D528" s="7" t="n">
        <x:f>IF(ISNUMBER(B528),'요약'!$B$7+'요약'!$B$13*B528,"")</x:f>
        <x:v>0.0005476289970292005</x:v>
      </x:c>
    </x:row>
    <x:row r="529">
      <x:c r="A529" t="n">
        <x:f>525</x:f>
        <x:v>525</x:v>
      </x:c>
      <x:c r="B529" s="7" t="n">
        <x:f>IF(AND('요약'!$B$20,A529&lt;='요약'!$B$6),NORM.S.INV((A529-0.5)/'요약'!$B$6),"")</x:f>
        <x:v>0.061451046389902744</x:v>
      </x:c>
      <x:c r="C529" s="7" t="n">
        <x:f>IF(AND('요약'!$B$20,A529&lt;='요약'!$B$6),LARGE('계산'!$B$2:$B$2001,'요약'!$B$6-A529+1),"")</x:f>
        <x:v>0.00028253821927236425</x:v>
      </x:c>
      <x:c r="D529" s="7" t="n">
        <x:f>IF(ISNUMBER(B529),'요약'!$B$7+'요약'!$B$13*B529,"")</x:f>
        <x:v>0.0005730163832838016</x:v>
      </x:c>
    </x:row>
    <x:row r="530">
      <x:c r="A530" t="n">
        <x:f>526</x:f>
        <x:v>526</x:v>
      </x:c>
      <x:c r="B530" s="7" t="n">
        <x:f>IF(AND('요약'!$B$20,A530&lt;='요약'!$B$6),NORM.S.INV((A530-0.5)/'요약'!$B$6),"")</x:f>
        <x:v>0.06396260838426919</x:v>
      </x:c>
      <x:c r="C530" s="7" t="n">
        <x:f>IF(AND('요약'!$B$20,A530&lt;='요약'!$B$6),LARGE('계산'!$B$2:$B$2001,'요약'!$B$6-A530+1),"")</x:f>
        <x:v>0.0002987420620560532</x:v>
      </x:c>
      <x:c r="D530" s="7" t="n">
        <x:f>IF(ISNUMBER(B530),'요약'!$B$7+'요약'!$B$13*B530,"")</x:f>
        <x:v>0.0005984076877858619</x:v>
      </x:c>
    </x:row>
    <x:row r="531">
      <x:c r="A531" t="n">
        <x:f>527</x:f>
        <x:v>527</x:v>
      </x:c>
      <x:c r="B531" s="7" t="n">
        <x:f>IF(AND('요약'!$B$20,A531&lt;='요약'!$B$6),NORM.S.INV((A531-0.5)/'요약'!$B$6),"")</x:f>
        <x:v>0.06647457391662905</x:v>
      </x:c>
      <x:c r="C531" s="7" t="n">
        <x:f>IF(AND('요약'!$B$20,A531&lt;='요약'!$B$6),LARGE('계산'!$B$2:$B$2001,'요약'!$B$6-A531+1),"")</x:f>
        <x:v>0.00030674877543245986</x:v>
      </x:c>
      <x:c r="D531" s="7" t="n">
        <x:f>IF(ISNUMBER(B531),'요약'!$B$7+'요약'!$B$13*B531,"")</x:f>
        <x:v>0.0006238030719626791</x:v>
      </x:c>
    </x:row>
    <x:row r="532">
      <x:c r="A532" t="n">
        <x:f>528</x:f>
        <x:v>528</x:v>
      </x:c>
      <x:c r="B532" s="7" t="n">
        <x:f>IF(AND('요약'!$B$20,A532&lt;='요약'!$B$6),NORM.S.INV((A532-0.5)/'요약'!$B$6),"")</x:f>
        <x:v>0.06898695897232794</x:v>
      </x:c>
      <x:c r="C532" s="7" t="n">
        <x:f>IF(AND('요약'!$B$20,A532&lt;='요약'!$B$6),LARGE('계산'!$B$2:$B$2001,'요약'!$B$6-A532+1),"")</x:f>
        <x:v>0.00033245978155536877</x:v>
      </x:c>
      <x:c r="D532" s="7" t="n">
        <x:f>IF(ISNUMBER(B532),'요약'!$B$7+'요약'!$B$13*B532,"")</x:f>
        <x:v>0.0006492026974223599</x:v>
      </x:c>
    </x:row>
    <x:row r="533">
      <x:c r="A533" t="n">
        <x:f>529</x:f>
        <x:v>529</x:v>
      </x:c>
      <x:c r="B533" s="7" t="n">
        <x:f>IF(AND('요약'!$B$20,A533&lt;='요약'!$B$6),NORM.S.INV((A533-0.5)/'요약'!$B$6),"")</x:f>
        <x:v>0.07149977955531338</x:v>
      </x:c>
      <x:c r="C533" s="7" t="n">
        <x:f>IF(AND('요약'!$B$20,A533&lt;='요약'!$B$6),LARGE('계산'!$B$2:$B$2001,'요약'!$B$6-A533+1),"")</x:f>
        <x:v>0.00033929472905359996</x:v>
      </x:c>
      <x:c r="D533" s="7" t="n">
        <x:f>IF(ISNUMBER(B533),'요약'!$B$7+'요약'!$B$13*B533,"")</x:f>
        <x:v>0.0006746067259610711</x:v>
      </x:c>
    </x:row>
    <x:row r="534">
      <x:c r="A534" t="n">
        <x:f>530</x:f>
        <x:v>530</x:v>
      </x:c>
      <x:c r="B534" s="7" t="n">
        <x:f>IF(AND('요약'!$B$20,A534&lt;='요약'!$B$6),NORM.S.INV((A534-0.5)/'요약'!$B$6),"")</x:f>
        <x:v>0.0740130516888599</x:v>
      </x:c>
      <x:c r="C534" s="7" t="n">
        <x:f>IF(AND('요약'!$B$20,A534&lt;='요약'!$B$6),LARGE('계산'!$B$2:$B$2001,'요약'!$B$6-A534+1),"")</x:f>
        <x:v>0.0003540630292503616</x:v>
      </x:c>
      <x:c r="D534" s="7" t="n">
        <x:f>IF(ISNUMBER(B534),'요약'!$B$7+'요약'!$B$13*B534,"")</x:f>
        <x:v>0.000700015319570372</x:v>
      </x:c>
    </x:row>
    <x:row r="535">
      <x:c r="A535" t="n">
        <x:f>531</x:f>
        <x:v>531</x:v>
      </x:c>
      <x:c r="B535" s="7" t="n">
        <x:f>IF(AND('요약'!$B$20,A535&lt;='요약'!$B$6),NORM.S.INV((A535-0.5)/'요약'!$B$6),"")</x:f>
        <x:v>0.0765267914162924</x:v>
      </x:c>
      <x:c r="C535" s="7" t="n">
        <x:f>IF(AND('요약'!$B$20,A535&lt;='요약'!$B$6),LARGE('계산'!$B$2:$B$2001,'요약'!$B$6-A535+1),"")</x:f>
        <x:v>0.00035434362928938755</x:v>
      </x:c>
      <x:c r="D535" s="7" t="n">
        <x:f>IF(ISNUMBER(B535),'요약'!$B$7+'요약'!$B$13*B535,"")</x:f>
        <x:v>0.000725428640444526</x:v>
      </x:c>
    </x:row>
    <x:row r="536">
      <x:c r="A536" t="n">
        <x:f>532</x:f>
        <x:v>532</x:v>
      </x:c>
      <x:c r="B536" s="7" t="n">
        <x:f>IF(AND('요약'!$B$20,A536&lt;='요약'!$B$6),NORM.S.INV((A536-0.5)/'요약'!$B$6),"")</x:f>
        <x:v>0.07904101480171025</x:v>
      </x:c>
      <x:c r="C536" s="7" t="n">
        <x:f>IF(AND('요약'!$B$20,A536&lt;='요약'!$B$6),LARGE('계산'!$B$2:$B$2001,'요약'!$B$6-A536+1),"")</x:f>
        <x:v>0.0003684099305139909</x:v>
      </x:c>
      <x:c r="D536" s="7" t="n">
        <x:f>IF(ISNUMBER(B536),'요약'!$B$7+'요약'!$B$13*B536,"")</x:f>
        <x:v>0.0007508468509878216</x:v>
      </x:c>
    </x:row>
    <x:row r="537">
      <x:c r="A537" t="n">
        <x:f>533</x:f>
        <x:v>533</x:v>
      </x:c>
      <x:c r="B537" s="7" t="n">
        <x:f>IF(AND('요약'!$B$20,A537&lt;='요약'!$B$6),NORM.S.INV((A537-0.5)/'요약'!$B$6),"")</x:f>
        <x:v>0.08155573793071848</x:v>
      </x:c>
      <x:c r="C537" s="7" t="n">
        <x:f>IF(AND('요약'!$B$20,A537&lt;='요약'!$B$6),LARGE('계산'!$B$2:$B$2001,'요약'!$B$6-A537+1),"")</x:f>
        <x:v>0.0003688224078941383</x:v>
      </x:c>
      <x:c r="D537" s="7" t="n">
        <x:f>IF(ISNUMBER(B537),'요약'!$B$7+'요약'!$B$13*B537,"")</x:f>
        <x:v>0.0007762701138219644</x:v>
      </x:c>
    </x:row>
    <x:row r="538">
      <x:c r="A538" t="n">
        <x:f>534</x:f>
        <x:v>534</x:v>
      </x:c>
      <x:c r="B538" s="7" t="n">
        <x:f>IF(AND('요약'!$B$20,A538&lt;='요약'!$B$6),NORM.S.INV((A538-0.5)/'요약'!$B$6),"")</x:f>
        <x:v>0.08407097691115989</x:v>
      </x:c>
      <x:c r="C538" s="7" t="n">
        <x:f>IF(AND('요약'!$B$20,A538&lt;='요약'!$B$6),LARGE('계산'!$B$2:$B$2001,'요약'!$B$6-A538+1),"")</x:f>
        <x:v>0.0003792891023674281</x:v>
      </x:c>
      <x:c r="D538" s="7" t="n">
        <x:f>IF(ISNUMBER(B538),'요약'!$B$7+'요약'!$B$13*B538,"")</x:f>
        <x:v>0.0008016985917934786</x:v>
      </x:c>
    </x:row>
    <x:row r="539">
      <x:c r="A539" t="n">
        <x:f>535</x:f>
        <x:v>535</x:v>
      </x:c>
      <x:c r="B539" s="7" t="n">
        <x:f>IF(AND('요약'!$B$20,A539&lt;='요약'!$B$6),NORM.S.INV((A539-0.5)/'요약'!$B$6),"")</x:f>
        <x:v>0.08658674787384563</x:v>
      </x:c>
      <x:c r="C539" s="7" t="n">
        <x:f>IF(AND('요약'!$B$20,A539&lt;='요약'!$B$6),LARGE('계산'!$B$2:$B$2001,'요약'!$B$6-A539+1),"")</x:f>
        <x:v>0.0004038129966004511</x:v>
      </x:c>
      <x:c r="D539" s="7" t="n">
        <x:f>IF(ISNUMBER(B539),'요약'!$B$7+'요약'!$B$13*B539,"")</x:f>
        <x:v>0.0008271324479810933</x:v>
      </x:c>
    </x:row>
    <x:row r="540">
      <x:c r="A540" t="n">
        <x:f>536</x:f>
        <x:v>536</x:v>
      </x:c>
      <x:c r="B540" s="7" t="n">
        <x:f>IF(AND('요약'!$B$20,A540&lt;='요약'!$B$6),NORM.S.INV((A540-0.5)/'요약'!$B$6),"")</x:f>
        <x:v>0.08910306697329565</x:v>
      </x:c>
      <x:c r="C540" s="7" t="n">
        <x:f>IF(AND('요약'!$B$20,A540&lt;='요약'!$B$6),LARGE('계산'!$B$2:$B$2001,'요약'!$B$6-A540+1),"")</x:f>
        <x:v>0.00041906221071937955</x:v>
      </x:c>
      <x:c r="D540" s="7" t="n">
        <x:f>IF(ISNUMBER(B540),'요약'!$B$7+'요약'!$B$13*B540,"")</x:f>
        <x:v>0.0008525718457032278</x:v>
      </x:c>
    </x:row>
    <x:row r="541">
      <x:c r="A541" t="n">
        <x:f>537</x:f>
        <x:v>537</x:v>
      </x:c>
      <x:c r="B541" s="7" t="n">
        <x:f>IF(AND('요약'!$B$20,A541&lt;='요약'!$B$6),NORM.S.INV((A541-0.5)/'요약'!$B$6),"")</x:f>
        <x:v>0.09161995038847488</x:v>
      </x:c>
      <x:c r="C541" s="7" t="n">
        <x:f>IF(AND('요약'!$B$20,A541&lt;='요약'!$B$6),LARGE('계산'!$B$2:$B$2001,'요약'!$B$6-A541+1),"")</x:f>
        <x:v>0.00045695634343885657</x:v>
      </x:c>
      <x:c r="D541" s="7" t="n">
        <x:f>IF(ISNUMBER(B541),'요약'!$B$7+'요약'!$B$13*B541,"")</x:f>
        <x:v>0.0008780169485254349</x:v>
      </x:c>
    </x:row>
    <x:row r="542">
      <x:c r="A542" t="n">
        <x:f>538</x:f>
        <x:v>538</x:v>
      </x:c>
      <x:c r="B542" s="7" t="n">
        <x:f>IF(AND('요약'!$B$20,A542&lt;='요약'!$B$6),NORM.S.INV((A542-0.5)/'요약'!$B$6),"")</x:f>
        <x:v>0.09413741432353631</x:v>
      </x:c>
      <x:c r="C542" s="7" t="n">
        <x:f>IF(AND('요약'!$B$20,A542&lt;='요약'!$B$6),LARGE('계산'!$B$2:$B$2001,'요약'!$B$6-A542+1),"")</x:f>
        <x:v>0.0004746587046395367</x:v>
      </x:c>
      <x:c r="D542" s="7" t="n">
        <x:f>IF(ISNUMBER(B542),'요약'!$B$7+'요약'!$B$13*B542,"")</x:f>
        <x:v>0.0009034679202679118</x:v>
      </x:c>
    </x:row>
    <x:row r="543">
      <x:c r="A543" t="n">
        <x:f>539</x:f>
        <x:v>539</x:v>
      </x:c>
      <x:c r="B543" s="7" t="n">
        <x:f>IF(AND('요약'!$B$20,A543&lt;='요약'!$B$6),NORM.S.INV((A543-0.5)/'요약'!$B$6),"")</x:f>
        <x:v>0.09665547500856739</x:v>
      </x:c>
      <x:c r="C543" s="7" t="n">
        <x:f>IF(AND('요약'!$B$20,A543&lt;='요약'!$B$6),LARGE('계산'!$B$2:$B$2001,'요약'!$B$6-A543+1),"")</x:f>
        <x:v>0.000482916766949534</x:v>
      </x:c>
      <x:c r="D543" s="7" t="n">
        <x:f>IF(ISNUMBER(B543),'요약'!$B$7+'요약'!$B$13*B543,"")</x:f>
        <x:v>0.0009289249250130481</x:v>
      </x:c>
    </x:row>
    <x:row r="544">
      <x:c r="A544" t="n">
        <x:f>540</x:f>
        <x:v>540</x:v>
      </x:c>
      <x:c r="B544" s="7" t="n">
        <x:f>IF(AND('요약'!$B$20,A544&lt;='요약'!$B$6),NORM.S.INV((A544-0.5)/'요약'!$B$6),"")</x:f>
        <x:v>0.09917414870033704</x:v>
      </x:c>
      <x:c r="C544" s="7" t="n">
        <x:f>IF(AND('요약'!$B$20,A544&lt;='요약'!$B$6),LARGE('계산'!$B$2:$B$2001,'요약'!$B$6-A544+1),"")</x:f>
        <x:v>0.0004900354507954355</x:v>
      </x:c>
      <x:c r="D544" s="7" t="n">
        <x:f>IF(ISNUMBER(B544),'요약'!$B$7+'요약'!$B$13*B544,"")</x:f>
        <x:v>0.0009543881271129763</x:v>
      </x:c>
    </x:row>
    <x:row r="545">
      <x:c r="A545" t="n">
        <x:f>541</x:f>
        <x:v>541</x:v>
      </x:c>
      <x:c r="B545" s="7" t="n">
        <x:f>IF(AND('요약'!$B$20,A545&lt;='요약'!$B$6),NORM.S.INV((A545-0.5)/'요약'!$B$6),"")</x:f>
        <x:v>0.10169345168304687</x:v>
      </x:c>
      <x:c r="C545" s="7" t="n">
        <x:f>IF(AND('요약'!$B$20,A545&lt;='요약'!$B$6),LARGE('계산'!$B$2:$B$2001,'요약'!$B$6-A545+1),"")</x:f>
        <x:v>0.0005442020574623188</x:v>
      </x:c>
      <x:c r="D545" s="7" t="n">
        <x:f>IF(ISNUMBER(B545),'요약'!$B$7+'요약'!$B$13*B545,"")</x:f>
        <x:v>0.000979857691197167</x:v>
      </x:c>
    </x:row>
    <x:row r="546">
      <x:c r="A546" t="n">
        <x:f>542</x:f>
        <x:v>542</x:v>
      </x:c>
      <x:c r="B546" s="7" t="n">
        <x:f>IF(AND('요약'!$B$20,A546&lt;='요약'!$B$6),NORM.S.INV((A546-0.5)/'요약'!$B$6),"")</x:f>
        <x:v>0.1042134002690849</x:v>
      </x:c>
      <x:c r="C546" s="7" t="n">
        <x:f>IF(AND('요약'!$B$20,A546&lt;='요약'!$B$6),LARGE('계산'!$B$2:$B$2001,'요약'!$B$6-A546+1),"")</x:f>
        <x:v>0.0005483947124132001</x:v>
      </x:c>
      <x:c r="D546" s="7" t="n">
        <x:f>IF(ISNUMBER(B546),'요약'!$B$7+'요약'!$B$13*B546,"")</x:f>
        <x:v>0.001005333782180049</x:v>
      </x:c>
    </x:row>
    <x:row r="547">
      <x:c r="A547" t="n">
        <x:f>543</x:f>
        <x:v>543</x:v>
      </x:c>
      <x:c r="B547" s="7" t="n">
        <x:f>IF(AND('요약'!$B$20,A547&lt;='요약'!$B$6),NORM.S.INV((A547-0.5)/'요약'!$B$6),"")</x:f>
        <x:v>0.10673401079978645</x:v>
      </x:c>
      <x:c r="C547" s="7" t="n">
        <x:f>IF(AND('요약'!$B$20,A547&lt;='요약'!$B$6),LARGE('계산'!$B$2:$B$2001,'요약'!$B$6-A547+1),"")</x:f>
        <x:v>0.0005667086926773988</x:v>
      </x:c>
      <x:c r="D547" s="7" t="n">
        <x:f>IF(ISNUMBER(B547),'요약'!$B$7+'요약'!$B$13*B547,"")</x:f>
        <x:v>0.0010308165652687011</x:v>
      </x:c>
    </x:row>
    <x:row r="548">
      <x:c r="A548" t="n">
        <x:f>544</x:f>
        <x:v>544</x:v>
      </x:c>
      <x:c r="B548" s="7" t="n">
        <x:f>IF(AND('요약'!$B$20,A548&lt;='요약'!$B$6),NORM.S.INV((A548-0.5)/'요약'!$B$6),"")</x:f>
        <x:v>0.10925529964619031</x:v>
      </x:c>
      <x:c r="C548" s="7" t="n">
        <x:f>IF(AND('요약'!$B$20,A548&lt;='요약'!$B$6),LARGE('계산'!$B$2:$B$2001,'요약'!$B$6-A548+1),"")</x:f>
        <x:v>0.0005806713014454478</x:v>
      </x:c>
      <x:c r="D548" s="7" t="n">
        <x:f>IF(ISNUMBER(B548),'요약'!$B$7+'요약'!$B$13*B548,"")</x:f>
        <x:v>0.0010563062059704977</x:v>
      </x:c>
    </x:row>
    <x:row r="549">
      <x:c r="A549" t="n">
        <x:f>545</x:f>
        <x:v>545</x:v>
      </x:c>
      <x:c r="B549" s="7" t="n">
        <x:f>IF(AND('요약'!$B$20,A549&lt;='요약'!$B$6),NORM.S.INV((A549-0.5)/'요약'!$B$6),"")</x:f>
        <x:v>0.1117772832098083</x:v>
      </x:c>
      <x:c r="C549" s="7" t="n">
        <x:f>IF(AND('요약'!$B$20,A549&lt;='요약'!$B$6),LARGE('계산'!$B$2:$B$2001,'요약'!$B$6-A549+1),"")</x:f>
        <x:v>0.0006049740474411202</x:v>
      </x:c>
      <x:c r="D549" s="7" t="n">
        <x:f>IF(ISNUMBER(B549),'요약'!$B$7+'요약'!$B$13*B549,"")</x:f>
        <x:v>0.0010818028701008885</x:v>
      </x:c>
    </x:row>
    <x:row r="550">
      <x:c r="A550" t="n">
        <x:f>546</x:f>
        <x:v>546</x:v>
      </x:c>
      <x:c r="B550" s="7" t="n">
        <x:f>IF(AND('요약'!$B$20,A550&lt;='요약'!$B$6),NORM.S.INV((A550-0.5)/'요약'!$B$6),"")</x:f>
        <x:v>0.11429997792338954</x:v>
      </x:c>
      <x:c r="C550" s="7" t="n">
        <x:f>IF(AND('요약'!$B$20,A550&lt;='요약'!$B$6),LARGE('계산'!$B$2:$B$2001,'요약'!$B$6-A550+1),"")</x:f>
        <x:v>0.0006147060072349464</x:v>
      </x:c>
      <x:c r="D550" s="7" t="n">
        <x:f>IF(ISNUMBER(B550),'요약'!$B$7+'요약'!$B$13*B550,"")</x:f>
        <x:v>0.0011073067237911244</x:v>
      </x:c>
    </x:row>
    <x:row r="551">
      <x:c r="A551" t="n">
        <x:f>547</x:f>
        <x:v>547</x:v>
      </x:c>
      <x:c r="B551" s="7" t="n">
        <x:f>IF(AND('요약'!$B$20,A551&lt;='요약'!$B$6),NORM.S.INV((A551-0.5)/'요약'!$B$6),"")</x:f>
        <x:v>0.11682340025169612</x:v>
      </x:c>
      <x:c r="C551" s="7" t="n">
        <x:f>IF(AND('요약'!$B$20,A551&lt;='요약'!$B$6),LARGE('계산'!$B$2:$B$2001,'요약'!$B$6-A551+1),"")</x:f>
        <x:v>0.0006389210508991298</x:v>
      </x:c>
      <x:c r="D551" s="7" t="n">
        <x:f>IF(ISNUMBER(B551),'요약'!$B$7+'요약'!$B$13*B551,"")</x:f>
        <x:v>0.0011328179334961005</x:v>
      </x:c>
    </x:row>
    <x:row r="552">
      <x:c r="A552" t="n">
        <x:f>548</x:f>
        <x:v>548</x:v>
      </x:c>
      <x:c r="B552" s="7" t="n">
        <x:f>IF(AND('요약'!$B$20,A552&lt;='요약'!$B$6),NORM.S.INV((A552-0.5)/'요약'!$B$6),"")</x:f>
        <x:v>0.11934756669227536</x:v>
      </x:c>
      <x:c r="C552" s="7" t="n">
        <x:f>IF(AND('요약'!$B$20,A552&lt;='요약'!$B$6),LARGE('계산'!$B$2:$B$2001,'요약'!$B$6-A552+1),"")</x:f>
        <x:v>0.0006741591986438345</x:v>
      </x:c>
      <x:c r="D552" s="7" t="n">
        <x:f>IF(ISNUMBER(B552),'요약'!$B$7+'요약'!$B$13*B552,"")</x:f>
        <x:v>0.0011583366660021628</x:v>
      </x:c>
    </x:row>
    <x:row r="553">
      <x:c r="A553" t="n">
        <x:f>549</x:f>
        <x:v>549</x:v>
      </x:c>
      <x:c r="B553" s="7" t="n">
        <x:f>IF(AND('요약'!$B$20,A553&lt;='요약'!$B$6),NORM.S.INV((A553-0.5)/'요약'!$B$6),"")</x:f>
        <x:v>0.12187249377623992</x:v>
      </x:c>
      <x:c r="C553" s="7" t="n">
        <x:f>IF(AND('요약'!$B$20,A553&lt;='요약'!$B$6),LARGE('계산'!$B$2:$B$2001,'요약'!$B$6-A553+1),"")</x:f>
        <x:v>0.0007703522080038368</x:v>
      </x:c>
      <x:c r="D553" s="7" t="n">
        <x:f>IF(ISNUMBER(B553),'요약'!$B$7+'요약'!$B$13*B553,"")</x:f>
        <x:v>0.0011838630884349944</x:v>
      </x:c>
    </x:row>
    <x:row r="554">
      <x:c r="A554" t="n">
        <x:f>550</x:f>
        <x:v>550</x:v>
      </x:c>
      <x:c r="B554" s="7" t="n">
        <x:f>IF(AND('요약'!$B$20,A554&lt;='요약'!$B$6),NORM.S.INV((A554-0.5)/'요약'!$B$6),"")</x:f>
        <x:v>0.1243981980690544</x:v>
      </x:c>
      <x:c r="C554" s="7" t="n">
        <x:f>IF(AND('요약'!$B$20,A554&lt;='요약'!$B$6),LARGE('계산'!$B$2:$B$2001,'요약'!$B$6-A554+1),"")</x:f>
        <x:v>0.000810278162090377</x:v>
      </x:c>
      <x:c r="D554" s="7" t="n">
        <x:f>IF(ISNUMBER(B554),'요약'!$B$7+'요약'!$B$13*B554,"")</x:f>
        <x:v>0.0012093973682675695</x:v>
      </x:c>
    </x:row>
    <x:row r="555">
      <x:c r="A555" t="n">
        <x:f>551</x:f>
        <x:v>551</x:v>
      </x:c>
      <x:c r="B555" s="7" t="n">
        <x:f>IF(AND('요약'!$B$20,A555&lt;='요약'!$B$6),NORM.S.INV((A555-0.5)/'요약'!$B$6),"")</x:f>
        <x:v>0.12692469617131932</x:v>
      </x:c>
      <x:c r="C555" s="7" t="n">
        <x:f>IF(AND('요약'!$B$20,A555&lt;='요약'!$B$6),LARGE('계산'!$B$2:$B$2001,'요약'!$B$6-A555+1),"")</x:f>
        <x:v>0.0008468327292140769</x:v>
      </x:c>
      <x:c r="D555" s="7" t="n">
        <x:f>IF(ISNUMBER(B555),'요약'!$B$7+'요약'!$B$13*B555,"")</x:f>
        <x:v>0.0012349396733280778</x:v>
      </x:c>
    </x:row>
    <x:row r="556">
      <x:c r="A556" t="n">
        <x:f>552</x:f>
        <x:v>552</x:v>
      </x:c>
      <x:c r="B556" s="7" t="n">
        <x:f>IF(AND('요약'!$B$20,A556&lt;='요약'!$B$6),NORM.S.INV((A556-0.5)/'요약'!$B$6),"")</x:f>
        <x:v>0.12945200471956317</x:v>
      </x:c>
      <x:c r="C556" s="7" t="n">
        <x:f>IF(AND('요약'!$B$20,A556&lt;='요약'!$B$6),LARGE('계산'!$B$2:$B$2001,'요약'!$B$6-A556+1),"")</x:f>
        <x:v>0.0009480549779756609</x:v>
      </x:c>
      <x:c r="D556" s="7" t="n">
        <x:f>IF(ISNUMBER(B556),'요약'!$B$7+'요약'!$B$13*B556,"")</x:f>
        <x:v>0.001260490171807932</x:v>
      </x:c>
    </x:row>
    <x:row r="557">
      <x:c r="A557" t="n">
        <x:f>553</x:f>
        <x:v>553</x:v>
      </x:c>
      <x:c r="B557" s="7" t="n">
        <x:f>IF(AND('요약'!$B$20,A557&lt;='요약'!$B$6),NORM.S.INV((A557-0.5)/'요약'!$B$6),"")</x:f>
        <x:v>0.1319801403870412</x:v>
      </x:c>
      <x:c r="C557" s="7" t="n">
        <x:f>IF(AND('요약'!$B$20,A557&lt;='요약'!$B$6),LARGE('계산'!$B$2:$B$2001,'요약'!$B$6-A557+1),"")</x:f>
        <x:v>0.0009496215482961833</x:v>
      </x:c>
      <x:c r="D557" s="7" t="n">
        <x:f>IF(ISNUMBER(B557),'요약'!$B$7+'요약'!$B$13*B557,"")</x:f>
        <x:v>0.0012860490322698442</x:v>
      </x:c>
    </x:row>
    <x:row r="558">
      <x:c r="A558" t="n">
        <x:f>554</x:f>
        <x:v>554</x:v>
      </x:c>
      <x:c r="B558" s="7" t="n">
        <x:f>IF(AND('요약'!$B$20,A558&lt;='요약'!$B$6),NORM.S.INV((A558-0.5)/'요약'!$B$6),"")</x:f>
        <x:v>0.13450911988453293</x:v>
      </x:c>
      <x:c r="C558" s="7" t="n">
        <x:f>IF(AND('요약'!$B$20,A558&lt;='요약'!$B$6),LARGE('계산'!$B$2:$B$2001,'요약'!$B$6-A558+1),"")</x:f>
        <x:v>0.000979362549140422</x:v>
      </x:c>
      <x:c r="D558" s="7" t="n">
        <x:f>IF(ISNUMBER(B558),'요약'!$B$7+'요약'!$B$13*B558,"")</x:f>
        <x:v>0.0013116164236558882</x:v>
      </x:c>
    </x:row>
    <x:row r="559">
      <x:c r="A559" t="n">
        <x:f>555</x:f>
        <x:v>555</x:v>
      </x:c>
      <x:c r="B559" s="7" t="n">
        <x:f>IF(AND('요약'!$B$20,A559&lt;='요약'!$B$6),NORM.S.INV((A559-0.5)/'요약'!$B$6),"")</x:f>
        <x:v>0.13703895996114862</x:v>
      </x:c>
      <x:c r="C559" s="7" t="n">
        <x:f>IF(AND('요약'!$B$20,A559&lt;='요약'!$B$6),LARGE('계산'!$B$2:$B$2001,'요약'!$B$6-A559+1),"")</x:f>
        <x:v>0.0010203234177441412</x:v>
      </x:c>
      <x:c r="D559" s="7" t="n">
        <x:f>IF(ISNUMBER(B559),'요약'!$B$7+'요약'!$B$13*B559,"")</x:f>
        <x:v>0.0013371925152956521</x:v>
      </x:c>
    </x:row>
    <x:row r="560">
      <x:c r="A560" t="n">
        <x:f>556</x:f>
        <x:v>556</x:v>
      </x:c>
      <x:c r="B560" s="7" t="n">
        <x:f>IF(AND('요약'!$B$20,A560&lt;='요약'!$B$6),NORM.S.INV((A560-0.5)/'요약'!$B$6),"")</x:f>
        <x:v>0.13956967740513754</x:v>
      </x:c>
      <x:c r="C560" s="7" t="n">
        <x:f>IF(AND('요약'!$B$20,A560&lt;='요약'!$B$6),LARGE('계산'!$B$2:$B$2001,'요약'!$B$6-A560+1),"")</x:f>
        <x:v>0.0010425531168532303</x:v>
      </x:c>
      <x:c r="D560" s="7" t="n">
        <x:f>IF(ISNUMBER(B560),'요약'!$B$7+'요약'!$B$13*B560,"")</x:f>
        <x:v>0.0013627774769144107</x:v>
      </x:c>
    </x:row>
    <x:row r="561">
      <x:c r="A561" t="n">
        <x:f>557</x:f>
        <x:v>557</x:v>
      </x:c>
      <x:c r="B561" s="7" t="n">
        <x:f>IF(AND('요약'!$B$20,A561&lt;='요약'!$B$6),NORM.S.INV((A561-0.5)/'요약'!$B$6),"")</x:f>
        <x:v>0.14210128904470268</x:v>
      </x:c>
      <x:c r="C561" s="7" t="n">
        <x:f>IF(AND('요약'!$B$20,A561&lt;='요약'!$B$6),LARGE('계산'!$B$2:$B$2001,'요약'!$B$6-A561+1),"")</x:f>
        <x:v>0.0010585160752028865</x:v>
      </x:c>
      <x:c r="D561" s="7" t="n">
        <x:f>IF(ISNUMBER(B561),'요약'!$B$7+'요약'!$B$13*B561,"")</x:f>
        <x:v>0.0013883714786413614</x:v>
      </x:c>
    </x:row>
    <x:row r="562">
      <x:c r="A562" t="n">
        <x:f>558</x:f>
        <x:v>558</x:v>
      </x:c>
      <x:c r="B562" s="7" t="n">
        <x:f>IF(AND('요약'!$B$20,A562&lt;='요약'!$B$6),NORM.S.INV((A562-0.5)/'요약'!$B$6),"")</x:f>
        <x:v>0.14463381174882092</x:v>
      </x:c>
      <x:c r="C562" s="7" t="n">
        <x:f>IF(AND('요약'!$B$20,A562&lt;='요약'!$B$6),LARGE('계산'!$B$2:$B$2001,'요약'!$B$6-A562+1),"")</x:f>
        <x:v>0.001069313185772658</x:v>
      </x:c>
      <x:c r="D562" s="7" t="n">
        <x:f>IF(ISNUMBER(B562),'요약'!$B$7+'요약'!$B$13*B562,"")</x:f>
        <x:v>0.0014139746910179162</x:v>
      </x:c>
    </x:row>
    <x:row r="563">
      <x:c r="A563" t="n">
        <x:f>559</x:f>
        <x:v>559</x:v>
      </x:c>
      <x:c r="B563" s="7" t="n">
        <x:f>IF(AND('요약'!$B$20,A563&lt;='요약'!$B$6),NORM.S.INV((A563-0.5)/'요약'!$B$6),"")</x:f>
        <x:v>0.14716726242806474</x:v>
      </x:c>
      <x:c r="C563" s="7" t="n">
        <x:f>IF(AND('요약'!$B$20,A563&lt;='요약'!$B$6),LARGE('계산'!$B$2:$B$2001,'요약'!$B$6-A563+1),"")</x:f>
        <x:v>0.0011055445781885526</x:v>
      </x:c>
      <x:c r="D563" s="7" t="n">
        <x:f>IF(ISNUMBER(B563),'요약'!$B$7+'요약'!$B$13*B563,"")</x:f>
        <x:v>0.0014395872850060086</x:v>
      </x:c>
    </x:row>
    <x:row r="564">
      <x:c r="A564" t="n">
        <x:f>560</x:f>
        <x:v>560</x:v>
      </x:c>
      <x:c r="B564" s="7" t="n">
        <x:f>IF(AND('요약'!$B$20,A564&lt;='요약'!$B$6),NORM.S.INV((A564-0.5)/'요약'!$B$6),"")</x:f>
        <x:v>0.14970165803543078</x:v>
      </x:c>
      <x:c r="C564" s="7" t="n">
        <x:f>IF(AND('요약'!$B$20,A564&lt;='요약'!$B$6),LARGE('계산'!$B$2:$B$2001,'요약'!$B$6-A564+1),"")</x:f>
        <x:v>0.0012198373525270304</x:v>
      </x:c>
      <x:c r="D564" s="7" t="n">
        <x:f>IF(ISNUMBER(B564),'요약'!$B$7+'요약'!$B$13*B564,"")</x:f>
        <x:v>0.0014652094319964706</x:v>
      </x:c>
    </x:row>
    <x:row r="565">
      <x:c r="A565" t="n">
        <x:f>561</x:f>
        <x:v>561</x:v>
      </x:c>
      <x:c r="B565" s="7" t="n">
        <x:f>IF(AND('요약'!$B$20,A565&lt;='요약'!$B$6),NORM.S.INV((A565-0.5)/'요약'!$B$6),"")</x:f>
        <x:v>0.15223701556717636</x:v>
      </x:c>
      <x:c r="C565" s="7" t="n">
        <x:f>IF(AND('요약'!$B$20,A565&lt;='요약'!$B$6),LARGE('계산'!$B$2:$B$2001,'요약'!$B$6-A565+1),"")</x:f>
        <x:v>0.0012233360061156937</x:v>
      </x:c>
      <x:c r="D565" s="7" t="n">
        <x:f>IF(ISNUMBER(B565),'요약'!$B$7+'요약'!$B$13*B565,"")</x:f>
        <x:v>0.0014908413038174897</x:v>
      </x:c>
    </x:row>
    <x:row r="566">
      <x:c r="A566" t="n">
        <x:f>562</x:f>
        <x:v>562</x:v>
      </x:c>
      <x:c r="B566" s="7" t="n">
        <x:f>IF(AND('요약'!$B$20,A566&lt;='요약'!$B$6),NORM.S.INV((A566-0.5)/'요약'!$B$6),"")</x:f>
        <x:v>0.15477335206365736</x:v>
      </x:c>
      <x:c r="C566" s="7" t="n">
        <x:f>IF(AND('요약'!$B$20,A566&lt;='요약'!$B$6),LARGE('계산'!$B$2:$B$2001,'요약'!$B$6-A566+1),"")</x:f>
        <x:v>0.0012449170238353505</x:v>
      </x:c>
      <x:c r="D566" s="7" t="n">
        <x:f>IF(ISNUMBER(B566),'요약'!$B$7+'요약'!$B$13*B566,"")</x:f>
        <x:v>0.0015164830727430795</x:v>
      </x:c>
    </x:row>
    <x:row r="567">
      <x:c r="A567" t="n">
        <x:f>563</x:f>
        <x:v>563</x:v>
      </x:c>
      <x:c r="B567" s="7" t="n">
        <x:f>IF(AND('요약'!$B$20,A567&lt;='요약'!$B$6),NORM.S.INV((A567-0.5)/'요약'!$B$6),"")</x:f>
        <x:v>0.15731068461017056</x:v>
      </x:c>
      <x:c r="C567" s="7" t="n">
        <x:f>IF(AND('요약'!$B$20,A567&lt;='요약'!$B$6),LARGE('계산'!$B$2:$B$2001,'요약'!$B$6-A567+1),"")</x:f>
        <x:v>0.0012642258579623178</x:v>
      </x:c>
      <x:c r="D567" s="7" t="n">
        <x:f>IF(ISNUMBER(B567),'요약'!$B$7+'요약'!$B$13*B567,"")</x:f>
        <x:v>0.0015421349115015955</x:v>
      </x:c>
    </x:row>
    <x:row r="568">
      <x:c r="A568" t="n">
        <x:f>564</x:f>
        <x:v>564</x:v>
      </x:c>
      <x:c r="B568" s="7" t="n">
        <x:f>IF(AND('요약'!$B$20,A568&lt;='요약'!$B$6),NORM.S.INV((A568-0.5)/'요약'!$B$6),"")</x:f>
        <x:v>0.15984903033780767</x:v>
      </x:c>
      <x:c r="C568" s="7" t="n">
        <x:f>IF(AND('요약'!$B$20,A568&lt;='요약'!$B$6),LARGE('계산'!$B$2:$B$2001,'요약'!$B$6-A568+1),"")</x:f>
        <x:v>0.0012703782663434733</x:v>
      </x:c>
      <x:c r="D568" s="7" t="n">
        <x:f>IF(ISNUMBER(B568),'요약'!$B$7+'요약'!$B$13*B568,"")</x:f>
        <x:v>0.001567796993284369</x:v>
      </x:c>
    </x:row>
    <x:row r="569">
      <x:c r="A569" t="n">
        <x:f>565</x:f>
        <x:v>565</x:v>
      </x:c>
      <x:c r="B569" s="7" t="n">
        <x:f>IF(AND('요약'!$B$20,A569&lt;='요약'!$B$6),NORM.S.INV((A569-0.5)/'요약'!$B$6),"")</x:f>
        <x:v>0.1623884064243072</x:v>
      </x:c>
      <x:c r="C569" s="7" t="n">
        <x:f>IF(AND('요약'!$B$20,A569&lt;='요약'!$B$6),LARGE('계산'!$B$2:$B$2001,'요약'!$B$6-A569+1),"")</x:f>
        <x:v>0.0013019793094953098</x:v>
      </x:c>
      <x:c r="D569" s="7" t="n">
        <x:f>IF(ISNUMBER(B569),'요약'!$B$7+'요약'!$B$13*B569,"")</x:f>
        <x:v>0.0015934694917543201</x:v>
      </x:c>
    </x:row>
    <x:row r="570">
      <x:c r="A570" t="n">
        <x:f>566</x:f>
        <x:v>566</x:v>
      </x:c>
      <x:c r="B570" s="7" t="n">
        <x:f>IF(AND('요약'!$B$20,A570&lt;='요약'!$B$6),NORM.S.INV((A570-0.5)/'요약'!$B$6),"")</x:f>
        <x:v>0.1649288300949177</x:v>
      </x:c>
      <x:c r="C570" s="7" t="n">
        <x:f>IF(AND('요약'!$B$20,A570&lt;='요약'!$B$6),LARGE('계산'!$B$2:$B$2001,'요약'!$B$6-A570+1),"")</x:f>
        <x:v>0.001351902063555141</x:v>
      </x:c>
      <x:c r="D570" s="7" t="n">
        <x:f>IF(ISNUMBER(B570),'요약'!$B$7+'요약'!$B$13*B570,"")</x:f>
        <x:v>0.0016191525810546838</x:v>
      </x:c>
    </x:row>
    <x:row r="571">
      <x:c r="A571" t="n">
        <x:f>567</x:f>
        <x:v>567</x:v>
      </x:c>
      <x:c r="B571" s="7" t="n">
        <x:f>IF(AND('요약'!$B$20,A571&lt;='요약'!$B$6),NORM.S.INV((A571-0.5)/'요약'!$B$6),"")</x:f>
        <x:v>0.16747031862326384</x:v>
      </x:c>
      <x:c r="C571" s="7" t="n">
        <x:f>IF(AND('요약'!$B$20,A571&lt;='요약'!$B$6),LARGE('계산'!$B$2:$B$2001,'요약'!$B$6-A571+1),"")</x:f>
        <x:v>0.0013525701162946438</x:v>
      </x:c>
      <x:c r="D571" s="7" t="n">
        <x:f>IF(ISNUMBER(B571),'요약'!$B$7+'요약'!$B$13*B571,"")</x:f>
        <x:v>0.0016448464358177664</x:v>
      </x:c>
    </x:row>
    <x:row r="572">
      <x:c r="A572" t="n">
        <x:f>568</x:f>
        <x:v>568</x:v>
      </x:c>
      <x:c r="B572" s="7" t="n">
        <x:f>IF(AND('요약'!$B$20,A572&lt;='요약'!$B$6),NORM.S.INV((A572-0.5)/'요약'!$B$6),"")</x:f>
        <x:v>0.1700128893322192</x:v>
      </x:c>
      <x:c r="C572" s="7" t="n">
        <x:f>IF(AND('요약'!$B$20,A572&lt;='요약'!$B$6),LARGE('계산'!$B$2:$B$2001,'요약'!$B$6-A572+1),"")</x:f>
        <x:v>0.0013823347346748269</x:v>
      </x:c>
      <x:c r="D572" s="7" t="n">
        <x:f>IF(ISNUMBER(B572),'요약'!$B$7+'요약'!$B$13*B572,"")</x:f>
        <x:v>0.0016705512311737697</x:v>
      </x:c>
    </x:row>
    <x:row r="573">
      <x:c r="A573" t="n">
        <x:f>569</x:f>
        <x:v>569</x:v>
      </x:c>
      <x:c r="B573" s="7" t="n">
        <x:f>IF(AND('요약'!$B$20,A573&lt;='요약'!$B$6),NORM.S.INV((A573-0.5)/'요약'!$B$6),"")</x:f>
        <x:v>0.17255655959478697</x:v>
      </x:c>
      <x:c r="C573" s="7" t="n">
        <x:f>IF(AND('요약'!$B$20,A573&lt;='요약'!$B$6),LARGE('계산'!$B$2:$B$2001,'요약'!$B$6-A573+1),"")</x:f>
        <x:v>0.0013860855204065345</x:v>
      </x:c>
      <x:c r="D573" s="7" t="n">
        <x:f>IF(ISNUMBER(B573),'요약'!$B$7+'요약'!$B$13*B573,"")</x:f>
        <x:v>0.0016962671427596934</x:v>
      </x:c>
    </x:row>
    <x:row r="574">
      <x:c r="A574" t="n">
        <x:f>570</x:f>
        <x:v>570</x:v>
      </x:c>
      <x:c r="B574" s="7" t="n">
        <x:f>IF(AND('요약'!$B$20,A574&lt;='요약'!$B$6),NORM.S.INV((A574-0.5)/'요약'!$B$6),"")</x:f>
        <x:v>0.17510134683498094</x:v>
      </x:c>
      <x:c r="C574" s="7" t="n">
        <x:f>IF(AND('요약'!$B$20,A574&lt;='요약'!$B$6),LARGE('계산'!$B$2:$B$2001,'요약'!$B$6-A574+1),"")</x:f>
        <x:v>0.0013898514073062821</x:v>
      </x:c>
      <x:c r="D574" s="7" t="n">
        <x:f>IF(ISNUMBER(B574),'요약'!$B$7+'요약'!$B$13*B574,"")</x:f>
        <x:v>0.001721994346728243</x:v>
      </x:c>
    </x:row>
    <x:row r="575">
      <x:c r="A575" t="n">
        <x:f>571</x:f>
        <x:v>571</x:v>
      </x:c>
      <x:c r="B575" s="7" t="n">
        <x:f>IF(AND('요약'!$B$20,A575&lt;='요약'!$B$6),NORM.S.INV((A575-0.5)/'요약'!$B$6),"")</x:f>
        <x:v>0.17764726852872237</x:v>
      </x:c>
      <x:c r="C575" s="7" t="n">
        <x:f>IF(AND('요약'!$B$20,A575&lt;='요약'!$B$6),LARGE('계산'!$B$2:$B$2001,'요약'!$B$6-A575+1),"")</x:f>
        <x:v>0.0014222272925901991</x:v>
      </x:c>
      <x:c r="D575" s="7" t="n">
        <x:f>IF(ISNUMBER(B575),'요약'!$B$7+'요약'!$B$13*B575,"")</x:f>
        <x:v>0.001747733019756896</x:v>
      </x:c>
    </x:row>
    <x:row r="576">
      <x:c r="A576" t="n">
        <x:f>572</x:f>
        <x:v>572</x:v>
      </x:c>
      <x:c r="B576" s="7" t="n">
        <x:f>IF(AND('요약'!$B$20,A576&lt;='요약'!$B$6),NORM.S.INV((A576-0.5)/'요약'!$B$6),"")</x:f>
        <x:v>0.18019434220473404</x:v>
      </x:c>
      <x:c r="C576" s="7" t="n">
        <x:f>IF(AND('요약'!$B$20,A576&lt;='요약'!$B$6),LARGE('계산'!$B$2:$B$2001,'요약'!$B$6-A576+1),"")</x:f>
        <x:v>0.0014870777846837247</x:v>
      </x:c>
      <x:c r="D576" s="7" t="n">
        <x:f>IF(ISNUMBER(B576),'요약'!$B$7+'요약'!$B$13*B576,"")</x:f>
        <x:v>0.0017734833390569413</x:v>
      </x:c>
    </x:row>
    <x:row r="577">
      <x:c r="A577" t="n">
        <x:f>573</x:f>
        <x:v>573</x:v>
      </x:c>
      <x:c r="B577" s="7" t="n">
        <x:f>IF(AND('요약'!$B$20,A577&lt;='요약'!$B$6),NORM.S.INV((A577-0.5)/'요약'!$B$6),"")</x:f>
        <x:v>0.18274258544544408</x:v>
      </x:c>
      <x:c r="C577" s="7" t="n">
        <x:f>IF(AND('요약'!$B$20,A577&lt;='요약'!$B$6),LARGE('계산'!$B$2:$B$2001,'요약'!$B$6-A577+1),"")</x:f>
        <x:v>0.0014936960453344628</x:v>
      </x:c>
      <x:c r="D577" s="7" t="n">
        <x:f>IF(ISNUMBER(B577),'요약'!$B$7+'요약'!$B$13*B577,"")</x:f>
        <x:v>0.001799245482382616</x:v>
      </x:c>
    </x:row>
    <x:row r="578">
      <x:c r="A578" t="n">
        <x:f>574</x:f>
        <x:v>574</x:v>
      </x:c>
      <x:c r="B578" s="7" t="n">
        <x:f>IF(AND('요약'!$B$20,A578&lt;='요약'!$B$6),NORM.S.INV((A578-0.5)/'요약'!$B$6),"")</x:f>
        <x:v>0.18529201588789973</x:v>
      </x:c>
      <x:c r="C578" s="7" t="n">
        <x:f>IF(AND('요약'!$B$20,A578&lt;='요약'!$B$6),LARGE('계산'!$B$2:$B$2001,'요약'!$B$6-A578+1),"")</x:f>
        <x:v>0.0015333486614293901</x:v>
      </x:c>
      <x:c r="D578" s="7" t="n">
        <x:f>IF(ISNUMBER(B578),'요약'!$B$7+'요약'!$B$13*B578,"")</x:f>
        <x:v>0.0018250196280403437</x:v>
      </x:c>
    </x:row>
    <x:row r="579">
      <x:c r="A579" t="n">
        <x:f>575</x:f>
        <x:v>575</x:v>
      </x:c>
      <x:c r="B579" s="7" t="n">
        <x:f>IF(AND('요약'!$B$20,A579&lt;='요약'!$B$6),NORM.S.INV((A579-0.5)/'요약'!$B$6),"")</x:f>
        <x:v>0.18784265122468283</x:v>
      </x:c>
      <x:c r="C579" s="7" t="n">
        <x:f>IF(AND('요약'!$B$20,A579&lt;='요약'!$B$6),LARGE('계산'!$B$2:$B$2001,'요약'!$B$6-A579+1),"")</x:f>
        <x:v>0.001537332640849254</x:v>
      </x:c>
      <x:c r="D579" s="7" t="n">
        <x:f>IF(ISNUMBER(B579),'요약'!$B$7+'요약'!$B$13*B579,"")</x:f>
        <x:v>0.0018508059548979897</x:v>
      </x:c>
    </x:row>
    <x:row r="580">
      <x:c r="A580" t="n">
        <x:f>576</x:f>
        <x:v>576</x:v>
      </x:c>
      <x:c r="B580" s="7" t="n">
        <x:f>IF(AND('요약'!$B$20,A580&lt;='요약'!$B$6),NORM.S.INV((A580-0.5)/'요약'!$B$6),"")</x:f>
        <x:v>0.19039450920483675</x:v>
      </x:c>
      <x:c r="C580" s="7" t="n">
        <x:f>IF(AND('요약'!$B$20,A580&lt;='요약'!$B$6),LARGE('계산'!$B$2:$B$2001,'요약'!$B$6-A580+1),"")</x:f>
        <x:v>0.0016104746293954181</x:v>
      </x:c>
      <x:c r="D580" s="7" t="n">
        <x:f>IF(ISNUMBER(B580),'요약'!$B$7+'요약'!$B$13*B580,"")</x:f>
        <x:v>0.0018766046423942327</x:v>
      </x:c>
    </x:row>
    <x:row r="581">
      <x:c r="A581" t="n">
        <x:f>577</x:f>
        <x:v>577</x:v>
      </x:c>
      <x:c r="B581" s="7" t="n">
        <x:f>IF(AND('요약'!$B$20,A581&lt;='요약'!$B$6),NORM.S.INV((A581-0.5)/'요약'!$B$6),"")</x:f>
        <x:v>0.19294760763479396</x:v>
      </x:c>
      <x:c r="C581" s="7" t="n">
        <x:f>IF(AND('요약'!$B$20,A581&lt;='요약'!$B$6),LARGE('계산'!$B$2:$B$2001,'요약'!$B$6-A581+1),"")</x:f>
        <x:v>0.0016451651844960375</x:v>
      </x:c>
      <x:c r="D581" s="7" t="n">
        <x:f>IF(ISNUMBER(B581),'요약'!$B$7+'요약'!$B$13*B581,"")</x:f>
        <x:v>0.0019024158705479412</x:v>
      </x:c>
    </x:row>
    <x:row r="582">
      <x:c r="A582" t="n">
        <x:f>578</x:f>
        <x:v>578</x:v>
      </x:c>
      <x:c r="B582" s="7" t="n">
        <x:f>IF(AND('요약'!$B$20,A582&lt;='요약'!$B$6),NORM.S.INV((A582-0.5)/'요약'!$B$6),"")</x:f>
        <x:v>0.19550196437931938</x:v>
      </x:c>
      <x:c r="C582" s="7" t="n">
        <x:f>IF(AND('요약'!$B$20,A582&lt;='요약'!$B$6),LARGE('계산'!$B$2:$B$2001,'요약'!$B$6-A582+1),"")</x:f>
        <x:v>0.0016693322128425892</x:v>
      </x:c>
      <x:c r="D582" s="7" t="n">
        <x:f>IF(ISNUMBER(B582),'요약'!$B$7+'요약'!$B$13*B582,"")</x:f>
        <x:v>0.0019282398199677113</x:v>
      </x:c>
    </x:row>
    <x:row r="583">
      <x:c r="A583" t="n">
        <x:f>579</x:f>
        <x:v>579</x:v>
      </x:c>
      <x:c r="B583" s="7" t="n">
        <x:f>IF(AND('요약'!$B$20,A583&lt;='요약'!$B$6),NORM.S.INV((A583-0.5)/'요약'!$B$6),"")</x:f>
        <x:v>0.19805759736245485</x:v>
      </x:c>
      <x:c r="C583" s="7" t="n">
        <x:f>IF(AND('요약'!$B$20,A583&lt;='요약'!$B$6),LARGE('계산'!$B$2:$B$2001,'요약'!$B$6-A583+1),"")</x:f>
        <x:v>0.0016911010957130687</x:v>
      </x:c>
      <x:c r="D583" s="7" t="n">
        <x:f>IF(ISNUMBER(B583),'요약'!$B$7+'요약'!$B$13*B583,"")</x:f>
        <x:v>0.0019540766718614154</x:v>
      </x:c>
    </x:row>
    <x:row r="584">
      <x:c r="A584" t="n">
        <x:f>580</x:f>
        <x:v>580</x:v>
      </x:c>
      <x:c r="B584" s="7" t="n">
        <x:f>IF(AND('요약'!$B$20,A584&lt;='요약'!$B$6),NORM.S.INV((A584-0.5)/'요약'!$B$6),"")</x:f>
        <x:v>0.20061452456847162</x:v>
      </x:c>
      <x:c r="C584" s="7" t="n">
        <x:f>IF(AND('요약'!$B$20,A584&lt;='요약'!$B$6),LARGE('계산'!$B$2:$B$2001,'요약'!$B$6-A584+1),"")</x:f>
        <x:v>0.001697070723542362</x:v>
      </x:c>
      <x:c r="D584" s="7" t="n">
        <x:f>IF(ISNUMBER(B584),'요약'!$B$7+'요약'!$B$13*B584,"")</x:f>
        <x:v>0.00197992660804583</x:v>
      </x:c>
    </x:row>
    <x:row r="585">
      <x:c r="A585" t="n">
        <x:f>581</x:f>
        <x:v>581</x:v>
      </x:c>
      <x:c r="B585" s="7" t="n">
        <x:f>IF(AND('요약'!$B$20,A585&lt;='요약'!$B$6),NORM.S.INV((A585-0.5)/'요약'!$B$6),"")</x:f>
        <x:v>0.20317276404283313</x:v>
      </x:c>
      <x:c r="C585" s="7" t="n">
        <x:f>IF(AND('요약'!$B$20,A585&lt;='요약'!$B$6),LARGE('계산'!$B$2:$B$2001,'요약'!$B$6-A585+1),"")</x:f>
        <x:v>0.0017044071652408208</x:v>
      </x:c>
      <x:c r="D585" s="7" t="n">
        <x:f>IF(ISNUMBER(B585),'요약'!$B$7+'요약'!$B$13*B585,"")</x:f>
        <x:v>0.0020057898109563715</x:v>
      </x:c>
    </x:row>
    <x:row r="586">
      <x:c r="A586" t="n">
        <x:f>582</x:f>
        <x:v>582</x:v>
      </x:c>
      <x:c r="B586" s="7" t="n">
        <x:f>IF(AND('요약'!$B$20,A586&lt;='요약'!$B$6),NORM.S.INV((A586-0.5)/'요약'!$B$6),"")</x:f>
        <x:v>0.20573233389316353</x:v>
      </x:c>
      <x:c r="C586" s="7" t="n">
        <x:f>IF(AND('요약'!$B$20,A586&lt;='요약'!$B$6),LARGE('계산'!$B$2:$B$2001,'요약'!$B$6-A586+1),"")</x:f>
        <x:v>0.0017240471599735314</x:v>
      </x:c>
      <x:c r="D586" s="7" t="n">
        <x:f>IF(ISNUMBER(B586),'요약'!$B$7+'요약'!$B$13*B586,"")</x:f>
        <x:v>0.002031666463656886</x:v>
      </x:c>
    </x:row>
    <x:row r="587">
      <x:c r="A587" t="n">
        <x:f>583</x:f>
        <x:v>583</x:v>
      </x:c>
      <x:c r="B587" s="7" t="n">
        <x:f>IF(AND('요약'!$B$20,A587&lt;='요약'!$B$6),NORM.S.INV((A587-0.5)/'요약'!$B$6),"")</x:f>
        <x:v>0.20829325229022497</x:v>
      </x:c>
      <x:c r="C587" s="7" t="n">
        <x:f>IF(AND('요약'!$B$20,A587&lt;='요약'!$B$6),LARGE('계산'!$B$2:$B$2001,'요약'!$B$6-A587+1),"")</x:f>
        <x:v>0.0017756007242508505</x:v>
      </x:c>
      <x:c r="D587" s="7" t="n">
        <x:f>IF(ISNUMBER(B587),'요약'!$B$7+'요약'!$B$13*B587,"")</x:f>
        <x:v>0.00205755674984953</x:v>
      </x:c>
    </x:row>
    <x:row r="588">
      <x:c r="A588" t="n">
        <x:f>584</x:f>
        <x:v>584</x:v>
      </x:c>
      <x:c r="B588" s="7" t="n">
        <x:f>IF(AND('요약'!$B$20,A588&lt;='요약'!$B$6),NORM.S.INV((A588-0.5)/'요약'!$B$6),"")</x:f>
        <x:v>0.2108555374689014</x:v>
      </x:c>
      <x:c r="C588" s="7" t="n">
        <x:f>IF(AND('요약'!$B$20,A588&lt;='요약'!$B$6),LARGE('계산'!$B$2:$B$2001,'요약'!$B$6-A588+1),"")</x:f>
        <x:v>0.0017963245677985816</x:v>
      </x:c>
      <x:c r="D588" s="7" t="n">
        <x:f>IF(ISNUMBER(B588),'요약'!$B$7+'요약'!$B$13*B588,"")</x:f>
        <x:v>0.002083460853884717</x:v>
      </x:c>
    </x:row>
    <x:row r="589">
      <x:c r="A589" t="n">
        <x:f>585</x:f>
        <x:v>585</x:v>
      </x:c>
      <x:c r="B589" s="7" t="n">
        <x:f>IF(AND('요약'!$B$20,A589&lt;='요약'!$B$6),NORM.S.INV((A589-0.5)/'요약'!$B$6),"")</x:f>
        <x:v>0.21341920772919232</x:v>
      </x:c>
      <x:c r="C589" s="7" t="n">
        <x:f>IF(AND('요약'!$B$20,A589&lt;='요약'!$B$6),LARGE('계산'!$B$2:$B$2001,'요약'!$B$6-A589+1),"")</x:f>
        <x:v>0.0018106104904667567</x:v>
      </x:c>
      <x:c r="D589" s="7" t="n">
        <x:f>IF(ISNUMBER(B589),'요약'!$B$7+'요약'!$B$13*B589,"")</x:f>
        <x:v>0.002109378960771162</x:v>
      </x:c>
    </x:row>
    <x:row r="590">
      <x:c r="A590" t="n">
        <x:f>586</x:f>
        <x:v>586</x:v>
      </x:c>
      <x:c r="B590" s="7" t="n">
        <x:f>IF(AND('요약'!$B$20,A590&lt;='요약'!$B$6),NORM.S.INV((A590-0.5)/'요약'!$B$6),"")</x:f>
        <x:v>0.21598428143721446</x:v>
      </x:c>
      <x:c r="C590" s="7" t="n">
        <x:f>IF(AND('요약'!$B$20,A590&lt;='요약'!$B$6),LARGE('계산'!$B$2:$B$2001,'요약'!$B$6-A590+1),"")</x:f>
        <x:v>0.0018168250704618037</x:v>
      </x:c>
      <x:c r="D590" s="7" t="n">
        <x:f>IF(ISNUMBER(B590),'요약'!$B$7+'요약'!$B$13*B590,"")</x:f>
        <x:v>0.0021353112561860116</x:v>
      </x:c>
    </x:row>
    <x:row r="591">
      <x:c r="A591" t="n">
        <x:f>587</x:f>
        <x:v>587</x:v>
      </x:c>
      <x:c r="B591" s="7" t="n">
        <x:f>IF(AND('요약'!$B$20,A591&lt;='요약'!$B$6),NORM.S.INV((A591-0.5)/'요약'!$B$6),"")</x:f>
        <x:v>0.21855077702621095</x:v>
      </x:c>
      <x:c r="C591" s="7" t="n">
        <x:f>IF(AND('요약'!$B$20,A591&lt;='요약'!$B$6),LARGE('계산'!$B$2:$B$2001,'요약'!$B$6-A591+1),"")</x:f>
        <x:v>0.0018315738784172666</x:v>
      </x:c>
      <x:c r="D591" s="7" t="n">
        <x:f>IF(ISNUMBER(B591),'요약'!$B$7+'요약'!$B$13*B591,"")</x:f>
        <x:v>0.002161257926485043</x:v>
      </x:c>
    </x:row>
    <x:row r="592">
      <x:c r="A592" t="n">
        <x:f>588</x:f>
        <x:v>588</x:v>
      </x:c>
      <x:c r="B592" s="7" t="n">
        <x:f>IF(AND('요약'!$B$20,A592&lt;='요약'!$B$6),NORM.S.INV((A592-0.5)/'요약'!$B$6),"")</x:f>
        <x:v>0.22111871299757058</x:v>
      </x:c>
      <x:c r="C592" s="7" t="n">
        <x:f>IF(AND('요약'!$B$20,A592&lt;='요약'!$B$6),LARGE('계산'!$B$2:$B$2001,'요약'!$B$6-A592+1),"")</x:f>
        <x:v>0.001852282352547547</x:v>
      </x:c>
      <x:c r="D592" s="7" t="n">
        <x:f>IF(ISNUMBER(B592),'요약'!$B$7+'요약'!$B$13*B592,"")</x:f>
        <x:v>0.0021872191587129714</x:v>
      </x:c>
    </x:row>
    <x:row r="593">
      <x:c r="A593" t="n">
        <x:f>589</x:f>
        <x:v>589</x:v>
      </x:c>
      <x:c r="B593" s="7" t="n">
        <x:f>IF(AND('요약'!$B$20,A593&lt;='요약'!$B$6),NORM.S.INV((A593-0.5)/'요약'!$B$6),"")</x:f>
        <x:v>0.223688107921854</x:v>
      </x:c>
      <x:c r="C593" s="7" t="n">
        <x:f>IF(AND('요약'!$B$20,A593&lt;='요약'!$B$6),LARGE('계산'!$B$2:$B$2001,'요약'!$B$6-A593+1),"")</x:f>
        <x:v>0.0018691218890763159</x:v>
      </x:c>
      <x:c r="D593" s="7" t="n">
        <x:f>IF(ISNUMBER(B593),'요약'!$B$7+'요약'!$B$13*B593,"")</x:f>
        <x:v>0.0022131951406138225</x:v>
      </x:c>
    </x:row>
    <x:row r="594">
      <x:c r="A594" t="n">
        <x:f>590</x:f>
        <x:v>590</x:v>
      </x:c>
      <x:c r="B594" s="7" t="n">
        <x:f>IF(AND('요약'!$B$20,A594&lt;='요약'!$B$6),NORM.S.INV((A594-0.5)/'요약'!$B$6),"")</x:f>
        <x:v>0.22625898043983078</x:v>
      </x:c>
      <x:c r="C594" s="7" t="n">
        <x:f>IF(AND('요약'!$B$20,A594&lt;='요약'!$B$6),LARGE('계산'!$B$2:$B$2001,'요약'!$B$6-A594+1),"")</x:f>
        <x:v>0.0019135927776275793</x:v>
      </x:c>
      <x:c r="D594" s="7" t="n">
        <x:f>IF(ISNUMBER(B594),'요약'!$B$7+'요약'!$B$13*B594,"")</x:f>
        <x:v>0.0022391860606414183</x:v>
      </x:c>
    </x:row>
    <x:row r="595">
      <x:c r="A595" t="n">
        <x:f>591</x:f>
        <x:v>591</x:v>
      </x:c>
      <x:c r="B595" s="7" t="n">
        <x:f>IF(AND('요약'!$B$20,A595&lt;='요약'!$B$6),NORM.S.INV((A595-0.5)/'요약'!$B$6),"")</x:f>
        <x:v>0.22883134926352455</x:v>
      </x:c>
      <x:c r="C595" s="7" t="n">
        <x:f>IF(AND('요약'!$B$20,A595&lt;='요약'!$B$6),LARGE('계산'!$B$2:$B$2001,'요약'!$B$6-A595+1),"")</x:f>
        <x:v>0.001930490661654397</x:v>
      </x:c>
      <x:c r="D595" s="7" t="n">
        <x:f>IF(ISNUMBER(B595),'요약'!$B$7+'요약'!$B$13*B595,"")</x:f>
        <x:v>0.002265192107969942</x:v>
      </x:c>
    </x:row>
    <x:row r="596">
      <x:c r="A596" t="n">
        <x:f>592</x:f>
        <x:v>592</x:v>
      </x:c>
      <x:c r="B596" s="7" t="n">
        <x:f>IF(AND('요약'!$B$20,A596&lt;='요약'!$B$6),NORM.S.INV((A596-0.5)/'요약'!$B$6),"")</x:f>
        <x:v>0.23140523317726772</x:v>
      </x:c>
      <x:c r="C596" s="7" t="n">
        <x:f>IF(AND('요약'!$B$20,A596&lt;='요약'!$B$6),LARGE('계산'!$B$2:$B$2001,'요약'!$B$6-A596+1),"")</x:f>
        <x:v>0.0019322166218047382</x:v>
      </x:c>
      <x:c r="D596" s="7" t="n">
        <x:f>IF(ISNUMBER(B596),'요약'!$B$7+'요약'!$B$13*B596,"")</x:f>
        <x:v>0.002291213472504602</x:v>
      </x:c>
    </x:row>
    <x:row r="597">
      <x:c r="A597" t="n">
        <x:f>593</x:f>
        <x:v>593</x:v>
      </x:c>
      <x:c r="B597" s="7" t="n">
        <x:f>IF(AND('요약'!$B$20,A597&lt;='요약'!$B$6),NORM.S.INV((A597-0.5)/'요약'!$B$6),"")</x:f>
        <x:v>0.2339806510387641</x:v>
      </x:c>
      <x:c r="C597" s="7" t="n">
        <x:f>IF(AND('요약'!$B$20,A597&lt;='요약'!$B$6),LARGE('계산'!$B$2:$B$2001,'요약'!$B$6-A597+1),"")</x:f>
        <x:v>0.0019391796655588859</x:v>
      </x:c>
      <x:c r="D597" s="7" t="n">
        <x:f>IF(ISNUMBER(B597),'요약'!$B$7+'요약'!$B$13*B597,"")</x:f>
        <x:v>0.002317250344892375</x:v>
      </x:c>
    </x:row>
    <x:row r="598">
      <x:c r="A598" t="n">
        <x:f>594</x:f>
        <x:v>594</x:v>
      </x:c>
      <x:c r="B598" s="7" t="n">
        <x:f>IF(AND('요약'!$B$20,A598&lt;='요약'!$B$6),NORM.S.INV((A598-0.5)/'요약'!$B$6),"")</x:f>
        <x:v>0.23655762178016504</x:v>
      </x:c>
      <x:c r="C598" s="7" t="n">
        <x:f>IF(AND('요약'!$B$20,A598&lt;='요약'!$B$6),LARGE('계산'!$B$2:$B$2001,'요약'!$B$6-A598+1),"")</x:f>
        <x:v>0.0019395080779321832</x:v>
      </x:c>
      <x:c r="D598" s="7" t="n">
        <x:f>IF(ISNUMBER(B598),'요약'!$B$7+'요약'!$B$13*B598,"")</x:f>
        <x:v>0.002343302916532884</x:v>
      </x:c>
    </x:row>
    <x:row r="599">
      <x:c r="A599" t="n">
        <x:f>595</x:f>
        <x:v>595</x:v>
      </x:c>
      <x:c r="B599" s="7" t="n">
        <x:f>IF(AND('요약'!$B$20,A599&lt;='요약'!$B$6),NORM.S.INV((A599-0.5)/'요약'!$B$6),"")</x:f>
        <x:v>0.23913616440915023</x:v>
      </x:c>
      <x:c r="C599" s="7" t="n">
        <x:f>IF(AND('요약'!$B$20,A599&lt;='요약'!$B$6),LARGE('계산'!$B$2:$B$2001,'요약'!$B$6-A599+1),"")</x:f>
        <x:v>0.002064776979817727</x:v>
      </x:c>
      <x:c r="D599" s="7" t="n">
        <x:f>IF(ISNUMBER(B599),'요약'!$B$7+'요약'!$B$13*B599,"")</x:f>
        <x:v>0.002369371379589326</x:v>
      </x:c>
    </x:row>
    <x:row r="600">
      <x:c r="A600" t="n">
        <x:f>596</x:f>
        <x:v>596</x:v>
      </x:c>
      <x:c r="B600" s="7" t="n">
        <x:f>IF(AND('요약'!$B$20,A600&lt;='요약'!$B$6),NORM.S.INV((A600-0.5)/'요약'!$B$6),"")</x:f>
        <x:v>0.24171629801002142</x:v>
      </x:c>
      <x:c r="C600" s="7" t="n">
        <x:f>IF(AND('요약'!$B$20,A600&lt;='요약'!$B$6),LARGE('계산'!$B$2:$B$2001,'요약'!$B$6-A600+1),"")</x:f>
        <x:v>0.0021799371336016357</x:v>
      </x:c>
      <x:c r="D600" s="7" t="n">
        <x:f>IF(ISNUMBER(B600),'요약'!$B$7+'요약'!$B$13*B600,"")</x:f>
        <x:v>0.00239545592699953</x:v>
      </x:c>
    </x:row>
    <x:row r="601">
      <x:c r="A601" t="n">
        <x:f>597</x:f>
        <x:v>597</x:v>
      </x:c>
      <x:c r="B601" s="7" t="n">
        <x:f>IF(AND('요약'!$B$20,A601&lt;='요약'!$B$6),NORM.S.INV((A601-0.5)/'요약'!$B$6),"")</x:f>
        <x:v>0.24429804174480857</x:v>
      </x:c>
      <x:c r="C601" s="7" t="n">
        <x:f>IF(AND('요약'!$B$20,A601&lt;='요약'!$B$6),LARGE('계산'!$B$2:$B$2001,'요약'!$B$6-A601+1),"")</x:f>
        <x:v>0.002190628948432028</x:v>
      </x:c>
      <x:c r="D601" s="7" t="n">
        <x:f>IF(ISNUMBER(B601),'요약'!$B$7+'요약'!$B$13*B601,"")</x:f>
        <x:v>0.0024215567524871378</x:v>
      </x:c>
    </x:row>
    <x:row r="602">
      <x:c r="A602" t="n">
        <x:f>598</x:f>
        <x:v>598</x:v>
      </x:c>
      <x:c r="B602" s="7" t="n">
        <x:f>IF(AND('요약'!$B$20,A602&lt;='요약'!$B$6),NORM.S.INV((A602-0.5)/'요약'!$B$6),"")</x:f>
        <x:v>0.2468814148543783</x:v>
      </x:c>
      <x:c r="C602" s="7" t="n">
        <x:f>IF(AND('요약'!$B$20,A602&lt;='요약'!$B$6),LARGE('계산'!$B$2:$B$2001,'요약'!$B$6-A602+1),"")</x:f>
        <x:v>0.0022078481220808624</x:v>
      </x:c>
      <x:c r="D602" s="7" t="n">
        <x:f>IF(ISNUMBER(B602),'요약'!$B$7+'요약'!$B$13*B602,"")</x:f>
        <x:v>0.0024476740505728124</x:v>
      </x:c>
    </x:row>
    <x:row r="603">
      <x:c r="A603" t="n">
        <x:f>599</x:f>
        <x:v>599</x:v>
      </x:c>
      <x:c r="B603" s="7" t="n">
        <x:f>IF(AND('요약'!$B$20,A603&lt;='요약'!$B$6),NORM.S.INV((A603-0.5)/'요약'!$B$6),"")</x:f>
        <x:v>0.2494664366595637</x:v>
      </x:c>
      <x:c r="C603" s="7" t="n">
        <x:f>IF(AND('요약'!$B$20,A603&lt;='요약'!$B$6),LARGE('계산'!$B$2:$B$2001,'요약'!$B$6-A603+1),"")</x:f>
        <x:v>0.002277042483324605</x:v>
      </x:c>
      <x:c r="D603" s="7" t="n">
        <x:f>IF(ISNUMBER(B603),'요약'!$B$7+'요약'!$B$13*B603,"")</x:f>
        <x:v>0.0024738080165856583</x:v>
      </x:c>
    </x:row>
    <x:row r="604">
      <x:c r="A604" t="n">
        <x:f>600</x:f>
        <x:v>600</x:v>
      </x:c>
      <x:c r="B604" s="7" t="n">
        <x:f>IF(AND('요약'!$B$20,A604&lt;='요약'!$B$6),NORM.S.INV((A604-0.5)/'요약'!$B$6),"")</x:f>
        <x:v>0.2520531265622946</x:v>
      </x:c>
      <x:c r="C604" s="7" t="n">
        <x:f>IF(AND('요약'!$B$20,A604&lt;='요약'!$B$6),LARGE('계산'!$B$2:$B$2001,'요약'!$B$6-A604+1),"")</x:f>
        <x:v>0.00234084882078323</x:v>
      </x:c>
      <x:c r="D604" s="7" t="n">
        <x:f>IF(ISNUMBER(B604),'요약'!$B$7+'요약'!$B$13*B604,"")</x:f>
        <x:v>0.0024999588466746497</x:v>
      </x:c>
    </x:row>
    <x:row r="605">
      <x:c r="A605" t="n">
        <x:f>601</x:f>
        <x:v>601</x:v>
      </x:c>
      <x:c r="B605" s="7" t="n">
        <x:f>IF(AND('요약'!$B$20,A605&lt;='요약'!$B$6),NORM.S.INV((A605-0.5)/'요약'!$B$6),"")</x:f>
        <x:v>0.25464150404674557</x:v>
      </x:c>
      <x:c r="C605" s="7" t="n">
        <x:f>IF(AND('요약'!$B$20,A605&lt;='요약'!$B$6),LARGE('계산'!$B$2:$B$2001,'요약'!$B$6-A605+1),"")</x:f>
        <x:v>0.0023408530021275485</x:v>
      </x:c>
      <x:c r="D605" s="7" t="n">
        <x:f>IF(ISNUMBER(B605),'요약'!$B$7+'요약'!$B$13*B605,"")</x:f>
        <x:v>0.002526126737820235</x:v>
      </x:c>
    </x:row>
    <x:row r="606">
      <x:c r="A606" t="n">
        <x:f>602</x:f>
        <x:v>602</x:v>
      </x:c>
      <x:c r="B606" s="7" t="n">
        <x:f>IF(AND('요약'!$B$20,A606&lt;='요약'!$B$6),NORM.S.INV((A606-0.5)/'요약'!$B$6),"")</x:f>
        <x:v>0.25723158868049184</x:v>
      </x:c>
      <x:c r="C606" s="7" t="n">
        <x:f>IF(AND('요약'!$B$20,A606&lt;='요약'!$B$6),LARGE('계산'!$B$2:$B$2001,'요약'!$B$6-A606+1),"")</x:f>
        <x:v>0.0023527811358335098</x:v>
      </x:c>
      <x:c r="D606" s="7" t="n">
        <x:f>IF(ISNUMBER(B606),'요약'!$B$7+'요약'!$B$13*B606,"")</x:f>
        <x:v>0.0025523118878460257</x:v>
      </x:c>
    </x:row>
    <x:row r="607">
      <x:c r="A607" t="n">
        <x:f>603</x:f>
        <x:v>603</x:v>
      </x:c>
      <x:c r="B607" s="7" t="n">
        <x:f>IF(AND('요약'!$B$20,A607&lt;='요약'!$B$6),NORM.S.INV((A607-0.5)/'요약'!$B$6),"")</x:f>
        <x:v>0.2598234001156768</x:v>
      </x:c>
      <x:c r="C607" s="7" t="n">
        <x:f>IF(AND('요약'!$B$20,A607&lt;='요약'!$B$6),LARGE('계산'!$B$2:$B$2001,'요약'!$B$6-A607+1),"")</x:f>
        <x:v>0.0023857689942200656</x:v>
      </x:c>
      <x:c r="D607" s="7" t="n">
        <x:f>IF(ISNUMBER(B607),'요약'!$B$7+'요약'!$B$13*B607,"")</x:f>
        <x:v>0.002578514495430595</x:v>
      </x:c>
    </x:row>
    <x:row r="608">
      <x:c r="A608" t="n">
        <x:f>604</x:f>
        <x:v>604</x:v>
      </x:c>
      <x:c r="B608" s="7" t="n">
        <x:f>IF(AND('요약'!$B$20,A608&lt;='요약'!$B$6),NORM.S.INV((A608-0.5)/'요약'!$B$6),"")</x:f>
        <x:v>0.2624169580901927</x:v>
      </x:c>
      <x:c r="C608" s="7" t="n">
        <x:f>IF(AND('요약'!$B$20,A608&lt;='요약'!$B$6),LARGE('계산'!$B$2:$B$2001,'요약'!$B$6-A608+1),"")</x:f>
        <x:v>0.0024482396590609643</x:v>
      </x:c>
      <x:c r="D608" s="7" t="n">
        <x:f>IF(ISNUMBER(B608),'요약'!$B$7+'요약'!$B$13*B608,"")</x:f>
        <x:v>0.00260473476011942</x:v>
      </x:c>
    </x:row>
    <x:row r="609">
      <x:c r="A609" t="n">
        <x:f>605</x:f>
        <x:v>605</x:v>
      </x:c>
      <x:c r="B609" s="7" t="n">
        <x:f>IF(AND('요약'!$B$20,A609&lt;='요약'!$B$6),NORM.S.INV((A609-0.5)/'요약'!$B$6),"")</x:f>
        <x:v>0.265012282428869</x:v>
      </x:c>
      <x:c r="C609" s="7" t="n">
        <x:f>IF(AND('요약'!$B$20,A609&lt;='요약'!$B$6),LARGE('계산'!$B$2:$B$2001,'요약'!$B$6-A609+1),"")</x:f>
        <x:v>0.0024489506902081646</x:v>
      </x:c>
      <x:c r="D609" s="7" t="n">
        <x:f>IF(ISNUMBER(B609),'요약'!$B$7+'요약'!$B$13*B609,"")</x:f>
        <x:v>0.002630972882336889</x:v>
      </x:c>
    </x:row>
    <x:row r="610">
      <x:c r="A610" t="n">
        <x:f>606</x:f>
        <x:v>606</x:v>
      </x:c>
      <x:c r="B610" s="7" t="n">
        <x:f>IF(AND('요약'!$B$20,A610&lt;='요약'!$B$6),NORM.S.INV((A610-0.5)/'요약'!$B$6),"")</x:f>
        <x:v>0.26760939304467757</x:v>
      </x:c>
      <x:c r="C610" s="7" t="n">
        <x:f>IF(AND('요약'!$B$20,A610&lt;='요약'!$B$6),LARGE('계산'!$B$2:$B$2001,'요약'!$B$6-A610+1),"")</x:f>
        <x:v>0.0025147347803759295</x:v>
      </x:c>
      <x:c r="D610" s="7" t="n">
        <x:f>IF(ISNUMBER(B610),'요약'!$B$7+'요약'!$B$13*B610,"")</x:f>
        <x:v>0.002657229063398493</x:v>
      </x:c>
    </x:row>
    <x:row r="611">
      <x:c r="A611" t="n">
        <x:f>607</x:f>
        <x:v>607</x:v>
      </x:c>
      <x:c r="B611" s="7" t="n">
        <x:f>IF(AND('요약'!$B$20,A611&lt;='요약'!$B$6),NORM.S.INV((A611-0.5)/'요약'!$B$6),"")</x:f>
        <x:v>0.27020830993994543</x:v>
      </x:c>
      <x:c r="C611" s="7" t="n">
        <x:f>IF(AND('요약'!$B$20,A611&lt;='요약'!$B$6),LARGE('계산'!$B$2:$B$2001,'요약'!$B$6-A611+1),"")</x:f>
        <x:v>0.0025497863905731815</x:v>
      </x:c>
      <x:c r="D611" s="7" t="n">
        <x:f>IF(ISNUMBER(B611),'요약'!$B$7+'요약'!$B$13*B611,"")</x:f>
        <x:v>0.002683503505523081</x:v>
      </x:c>
    </x:row>
    <x:row r="612">
      <x:c r="A612" t="n">
        <x:f>608</x:f>
        <x:v>608</x:v>
      </x:c>
      <x:c r="B612" s="7" t="n">
        <x:f>IF(AND('요약'!$B$20,A612&lt;='요약'!$B$6),NORM.S.INV((A612-0.5)/'요약'!$B$6),"")</x:f>
        <x:v>0.27280905320758264</x:v>
      </x:c>
      <x:c r="C612" s="7" t="n">
        <x:f>IF(AND('요약'!$B$20,A612&lt;='요약'!$B$6),LARGE('계산'!$B$2:$B$2001,'요약'!$B$6-A612+1),"")</x:f>
        <x:v>0.002575556422708686</x:v>
      </x:c>
      <x:c r="D612" s="7" t="n">
        <x:f>IF(ISNUMBER(B612),'요약'!$B$7+'요약'!$B$13*B612,"")</x:f>
        <x:v>0.002709796411845275</x:v>
      </x:c>
    </x:row>
    <x:row r="613">
      <x:c r="A613" t="n">
        <x:f>609</x:f>
        <x:v>609</x:v>
      </x:c>
      <x:c r="B613" s="7" t="n">
        <x:f>IF(AND('요약'!$B$20,A613&lt;='요약'!$B$6),NORM.S.INV((A613-0.5)/'요약'!$B$6),"")</x:f>
        <x:v>0.27541164303232035</x:v>
      </x:c>
      <x:c r="C613" s="7" t="n">
        <x:f>IF(AND('요약'!$B$20,A613&lt;='요약'!$B$6),LARGE('계산'!$B$2:$B$2001,'요약'!$B$6-A613+1),"")</x:f>
        <x:v>0.002579735981668244</x:v>
      </x:c>
      <x:c r="D613" s="7" t="n">
        <x:f>IF(ISNUMBER(B613),'요약'!$B$7+'요약'!$B$13*B613,"")</x:f>
        <x:v>0.0027361079864279877</x:v>
      </x:c>
    </x:row>
    <x:row r="614">
      <x:c r="A614" t="n">
        <x:f>610</x:f>
        <x:v>610</x:v>
      </x:c>
      <x:c r="B614" s="7" t="n">
        <x:f>IF(AND('요약'!$B$20,A614&lt;='요약'!$B$6),NORM.S.INV((A614-0.5)/'요약'!$B$6),"")</x:f>
        <x:v>0.27801609969196617</x:v>
      </x:c>
      <x:c r="C614" s="7" t="n">
        <x:f>IF(AND('요약'!$B$20,A614&lt;='요약'!$B$6),LARGE('계산'!$B$2:$B$2001,'요약'!$B$6-A614+1),"")</x:f>
        <x:v>0.0026250321029374388</x:v>
      </x:c>
      <x:c r="D614" s="7" t="n">
        <x:f>IF(ISNUMBER(B614),'요약'!$B$7+'요약'!$B$13*B614,"")</x:f>
        <x:v>0.0027624384342751123</x:v>
      </x:c>
    </x:row>
    <x:row r="615">
      <x:c r="A615" t="n">
        <x:f>611</x:f>
        <x:v>611</x:v>
      </x:c>
      <x:c r="B615" s="7" t="n">
        <x:f>IF(AND('요약'!$B$20,A615&lt;='요약'!$B$6),NORM.S.INV((A615-0.5)/'요약'!$B$6),"")</x:f>
        <x:v>0.2806224435586632</x:v>
      </x:c>
      <x:c r="C615" s="7" t="n">
        <x:f>IF(AND('요약'!$B$20,A615&lt;='요약'!$B$6),LARGE('계산'!$B$2:$B$2001,'요약'!$B$6-A615+1),"")</x:f>
        <x:v>0.002681736526235722</x:v>
      </x:c>
      <x:c r="D615" s="7" t="n">
        <x:f>IF(ISNUMBER(B615),'요약'!$B$7+'요약'!$B$13*B615,"")</x:f>
        <x:v>0.002788787961344252</x:v>
      </x:c>
    </x:row>
    <x:row r="616">
      <x:c r="A616" t="n">
        <x:f>612</x:f>
        <x:v>612</x:v>
      </x:c>
      <x:c r="B616" s="7" t="n">
        <x:f>IF(AND('요약'!$B$20,A616&lt;='요약'!$B$6),NORM.S.INV((A616-0.5)/'요약'!$B$6),"")</x:f>
        <x:v>0.2832306951001736</x:v>
      </x:c>
      <x:c r="C616" s="7" t="n">
        <x:f>IF(AND('요약'!$B$20,A616&lt;='요약'!$B$6),LARGE('계산'!$B$2:$B$2001,'요약'!$B$6-A616+1),"")</x:f>
        <x:v>0.002695236841123452</x:v>
      </x:c>
      <x:c r="D616" s="7" t="n">
        <x:f>IF(ISNUMBER(B616),'요약'!$B$7+'요약'!$B$13*B616,"")</x:f>
        <x:v>0.002815156774559697</x:v>
      </x:c>
    </x:row>
    <x:row r="617">
      <x:c r="A617" t="n">
        <x:f>613</x:f>
        <x:v>613</x:v>
      </x:c>
      <x:c r="B617" s="7" t="n">
        <x:f>IF(AND('요약'!$B$20,A617&lt;='요약'!$B$6),NORM.S.INV((A617-0.5)/'요약'!$B$6),"")</x:f>
        <x:v>0.2858408748811655</x:v>
      </x:c>
      <x:c r="C617" s="7" t="n">
        <x:f>IF(AND('요약'!$B$20,A617&lt;='요약'!$B$6),LARGE('계산'!$B$2:$B$2001,'요약'!$B$6-A617+1),"")</x:f>
        <x:v>0.0026987516583388007</x:v>
      </x:c>
      <x:c r="D617" s="7" t="n">
        <x:f>IF(ISNUMBER(B617),'요약'!$B$7+'요약'!$B$13*B617,"")</x:f>
        <x:v>0.0028415450818254327</x:v>
      </x:c>
    </x:row>
    <x:row r="618">
      <x:c r="A618" t="n">
        <x:f>614</x:f>
        <x:v>614</x:v>
      </x:c>
      <x:c r="B618" s="7" t="n">
        <x:f>IF(AND('요약'!$B$20,A618&lt;='요약'!$B$6),NORM.S.INV((A618-0.5)/'요약'!$B$6),"")</x:f>
        <x:v>0.2884530035645213</x:v>
      </x:c>
      <x:c r="C618" s="7" t="n">
        <x:f>IF(AND('요약'!$B$20,A618&lt;='요약'!$B$6),LARGE('계산'!$B$2:$B$2001,'요약'!$B$6-A618+1),"")</x:f>
        <x:v>0.002712797582736632</x:v>
      </x:c>
      <x:c r="D618" s="7" t="n">
        <x:f>IF(ISNUMBER(B618),'요약'!$B$7+'요약'!$B$13*B618,"")</x:f>
        <x:v>0.0028679530920383695</x:v>
      </x:c>
    </x:row>
    <x:row r="619">
      <x:c r="A619" t="n">
        <x:f>615</x:f>
        <x:v>615</x:v>
      </x:c>
      <x:c r="B619" s="7" t="n">
        <x:f>IF(AND('요약'!$B$20,A619&lt;='요약'!$B$6),NORM.S.INV((A619-0.5)/'요약'!$B$6),"")</x:f>
        <x:v>0.29106710191265145</x:v>
      </x:c>
      <x:c r="C619" s="7" t="n">
        <x:f>IF(AND('요약'!$B$20,A619&lt;='요약'!$B$6),LARGE('계산'!$B$2:$B$2001,'요약'!$B$6-A619+1),"")</x:f>
        <x:v>0.002719232693552686</x:v>
      </x:c>
      <x:c r="D619" s="7" t="n">
        <x:f>IF(ISNUMBER(B619),'요약'!$B$7+'요약'!$B$13*B619,"")</x:f>
        <x:v>0.002894381015101622</x:v>
      </x:c>
    </x:row>
    <x:row r="620">
      <x:c r="A620" t="n">
        <x:f>616</x:f>
        <x:v>616</x:v>
      </x:c>
      <x:c r="B620" s="7" t="n">
        <x:f>IF(AND('요약'!$B$20,A620&lt;='요약'!$B$6),NORM.S.INV((A620-0.5)/'요약'!$B$6),"")</x:f>
        <x:v>0.29368319078883226</x:v>
      </x:c>
      <x:c r="C620" s="7" t="n">
        <x:f>IF(AND('요약'!$B$20,A620&lt;='요약'!$B$6),LARGE('계산'!$B$2:$B$2001,'요약'!$B$6-A620+1),"")</x:f>
        <x:v>0.002734005732083368</x:v>
      </x:c>
      <x:c r="D620" s="7" t="n">
        <x:f>IF(ISNUMBER(B620),'요약'!$B$7+'요약'!$B$13*B620,"")</x:f>
        <x:v>0.002920829061938035</x:v>
      </x:c>
    </x:row>
    <x:row r="621">
      <x:c r="A621" t="n">
        <x:f>617</x:f>
        <x:v>617</x:v>
      </x:c>
      <x:c r="B621" s="7" t="n">
        <x:f>IF(AND('요약'!$B$20,A621&lt;='요약'!$B$6),NORM.S.INV((A621-0.5)/'요약'!$B$6),"")</x:f>
        <x:v>0.29630129115854936</x:v>
      </x:c>
      <x:c r="C621" s="7" t="n">
        <x:f>IF(AND('요약'!$B$20,A621&lt;='요약'!$B$6),LARGE('계산'!$B$2:$B$2001,'요약'!$B$6-A621+1),"")</x:f>
        <x:v>0.0027921020480244064</x:v>
      </x:c>
      <x:c r="D621" s="7" t="n">
        <x:f>IF(ISNUMBER(B621),'요약'!$B$7+'요약'!$B$13*B621,"")</x:f>
        <x:v>0.0029472974445037673</x:v>
      </x:c>
    </x:row>
    <x:row r="622">
      <x:c r="A622" t="n">
        <x:f>618</x:f>
        <x:v>618</x:v>
      </x:c>
      <x:c r="B622" s="7" t="n">
        <x:f>IF(AND('요약'!$B$20,A622&lt;='요약'!$B$6),NORM.S.INV((A622-0.5)/'요약'!$B$6),"")</x:f>
        <x:v>0.2989214240908575</x:v>
      </x:c>
      <x:c r="C622" s="7" t="n">
        <x:f>IF(AND('요약'!$B$20,A622&lt;='요약'!$B$6),LARGE('계산'!$B$2:$B$2001,'요약'!$B$6-A622+1),"")</x:f>
        <x:v>0.0028203167181860608</x:v>
      </x:c>
      <x:c r="D622" s="7" t="n">
        <x:f>IF(ISNUMBER(B622),'요약'!$B$7+'요약'!$B$13*B622,"")</x:f>
        <x:v>0.0029737863758020344</x:v>
      </x:c>
    </x:row>
    <x:row r="623">
      <x:c r="A623" t="n">
        <x:f>619</x:f>
        <x:v>619</x:v>
      </x:c>
      <x:c r="B623" s="7" t="n">
        <x:f>IF(AND('요약'!$B$20,A623&lt;='요약'!$B$6),NORM.S.INV((A623-0.5)/'요약'!$B$6),"")</x:f>
        <x:v>0.30154361075976027</x:v>
      </x:c>
      <x:c r="C623" s="7" t="n">
        <x:f>IF(AND('요약'!$B$20,A623&lt;='요약'!$B$6),LARGE('계산'!$B$2:$B$2001,'요약'!$B$6-A623+1),"")</x:f>
        <x:v>0.002911932888975145</x:v>
      </x:c>
      <x:c r="D623" s="7" t="n">
        <x:f>IF(ISNUMBER(B623),'요약'!$B$7+'요약'!$B$13*B623,"")</x:f>
        <x:v>0.003000296069897063</x:v>
      </x:c>
    </x:row>
    <x:row r="624">
      <x:c r="A624" t="n">
        <x:f>620</x:f>
        <x:v>620</x:v>
      </x:c>
      <x:c r="B624" s="7" t="n">
        <x:f>IF(AND('요약'!$B$20,A624&lt;='요약'!$B$6),NORM.S.INV((A624-0.5)/'요약'!$B$6),"")</x:f>
        <x:v>0.3041678724455986</x:v>
      </x:c>
      <x:c r="C624" s="7" t="n">
        <x:f>IF(AND('요약'!$B$20,A624&lt;='요약'!$B$6),LARGE('계산'!$B$2:$B$2001,'요약'!$B$6-A624+1),"")</x:f>
        <x:v>0.00294687832668545</x:v>
      </x:c>
      <x:c r="D624" s="7" t="n">
        <x:f>IF(ISNUMBER(B624),'요약'!$B$7+'요약'!$B$13*B624,"")</x:f>
        <x:v>0.003026826741928123</x:v>
      </x:c>
    </x:row>
    <x:row r="625">
      <x:c r="A625" t="n">
        <x:f>621</x:f>
        <x:v>621</x:v>
      </x:c>
      <x:c r="B625" s="7" t="n">
        <x:f>IF(AND('요약'!$B$20,A625&lt;='요약'!$B$6),NORM.S.INV((A625-0.5)/'요약'!$B$6),"")</x:f>
        <x:v>0.3067942305364568</x:v>
      </x:c>
      <x:c r="C625" s="7" t="n">
        <x:f>IF(AND('요약'!$B$20,A625&lt;='요약'!$B$6),LARGE('계산'!$B$2:$B$2001,'요약'!$B$6-A625+1),"")</x:f>
        <x:v>0.0029760253463920906</x:v>
      </x:c>
      <x:c r="D625" s="7" t="n">
        <x:f>IF(ISNUMBER(B625),'요약'!$B$7+'요약'!$B$13*B625,"")</x:f>
        <x:v>0.003053378608123746</x:v>
      </x:c>
    </x:row>
    <x:row r="626">
      <x:c r="A626" t="n">
        <x:f>622</x:f>
        <x:v>622</x:v>
      </x:c>
      <x:c r="B626" s="7" t="n">
        <x:f>IF(AND('요약'!$B$20,A626&lt;='요약'!$B$6),NORM.S.INV((A626-0.5)/'요약'!$B$6),"")</x:f>
        <x:v>0.3094227065295839</x:v>
      </x:c>
      <x:c r="C626" s="7" t="n">
        <x:f>IF(AND('요약'!$B$20,A626&lt;='요약'!$B$6),LARGE('계산'!$B$2:$B$2001,'요약'!$B$6-A626+1),"")</x:f>
        <x:v>0.0029830712413935687</x:v>
      </x:c>
      <x:c r="D626" s="7" t="n">
        <x:f>IF(ISNUMBER(B626),'요약'!$B$7+'요약'!$B$13*B626,"")</x:f>
        <x:v>0.0030799518858160937</x:v>
      </x:c>
    </x:row>
    <x:row r="627">
      <x:c r="A627" t="n">
        <x:f>623</x:f>
        <x:v>623</x:v>
      </x:c>
      <x:c r="B627" s="7" t="n">
        <x:f>IF(AND('요약'!$B$20,A627&lt;='요약'!$B$6),NORM.S.INV((A627-0.5)/'요약'!$B$6),"")</x:f>
        <x:v>0.31205332203283215</x:v>
      </x:c>
      <x:c r="C627" s="7" t="n">
        <x:f>IF(AND('요약'!$B$20,A627&lt;='요약'!$B$6),LARGE('계산'!$B$2:$B$2001,'요약'!$B$6-A627+1),"")</x:f>
        <x:v>0.0029965237600823465</x:v>
      </x:c>
      <x:c r="D627" s="7" t="n">
        <x:f>IF(ISNUMBER(B627),'요약'!$B$7+'요약'!$B$13*B627,"")</x:f>
        <x:v>0.0031065467934554987</x:v>
      </x:c>
    </x:row>
    <x:row r="628">
      <x:c r="A628" t="n">
        <x:f>624</x:f>
        <x:v>624</x:v>
      </x:c>
      <x:c r="B628" s="7" t="n">
        <x:f>IF(AND('요약'!$B$20,A628&lt;='요약'!$B$6),NORM.S.INV((A628-0.5)/'요약'!$B$6),"")</x:f>
        <x:v>0.31468609876611014</x:v>
      </x:c>
      <x:c r="C628" s="7" t="n">
        <x:f>IF(AND('요약'!$B$20,A628&lt;='요약'!$B$6),LARGE('계산'!$B$2:$B$2001,'요약'!$B$6-A628+1),"")</x:f>
        <x:v>0.0030212861465306524</x:v>
      </x:c>
      <x:c r="D628" s="7" t="n">
        <x:f>IF(ISNUMBER(B628),'요약'!$B$7+'요약'!$B$13*B628,"")</x:f>
        <x:v>0.00313316355062516</x:v>
      </x:c>
    </x:row>
    <x:row r="629">
      <x:c r="A629" t="n">
        <x:f>625</x:f>
        <x:v>625</x:v>
      </x:c>
      <x:c r="B629" s="7" t="n">
        <x:f>IF(AND('요약'!$B$20,A629&lt;='요약'!$B$6),NORM.S.INV((A629-0.5)/'요약'!$B$6),"")</x:f>
        <x:v>0.31732105856285087</x:v>
      </x:c>
      <x:c r="C629" s="7" t="n">
        <x:f>IF(AND('요약'!$B$20,A629&lt;='요약'!$B$6),LARGE('계산'!$B$2:$B$2001,'요약'!$B$6-A629+1),"")</x:f>
        <x:v>0.0031172204231866185</x:v>
      </x:c>
      <x:c r="D629" s="7" t="n">
        <x:f>IF(ISNUMBER(B629),'요약'!$B$7+'요약'!$B$13*B629,"")</x:f>
        <x:v>0.0031598023780559786</x:v>
      </x:c>
    </x:row>
    <x:row r="630">
      <x:c r="A630" t="n">
        <x:f>626</x:f>
        <x:v>626</x:v>
      </x:c>
      <x:c r="B630" s="7" t="n">
        <x:f>IF(AND('요약'!$B$20,A630&lt;='요약'!$B$6),NORM.S.INV((A630-0.5)/'요약'!$B$6),"")</x:f>
        <x:v>0.3199582233714993</x:v>
      </x:c>
      <x:c r="C630" s="7" t="n">
        <x:f>IF(AND('요약'!$B$20,A630&lt;='요약'!$B$6),LARGE('계산'!$B$2:$B$2001,'요약'!$B$6-A630+1),"")</x:f>
        <x:v>0.003144038448429474</x:v>
      </x:c>
      <x:c r="D630" s="7" t="n">
        <x:f>IF(ISNUMBER(B630),'요약'!$B$7+'요약'!$B$13*B630,"")</x:f>
        <x:v>0.003186463497641602</x:v>
      </x:c>
    </x:row>
    <x:row r="631">
      <x:c r="A631" t="n">
        <x:f>627</x:f>
        <x:v>627</x:v>
      </x:c>
      <x:c r="B631" s="7" t="n">
        <x:f>IF(AND('요약'!$B$20,A631&lt;='요약'!$B$6),NORM.S.INV((A631-0.5)/'요약'!$B$6),"")</x:f>
        <x:v>0.322597615257016</x:v>
      </x:c>
      <x:c r="C631" s="7" t="n">
        <x:f>IF(AND('요약'!$B$20,A631&lt;='요약'!$B$6),LARGE('계산'!$B$2:$B$2001,'요약'!$B$6-A631+1),"")</x:f>
        <x:v>0.0031519834483837153</x:v>
      </x:c>
      <x:c r="D631" s="7" t="n">
        <x:f>IF(ISNUMBER(B631),'요약'!$B$7+'요약'!$B$13*B631,"")</x:f>
        <x:v>0.0032131471324536214</x:v>
      </x:c>
    </x:row>
    <x:row r="632">
      <x:c r="A632" t="n">
        <x:f>628</x:f>
        <x:v>628</x:v>
      </x:c>
      <x:c r="B632" s="7" t="n">
        <x:f>IF(AND('요약'!$B$20,A632&lt;='요약'!$B$6),NORM.S.INV((A632-0.5)/'요약'!$B$6),"")</x:f>
        <x:v>0.3252392564023952</x:v>
      </x:c>
      <x:c r="C632" s="7" t="n">
        <x:f>IF(AND('요약'!$B$20,A632&lt;='요약'!$B$6),LARGE('계산'!$B$2:$B$2001,'요약'!$B$6-A632+1),"")</x:f>
        <x:v>0.0031788781707624033</x:v>
      </x:c>
      <x:c r="D632" s="7" t="n">
        <x:f>IF(ISNUMBER(B632),'요약'!$B$7+'요약'!$B$13*B632,"")</x:f>
        <x:v>0.003239853506756922</x:v>
      </x:c>
    </x:row>
    <x:row r="633">
      <x:c r="A633" t="n">
        <x:f>629</x:f>
        <x:v>629</x:v>
      </x:c>
      <x:c r="B633" s="7" t="n">
        <x:f>IF(AND('요약'!$B$20,A633&lt;='요약'!$B$6),NORM.S.INV((A633-0.5)/'요약'!$B$6),"")</x:f>
        <x:v>0.3278831691102049</x:v>
      </x:c>
      <x:c r="C633" s="7" t="n">
        <x:f>IF(AND('요약'!$B$20,A633&lt;='요약'!$B$6),LARGE('계산'!$B$2:$B$2001,'요약'!$B$6-A633+1),"")</x:f>
        <x:v>0.003186063224181272</x:v>
      </x:c>
      <x:c r="D633" s="7" t="n">
        <x:f>IF(ISNUMBER(B633),'요약'!$B$7+'요약'!$B$13*B633,"")</x:f>
        <x:v>0.0032665828460252512</x:v>
      </x:c>
    </x:row>
    <x:row r="634">
      <x:c r="A634" t="n">
        <x:f>630</x:f>
        <x:v>630</x:v>
      </x:c>
      <x:c r="B634" s="7" t="n">
        <x:f>IF(AND('요약'!$B$20,A634&lt;='요약'!$B$6),NORM.S.INV((A634-0.5)/'요약'!$B$6),"")</x:f>
        <x:v>0.3305293758041394</x:v>
      </x:c>
      <x:c r="C634" s="7" t="n">
        <x:f>IF(AND('요약'!$B$20,A634&lt;='요약'!$B$6),LARGE('계산'!$B$2:$B$2001,'요약'!$B$6-A634+1),"")</x:f>
        <x:v>0.0032040316135293367</x:v>
      </x:c>
      <x:c r="D634" s="7" t="n">
        <x:f>IF(ISNUMBER(B634),'요약'!$B$7+'요약'!$B$13*B634,"")</x:f>
        <x:v>0.0032933353769569154</x:v>
      </x:c>
    </x:row>
    <x:row r="635">
      <x:c r="A635" t="n">
        <x:f>631</x:f>
        <x:v>631</x:v>
      </x:c>
      <x:c r="B635" s="7" t="n">
        <x:f>IF(AND('요약'!$B$20,A635&lt;='요약'!$B$6),NORM.S.INV((A635-0.5)/'요약'!$B$6),"")</x:f>
        <x:v>0.33317789903059664</x:v>
      </x:c>
      <x:c r="C635" s="7" t="n">
        <x:f>IF(AND('요약'!$B$20,A635&lt;='요약'!$B$6),LARGE('계산'!$B$2:$B$2001,'요약'!$B$6-A635+1),"")</x:f>
        <x:v>0.0032382521940974036</x:v>
      </x:c>
      <x:c r="D635" s="7" t="n">
        <x:f>IF(ISNUMBER(B635),'요약'!$B$7+'요약'!$B$13*B635,"")</x:f>
        <x:v>0.0033201113274907265</x:v>
      </x:c>
    </x:row>
    <x:row r="636">
      <x:c r="A636" t="n">
        <x:f>632</x:f>
        <x:v>632</x:v>
      </x:c>
      <x:c r="B636" s="7" t="n">
        <x:f>IF(AND('요약'!$B$20,A636&lt;='요약'!$B$6),NORM.S.INV((A636-0.5)/'요약'!$B$6),"")</x:f>
        <x:v>0.33582876146026536</x:v>
      </x:c>
      <x:c r="C636" s="7" t="n">
        <x:f>IF(AND('요약'!$B$20,A636&lt;='요약'!$B$6),LARGE('계산'!$B$2:$B$2001,'요약'!$B$6-A636+1),"")</x:f>
        <x:v>0.003253420018531249</x:v>
      </x:c>
      <x:c r="D636" s="7" t="n">
        <x:f>IF(ISNUMBER(B636),'요약'!$B$7+'요약'!$B$13*B636,"")</x:f>
        <x:v>0.0033469109268220456</x:v>
      </x:c>
    </x:row>
    <x:row r="637">
      <x:c r="A637" t="n">
        <x:f>633</x:f>
        <x:v>633</x:v>
      </x:c>
      <x:c r="B637" s="7" t="n">
        <x:f>IF(AND('요약'!$B$20,A637&lt;='요약'!$B$6),NORM.S.INV((A637-0.5)/'요약'!$B$6),"")</x:f>
        <x:v>0.3384819858897396</x:v>
      </x:c>
      <x:c r="C637" s="7" t="n">
        <x:f>IF(AND('요약'!$B$20,A637&lt;='요약'!$B$6),LARGE('계산'!$B$2:$B$2001,'요약'!$B$6-A637+1),"")</x:f>
        <x:v>0.0032666663045174456</x:v>
      </x:c>
      <x:c r="D637" s="7" t="n">
        <x:f>IF(ISNUMBER(B637),'요약'!$B$7+'요약'!$B$13*B637,"")</x:f>
        <x:v>0.003373734405419109</x:v>
      </x:c>
    </x:row>
    <x:row r="638">
      <x:c r="A638" t="n">
        <x:f>634</x:f>
        <x:v>634</x:v>
      </x:c>
      <x:c r="B638" s="7" t="n">
        <x:f>IF(AND('요약'!$B$20,A638&lt;='요약'!$B$6),NORM.S.INV((A638-0.5)/'요약'!$B$6),"")</x:f>
        <x:v>0.3411375952431457</x:v>
      </x:c>
      <x:c r="C638" s="7" t="n">
        <x:f>IF(AND('요약'!$B$20,A638&lt;='요약'!$B$6),LARGE('계산'!$B$2:$B$2001,'요약'!$B$6-A638+1),"")</x:f>
        <x:v>0.0032760150125669134</x:v>
      </x:c>
      <x:c r="D638" s="7" t="n">
        <x:f>IF(ISNUMBER(B638),'요약'!$B$7+'요약'!$B$13*B638,"")</x:f>
        <x:v>0.003400581995039473</x:v>
      </x:c>
    </x:row>
    <x:row r="639">
      <x:c r="A639" t="n">
        <x:f>635</x:f>
        <x:v>635</x:v>
      </x:c>
      <x:c r="B639" s="7" t="n">
        <x:f>IF(AND('요약'!$B$20,A639&lt;='요약'!$B$6),NORM.S.INV((A639-0.5)/'요약'!$B$6),"")</x:f>
        <x:v>0.3437956125737919</x:v>
      </x:c>
      <x:c r="C639" s="7" t="n">
        <x:f>IF(AND('요약'!$B$20,A639&lt;='요약'!$B$6),LARGE('계산'!$B$2:$B$2001,'요약'!$B$6-A639+1),"")</x:f>
        <x:v>0.0032777650045310238</x:v>
      </x:c>
      <x:c r="D639" s="7" t="n">
        <x:f>IF(ISNUMBER(B639),'요약'!$B$7+'요약'!$B$13*B639,"")</x:f>
        <x:v>0.0034274539287466937</x:v>
      </x:c>
    </x:row>
    <x:row r="640">
      <x:c r="A640" t="n">
        <x:f>636</x:f>
        <x:v>636</x:v>
      </x:c>
      <x:c r="B640" s="7" t="n">
        <x:f>IF(AND('요약'!$B$20,A640&lt;='요약'!$B$6),NORM.S.INV((A640-0.5)/'요약'!$B$6),"")</x:f>
        <x:v>0.34645606106583643</x:v>
      </x:c>
      <x:c r="C640" s="7" t="n">
        <x:f>IF(AND('요약'!$B$20,A640&lt;='요약'!$B$6),LARGE('계산'!$B$2:$B$2001,'요약'!$B$6-A640+1),"")</x:f>
        <x:v>0.00332830497009704</x:v>
      </x:c>
      <x:c r="D640" s="7" t="n">
        <x:f>IF(ISNUMBER(B640),'요약'!$B$7+'요약'!$B$13*B640,"")</x:f>
        <x:v>0.0034543504409271907</x:v>
      </x:c>
    </x:row>
    <x:row r="641">
      <x:c r="A641" t="n">
        <x:f>637</x:f>
        <x:v>637</x:v>
      </x:c>
      <x:c r="B641" s="7" t="n">
        <x:f>IF(AND('요약'!$B$20,A641&lt;='요약'!$B$6),NORM.S.INV((A641-0.5)/'요약'!$B$6),"")</x:f>
        <x:v>0.34911896403597653</x:v>
      </x:c>
      <x:c r="C641" s="7" t="n">
        <x:f>IF(AND('요약'!$B$20,A641&lt;='요약'!$B$6),LARGE('계산'!$B$2:$B$2001,'요약'!$B$6-A641+1),"")</x:f>
        <x:v>0.003354675352015087</x:v>
      </x:c>
      <x:c r="D641" s="7" t="n">
        <x:f>IF(ISNUMBER(B641),'요약'!$B$7+'요약'!$B$13*B641,"")</x:f>
        <x:v>0.0034812717673073203</x:v>
      </x:c>
    </x:row>
    <x:row r="642">
      <x:c r="A642" t="n">
        <x:f>638</x:f>
        <x:v>638</x:v>
      </x:c>
      <x:c r="B642" s="7" t="n">
        <x:f>IF(AND('요약'!$B$20,A642&lt;='요약'!$B$6),NORM.S.INV((A642-0.5)/'요약'!$B$6),"")</x:f>
        <x:v>0.3517843449351561</x:v>
      </x:c>
      <x:c r="C642" s="7" t="n">
        <x:f>IF(AND('요약'!$B$20,A642&lt;='요약'!$B$6),LARGE('계산'!$B$2:$B$2001,'요약'!$B$6-A642+1),"")</x:f>
        <x:v>0.003424603351560532</x:v>
      </x:c>
      <x:c r="D642" s="7" t="n">
        <x:f>IF(ISNUMBER(B642),'요약'!$B$7+'요약'!$B$13*B642,"")</x:f>
        <x:v>0.003508218144970642</x:v>
      </x:c>
    </x:row>
    <x:row r="643">
      <x:c r="A643" t="n">
        <x:f>639</x:f>
        <x:v>639</x:v>
      </x:c>
      <x:c r="B643" s="7" t="n">
        <x:f>IF(AND('요약'!$B$20,A643&lt;='요약'!$B$6),NORM.S.INV((A643-0.5)/'요약'!$B$6),"")</x:f>
        <x:v>0.3544522273502961</x:v>
      </x:c>
      <x:c r="C643" s="7" t="n">
        <x:f>IF(AND('요약'!$B$20,A643&lt;='요약'!$B$6),LARGE('계산'!$B$2:$B$2001,'요약'!$B$6-A643+1),"")</x:f>
        <x:v>0.0034381666716149697</x:v>
      </x:c>
      <x:c r="D643" s="7" t="n">
        <x:f>IF(ISNUMBER(B643),'요약'!$B$7+'요약'!$B$13*B643,"")</x:f>
        <x:v>0.0035351898123754115</x:v>
      </x:c>
    </x:row>
    <x:row r="644">
      <x:c r="A644" t="n">
        <x:f>640</x:f>
        <x:v>640</x:v>
      </x:c>
      <x:c r="B644" s="7" t="n">
        <x:f>IF(AND('요약'!$B$20,A644&lt;='요약'!$B$6),NORM.S.INV((A644-0.5)/'요약'!$B$6),"")</x:f>
        <x:v>0.35712263500604385</x:v>
      </x:c>
      <x:c r="C644" s="7" t="n">
        <x:f>IF(AND('요약'!$B$20,A644&lt;='요약'!$B$6),LARGE('계산'!$B$2:$B$2001,'요약'!$B$6-A644+1),"")</x:f>
        <x:v>0.003447090005822906</x:v>
      </x:c>
      <x:c r="D644" s="7" t="n">
        <x:f>IF(ISNUMBER(B644),'요약'!$B$7+'요약'!$B$13*B644,"")</x:f>
        <x:v>0.0035621870093722665</x:v>
      </x:c>
    </x:row>
    <x:row r="645">
      <x:c r="A645" t="n">
        <x:f>641</x:f>
        <x:v>641</x:v>
      </x:c>
      <x:c r="B645" s="7" t="n">
        <x:f>IF(AND('요약'!$B$20,A645&lt;='요약'!$B$6),NORM.S.INV((A645-0.5)/'요약'!$B$6),"")</x:f>
        <x:v>0.3597955917665465</x:v>
      </x:c>
      <x:c r="C645" s="7" t="n">
        <x:f>IF(AND('요약'!$B$20,A645&lt;='요약'!$B$6),LARGE('계산'!$B$2:$B$2001,'요약'!$B$6-A645+1),"")</x:f>
        <x:v>0.003469462107838199</x:v>
      </x:c>
      <x:c r="D645" s="7" t="n">
        <x:f>IF(ISNUMBER(B645),'요약'!$B$7+'요약'!$B$13*B645,"")</x:f>
        <x:v>0.0035892099772221538</x:v>
      </x:c>
    </x:row>
    <x:row r="646">
      <x:c r="A646" t="n">
        <x:f>642</x:f>
        <x:v>642</x:v>
      </x:c>
      <x:c r="B646" s="7" t="n">
        <x:f>IF(AND('요약'!$B$20,A646&lt;='요약'!$B$6),NORM.S.INV((A646-0.5)/'요약'!$B$6),"")</x:f>
        <x:v>0.36247112163724343</x:v>
      </x:c>
      <x:c r="C646" s="7" t="n">
        <x:f>IF(AND('요약'!$B$20,A646&lt;='요약'!$B$6),LARGE('계산'!$B$2:$B$2001,'요약'!$B$6-A646+1),"")</x:f>
        <x:v>0.0035349857911560825</x:v>
      </x:c>
      <x:c r="D646" s="7" t="n">
        <x:f>IF(ISNUMBER(B646),'요약'!$B$7+'요약'!$B$13*B646,"")</x:f>
        <x:v>0.003616258958614453</x:v>
      </x:c>
    </x:row>
    <x:row r="647">
      <x:c r="A647" t="n">
        <x:f>643</x:f>
        <x:v>643</x:v>
      </x:c>
      <x:c r="B647" s="7" t="n">
        <x:f>IF(AND('요약'!$B$20,A647&lt;='요약'!$B$6),NORM.S.INV((A647-0.5)/'요약'!$B$6),"")</x:f>
        <x:v>0.36514924876668203</x:v>
      </x:c>
      <x:c r="C647" s="7" t="n">
        <x:f>IF(AND('요약'!$B$20,A647&lt;='요약'!$B$6),LARGE('계산'!$B$2:$B$2001,'요약'!$B$6-A647+1),"")</x:f>
        <x:v>0.003535257913836204</x:v>
      </x:c>
      <x:c r="D647" s="7" t="n">
        <x:f>IF(ISNUMBER(B647),'요약'!$B$7+'요약'!$B$13*B647,"")</x:f>
        <x:v>0.0036433341976853315</x:v>
      </x:c>
    </x:row>
    <x:row r="648">
      <x:c r="A648" t="n">
        <x:f>644</x:f>
        <x:v>644</x:v>
      </x:c>
      <x:c r="B648" s="7" t="n">
        <x:f>IF(AND('요약'!$B$20,A648&lt;='요약'!$B$6),NORM.S.INV((A648-0.5)/'요약'!$B$6),"")</x:f>
        <x:v>0.367829997448356</x:v>
      </x:c>
      <x:c r="C648" s="7" t="n">
        <x:f>IF(AND('요약'!$B$20,A648&lt;='요약'!$B$6),LARGE('계산'!$B$2:$B$2001,'요약'!$B$6-A648+1),"")</x:f>
        <x:v>0.003535735027419343</x:v>
      </x:c>
      <x:c r="D648" s="7" t="n">
        <x:f>IF(ISNUMBER(B648),'요약'!$B$7+'요약'!$B$13*B648,"")</x:f>
        <x:v>0.00367043594003633</x:v>
      </x:c>
    </x:row>
    <x:row r="649">
      <x:c r="A649" t="n">
        <x:f>645</x:f>
        <x:v>645</x:v>
      </x:c>
      <x:c r="B649" s="7" t="n">
        <x:f>IF(AND('요약'!$B$20,A649&lt;='요약'!$B$6),NORM.S.INV((A649-0.5)/'요약'!$B$6),"")</x:f>
        <x:v>0.37051339212256723</x:v>
      </x:c>
      <x:c r="C649" s="7" t="n">
        <x:f>IF(AND('요약'!$B$20,A649&lt;='요약'!$B$6),LARGE('계산'!$B$2:$B$2001,'요약'!$B$6-A649+1),"")</x:f>
        <x:v>0.0035603147227001074</x:v>
      </x:c>
      <x:c r="D649" s="7" t="n">
        <x:f>IF(ISNUMBER(B649),'요약'!$B$7+'요약'!$B$13*B649,"")</x:f>
        <x:v>0.003697564432753187</x:v>
      </x:c>
    </x:row>
    <x:row r="650">
      <x:c r="A650" t="n">
        <x:f>646</x:f>
        <x:v>646</x:v>
      </x:c>
      <x:c r="B650" s="7" t="n">
        <x:f>IF(AND('요약'!$B$20,A650&lt;='요약'!$B$6),NORM.S.INV((A650-0.5)/'요약'!$B$6),"")</x:f>
        <x:v>0.3731994573783093</x:v>
      </x:c>
      <x:c r="C650" s="7" t="n">
        <x:f>IF(AND('요약'!$B$20,A650&lt;='요약'!$B$6),LARGE('계산'!$B$2:$B$2001,'요약'!$B$6-A650+1),"")</x:f>
        <x:v>0.003595945300320559</x:v>
      </x:c>
      <x:c r="D650" s="7" t="n">
        <x:f>IF(ISNUMBER(B650),'요약'!$B$7+'요약'!$B$13*B650,"")</x:f>
        <x:v>0.003724719924424877</x:v>
      </x:c>
    </x:row>
    <x:row r="651">
      <x:c r="A651" t="n">
        <x:f>647</x:f>
        <x:v>647</x:v>
      </x:c>
      <x:c r="B651" s="7" t="n">
        <x:f>IF(AND('요약'!$B$20,A651&lt;='요약'!$B$6),NORM.S.INV((A651-0.5)/'요약'!$B$6),"")</x:f>
        <x:v>0.3758882179551775</x:v>
      </x:c>
      <x:c r="C651" s="7" t="n">
        <x:f>IF(AND('요약'!$B$20,A651&lt;='요약'!$B$6),LARGE('계산'!$B$2:$B$2001,'요약'!$B$6-A651+1),"")</x:f>
        <x:v>0.0036838941796607204</x:v>
      </x:c>
      <x:c r="D651" s="7" t="n">
        <x:f>IF(ISNUMBER(B651),'요약'!$B$7+'요약'!$B$13*B651,"")</x:f>
        <x:v>0.0037519026651629244</x:v>
      </x:c>
    </x:row>
    <x:row r="652">
      <x:c r="A652" t="n">
        <x:f>648</x:f>
        <x:v>648</x:v>
      </x:c>
      <x:c r="B652" s="7" t="n">
        <x:f>IF(AND('요약'!$B$20,A652&lt;='요약'!$B$6),NORM.S.INV((A652-0.5)/'요약'!$B$6),"")</x:f>
        <x:v>0.3785796987452981</x:v>
      </x:c>
      <x:c r="C652" s="7" t="n">
        <x:f>IF(AND('요약'!$B$20,A652&lt;='요약'!$B$6),LARGE('계산'!$B$2:$B$2001,'요약'!$B$6-A652+1),"")</x:f>
        <x:v>0.0037201607769010137</x:v>
      </x:c>
      <x:c r="D652" s="7" t="n">
        <x:f>IF(ISNUMBER(B652),'요약'!$B$7+'요약'!$B$13*B652,"")</x:f>
        <x:v>0.003779112906620905</x:v>
      </x:c>
    </x:row>
    <x:row r="653">
      <x:c r="A653" t="n">
        <x:f>649</x:f>
        <x:v>649</x:v>
      </x:c>
      <x:c r="B653" s="7" t="n">
        <x:f>IF(AND('요약'!$B$20,A653&lt;='요약'!$B$6),NORM.S.INV((A653-0.5)/'요약'!$B$6),"")</x:f>
        <x:v>0.3812739247952887</x:v>
      </x:c>
      <x:c r="C653" s="7" t="n">
        <x:f>IF(AND('요약'!$B$20,A653&lt;='요약'!$B$6),LARGE('계산'!$B$2:$B$2001,'요약'!$B$6-A653+1),"")</x:f>
        <x:v>0.0037265233178225728</x:v>
      </x:c>
      <x:c r="D653" s="7" t="n">
        <x:f>IF(ISNUMBER(B653),'요약'!$B$7+'요약'!$B$13*B653,"")</x:f>
        <x:v>0.0038063509020142662</x:v>
      </x:c>
    </x:row>
    <x:row r="654">
      <x:c r="A654" t="n">
        <x:f>650</x:f>
        <x:v>650</x:v>
      </x:c>
      <x:c r="B654" s="7" t="n">
        <x:f>IF(AND('요약'!$B$20,A654&lt;='요약'!$B$6),NORM.S.INV((A654-0.5)/'요약'!$B$6),"")</x:f>
        <x:v>0.3839709213082386</x:v>
      </x:c>
      <x:c r="C654" s="7" t="n">
        <x:f>IF(AND('요약'!$B$20,A654&lt;='요약'!$B$6),LARGE('계산'!$B$2:$B$2001,'요약'!$B$6-A654+1),"")</x:f>
        <x:v>0.0037393433277593093</x:v>
      </x:c>
      <x:c r="D654" s="7" t="n">
        <x:f>IF(ISNUMBER(B654),'요약'!$B$7+'요약'!$B$13*B654,"")</x:f>
        <x:v>0.0038336169061403483</x:v>
      </x:c>
    </x:row>
    <x:row r="655">
      <x:c r="A655" t="n">
        <x:f>651</x:f>
        <x:v>651</x:v>
      </x:c>
      <x:c r="B655" s="7" t="n">
        <x:f>IF(AND('요약'!$B$20,A655&lt;='요약'!$B$6),NORM.S.INV((A655-0.5)/'요약'!$B$6),"")</x:f>
        <x:v>0.3866707136457165</x:v>
      </x:c>
      <x:c r="C655" s="7" t="n">
        <x:f>IF(AND('요약'!$B$20,A655&lt;='요약'!$B$6),LARGE('계산'!$B$2:$B$2001,'요약'!$B$6-A655+1),"")</x:f>
        <x:v>0.0037556891285238205</x:v>
      </x:c>
      <x:c r="D655" s="7" t="n">
        <x:f>IF(ISNUMBER(B655),'요약'!$B$7+'요약'!$B$13*B655,"")</x:f>
        <x:v>0.00386091117539868</x:v>
      </x:c>
    </x:row>
    <x:row r="656">
      <x:c r="A656" t="n">
        <x:f>652</x:f>
        <x:v>652</x:v>
      </x:c>
      <x:c r="B656" s="7" t="n">
        <x:f>IF(AND('요약'!$B$20,A656&lt;='요약'!$B$6),NORM.S.INV((A656-0.5)/'요약'!$B$6),"")</x:f>
        <x:v>0.3893733273298021</x:v>
      </x:c>
      <x:c r="C656" s="7" t="n">
        <x:f>IF(AND('요약'!$B$20,A656&lt;='요약'!$B$6),LARGE('계산'!$B$2:$B$2001,'요약'!$B$6-A656+1),"")</x:f>
        <x:v>0.0037717852625008238</x:v>
      </x:c>
      <x:c r="D656" s="7" t="n">
        <x:f>IF(ISNUMBER(B656),'요약'!$B$7+'요약'!$B$13*B656,"")</x:f>
        <x:v>0.0038882339678115198</x:v>
      </x:c>
    </x:row>
    <x:row r="657">
      <x:c r="A657" t="n">
        <x:f>653</x:f>
        <x:v>653</x:v>
      </x:c>
      <x:c r="B657" s="7" t="n">
        <x:f>IF(AND('요약'!$B$20,A657&lt;='요약'!$B$6),NORM.S.INV((A657-0.5)/'요약'!$B$6),"")</x:f>
        <x:v>0.39207878804514923</x:v>
      </x:c>
      <x:c r="C657" s="7" t="n">
        <x:f>IF(AND('요약'!$B$20,A657&lt;='요약'!$B$6),LARGE('계산'!$B$2:$B$2001,'요약'!$B$6-A657+1),"")</x:f>
        <x:v>0.0038448867614146688</x:v>
      </x:c>
      <x:c r="D657" s="7" t="n">
        <x:f>IF(ISNUMBER(B657),'요약'!$B$7+'요약'!$B$13*B657,"")</x:f>
        <x:v>0.003915585543044712</x:v>
      </x:c>
    </x:row>
    <x:row r="658">
      <x:c r="A658" t="n">
        <x:f>654</x:f>
        <x:v>654</x:v>
      </x:c>
      <x:c r="B658" s="7" t="n">
        <x:f>IF(AND('요약'!$B$20,A658&lt;='요약'!$B$6),NORM.S.INV((A658-0.5)/'요약'!$B$6),"")</x:f>
        <x:v>0.39478712164106966</x:v>
      </x:c>
      <x:c r="C658" s="7" t="n">
        <x:f>IF(AND('요약'!$B$20,A658&lt;='요약'!$B$6),LARGE('계산'!$B$2:$B$2001,'요약'!$B$6-A658+1),"")</x:f>
        <x:v>0.0038779562491979944</x:v>
      </x:c>
      <x:c r="D658" s="7" t="n">
        <x:f>IF(ISNUMBER(B658),'요약'!$B$7+'요약'!$B$13*B658,"")</x:f>
        <x:v>0.003942966162428755</x:v>
      </x:c>
    </x:row>
    <x:row r="659">
      <x:c r="A659" t="n">
        <x:f>655</x:f>
        <x:v>655</x:v>
      </x:c>
      <x:c r="B659" s="7" t="n">
        <x:f>IF(AND('요약'!$B$20,A659&lt;='요약'!$B$6),NORM.S.INV((A659-0.5)/'요약'!$B$6),"")</x:f>
        <x:v>0.3974983541336469</x:v>
      </x:c>
      <x:c r="C659" s="7" t="n">
        <x:f>IF(AND('요약'!$B$20,A659&lt;='요약'!$B$6),LARGE('계산'!$B$2:$B$2001,'요약'!$B$6-A659+1),"")</x:f>
        <x:v>0.003920088768049141</x:v>
      </x:c>
      <x:c r="D659" s="7" t="n">
        <x:f>IF(ISNUMBER(B659),'요약'!$B$7+'요약'!$B$13*B659,"")</x:f>
        <x:v>0.00397037608898017</x:v>
      </x:c>
    </x:row>
    <x:row r="660">
      <x:c r="A660" t="n">
        <x:f>656</x:f>
        <x:v>656</x:v>
      </x:c>
      <x:c r="B660" s="7" t="n">
        <x:f>IF(AND('요약'!$B$20,A660&lt;='요약'!$B$6),NORM.S.INV((A660-0.5)/'요약'!$B$6),"")</x:f>
        <x:v>0.4002125117078792</x:v>
      </x:c>
      <x:c r="C660" s="7" t="n">
        <x:f>IF(AND('요약'!$B$20,A660&lt;='요약'!$B$6),LARGE('계산'!$B$2:$B$2001,'요약'!$B$6-A660+1),"")</x:f>
        <x:v>0.003929285858830593</x:v>
      </x:c>
      <x:c r="D660" s="7" t="n">
        <x:f>IF(ISNUMBER(B660),'요약'!$B$7+'요약'!$B$13*B660,"")</x:f>
        <x:v>0.003997815587423166</x:v>
      </x:c>
    </x:row>
    <x:row r="661">
      <x:c r="A661" t="n">
        <x:f>657</x:f>
        <x:v>657</x:v>
      </x:c>
      <x:c r="B661" s="7" t="n">
        <x:f>IF(AND('요약'!$B$20,A661&lt;='요약'!$B$6),NORM.S.INV((A661-0.5)/'요약'!$B$6),"")</x:f>
        <x:v>0.4029296207198474</x:v>
      </x:c>
      <x:c r="C661" s="7" t="n">
        <x:f>IF(AND('요약'!$B$20,A661&lt;='요약'!$B$6),LARGE('계산'!$B$2:$B$2001,'요약'!$B$6-A661+1),"")</x:f>
        <x:v>0.004029919023506228</x:v>
      </x:c>
      <x:c r="D661" s="7" t="n">
        <x:f>IF(ISNUMBER(B661),'요약'!$B$7+'요약'!$B$13*B661,"")</x:f>
        <x:v>0.004025284924211557</x:v>
      </x:c>
    </x:row>
    <x:row r="662">
      <x:c r="A662" t="n">
        <x:f>658</x:f>
        <x:v>658</x:v>
      </x:c>
      <x:c r="B662" s="7" t="n">
        <x:f>IF(AND('요약'!$B$20,A662&lt;='요약'!$B$6),NORM.S.INV((A662-0.5)/'요약'!$B$6),"")</x:f>
        <x:v>0.4056497076989143</x:v>
      </x:c>
      <x:c r="C662" s="7" t="n">
        <x:f>IF(AND('요약'!$B$20,A662&lt;='요약'!$B$6),LARGE('계산'!$B$2:$B$2001,'요약'!$B$6-A662+1),"")</x:f>
        <x:v>0.004040396508908695</x:v>
      </x:c>
      <x:c r="D662" s="7" t="n">
        <x:f>IF(ISNUMBER(B662),'요약'!$B$7+'요약'!$B$13*B662,"")</x:f>
        <x:v>0.004052784367550999</x:v>
      </x:c>
    </x:row>
    <x:row r="663">
      <x:c r="A663" t="n">
        <x:f>659</x:f>
        <x:v>659</x:v>
      </x:c>
      <x:c r="B663" s="7" t="n">
        <x:f>IF(AND('요약'!$B$20,A663&lt;='요약'!$B$6),NORM.S.INV((A663-0.5)/'요약'!$B$6),"")</x:f>
        <x:v>0.40837279934995346</x:v>
      </x:c>
      <x:c r="C663" s="7" t="n">
        <x:f>IF(AND('요약'!$B$20,A663&lt;='요약'!$B$6),LARGE('계산'!$B$2:$B$2001,'요약'!$B$6-A663+1),"")</x:f>
        <x:v>0.004043917112999335</x:v>
      </x:c>
      <x:c r="D663" s="7" t="n">
        <x:f>IF(ISNUMBER(B663),'요약'!$B$7+'요약'!$B$13*B663,"")</x:f>
        <x:v>0.00408031418742152</x:v>
      </x:c>
    </x:row>
    <x:row r="664">
      <x:c r="A664" t="n">
        <x:f>660</x:f>
        <x:v>660</x:v>
      </x:c>
      <x:c r="B664" s="7" t="n">
        <x:f>IF(AND('요약'!$B$20,A664&lt;='요약'!$B$6),NORM.S.INV((A664-0.5)/'요약'!$B$6),"")</x:f>
        <x:v>0.4110989225556044</x:v>
      </x:c>
      <x:c r="C664" s="7" t="n">
        <x:f>IF(AND('요약'!$B$20,A664&lt;='요약'!$B$6),LARGE('계산'!$B$2:$B$2001,'요약'!$B$6-A664+1),"")</x:f>
        <x:v>0.004063779876733525</x:v>
      </x:c>
      <x:c r="D664" s="7" t="n">
        <x:f>IF(ISNUMBER(B664),'요약'!$B$7+'요약'!$B$13*B664,"")</x:f>
        <x:v>0.004107874655600318</x:v>
      </x:c>
    </x:row>
    <x:row r="665">
      <x:c r="A665" t="n">
        <x:f>661</x:f>
        <x:v>661</x:v>
      </x:c>
      <x:c r="B665" s="7" t="n">
        <x:f>IF(AND('요약'!$B$20,A665&lt;='요약'!$B$6),NORM.S.INV((A665-0.5)/'요약'!$B$6),"")</x:f>
        <x:v>0.41382810437856166</x:v>
      </x:c>
      <x:c r="C665" s="7" t="n">
        <x:f>IF(AND('요약'!$B$20,A665&lt;='요약'!$B$6),LARGE('계산'!$B$2:$B$2001,'요약'!$B$6-A665+1),"")</x:f>
        <x:v>0.004112602668728459</x:v>
      </x:c>
      <x:c r="D665" s="7" t="n">
        <x:f>IF(ISNUMBER(B665),'요약'!$B$7+'요약'!$B$13*B665,"")</x:f>
        <x:v>0.004135466045684908</x:v>
      </x:c>
    </x:row>
    <x:row r="666">
      <x:c r="A666" t="n">
        <x:f>662</x:f>
        <x:v>662</x:v>
      </x:c>
      <x:c r="B666" s="7" t="n">
        <x:f>IF(AND('요약'!$B$20,A666&lt;='요약'!$B$6),NORM.S.INV((A666-0.5)/'요약'!$B$6),"")</x:f>
        <x:v>0.4165603720638952</x:v>
      </x:c>
      <x:c r="C666" s="7" t="n">
        <x:f>IF(AND('요약'!$B$20,A666&lt;='요약'!$B$6),LARGE('계산'!$B$2:$B$2001,'요약'!$B$6-A666+1),"")</x:f>
        <x:v>0.004155760573138742</x:v>
      </x:c>
      <x:c r="D666" s="7" t="n">
        <x:f>IF(ISNUMBER(B666),'요약'!$B$7+'요약'!$B$13*B666,"")</x:f>
        <x:v>0.004163088633116577</x:v>
      </x:c>
    </x:row>
    <x:row r="667">
      <x:c r="A667" t="n">
        <x:f>663</x:f>
        <x:v>663</x:v>
      </x:c>
      <x:c r="B667" s="7" t="n">
        <x:f>IF(AND('요약'!$B$20,A667&lt;='요약'!$B$6),NORM.S.INV((A667-0.5)/'요약'!$B$6),"")</x:f>
        <x:v>0.41929575304139566</x:v>
      </x:c>
      <x:c r="C667" s="7" t="n">
        <x:f>IF(AND('요약'!$B$20,A667&lt;='요약'!$B$6),LARGE('계산'!$B$2:$B$2001,'요약'!$B$6-A667+1),"")</x:f>
        <x:v>0.004157697329737352</x:v>
      </x:c>
      <x:c r="D667" s="7" t="n">
        <x:f>IF(ISNUMBER(B667),'요약'!$B$7+'요약'!$B$13*B667,"")</x:f>
        <x:v>0.004190742695204094</x:v>
      </x:c>
    </x:row>
    <x:row r="668">
      <x:c r="A668" t="n">
        <x:f>664</x:f>
        <x:v>664</x:v>
      </x:c>
      <x:c r="B668" s="7" t="n">
        <x:f>IF(AND('요약'!$B$20,A668&lt;='요약'!$B$6),NORM.S.INV((A668-0.5)/'요약'!$B$6),"")</x:f>
        <x:v>0.4220342749279632</x:v>
      </x:c>
      <x:c r="C668" s="7" t="n">
        <x:f>IF(AND('요약'!$B$20,A668&lt;='요약'!$B$6),LARGE('계산'!$B$2:$B$2001,'요약'!$B$6-A668+1),"")</x:f>
        <x:v>0.00417088347742785</x:v>
      </x:c>
      <x:c r="D668" s="7" t="n">
        <x:f>IF(ISNUMBER(B668),'요약'!$B$7+'요약'!$B$13*B668,"")</x:f>
        <x:v>0.0042184285111478625</x:v>
      </x:c>
    </x:row>
    <x:row r="669">
      <x:c r="A669" t="n">
        <x:f>665</x:f>
        <x:v>665</x:v>
      </x:c>
      <x:c r="B669" s="7" t="n">
        <x:f>IF(AND('요약'!$B$20,A669&lt;='요약'!$B$6),NORM.S.INV((A669-0.5)/'요약'!$B$6),"")</x:f>
        <x:v>0.4247759655300155</x:v>
      </x:c>
      <x:c r="C669" s="7" t="n">
        <x:f>IF(AND('요약'!$B$20,A669&lt;='요약'!$B$6),LARGE('계산'!$B$2:$B$2001,'요약'!$B$6-A669+1),"")</x:f>
        <x:v>0.004171770387810964</x:v>
      </x:c>
      <x:c r="D669" s="7" t="n">
        <x:f>IF(ISNUMBER(B669),'요약'!$B$7+'요약'!$B$13*B669,"")</x:f>
        <x:v>0.004246146362064263</x:v>
      </x:c>
    </x:row>
    <x:row r="670">
      <x:c r="A670" t="n">
        <x:f>666</x:f>
        <x:v>666</x:v>
      </x:c>
      <x:c r="B670" s="7" t="n">
        <x:f>IF(AND('요약'!$B$20,A670&lt;='요약'!$B$6),NORM.S.INV((A670-0.5)/'요약'!$B$6),"")</x:f>
        <x:v>0.4275208528459398</x:v>
      </x:c>
      <x:c r="C670" s="7" t="n">
        <x:f>IF(AND('요약'!$B$20,A670&lt;='요약'!$B$6),LARGE('계산'!$B$2:$B$2001,'요약'!$B$6-A670+1),"")</x:f>
        <x:v>0.004194648215058249</x:v>
      </x:c>
      <x:c r="D670" s="7" t="n">
        <x:f>IF(ISNUMBER(B670),'요약'!$B$7+'요약'!$B$13*B670,"")</x:f>
        <x:v>0.004273896531010445</x:v>
      </x:c>
    </x:row>
    <x:row r="671">
      <x:c r="A671" t="n">
        <x:f>667</x:f>
        <x:v>667</x:v>
      </x:c>
      <x:c r="B671" s="7" t="n">
        <x:f>IF(AND('요약'!$B$20,A671&lt;='요약'!$B$6),NORM.S.INV((A671-0.5)/'요약'!$B$6),"")</x:f>
        <x:v>0.43026896506857343</x:v>
      </x:c>
      <x:c r="C671" s="7" t="n">
        <x:f>IF(AND('요약'!$B$20,A671&lt;='요약'!$B$6),LARGE('계산'!$B$2:$B$2001,'요약'!$B$6-A671+1),"")</x:f>
        <x:v>0.004237886359939867</x:v>
      </x:c>
      <x:c r="D671" s="7" t="n">
        <x:f>IF(ISNUMBER(B671),'요약'!$B$7+'요약'!$B$13*B671,"")</x:f>
        <x:v>0.0043016793030094</x:v>
      </x:c>
    </x:row>
    <x:row r="672">
      <x:c r="A672" t="n">
        <x:f>668</x:f>
        <x:v>668</x:v>
      </x:c>
      <x:c r="B672" s="7" t="n">
        <x:f>IF(AND('요약'!$B$20,A672&lt;='요약'!$B$6),NORM.S.INV((A672-0.5)/'요약'!$B$6),"")</x:f>
        <x:v>0.43302033058771855</x:v>
      </x:c>
      <x:c r="C672" s="7" t="n">
        <x:f>IF(AND('요약'!$B$20,A672&lt;='요약'!$B$6),LARGE('계산'!$B$2:$B$2001,'요약'!$B$6-A672+1),"")</x:f>
        <x:v>0.00423986732356877</x:v>
      </x:c>
      <x:c r="D672" s="7" t="n">
        <x:f>IF(ISNUMBER(B672),'요약'!$B$7+'요약'!$B$13*B672,"")</x:f>
        <x:v>0.00432949496507539</x:v>
      </x:c>
    </x:row>
    <x:row r="673">
      <x:c r="A673" t="n">
        <x:f>669</x:f>
        <x:v>669</x:v>
      </x:c>
      <x:c r="B673" s="7" t="n">
        <x:f>IF(AND('요약'!$B$20,A673&lt;='요약'!$B$6),NORM.S.INV((A673-0.5)/'요약'!$B$6),"")</x:f>
        <x:v>0.4357749779926944</x:v>
      </x:c>
      <x:c r="C673" s="7" t="n">
        <x:f>IF(AND('요약'!$B$20,A673&lt;='요약'!$B$6),LARGE('계산'!$B$2:$B$2001,'요약'!$B$6-A673+1),"")</x:f>
        <x:v>0.0042757451381133585</x:v>
      </x:c>
      <x:c r="D673" s="7" t="n">
        <x:f>IF(ISNUMBER(B673),'요약'!$B$7+'요약'!$B$13*B673,"")</x:f>
        <x:v>0.004357343806239749</x:v>
      </x:c>
    </x:row>
    <x:row r="674">
      <x:c r="A674" t="n">
        <x:f>670</x:f>
        <x:v>670</x:v>
      </x:c>
      <x:c r="B674" s="7" t="n">
        <x:f>IF(AND('요약'!$B$20,A674&lt;='요약'!$B$6),NORM.S.INV((A674-0.5)/'요약'!$B$6),"")</x:f>
        <x:v>0.43853293607492344</x:v>
      </x:c>
      <x:c r="C674" s="7" t="n">
        <x:f>IF(AND('요약'!$B$20,A674&lt;='요약'!$B$6),LARGE('계산'!$B$2:$B$2001,'요약'!$B$6-A674+1),"")</x:f>
        <x:v>0.0042826193851645015</x:v>
      </x:c>
      <x:c r="D674" s="7" t="n">
        <x:f>IF(ISNUMBER(B674),'요약'!$B$7+'요약'!$B$13*B674,"")</x:f>
        <x:v>0.004385226117577025</x:v>
      </x:c>
    </x:row>
    <x:row r="675">
      <x:c r="A675" t="n">
        <x:f>671</x:f>
        <x:v>671</x:v>
      </x:c>
      <x:c r="B675" s="7" t="n">
        <x:f>IF(AND('요약'!$B$20,A675&lt;='요약'!$B$6),NORM.S.INV((A675-0.5)/'요약'!$B$6),"")</x:f>
        <x:v>0.4412942338305523</x:v>
      </x:c>
      <x:c r="C675" s="7" t="n">
        <x:f>IF(AND('요약'!$B$20,A675&lt;='요약'!$B$6),LARGE('계산'!$B$2:$B$2001,'요약'!$B$6-A675+1),"")</x:f>
        <x:v>0.004317255105149116</x:v>
      </x:c>
      <x:c r="D675" s="7" t="n">
        <x:f>IF(ISNUMBER(B675),'요약'!$B$7+'요약'!$B$13*B675,"")</x:f>
        <x:v>0.004413142192231482</x:v>
      </x:c>
    </x:row>
    <x:row r="676">
      <x:c r="A676" t="n">
        <x:f>672</x:f>
        <x:v>672</x:v>
      </x:c>
      <x:c r="B676" s="7" t="n">
        <x:f>IF(AND('요약'!$B$20,A676&lt;='요약'!$B$6),NORM.S.INV((A676-0.5)/'요약'!$B$6),"")</x:f>
        <x:v>0.4440589004631145</x:v>
      </x:c>
      <x:c r="C676" s="7" t="n">
        <x:f>IF(AND('요약'!$B$20,A676&lt;='요약'!$B$6),LARGE('계산'!$B$2:$B$2001,'요약'!$B$6-A676+1),"")</x:f>
        <x:v>0.0043494944136132615</x:v>
      </x:c>
      <x:c r="D676" s="7" t="n">
        <x:f>IF(ISNUMBER(B676),'요약'!$B$7+'요약'!$B$13*B676,"")</x:f>
        <x:v>0.004441092325444013</x:v>
      </x:c>
    </x:row>
    <x:row r="677">
      <x:c r="A677" t="n">
        <x:f>673</x:f>
        <x:v>673</x:v>
      </x:c>
      <x:c r="B677" s="7" t="n">
        <x:f>IF(AND('요약'!$B$20,A677&lt;='요약'!$B$6),NORM.S.INV((A677-0.5)/'요약'!$B$6),"")</x:f>
        <x:v>0.4468269653862262</x:v>
      </x:c>
      <x:c r="C677" s="7" t="n">
        <x:f>IF(AND('요약'!$B$20,A677&lt;='요약'!$B$6),LARGE('계산'!$B$2:$B$2001,'요약'!$B$6-A677+1),"")</x:f>
        <x:v>0.004350703591679812</x:v>
      </x:c>
      <x:c r="D677" s="7" t="n">
        <x:f>IF(ISNUMBER(B677),'요약'!$B$7+'요약'!$B$13*B677,"")</x:f>
        <x:v>0.0044690768145794</x:v>
      </x:c>
    </x:row>
    <x:row r="678">
      <x:c r="A678" t="n">
        <x:f>674</x:f>
        <x:v>674</x:v>
      </x:c>
      <x:c r="B678" s="7" t="n">
        <x:f>IF(AND('요약'!$B$20,A678&lt;='요약'!$B$6),NORM.S.INV((A678-0.5)/'요약'!$B$6),"")</x:f>
        <x:v>0.44959845822631994</x:v>
      </x:c>
      <x:c r="C678" s="7" t="n">
        <x:f>IF(AND('요약'!$B$20,A678&lt;='요약'!$B$6),LARGE('계산'!$B$2:$B$2001,'요약'!$B$6-A678+1),"")</x:f>
        <x:v>0.004391011372287299</x:v>
      </x:c>
      <x:c r="D678" s="7" t="n">
        <x:f>IF(ISNUMBER(B678),'요약'!$B$7+'요약'!$B$13*B678,"")</x:f>
        <x:v>0.004497095959153951</x:v>
      </x:c>
    </x:row>
    <x:row r="679">
      <x:c r="A679" t="n">
        <x:f>675</x:f>
        <x:v>675</x:v>
      </x:c>
      <x:c r="B679" s="7" t="n">
        <x:f>IF(AND('요약'!$B$20,A679&lt;='요약'!$B$6),NORM.S.INV((A679-0.5)/'요약'!$B$6),"")</x:f>
        <x:v>0.45237340882542326</x:v>
      </x:c>
      <x:c r="C679" s="7" t="n">
        <x:f>IF(AND('요약'!$B$20,A679&lt;='요약'!$B$6),LARGE('계산'!$B$2:$B$2001,'요약'!$B$6-A679+1),"")</x:f>
        <x:v>0.00439898320413854</x:v>
      </x:c>
      <x:c r="D679" s="7" t="n">
        <x:f>IF(ISNUMBER(B679),'요약'!$B$7+'요약'!$B$13*B679,"")</x:f>
        <x:v>0.004525150060863585</x:v>
      </x:c>
    </x:row>
    <x:row r="680">
      <x:c r="A680" t="n">
        <x:f>676</x:f>
        <x:v>676</x:v>
      </x:c>
      <x:c r="B680" s="7" t="n">
        <x:f>IF(AND('요약'!$B$20,A680&lt;='요약'!$B$6),NORM.S.INV((A680-0.5)/'요약'!$B$6),"")</x:f>
        <x:v>0.45515184724396907</x:v>
      </x:c>
      <x:c r="C680" s="7" t="n">
        <x:f>IF(AND('요약'!$B$20,A680&lt;='요약'!$B$6),LARGE('계산'!$B$2:$B$2001,'요약'!$B$6-A680+1),"")</x:f>
        <x:v>0.004547282543559989</x:v>
      </x:c>
      <x:c r="D680" s="7" t="n">
        <x:f>IF(ISNUMBER(B680),'요약'!$B$7+'요약'!$B$13*B680,"")</x:f>
        <x:v>0.00455323942361225</x:v>
      </x:c>
    </x:row>
    <x:row r="681">
      <x:c r="A681" t="n">
        <x:f>677</x:f>
        <x:v>677</x:v>
      </x:c>
      <x:c r="B681" s="7" t="n">
        <x:f>IF(AND('요약'!$B$20,A681&lt;='요약'!$B$6),NORM.S.INV((A681-0.5)/'요약'!$B$6),"")</x:f>
        <x:v>0.4579338037636524</x:v>
      </x:c>
      <x:c r="C681" s="7" t="n">
        <x:f>IF(AND('요약'!$B$20,A681&lt;='요약'!$B$6),LARGE('계산'!$B$2:$B$2001,'요약'!$B$6-A681+1),"")</x:f>
        <x:v>0.004585314326342302</x:v>
      </x:c>
      <x:c r="D681" s="7" t="n">
        <x:f>IF(ISNUMBER(B681),'요약'!$B$7+'요약'!$B$13*B681,"")</x:f>
        <x:v>0.004581364353540803</x:v>
      </x:c>
    </x:row>
    <x:row r="682">
      <x:c r="A682" t="n">
        <x:f>678</x:f>
        <x:v>678</x:v>
      </x:c>
      <x:c r="B682" s="7" t="n">
        <x:f>IF(AND('요약'!$B$20,A682&lt;='요약'!$B$6),NORM.S.INV((A682-0.5)/'요약'!$B$6),"")</x:f>
        <x:v>0.4607193088903254</x:v>
      </x:c>
      <x:c r="C682" s="7" t="n">
        <x:f>IF(AND('요약'!$B$20,A682&lt;='요약'!$B$6),LARGE('계산'!$B$2:$B$2001,'요약'!$B$6-A682+1),"")</x:f>
        <x:v>0.00459089061105829</x:v>
      </x:c>
      <x:c r="D682" s="7" t="n">
        <x:f>IF(ISNUMBER(B682),'요약'!$B$7+'요약'!$B$13*B682,"")</x:f>
        <x:v>0.004609525159056275</x:v>
      </x:c>
    </x:row>
    <x:row r="683">
      <x:c r="A683" t="n">
        <x:f>679</x:f>
        <x:v>679</x:v>
      </x:c>
      <x:c r="B683" s="7" t="n">
        <x:f>IF(AND('요약'!$B$20,A683&lt;='요약'!$B$6),NORM.S.INV((A683-0.5)/'요약'!$B$6),"")</x:f>
        <x:v>0.46350839335693683</x:v>
      </x:c>
      <x:c r="C683" s="7" t="n">
        <x:f>IF(AND('요약'!$B$20,A683&lt;='요약'!$B$6),LARGE('계산'!$B$2:$B$2001,'요약'!$B$6-A683+1),"")</x:f>
        <x:v>0.004630005696511368</x:v>
      </x:c>
      <x:c r="D683" s="7" t="n">
        <x:f>IF(ISNUMBER(B683),'요약'!$B$7+'요약'!$B$13*B683,"")</x:f>
        <x:v>0.004637722150861592</x:v>
      </x:c>
    </x:row>
    <x:row r="684">
      <x:c r="A684" t="n">
        <x:f>680</x:f>
        <x:v>680</x:v>
      </x:c>
      <x:c r="B684" s="7" t="n">
        <x:f>IF(AND('요약'!$B$20,A684&lt;='요약'!$B$6),NORM.S.INV((A684-0.5)/'요약'!$B$6),"")</x:f>
        <x:v>0.4663010881265105</x:v>
      </x:c>
      <x:c r="C684" s="7" t="n">
        <x:f>IF(AND('요약'!$B$20,A684&lt;='요약'!$B$6),LARGE('계산'!$B$2:$B$2001,'요약'!$B$6-A684+1),"")</x:f>
        <x:v>0.004631916040565164</x:v>
      </x:c>
      <x:c r="D684" s="7" t="n">
        <x:f>IF(ISNUMBER(B684),'요약'!$B$7+'요약'!$B$13*B684,"")</x:f>
        <x:v>0.004665955641985685</x:v>
      </x:c>
    </x:row>
    <x:row r="685">
      <x:c r="A685" t="n">
        <x:f>681</x:f>
        <x:v>681</x:v>
      </x:c>
      <x:c r="B685" s="7" t="n">
        <x:f>IF(AND('요약'!$B$20,A685&lt;='요약'!$B$6),NORM.S.INV((A685-0.5)/'요약'!$B$6),"")</x:f>
        <x:v>0.4690974243951715</x:v>
      </x:c>
      <x:c r="C685" s="7" t="n">
        <x:f>IF(AND('요약'!$B$20,A685&lt;='요약'!$B$6),LARGE('계산'!$B$2:$B$2001,'요약'!$B$6-A685+1),"")</x:f>
        <x:v>0.004633945952516274</x:v>
      </x:c>
      <x:c r="D685" s="7" t="n">
        <x:f>IF(ISNUMBER(B685),'요약'!$B$7+'요약'!$B$13*B685,"")</x:f>
        <x:v>0.004694225947814086</x:v>
      </x:c>
    </x:row>
    <x:row r="686">
      <x:c r="A686" t="n">
        <x:f>682</x:f>
        <x:v>682</x:v>
      </x:c>
      <x:c r="B686" s="7" t="n">
        <x:f>IF(AND('요약'!$B$20,A686&lt;='요약'!$B$6),NORM.S.INV((A686-0.5)/'요약'!$B$6),"")</x:f>
        <x:v>0.4718974335952136</x:v>
      </x:c>
      <x:c r="C686" s="7" t="n">
        <x:f>IF(AND('요약'!$B$20,A686&lt;='요약'!$B$6),LARGE('계산'!$B$2:$B$2001,'요약'!$B$6-A686+1),"")</x:f>
        <x:v>0.004677897345563525</x:v>
      </x:c>
      <x:c r="D686" s="7" t="n">
        <x:f>IF(ISNUMBER(B686),'요약'!$B$7+'요약'!$B$13*B686,"")</x:f>
        <x:v>0.004722533386119933</x:v>
      </x:c>
    </x:row>
    <x:row r="687">
      <x:c r="A687" t="n">
        <x:f>683</x:f>
        <x:v>683</x:v>
      </x:c>
      <x:c r="B687" s="7" t="n">
        <x:f>IF(AND('요약'!$B$20,A687&lt;='요약'!$B$6),NORM.S.INV((A687-0.5)/'요약'!$B$6),"")</x:f>
        <x:v>0.474701147398213</x:v>
      </x:c>
      <x:c r="C687" s="7" t="n">
        <x:f>IF(AND('요약'!$B$20,A687&lt;='요약'!$B$6),LARGE('계산'!$B$2:$B$2001,'요약'!$B$6-A687+1),"")</x:f>
        <x:v>0.004689784557342574</x:v>
      </x:c>
      <x:c r="D687" s="7" t="n">
        <x:f>IF(ISNUMBER(B687),'요약'!$B$7+'요약'!$B$13*B687,"")</x:f>
        <x:v>0.004750878277095458</x:v>
      </x:c>
    </x:row>
    <x:row r="688">
      <x:c r="A688" t="n">
        <x:f>684</x:f>
        <x:v>684</x:v>
      </x:c>
      <x:c r="B688" s="7" t="n">
        <x:f>IF(AND('요약'!$B$20,A688&lt;='요약'!$B$6),NORM.S.INV((A688-0.5)/'요약'!$B$6),"")</x:f>
        <x:v>0.47750859771818926</x:v>
      </x:c>
      <x:c r="C688" s="7" t="n">
        <x:f>IF(AND('요약'!$B$20,A688&lt;='요약'!$B$6),LARGE('계산'!$B$2:$B$2001,'요약'!$B$6-A688+1),"")</x:f>
        <x:v>0.004730501716643477</x:v>
      </x:c>
      <x:c r="D688" s="7" t="n">
        <x:f>IF(ISNUMBER(B688),'요약'!$B$7+'요약'!$B$13*B688,"")</x:f>
        <x:v>0.004779260943383934</x:v>
      </x:c>
    </x:row>
    <x:row r="689">
      <x:c r="A689" t="n">
        <x:f>685</x:f>
        <x:v>685</x:v>
      </x:c>
      <x:c r="B689" s="7" t="n">
        <x:f>IF(AND('요약'!$B$20,A689&lt;='요약'!$B$6),NORM.S.INV((A689-0.5)/'요약'!$B$6),"")</x:f>
        <x:v>0.4803198167148111</x:v>
      </x:c>
      <x:c r="C689" s="7" t="n">
        <x:f>IF(AND('요약'!$B$20,A689&lt;='요약'!$B$6),LARGE('계산'!$B$2:$B$2001,'요약'!$B$6-A689+1),"")</x:f>
        <x:v>0.0047375441495819196</x:v>
      </x:c>
      <x:c r="D689" s="7" t="n">
        <x:f>IF(ISNUMBER(B689),'요약'!$B$7+'요약'!$B$13*B689,"")</x:f>
        <x:v>0.004807681710112094</x:v>
      </x:c>
    </x:row>
    <x:row r="690">
      <x:c r="A690" t="n">
        <x:f>686</x:f>
        <x:v>686</x:v>
      </x:c>
      <x:c r="B690" s="7" t="n">
        <x:f>IF(AND('요약'!$B$20,A690&lt;='요약'!$B$6),NORM.S.INV((A690-0.5)/'요약'!$B$6),"")</x:f>
        <x:v>0.4831348367966513</x:v>
      </x:c>
      <x:c r="C690" s="7" t="n">
        <x:f>IF(AND('요약'!$B$20,A690&lt;='요약'!$B$6),LARGE('계산'!$B$2:$B$2001,'요약'!$B$6-A690+1),"")</x:f>
        <x:v>0.0047946772647251825</x:v>
      </x:c>
      <x:c r="D690" s="7" t="n">
        <x:f>IF(ISNUMBER(B690),'요약'!$B$7+'요약'!$B$13*B690,"")</x:f>
        <x:v>0.004836140904923031</x:v>
      </x:c>
    </x:row>
    <x:row r="691">
      <x:c r="A691" t="n">
        <x:f>687</x:f>
        <x:v>687</x:v>
      </x:c>
      <x:c r="B691" s="7" t="n">
        <x:f>IF(AND('요약'!$B$20,A691&lt;='요약'!$B$6),NORM.S.INV((A691-0.5)/'요약'!$B$6),"")</x:f>
        <x:v>0.4859536906244903</x:v>
      </x:c>
      <x:c r="C691" s="7" t="n">
        <x:f>IF(AND('요약'!$B$20,A691&lt;='요약'!$B$6),LARGE('계산'!$B$2:$B$2001,'요약'!$B$6-A691+1),"")</x:f>
        <x:v>0.0048636548477796</x:v>
      </x:c>
      <x:c r="D691" s="7" t="n">
        <x:f>IF(ISNUMBER(B691),'요약'!$B$7+'요약'!$B$13*B691,"")</x:f>
        <x:v>0.0048646388580095975</x:v>
      </x:c>
    </x:row>
    <x:row r="692">
      <x:c r="A692" t="n">
        <x:f>688</x:f>
        <x:v>688</x:v>
      </x:c>
      <x:c r="B692" s="7" t="n">
        <x:f>IF(AND('요약'!$B$20,A692&lt;='요약'!$B$6),NORM.S.INV((A692-0.5)/'요약'!$B$6),"")</x:f>
        <x:v>0.48877641111466946</x:v>
      </x:c>
      <x:c r="C692" s="7" t="n">
        <x:f>IF(AND('요약'!$B$20,A692&lt;='요약'!$B$6),LARGE('계산'!$B$2:$B$2001,'요약'!$B$6-A692+1),"")</x:f>
        <x:v>0.004888993850659733</x:v>
      </x:c>
      <x:c r="D692" s="7" t="n">
        <x:f>IF(ISNUMBER(B692),'요약'!$B$7+'요약'!$B$13*B692,"")</x:f>
        <x:v>0.004893175902148308</x:v>
      </x:c>
    </x:row>
    <x:row r="693">
      <x:c r="A693" t="n">
        <x:f>689</x:f>
        <x:v>689</x:v>
      </x:c>
      <x:c r="B693" s="7" t="n">
        <x:f>IF(AND('요약'!$B$20,A693&lt;='요약'!$B$6),NORM.S.INV((A693-0.5)/'요약'!$B$6),"")</x:f>
        <x:v>0.49160303144249373</x:v>
      </x:c>
      <x:c r="C693" s="7" t="n">
        <x:f>IF(AND('요약'!$B$20,A693&lt;='요약'!$B$6),LARGE('계산'!$B$2:$B$2001,'요약'!$B$6-A693+1),"")</x:f>
        <x:v>0.004895284392986177</x:v>
      </x:c>
      <x:c r="D693" s="7" t="n">
        <x:f>IF(ISNUMBER(B693),'요약'!$B$7+'요약'!$B$13*B693,"")</x:f>
        <x:v>0.004921752372733739</x:v>
      </x:c>
    </x:row>
    <x:row r="694">
      <x:c r="A694" t="n">
        <x:f>690</x:f>
        <x:v>690</x:v>
      </x:c>
      <x:c r="B694" s="7" t="n">
        <x:f>IF(AND('요약'!$B$20,A694&lt;='요약'!$B$6),NORM.S.INV((A694-0.5)/'요약'!$B$6),"")</x:f>
        <x:v>0.49443358504568696</x:v>
      </x:c>
      <x:c r="C694" s="7" t="n">
        <x:f>IF(AND('요약'!$B$20,A694&lt;='요약'!$B$6),LARGE('계산'!$B$2:$B$2001,'요약'!$B$6-A694+1),"")</x:f>
        <x:v>0.004923533066934603</x:v>
      </x:c>
      <x:c r="D694" s="7" t="n">
        <x:f>IF(ISNUMBER(B694),'요약'!$B$7+'요약'!$B$13*B694,"")</x:f>
        <x:v>0.00495036860781346</x:v>
      </x:c>
    </x:row>
    <x:row r="695">
      <x:c r="A695" t="n">
        <x:f>691</x:f>
        <x:v>691</x:v>
      </x:c>
      <x:c r="B695" s="7" t="n">
        <x:f>IF(AND('요약'!$B$20,A695&lt;='요약'!$B$6),NORM.S.INV((A695-0.5)/'요약'!$B$6),"")</x:f>
        <x:v>0.4972681056279013</x:v>
      </x:c>
      <x:c r="C695" s="7" t="n">
        <x:f>IF(AND('요약'!$B$20,A695&lt;='요약'!$B$6),LARGE('계산'!$B$2:$B$2001,'요약'!$B$6-A695+1),"")</x:f>
        <x:v>0.004932457621869365</x:v>
      </x:c>
      <x:c r="D695" s="7" t="n">
        <x:f>IF(ISNUMBER(B695),'요약'!$B$7+'요약'!$B$13*B695,"")</x:f>
        <x:v>0.004979024948123514</x:v>
      </x:c>
    </x:row>
    <x:row r="696">
      <x:c r="A696" t="n">
        <x:f>692</x:f>
        <x:v>692</x:v>
      </x:c>
      <x:c r="B696" s="7" t="n">
        <x:f>IF(AND('요약'!$B$20,A696&lt;='요약'!$B$6),NORM.S.INV((A696-0.5)/'요약'!$B$6),"")</x:f>
        <x:v>0.5001066271622766</x:v>
      </x:c>
      <x:c r="C696" s="7" t="n">
        <x:f>IF(AND('요약'!$B$20,A696&lt;='요약'!$B$6),LARGE('계산'!$B$2:$B$2001,'요약'!$B$6-A696+1),"")</x:f>
        <x:v>0.004945700087134777</x:v>
      </x:c>
      <x:c r="D696" s="7" t="n">
        <x:f>IF(ISNUMBER(B696),'요약'!$B$7+'요약'!$B$13*B696,"")</x:f>
        <x:v>0.0050077217371244</x:v>
      </x:c>
    </x:row>
    <x:row r="697">
      <x:c r="A697" t="n">
        <x:f>693</x:f>
        <x:v>693</x:v>
      </x:c>
      <x:c r="B697" s="7" t="n">
        <x:f>IF(AND('요약'!$B$20,A697&lt;='요약'!$B$6),NORM.S.INV((A697-0.5)/'요약'!$B$6),"")</x:f>
        <x:v>0.5029491838950578</x:v>
      </x:c>
      <x:c r="C697" s="7" t="n">
        <x:f>IF(AND('요약'!$B$20,A697&lt;='요약'!$B$6),LARGE('계산'!$B$2:$B$2001,'요약'!$B$6-A697+1),"")</x:f>
        <x:v>0.004960925402172275</x:v>
      </x:c>
      <x:c r="D697" s="7" t="n">
        <x:f>IF(ISNUMBER(B697),'요약'!$B$7+'요약'!$B$13*B697,"")</x:f>
        <x:v>0.005036459321037648</x:v>
      </x:c>
    </x:row>
    <x:row r="698">
      <x:c r="A698" t="n">
        <x:f>694</x:f>
        <x:v>694</x:v>
      </x:c>
      <x:c r="B698" s="7" t="n">
        <x:f>IF(AND('요약'!$B$20,A698&lt;='요약'!$B$6),NORM.S.INV((A698-0.5)/'요약'!$B$6),"")</x:f>
        <x:v>0.5057958103492657</x:v>
      </x:c>
      <x:c r="C698" s="7" t="n">
        <x:f>IF(AND('요약'!$B$20,A698&lt;='요약'!$B$6),LARGE('계산'!$B$2:$B$2001,'요약'!$B$6-A698+1),"")</x:f>
        <x:v>0.00507331786683959</x:v>
      </x:c>
      <x:c r="D698" s="7" t="n">
        <x:f>IF(ISNUMBER(B698),'요약'!$B$7+'요약'!$B$13*B698,"")</x:f>
        <x:v>0.005065238048882924</x:v>
      </x:c>
    </x:row>
    <x:row r="699">
      <x:c r="A699" t="n">
        <x:f>695</x:f>
        <x:v>695</x:v>
      </x:c>
      <x:c r="B699" s="7" t="n">
        <x:f>IF(AND('요약'!$B$20,A699&lt;='요약'!$B$6),NORM.S.INV((A699-0.5)/'요약'!$B$6),"")</x:f>
        <x:v>0.5086465413284255</x:v>
      </x:c>
      <x:c r="C699" s="7" t="n">
        <x:f>IF(AND('요약'!$B$20,A699&lt;='요약'!$B$6),LARGE('계산'!$B$2:$B$2001,'요약'!$B$6-A699+1),"")</x:f>
        <x:v>0.005088016111015043</x:v>
      </x:c>
      <x:c r="D699" s="7" t="n">
        <x:f>IF(ISNUMBER(B699),'요약'!$B$7+'요약'!$B$13*B699,"")</x:f>
        <x:v>0.0050940582725157325</x:v>
      </x:c>
    </x:row>
    <x:row r="700">
      <x:c r="A700" t="n">
        <x:f>696</x:f>
        <x:v>696</x:v>
      </x:c>
      <x:c r="B700" s="7" t="n">
        <x:f>IF(AND('요약'!$B$20,A700&lt;='요약'!$B$6),NORM.S.INV((A700-0.5)/'요약'!$B$6),"")</x:f>
        <x:v>0.5115014119203533</x:v>
      </x:c>
      <x:c r="C700" s="7" t="n">
        <x:f>IF(AND('요약'!$B$20,A700&lt;='요약'!$B$6),LARGE('계산'!$B$2:$B$2001,'요약'!$B$6-A700+1),"")</x:f>
        <x:v>0.005120945069663045</x:v>
      </x:c>
      <x:c r="D700" s="7" t="n">
        <x:f>IF(ISNUMBER(B700),'요약'!$B$7+'요약'!$B$13*B700,"")</x:f>
        <x:v>0.005122920346665689</x:v>
      </x:c>
    </x:row>
    <x:row r="701">
      <x:c r="A701" t="n">
        <x:f>697</x:f>
        <x:v>697</x:v>
      </x:c>
      <x:c r="B701" s="7" t="n">
        <x:f>IF(AND('요약'!$B$20,A701&lt;='요약'!$B$6),NORM.S.INV((A701-0.5)/'요약'!$B$6),"")</x:f>
        <x:v>0.5143604575010011</x:v>
      </x:c>
      <x:c r="C701" s="7" t="n">
        <x:f>IF(AND('요약'!$B$20,A701&lt;='요약'!$B$6),LARGE('계산'!$B$2:$B$2001,'요약'!$B$6-A701+1),"")</x:f>
        <x:v>0.005190841763627927</x:v>
      </x:c>
      <x:c r="D701" s="7" t="n">
        <x:f>IF(ISNUMBER(B701),'요약'!$B$7+'요약'!$B$13*B701,"")</x:f>
        <x:v>0.005151824628975396</x:v>
      </x:c>
    </x:row>
    <x:row r="702">
      <x:c r="A702" t="n">
        <x:f>698</x:f>
        <x:v>698</x:v>
      </x:c>
      <x:c r="B702" s="7" t="n">
        <x:f>IF(AND('요약'!$B$20,A702&lt;='요약'!$B$6),NORM.S.INV((A702-0.5)/'요약'!$B$6),"")</x:f>
        <x:v>0.5172237137383638</x:v>
      </x:c>
      <x:c r="C702" s="7" t="n">
        <x:f>IF(AND('요약'!$B$20,A702&lt;='요약'!$B$6),LARGE('계산'!$B$2:$B$2001,'요약'!$B$6-A702+1),"")</x:f>
        <x:v>0.005242820707064666</x:v>
      </x:c>
      <x:c r="D702" s="7" t="n">
        <x:f>IF(ISNUMBER(B702),'요약'!$B$7+'요약'!$B$13*B702,"")</x:f>
        <x:v>0.0051807714800399425</x:v>
      </x:c>
    </x:row>
    <x:row r="703">
      <x:c r="A703" t="n">
        <x:f>699</x:f>
        <x:v>699</x:v>
      </x:c>
      <x:c r="B703" s="7" t="n">
        <x:f>IF(AND('요약'!$B$20,A703&lt;='요약'!$B$6),NORM.S.INV((A703-0.5)/'요약'!$B$6),"")</x:f>
        <x:v>0.520091216596443</x:v>
      </x:c>
      <x:c r="C703" s="7" t="n">
        <x:f>IF(AND('요약'!$B$20,A703&lt;='요약'!$B$6),LARGE('계산'!$B$2:$B$2001,'요약'!$B$6-A703+1),"")</x:f>
        <x:v>0.00527495180623701</x:v>
      </x:c>
      <x:c r="D703" s="7" t="n">
        <x:f>IF(ISNUMBER(B703),'요약'!$B$7+'요약'!$B$13*B703,"")</x:f>
        <x:v>0.005209761263446974</x:v>
      </x:c>
    </x:row>
    <x:row r="704">
      <x:c r="A704" t="n">
        <x:f>700</x:f>
        <x:v>700</x:v>
      </x:c>
      <x:c r="B704" s="7" t="n">
        <x:f>IF(AND('요약'!$B$20,A704&lt;='요약'!$B$6),NORM.S.INV((A704-0.5)/'요약'!$B$6),"")</x:f>
        <x:v>0.5229630023392792</x:v>
      </x:c>
      <x:c r="C704" s="7" t="n">
        <x:f>IF(AND('요약'!$B$20,A704&lt;='요약'!$B$6),LARGE('계산'!$B$2:$B$2001,'요약'!$B$6-A704+1),"")</x:f>
        <x:v>0.005300987672956288</x:v>
      </x:c>
      <x:c r="D704" s="7" t="n">
        <x:f>IF(ISNUMBER(B704),'요약'!$B$7+'요약'!$B$13*B704,"")</x:f>
        <x:v>0.005238794345817462</x:v>
      </x:c>
    </x:row>
    <x:row r="705">
      <x:c r="A705" t="n">
        <x:f>701</x:f>
        <x:v>701</x:v>
      </x:c>
      <x:c r="B705" s="7" t="n">
        <x:f>IF(AND('요약'!$B$20,A705&lt;='요약'!$B$6),NORM.S.INV((A705-0.5)/'요약'!$B$6),"")</x:f>
        <x:v>0.5258391075350427</x:v>
      </x:c>
      <x:c r="C705" s="7" t="n">
        <x:f>IF(AND('요약'!$B$20,A705&lt;='요약'!$B$6),LARGE('계산'!$B$2:$B$2001,'요약'!$B$6-A705+1),"")</x:f>
        <x:v>0.005373755891005109</x:v>
      </x:c>
      <x:c r="D705" s="7" t="n">
        <x:f>IF(ISNUMBER(B705),'요약'!$B$7+'요약'!$B$13*B705,"")</x:f>
        <x:v>0.0052678710968470585</x:v>
      </x:c>
    </x:row>
    <x:row r="706">
      <x:c r="A706" t="n">
        <x:f>702</x:f>
        <x:v>702</x:v>
      </x:c>
      <x:c r="B706" s="7" t="n">
        <x:f>IF(AND('요약'!$B$20,A706&lt;='요약'!$B$6),NORM.S.INV((A706-0.5)/'요약'!$B$6),"")</x:f>
        <x:v>0.5287195690601938</x:v>
      </x:c>
      <x:c r="C706" s="7" t="n">
        <x:f>IF(AND('요약'!$B$20,A706&lt;='요약'!$B$6),LARGE('계산'!$B$2:$B$2001,'요약'!$B$6-A706+1),"")</x:f>
        <x:v>0.005398778551469934</x:v>
      </x:c>
      <x:c r="D706" s="7" t="n">
        <x:f>IF(ISNUMBER(B706),'요약'!$B$7+'요약'!$B$13*B706,"")</x:f>
        <x:v>0.005296991889348153</x:v>
      </x:c>
    </x:row>
    <x:row r="707">
      <x:c r="A707" t="n">
        <x:f>703</x:f>
        <x:v>703</x:v>
      </x:c>
      <x:c r="B707" s="7" t="n">
        <x:f>IF(AND('요약'!$B$20,A707&lt;='요약'!$B$6),NORM.S.INV((A707-0.5)/'요약'!$B$6),"")</x:f>
        <x:v>0.5316044241037056</x:v>
      </x:c>
      <x:c r="C707" s="7" t="n">
        <x:f>IF(AND('요약'!$B$20,A707&lt;='요약'!$B$6),LARGE('계산'!$B$2:$B$2001,'요약'!$B$6-A707+1),"")</x:f>
        <x:v>0.005406505362409038</x:v>
      </x:c>
      <x:c r="D707" s="7" t="n">
        <x:f>IF(ISNUMBER(B707),'요약'!$B$7+'요약'!$B$13*B707,"")</x:f>
        <x:v>0.005326157099292569</x:v>
      </x:c>
    </x:row>
    <x:row r="708">
      <x:c r="A708" t="n">
        <x:f>704</x:f>
        <x:v>704</x:v>
      </x:c>
      <x:c r="B708" s="7" t="n">
        <x:f>IF(AND('요약'!$B$20,A708&lt;='요약'!$B$6),NORM.S.INV((A708-0.5)/'요약'!$B$6),"")</x:f>
        <x:v>0.5344937101713575</x:v>
      </x:c>
      <x:c r="C708" s="7" t="n">
        <x:f>IF(AND('요약'!$B$20,A708&lt;='요약'!$B$6),LARGE('계산'!$B$2:$B$2001,'요약'!$B$6-A708+1),"")</x:f>
        <x:v>0.00541307687696786</x:v>
      </x:c>
      <x:c r="D708" s="7" t="n">
        <x:f>IF(ISNUMBER(B708),'요약'!$B$7+'요약'!$B$13*B708,"")</x:f>
        <x:v>0.005355367105854965</x:v>
      </x:c>
    </x:row>
    <x:row r="709">
      <x:c r="A709" t="n">
        <x:f>705</x:f>
        <x:v>705</x:v>
      </x:c>
      <x:c r="B709" s="7" t="n">
        <x:f>IF(AND('요약'!$B$20,A709&lt;='요약'!$B$6),NORM.S.INV((A709-0.5)/'요약'!$B$6),"")</x:f>
        <x:v>0.5373874650900956</x:v>
      </x:c>
      <x:c r="C709" s="7" t="n">
        <x:f>IF(AND('요약'!$B$20,A709&lt;='요약'!$B$6),LARGE('계산'!$B$2:$B$2001,'요약'!$B$6-A709+1),"")</x:f>
        <x:v>0.005436940097597261</x:v>
      </x:c>
      <x:c r="D709" s="7" t="n">
        <x:f>IF(ISNUMBER(B709),'요약'!$B$7+'요약'!$B$13*B709,"")</x:f>
        <x:v>0.005384622291456923</x:v>
      </x:c>
    </x:row>
    <x:row r="710">
      <x:c r="A710" t="n">
        <x:f>706</x:f>
        <x:v>706</x:v>
      </x:c>
      <x:c r="B710" s="7" t="n">
        <x:f>IF(AND('요약'!$B$20,A710&lt;='요약'!$B$6),NORM.S.INV((A710-0.5)/'요약'!$B$6),"")</x:f>
        <x:v>0.5402857270124634</x:v>
      </x:c>
      <x:c r="C710" s="7" t="n">
        <x:f>IF(AND('요약'!$B$20,A710&lt;='요약'!$B$6),LARGE('계산'!$B$2:$B$2001,'요약'!$B$6-A710+1),"")</x:f>
        <x:v>0.005450196285551738</x:v>
      </x:c>
      <x:c r="D710" s="7" t="n">
        <x:f>IF(ISNUMBER(B710),'요약'!$B$7+'요약'!$B$13*B710,"")</x:f>
        <x:v>0.005413923041811736</x:v>
      </x:c>
    </x:row>
    <x:row r="711">
      <x:c r="A711" t="n">
        <x:f>707</x:f>
        <x:v>707</x:v>
      </x:c>
      <x:c r="B711" s="7" t="n">
        <x:f>IF(AND('요약'!$B$20,A711&lt;='요약'!$B$6),NORM.S.INV((A711-0.5)/'요약'!$B$6),"")</x:f>
        <x:v>0.5431885344211087</x:v>
      </x:c>
      <x:c r="C711" s="7" t="n">
        <x:f>IF(AND('요약'!$B$20,A711&lt;='요약'!$B$6),LARGE('계산'!$B$2:$B$2001,'요약'!$B$6-A711+1),"")</x:f>
        <x:v>0.005513869190094017</x:v>
      </x:c>
      <x:c r="D711" s="7" t="n">
        <x:f>IF(ISNUMBER(B711),'요약'!$B$7+'요약'!$B$13*B711,"")</x:f>
        <x:v>0.005443269745969976</x:v>
      </x:c>
    </x:row>
    <x:row r="712">
      <x:c r="A712" t="n">
        <x:f>708</x:f>
        <x:v>708</x:v>
      </x:c>
      <x:c r="B712" s="7" t="n">
        <x:f>IF(AND('요약'!$B$20,A712&lt;='요약'!$B$6),NORM.S.INV((A712-0.5)/'요약'!$B$6),"")</x:f>
        <x:v>0.5460959261333561</x:v>
      </x:c>
      <x:c r="C712" s="7" t="n">
        <x:f>IF(AND('요약'!$B$20,A712&lt;='요약'!$B$6),LARGE('계산'!$B$2:$B$2001,'요약'!$B$6-A712+1),"")</x:f>
        <x:v>0.005534586875340903</x:v>
      </x:c>
      <x:c r="D712" s="7" t="n">
        <x:f>IF(ISNUMBER(B712),'요약'!$B$7+'요약'!$B$13*B712,"")</x:f>
        <x:v>0.005472662796365716</x:v>
      </x:c>
    </x:row>
    <x:row r="713">
      <x:c r="A713" t="n">
        <x:f>709</x:f>
        <x:v>709</x:v>
      </x:c>
      <x:c r="B713" s="7" t="n">
        <x:f>IF(AND('요약'!$B$20,A713&lt;='요약'!$B$6),NORM.S.INV((A713-0.5)/'요약'!$B$6),"")</x:f>
        <x:v>0.5490079413058608</x:v>
      </x:c>
      <x:c r="C713" s="7" t="n">
        <x:f>IF(AND('요약'!$B$20,A713&lt;='요약'!$B$6),LARGE('계산'!$B$2:$B$2001,'요약'!$B$6-A713+1),"")</x:f>
        <x:v>0.005537229300159673</x:v>
      </x:c>
      <x:c r="D713" s="7" t="n">
        <x:f>IF(ISNUMBER(B713),'요약'!$B$7+'요약'!$B$13*B713,"")</x:f>
        <x:v>0.005502102588863587</x:v>
      </x:c>
    </x:row>
    <x:row r="714">
      <x:c r="A714" t="n">
        <x:f>710</x:f>
        <x:v>710</x:v>
      </x:c>
      <x:c r="B714" s="7" t="n">
        <x:f>IF(AND('요약'!$B$20,A714&lt;='요약'!$B$6),NORM.S.INV((A714-0.5)/'요약'!$B$6),"")</x:f>
        <x:v>0.5519246194393377</x:v>
      </x:c>
      <x:c r="C714" s="7" t="n">
        <x:f>IF(AND('요약'!$B$20,A714&lt;='요약'!$B$6),LARGE('계산'!$B$2:$B$2001,'요약'!$B$6-A714+1),"")</x:f>
        <x:v>0.005546320021234669</x:v>
      </x:c>
      <x:c r="D714" s="7" t="n">
        <x:f>IF(ISNUMBER(B714),'요약'!$B$7+'요약'!$B$13*B714,"")</x:f>
        <x:v>0.005531589522806578</x:v>
      </x:c>
    </x:row>
    <x:row r="715">
      <x:c r="A715" t="n">
        <x:f>711</x:f>
        <x:v>711</x:v>
      </x:c>
      <x:c r="B715" s="7" t="n">
        <x:f>IF(AND('요약'!$B$20,A715&lt;='요약'!$B$6),NORM.S.INV((A715-0.5)/'요약'!$B$6),"")</x:f>
        <x:v>0.5548460003833635</x:v>
      </x:c>
      <x:c r="C715" s="7" t="n">
        <x:f>IF(AND('요약'!$B$20,A715&lt;='요약'!$B$6),LARGE('계산'!$B$2:$B$2001,'요약'!$B$6-A715+1),"")</x:f>
        <x:v>0.005552410284024001</x:v>
      </x:c>
      <x:c r="D715" s="7" t="n">
        <x:f>IF(ISNUMBER(B715),'요약'!$B$7+'요약'!$B$13*B715,"")</x:f>
        <x:v>0.005561124001064595</x:v>
      </x:c>
    </x:row>
    <x:row r="716">
      <x:c r="A716" t="n">
        <x:f>712</x:f>
        <x:v>712</x:v>
      </x:c>
      <x:c r="B716" s="7" t="n">
        <x:f>IF(AND('요약'!$B$20,A716&lt;='요약'!$B$6),NORM.S.INV((A716-0.5)/'요약'!$B$6),"")</x:f>
        <x:v>0.5577721243412647</x:v>
      </x:c>
      <x:c r="C716" s="7" t="n">
        <x:f>IF(AND('요약'!$B$20,A716&lt;='요약'!$B$6),LARGE('계산'!$B$2:$B$2001,'요약'!$B$6-A716+1),"")</x:f>
        <x:v>0.005616064955193762</x:v>
      </x:c>
      <x:c r="D716" s="7" t="n">
        <x:f>IF(ISNUMBER(B716),'요약'!$B$7+'요약'!$B$13*B716,"")</x:f>
        <x:v>0.005590706430083865</x:v>
      </x:c>
    </x:row>
    <x:row r="717">
      <x:c r="A717" t="n">
        <x:f>713</x:f>
        <x:v>713</x:v>
      </x:c>
      <x:c r="B717" s="7" t="n">
        <x:f>IF(AND('요약'!$B$20,A717&lt;='요약'!$B$6),NORM.S.INV((A717-0.5)/'요약'!$B$6),"")</x:f>
        <x:v>0.5607030318750834</x:v>
      </x:c>
      <x:c r="C717" s="7" t="n">
        <x:f>IF(AND('요약'!$B$20,A717&lt;='요약'!$B$6),LARGE('계산'!$B$2:$B$2001,'요약'!$B$6-A717+1),"")</x:f>
        <x:v>0.0056261265293158684</x:v>
      </x:c>
      <x:c r="D717" s="7" t="n">
        <x:f>IF(ISNUMBER(B717),'요약'!$B$7+'요약'!$B$13*B717,"")</x:f>
        <x:v>0.005620337219937152</x:v>
      </x:c>
    </x:row>
    <x:row r="718">
      <x:c r="A718" t="n">
        <x:f>714</x:f>
        <x:v>714</x:v>
      </x:c>
      <x:c r="B718" s="7" t="n">
        <x:f>IF(AND('요약'!$B$20,A718&lt;='요약'!$B$6),NORM.S.INV((A718-0.5)/'요약'!$B$6),"")</x:f>
        <x:v>0.5636387639106244</x:v>
      </x:c>
      <x:c r="C718" s="7" t="n">
        <x:f>IF(AND('요약'!$B$20,A718&lt;='요약'!$B$6),LARGE('계산'!$B$2:$B$2001,'요약'!$B$6-A718+1),"")</x:f>
        <x:v>0.005651390810548851</x:v>
      </x:c>
      <x:c r="D718" s="7" t="n">
        <x:f>IF(ISNUMBER(B718),'요약'!$B$7+'요약'!$B$13*B718,"")</x:f>
        <x:v>0.005650016784374772</x:v>
      </x:c>
    </x:row>
    <x:row r="719">
      <x:c r="A719" t="n">
        <x:f>715</x:f>
        <x:v>715</x:v>
      </x:c>
      <x:c r="B719" s="7" t="n">
        <x:f>IF(AND('요약'!$B$20,A719&lt;='요약'!$B$6),NORM.S.INV((A719-0.5)/'요약'!$B$6),"")</x:f>
        <x:v>0.5665793617425916</x:v>
      </x:c>
      <x:c r="C719" s="7" t="n">
        <x:f>IF(AND('요약'!$B$20,A719&lt;='요약'!$B$6),LARGE('계산'!$B$2:$B$2001,'요약'!$B$6-A719+1),"")</x:f>
        <x:v>0.0056975117339882995</x:v>
      </x:c>
      <x:c r="D719" s="7" t="n">
        <x:f>IF(ISNUMBER(B719),'요약'!$B$7+'요약'!$B$13*B719,"")</x:f>
        <x:v>0.005679745540876525</x:v>
      </x:c>
    </x:row>
    <x:row r="720">
      <x:c r="A720" t="n">
        <x:f>716</x:f>
        <x:v>716</x:v>
      </x:c>
      <x:c r="B720" s="7" t="n">
        <x:f>IF(AND('요약'!$B$20,A720&lt;='요약'!$B$6),NORM.S.INV((A720-0.5)/'요약'!$B$6),"")</x:f>
        <x:v>0.5695248670398052</x:v>
      </x:c>
      <x:c r="C720" s="7" t="n">
        <x:f>IF(AND('요약'!$B$20,A720&lt;='요약'!$B$6),LARGE('계산'!$B$2:$B$2001,'요약'!$B$6-A720+1),"")</x:f>
        <x:v>0.0057062805440351114</x:v>
      </x:c>
      <x:c r="D720" s="7" t="n">
        <x:f>IF(ISNUMBER(B720),'요약'!$B$7+'요약'!$B$13*B720,"")</x:f>
        <x:v>0.005709523910704441</x:v>
      </x:c>
    </x:row>
    <x:row r="721">
      <x:c r="A721" t="n">
        <x:f>717</x:f>
        <x:v>717</x:v>
      </x:c>
      <x:c r="B721" s="7" t="n">
        <x:f>IF(AND('요약'!$B$20,A721&lt;='요약'!$B$6),NORM.S.INV((A721-0.5)/'요약'!$B$6),"")</x:f>
        <x:v>0.5724753218505094</x:v>
      </x:c>
      <x:c r="C721" s="7" t="n">
        <x:f>IF(AND('요약'!$B$20,A721&lt;='요약'!$B$6),LARGE('계산'!$B$2:$B$2001,'요약'!$B$6-A721+1),"")</x:f>
        <x:v>0.005710969492095411</x:v>
      </x:c>
      <x:c r="D721" s="7" t="n">
        <x:f>IF(ISNUMBER(B721),'요약'!$B$7+'요약'!$B$13*B721,"")</x:f>
        <x:v>0.005739352318956436</x:v>
      </x:c>
    </x:row>
    <x:row r="722">
      <x:c r="A722" t="n">
        <x:f>718</x:f>
        <x:v>718</x:v>
      </x:c>
      <x:c r="B722" s="7" t="n">
        <x:f>IF(AND('요약'!$B$20,A722&lt;='요약'!$B$6),NORM.S.INV((A722-0.5)/'요약'!$B$6),"")</x:f>
        <x:v>0.5754307686077733</x:v>
      </x:c>
      <x:c r="C722" s="7" t="n">
        <x:f>IF(AND('요약'!$B$20,A722&lt;='요약'!$B$6),LARGE('계산'!$B$2:$B$2001,'요약'!$B$6-A722+1),"")</x:f>
        <x:v>0.0057136547054433915</x:v>
      </x:c>
      <x:c r="D722" s="7" t="n">
        <x:f>IF(ISNUMBER(B722),'요약'!$B$7+'요약'!$B$13*B722,"")</x:f>
        <x:v>0.005769231194620919</x:v>
      </x:c>
    </x:row>
    <x:row r="723">
      <x:c r="A723" t="n">
        <x:f>719</x:f>
        <x:v>719</x:v>
      </x:c>
      <x:c r="B723" s="7" t="n">
        <x:f>IF(AND('요약'!$B$20,A723&lt;='요약'!$B$6),NORM.S.INV((A723-0.5)/'요약'!$B$6),"")</x:f>
        <x:v>0.578391250134974</x:v>
      </x:c>
      <x:c r="C723" s="7" t="n">
        <x:f>IF(AND('요약'!$B$20,A723&lt;='요약'!$B$6),LARGE('계산'!$B$2:$B$2001,'요약'!$B$6-A723+1),"")</x:f>
        <x:v>0.005715431687866751</x:v>
      </x:c>
      <x:c r="D723" s="7" t="n">
        <x:f>IF(ISNUMBER(B723),'요약'!$B$7+'요약'!$B$13*B723,"")</x:f>
        <x:v>0.005799160970632218</x:v>
      </x:c>
    </x:row>
    <x:row r="724">
      <x:c r="A724" t="n">
        <x:f>720</x:f>
        <x:v>720</x:v>
      </x:c>
      <x:c r="B724" s="7" t="n">
        <x:f>IF(AND('요약'!$B$20,A724&lt;='요약'!$B$6),NORM.S.INV((A724-0.5)/'요약'!$B$6),"")</x:f>
        <x:v>0.5813568096513857</x:v>
      </x:c>
      <x:c r="C724" s="7" t="n">
        <x:f>IF(AND('요약'!$B$20,A724&lt;='요약'!$B$6),LARGE('계산'!$B$2:$B$2001,'요약'!$B$6-A724+1),"")</x:f>
        <x:v>0.005717496622507002</x:v>
      </x:c>
      <x:c r="D724" s="7" t="n">
        <x:f>IF(ISNUMBER(B724),'요약'!$B$7+'요약'!$B$13*B724,"")</x:f>
        <x:v>0.005829142083927088</x:v>
      </x:c>
    </x:row>
    <x:row r="725">
      <x:c r="A725" t="n">
        <x:f>721</x:f>
        <x:v>721</x:v>
      </x:c>
      <x:c r="B725" s="7" t="n">
        <x:f>IF(AND('요약'!$B$20,A725&lt;='요약'!$B$6),NORM.S.INV((A725-0.5)/'요약'!$B$6),"")</x:f>
        <x:v>0.5843274907778542</x:v>
      </x:c>
      <x:c r="C725" s="7" t="n">
        <x:f>IF(AND('요약'!$B$20,A725&lt;='요약'!$B$6),LARGE('계산'!$B$2:$B$2001,'요약'!$B$6-A725+1),"")</x:f>
        <x:v>0.005790843773418108</x:v>
      </x:c>
      <x:c r="D725" s="7" t="n">
        <x:f>IF(ISNUMBER(B725),'요약'!$B$7+'요약'!$B$13*B725,"")</x:f>
        <x:v>0.005859174975502083</x:v>
      </x:c>
    </x:row>
    <x:row r="726">
      <x:c r="A726" t="n">
        <x:f>722</x:f>
        <x:v>722</x:v>
      </x:c>
      <x:c r="B726" s="7" t="n">
        <x:f>IF(AND('요약'!$B$20,A726&lt;='요약'!$B$6),NORM.S.INV((A726-0.5)/'요약'!$B$6),"")</x:f>
        <x:v>0.587303337542575</x:v>
      </x:c>
      <x:c r="C726" s="7" t="n">
        <x:f>IF(AND('요약'!$B$20,A726&lt;='요약'!$B$6),LARGE('계산'!$B$2:$B$2001,'요약'!$B$6-A726+1),"")</x:f>
        <x:v>0.005822573946678721</x:v>
      </x:c>
      <x:c r="D726" s="7" t="n">
        <x:f>IF(ISNUMBER(B726),'요약'!$B$7+'요약'!$B$13*B726,"")</x:f>
        <x:v>0.005889260090471964</x:v>
      </x:c>
    </x:row>
    <x:row r="727">
      <x:c r="A727" t="n">
        <x:f>723</x:f>
        <x:v>723</x:v>
      </x:c>
      <x:c r="B727" s="7" t="n">
        <x:f>IF(AND('요약'!$B$20,A727&lt;='요약'!$B$6),NORM.S.INV((A727-0.5)/'요약'!$B$6),"")</x:f>
        <x:v>0.5902843943869686</x:v>
      </x:c>
      <x:c r="C727" s="7" t="n">
        <x:f>IF(AND('요약'!$B$20,A727&lt;='요약'!$B$6),LARGE('계산'!$B$2:$B$2001,'요약'!$B$6-A727+1),"")</x:f>
        <x:v>0.005839327051340398</x:v>
      </x:c>
      <x:c r="D727" s="7" t="n">
        <x:f>IF(ISNUMBER(B727),'요약'!$B$7+'요약'!$B$13*B727,"")</x:f>
        <x:v>0.005919397878129099</x:v>
      </x:c>
    </x:row>
    <x:row r="728">
      <x:c r="A728" t="n">
        <x:f>724</x:f>
        <x:v>724</x:v>
      </x:c>
      <x:c r="B728" s="7" t="n">
        <x:f>IF(AND('요약'!$B$20,A728&lt;='요약'!$B$6),NORM.S.INV((A728-0.5)/'요약'!$B$6),"")</x:f>
        <x:v>0.5932707061716577</x:v>
      </x:c>
      <x:c r="C728" s="7" t="n">
        <x:f>IF(AND('요약'!$B$20,A728&lt;='요약'!$B$6),LARGE('계산'!$B$2:$B$2001,'요약'!$B$6-A728+1),"")</x:f>
        <x:v>0.005842002926582088</x:v>
      </x:c>
      <x:c r="D728" s="7" t="n">
        <x:f>IF(ISNUMBER(B728),'요약'!$B$7+'요약'!$B$13*B728,"")</x:f>
        <x:v>0.005949588792003896</x:v>
      </x:c>
    </x:row>
    <x:row r="729">
      <x:c r="A729" t="n">
        <x:f>725</x:f>
        <x:v>725</x:v>
      </x:c>
      <x:c r="B729" s="7" t="n">
        <x:f>IF(AND('요약'!$B$20,A729&lt;='요약'!$B$6),NORM.S.INV((A729-0.5)/'요약'!$B$6),"")</x:f>
        <x:v>0.5962623181825504</x:v>
      </x:c>
      <x:c r="C729" s="7" t="n">
        <x:f>IF(AND('요약'!$B$20,A729&lt;='요약'!$B$6),LARGE('계산'!$B$2:$B$2001,'요약'!$B$6-A729+1),"")</x:f>
        <x:v>0.005847611430838426</x:v>
      </x:c>
      <x:c r="D729" s="7" t="n">
        <x:f>IF(ISNUMBER(B729),'요약'!$B$7+'요약'!$B$13*B729,"")</x:f>
        <x:v>0.005979833289926298</x:v>
      </x:c>
    </x:row>
    <x:row r="730">
      <x:c r="A730" t="n">
        <x:f>726</x:f>
        <x:v>726</x:v>
      </x:c>
      <x:c r="B730" s="7" t="n">
        <x:f>IF(AND('요약'!$B$20,A730&lt;='요약'!$B$6),NORM.S.INV((A730-0.5)/'요약'!$B$6),"")</x:f>
        <x:v>0.5992592761370269</x:v>
      </x:c>
      <x:c r="C730" s="7" t="n">
        <x:f>IF(AND('요약'!$B$20,A730&lt;='요약'!$B$6),LARGE('계산'!$B$2:$B$2001,'요약'!$B$6-A730+1),"")</x:f>
        <x:v>0.0058730839649083575</x:v>
      </x:c>
      <x:c r="D730" s="7" t="n">
        <x:f>IF(ISNUMBER(B730),'요약'!$B$7+'요약'!$B$13*B730,"")</x:f>
        <x:v>0.006010131834088326</x:v>
      </x:c>
    </x:row>
    <x:row r="731">
      <x:c r="A731" t="n">
        <x:f>727</x:f>
        <x:v>727</x:v>
      </x:c>
      <x:c r="B731" s="7" t="n">
        <x:f>IF(AND('요약'!$B$20,A731&lt;='요약'!$B$6),NORM.S.INV((A731-0.5)/'요약'!$B$6),"")</x:f>
        <x:v>0.6022616261902375</x:v>
      </x:c>
      <x:c r="C731" s="7" t="n">
        <x:f>IF(AND('요약'!$B$20,A731&lt;='요약'!$B$6),LARGE('계산'!$B$2:$B$2001,'요약'!$B$6-A731+1),"")</x:f>
        <x:v>0.005886003059464483</x:v>
      </x:c>
      <x:c r="D731" s="7" t="n">
        <x:f>IF(ISNUMBER(B731),'요약'!$B$7+'요약'!$B$13*B731,"")</x:f>
        <x:v>0.00604048489110776</x:v>
      </x:c>
    </x:row>
    <x:row r="732">
      <x:c r="A732" t="n">
        <x:f>728</x:f>
        <x:v>728</x:v>
      </x:c>
      <x:c r="B732" s="7" t="n">
        <x:f>IF(AND('요약'!$B$20,A732&lt;='요약'!$B$6),NORM.S.INV((A732-0.5)/'요약'!$B$6),"")</x:f>
        <x:v>0.6052694149415098</x:v>
      </x:c>
      <x:c r="C732" s="7" t="n">
        <x:f>IF(AND('요약'!$B$20,A732&lt;='요약'!$B$6),LARGE('계산'!$B$2:$B$2001,'요약'!$B$6-A732+1),"")</x:f>
        <x:v>0.005889603367516351</x:v>
      </x:c>
      <x:c r="D732" s="7" t="n">
        <x:f>IF(ISNUMBER(B732),'요약'!$B$7+'요약'!$B$13*B732,"")</x:f>
        <x:v>0.006070892932092904</x:v>
      </x:c>
    </x:row>
    <x:row r="733">
      <x:c r="A733" t="n">
        <x:f>729</x:f>
        <x:v>729</x:v>
      </x:c>
      <x:c r="B733" s="7" t="n">
        <x:f>IF(AND('요약'!$B$20,A733&lt;='요약'!$B$6),NORM.S.INV((A733-0.5)/'요약'!$B$6),"")</x:f>
        <x:v>0.6082826894408674</x:v>
      </x:c>
      <x:c r="C733" s="7" t="n">
        <x:f>IF(AND('요약'!$B$20,A733&lt;='요약'!$B$6),LARGE('계산'!$B$2:$B$2001,'요약'!$B$6-A733+1),"")</x:f>
        <x:v>0.005928234770388743</x:v>
      </x:c>
      <x:c r="D733" s="7" t="n">
        <x:f>IF(ISNUMBER(B733),'요약'!$B$7+'요약'!$B$13*B733,"")</x:f>
        <x:v>0.006101356432708498</x:v>
      </x:c>
    </x:row>
    <x:row r="734">
      <x:c r="A734" t="n">
        <x:f>730</x:f>
        <x:v>730</x:v>
      </x:c>
      <x:c r="B734" s="7" t="n">
        <x:f>IF(AND('요약'!$B$20,A734&lt;='요약'!$B$6),NORM.S.INV((A734-0.5)/'요약'!$B$6),"")</x:f>
        <x:v>0.6113014971956714</x:v>
      </x:c>
      <x:c r="C734" s="7" t="n">
        <x:f>IF(AND('요약'!$B$20,A734&lt;='요약'!$B$6),LARGE('계산'!$B$2:$B$2001,'요약'!$B$6-A734+1),"")</x:f>
        <x:v>0.005943972757231007</x:v>
      </x:c>
      <x:c r="D734" s="7" t="n">
        <x:f>IF(ISNUMBER(B734),'요약'!$B$7+'요약'!$B$13*B734,"")</x:f>
        <x:v>0.0061318758732428515</x:v>
      </x:c>
    </x:row>
    <x:row r="735">
      <x:c r="A735" t="n">
        <x:f>731</x:f>
        <x:v>731</x:v>
      </x:c>
      <x:c r="B735" s="7" t="n">
        <x:f>IF(AND('요약'!$B$20,A735&lt;='요약'!$B$6),NORM.S.INV((A735-0.5)/'요약'!$B$6),"")</x:f>
        <x:v>0.6143258861773696</x:v>
      </x:c>
      <x:c r="C735" s="7" t="n">
        <x:f>IF(AND('요약'!$B$20,A735&lt;='요약'!$B$6),LARGE('계산'!$B$2:$B$2001,'요약'!$B$6-A735+1),"")</x:f>
        <x:v>0.005952091250636414</x:v>
      </x:c>
      <x:c r="D735" s="7" t="n">
        <x:f>IF(ISNUMBER(B735),'요약'!$B$7+'요약'!$B$13*B735,"")</x:f>
        <x:v>0.006162451738676086</x:v>
      </x:c>
    </x:row>
    <x:row r="736">
      <x:c r="A736" t="n">
        <x:f>732</x:f>
        <x:v>732</x:v>
      </x:c>
      <x:c r="B736" s="7" t="n">
        <x:f>IF(AND('요약'!$B$20,A736&lt;='요약'!$B$6),NORM.S.INV((A736-0.5)/'요약'!$B$6),"")</x:f>
        <x:v>0.6173559048283791</x:v>
      </x:c>
      <x:c r="C736" s="7" t="n">
        <x:f>IF(AND('요약'!$B$20,A736&lt;='요약'!$B$6),LARGE('계산'!$B$2:$B$2001,'요약'!$B$6-A736+1),"")</x:f>
        <x:v>0.006040792593417224</x:v>
      </x:c>
      <x:c r="D736" s="7" t="n">
        <x:f>IF(ISNUMBER(B736),'요약'!$B$7+'요약'!$B$13*B736,"")</x:f>
        <x:v>0.006193084518749712</x:v>
      </x:c>
    </x:row>
    <x:row r="737">
      <x:c r="A737" t="n">
        <x:f>733</x:f>
        <x:v>733</x:v>
      </x:c>
      <x:c r="B737" s="7" t="n">
        <x:f>IF(AND('요약'!$B$20,A737&lt;='요약'!$B$6),NORM.S.INV((A737-0.5)/'요약'!$B$6),"")</x:f>
        <x:v>0.6203916020690774</x:v>
      </x:c>
      <x:c r="C737" s="7" t="n">
        <x:f>IF(AND('요약'!$B$20,A737&lt;='요약'!$B$6),LARGE('계산'!$B$2:$B$2001,'요약'!$B$6-A737+1),"")</x:f>
        <x:v>0.0060432620170476825</x:v>
      </x:c>
      <x:c r="D737" s="7" t="n">
        <x:f>IF(ISNUMBER(B737),'요약'!$B$7+'요약'!$B$13*B737,"")</x:f>
        <x:v>0.006223774708037306</x:v>
      </x:c>
    </x:row>
    <x:row r="738">
      <x:c r="A738" t="n">
        <x:f>734</x:f>
        <x:v>734</x:v>
      </x:c>
      <x:c r="B738" s="7" t="n">
        <x:f>IF(AND('요약'!$B$20,A738&lt;='요약'!$B$6),NORM.S.INV((A738-0.5)/'요약'!$B$6),"")</x:f>
        <x:v>0.6234330273049377</x:v>
      </x:c>
      <x:c r="C738" s="7" t="n">
        <x:f>IF(AND('요약'!$B$20,A738&lt;='요약'!$B$6),LARGE('계산'!$B$2:$B$2001,'요약'!$B$6-A738+1),"")</x:f>
        <x:v>0.00607345609057008</x:v>
      </x:c>
      <x:c r="D738" s="7" t="n">
        <x:f>IF(ISNUMBER(B738),'요약'!$B$7+'요약'!$B$13*B738,"")</x:f>
        <x:v>0.006254522806016651</x:v>
      </x:c>
    </x:row>
    <x:row r="739">
      <x:c r="A739" t="n">
        <x:f>735</x:f>
        <x:v>735</x:v>
      </x:c>
      <x:c r="B739" s="7" t="n">
        <x:f>IF(AND('요약'!$B$20,A739&lt;='요약'!$B$6),NORM.S.INV((A739-0.5)/'요약'!$B$6),"")</x:f>
        <x:v>0.6264802304337755</x:v>
      </x:c>
      <x:c r="C739" s="7" t="n">
        <x:f>IF(AND('요약'!$B$20,A739&lt;='요약'!$B$6),LARGE('계산'!$B$2:$B$2001,'요약'!$B$6-A739+1),"")</x:f>
        <x:v>0.006076590590351012</x:v>
      </x:c>
      <x:c r="D739" s="7" t="n">
        <x:f>IF(ISNUMBER(B739),'요약'!$B$7+'요약'!$B$13*B739,"")</x:f>
        <x:v>0.006285329317142996</x:v>
      </x:c>
    </x:row>
    <x:row r="740">
      <x:c r="A740" t="n">
        <x:f>736</x:f>
        <x:v>736</x:v>
      </x:c>
      <x:c r="B740" s="7" t="n">
        <x:f>IF(AND('요약'!$B$20,A740&lt;='요약'!$B$6),NORM.S.INV((A740-0.5)/'요약'!$B$6),"")</x:f>
        <x:v>0.6295332618531406</x:v>
      </x:c>
      <x:c r="C740" s="7" t="n">
        <x:f>IF(AND('요약'!$B$20,A740&lt;='요약'!$B$6),LARGE('계산'!$B$2:$B$2001,'요약'!$B$6-A740+1),"")</x:f>
        <x:v>0.0061229495111237665</x:v>
      </x:c>
      <x:c r="D740" s="7" t="n">
        <x:f>IF(ISNUMBER(B740),'요약'!$B$7+'요약'!$B$13*B740,"")</x:f>
        <x:v>0.006316194750923781</x:v>
      </x:c>
    </x:row>
    <x:row r="741">
      <x:c r="A741" t="n">
        <x:f>737</x:f>
        <x:v>737</x:v>
      </x:c>
      <x:c r="B741" s="7" t="n">
        <x:f>IF(AND('요약'!$B$20,A741&lt;='요약'!$B$6),NORM.S.INV((A741-0.5)/'요약'!$B$6),"")</x:f>
        <x:v>0.632592172467837</x:v>
      </x:c>
      <x:c r="C741" s="7" t="n">
        <x:f>IF(AND('요약'!$B$20,A741&lt;='요약'!$B$6),LARGE('계산'!$B$2:$B$2001,'요약'!$B$6-A741+1),"")</x:f>
        <x:v>0.0061640849025682235</x:v>
      </x:c>
      <x:c r="D741" s="7" t="n">
        <x:f>IF(ISNUMBER(B741),'요약'!$B$7+'요약'!$B$13*B741,"")</x:f>
        <x:v>0.006347119621994676</x:v>
      </x:c>
    </x:row>
    <x:row r="742">
      <x:c r="A742" t="n">
        <x:f>738</x:f>
        <x:v>738</x:v>
      </x:c>
      <x:c r="B742" s="7" t="n">
        <x:f>IF(AND('요약'!$B$20,A742&lt;='요약'!$B$6),NORM.S.INV((A742-0.5)/'요약'!$B$6),"")</x:f>
        <x:v>0.6356570136975825</x:v>
      </x:c>
      <x:c r="C742" s="7" t="n">
        <x:f>IF(AND('요약'!$B$20,A742&lt;='요약'!$B$6),LARGE('계산'!$B$2:$B$2001,'요약'!$B$6-A742+1),"")</x:f>
        <x:v>0.006191938884849106</x:v>
      </x:c>
      <x:c r="D742" s="7" t="n">
        <x:f>IF(ISNUMBER(B742),'요약'!$B$7+'요약'!$B$13*B742,"")</x:f>
        <x:v>0.006378104450197003</x:v>
      </x:c>
    </x:row>
    <x:row r="743">
      <x:c r="A743" t="n">
        <x:f>739</x:f>
        <x:v>739</x:v>
      </x:c>
      <x:c r="B743" s="7" t="n">
        <x:f>IF(AND('요약'!$B$20,A743&lt;='요약'!$B$6),NORM.S.INV((A743-0.5)/'요약'!$B$6),"")</x:f>
        <x:v>0.6387278374848114</x:v>
      </x:c>
      <x:c r="C743" s="7" t="n">
        <x:f>IF(AND('요약'!$B$20,A743&lt;='요약'!$B$6),LARGE('계산'!$B$2:$B$2001,'요약'!$B$6-A743+1),"")</x:f>
        <x:v>0.00619835551638812</x:v>
      </x:c>
      <x:c r="D743" s="7" t="n">
        <x:f>IF(ISNUMBER(B743),'요약'!$B$7+'요약'!$B$13*B743,"")</x:f>
        <x:v>0.0064091497606566265</x:v>
      </x:c>
    </x:row>
    <x:row r="744">
      <x:c r="A744" t="n">
        <x:f>740</x:f>
        <x:v>740</x:v>
      </x:c>
      <x:c r="B744" s="7" t="n">
        <x:f>IF(AND('요약'!$B$20,A744&lt;='요약'!$B$6),NORM.S.INV((A744-0.5)/'요약'!$B$6),"")</x:f>
        <x:v>0.6418046963026162</x:v>
      </x:c>
      <x:c r="C744" s="7" t="n">
        <x:f>IF(AND('요약'!$B$20,A744&lt;='요약'!$B$6),LARGE('계산'!$B$2:$B$2001,'요약'!$B$6-A744+1),"")</x:f>
        <x:v>0.006256944983234912</x:v>
      </x:c>
      <x:c r="D744" s="7" t="n">
        <x:f>IF(ISNUMBER(B744),'요약'!$B$7+'요약'!$B$13*B744,"")</x:f>
        <x:v>0.006440256083864244</x:v>
      </x:c>
    </x:row>
    <x:row r="745">
      <x:c r="A745" t="n">
        <x:f>741</x:f>
        <x:v>741</x:v>
      </x:c>
      <x:c r="B745" s="7" t="n">
        <x:f>IF(AND('요약'!$B$20,A745&lt;='요약'!$B$6),NORM.S.INV((A745-0.5)/'요약'!$B$6),"")</x:f>
        <x:v>0.644887643162843</x:v>
      </x:c>
      <x:c r="C745" s="7" t="n">
        <x:f>IF(AND('요약'!$B$20,A745&lt;='요약'!$B$6),LARGE('계산'!$B$2:$B$2001,'요약'!$B$6-A745+1),"")</x:f>
        <x:v>0.006263815738699013</x:v>
      </x:c>
      <x:c r="D745" s="7" t="n">
        <x:f>IF(ISNUMBER(B745),'요약'!$B$7+'요약'!$B$13*B745,"")</x:f>
        <x:v>0.006471423955757223</x:v>
      </x:c>
    </x:row>
    <x:row r="746">
      <x:c r="A746" t="n">
        <x:f>742</x:f>
        <x:v>742</x:v>
      </x:c>
      <x:c r="B746" s="7" t="n">
        <x:f>IF(AND('요약'!$B$20,A746&lt;='요약'!$B$6),NORM.S.INV((A746-0.5)/'요약'!$B$6),"")</x:f>
        <x:v>0.6479767316243344</x:v>
      </x:c>
      <x:c r="C746" s="7" t="n">
        <x:f>IF(AND('요약'!$B$20,A746&lt;='요약'!$B$6),LARGE('계산'!$B$2:$B$2001,'요약'!$B$6-A746+1),"")</x:f>
        <x:v>0.006274496365703271</x:v>
      </x:c>
      <x:c r="D746" s="7" t="n">
        <x:f>IF(ISNUMBER(B746),'요약'!$B$7+'요약'!$B$13*B746,"")</x:f>
        <x:v>0.006502653917802941</x:v>
      </x:c>
    </x:row>
    <x:row r="747">
      <x:c r="A747" t="n">
        <x:f>743</x:f>
        <x:v>743</x:v>
      </x:c>
      <x:c r="B747" s="7" t="n">
        <x:f>IF(AND('요약'!$B$20,A747&lt;='요약'!$B$6),NORM.S.INV((A747-0.5)/'요약'!$B$6),"")</x:f>
        <x:v>0.6510720158013263</x:v>
      </x:c>
      <x:c r="C747" s="7" t="n">
        <x:f>IF(AND('요약'!$B$20,A747&lt;='요약'!$B$6),LARGE('계산'!$B$2:$B$2001,'요약'!$B$6-A747+1),"")</x:f>
        <x:v>0.006276835445231442</x:v>
      </x:c>
      <x:c r="D747" s="7" t="n">
        <x:f>IF(ISNUMBER(B747),'요약'!$B$7+'요약'!$B$13*B747,"")</x:f>
        <x:v>0.006533946517083666</x:v>
      </x:c>
    </x:row>
    <x:row r="748">
      <x:c r="A748" t="n">
        <x:f>744</x:f>
        <x:v>744</x:v>
      </x:c>
      <x:c r="B748" s="7" t="n">
        <x:f>IF(AND('요약'!$B$20,A748&lt;='요약'!$B$6),NORM.S.INV((A748-0.5)/'요약'!$B$6),"")</x:f>
        <x:v>0.6541735503720036</x:v>
      </x:c>
      <x:c r="C748" s="7" t="n">
        <x:f>IF(AND('요약'!$B$20,A748&lt;='요약'!$B$6),LARGE('계산'!$B$2:$B$2001,'요약'!$B$6-A748+1),"")</x:f>
        <x:v>0.006306224233978328</x:v>
      </x:c>
      <x:c r="D748" s="7" t="n">
        <x:f>IF(ISNUMBER(B748),'요약'!$B$7+'요약'!$B$13*B748,"")</x:f>
        <x:v>0.006565302306383066</x:v>
      </x:c>
    </x:row>
    <x:row r="749">
      <x:c r="A749" t="n">
        <x:f>745</x:f>
        <x:v>745</x:v>
      </x:c>
      <x:c r="B749" s="7" t="n">
        <x:f>IF(AND('요약'!$B$20,A749&lt;='요약'!$B$6),NORM.S.INV((A749-0.5)/'요약'!$B$6),"")</x:f>
        <x:v>0.6572813905872175</x:v>
      </x:c>
      <x:c r="C749" s="7" t="n">
        <x:f>IF(AND('요약'!$B$20,A749&lt;='요약'!$B$6),LARGE('계산'!$B$2:$B$2001,'요약'!$B$6-A749+1),"")</x:f>
        <x:v>0.006335362253664642</x:v>
      </x:c>
      <x:c r="D749" s="7" t="n">
        <x:f>IF(ISNUMBER(B749),'요약'!$B$7+'요약'!$B$13*B749,"")</x:f>
        <x:v>0.006596721844274326</x:v>
      </x:c>
    </x:row>
    <x:row r="750">
      <x:c r="A750" t="n">
        <x:f>746</x:f>
        <x:v>746</x:v>
      </x:c>
      <x:c r="B750" s="7" t="n">
        <x:f>IF(AND('요약'!$B$20,A750&lt;='요약'!$B$6),NORM.S.INV((A750-0.5)/'요약'!$B$6),"")</x:f>
        <x:v>0.6603955922793685</x:v>
      </x:c>
      <x:c r="C750" s="7" t="n">
        <x:f>IF(AND('요약'!$B$20,A750&lt;='요약'!$B$6),LARGE('계산'!$B$2:$B$2001,'요약'!$B$6-A750+1),"")</x:f>
        <x:v>0.0064456972301170316</x:v>
      </x:c>
      <x:c r="D750" s="7" t="n">
        <x:f>IF(ISNUMBER(B750),'요약'!$B$7+'요약'!$B$13*B750,"")</x:f>
        <x:v>0.00662820569520996</x:v>
      </x:c>
    </x:row>
    <x:row r="751">
      <x:c r="A751" t="n">
        <x:f>747</x:f>
        <x:v>747</x:v>
      </x:c>
      <x:c r="B751" s="7" t="n">
        <x:f>IF(AND('요약'!$B$20,A751&lt;='요약'!$B$6),NORM.S.INV((A751-0.5)/'요약'!$B$6),"")</x:f>
        <x:v>0.663516211871457</x:v>
      </x:c>
      <x:c r="C751" s="7" t="n">
        <x:f>IF(AND('요약'!$B$20,A751&lt;='요약'!$B$6),LARGE('계산'!$B$2:$B$2001,'요약'!$B$6-A751+1),"")</x:f>
        <x:v>0.006494841655420033</x:v>
      </x:c>
      <x:c r="D751" s="7" t="n">
        <x:f>IF(ISNUMBER(B751),'요약'!$B$7+'요약'!$B$13*B751,"")</x:f>
        <x:v>0.00665975442961331</x:v>
      </x:c>
    </x:row>
    <x:row r="752">
      <x:c r="A752" t="n">
        <x:f>748</x:f>
        <x:v>748</x:v>
      </x:c>
      <x:c r="B752" s="7" t="n">
        <x:f>IF(AND('요약'!$B$20,A752&lt;='요약'!$B$6),NORM.S.INV((A752-0.5)/'요약'!$B$6),"")</x:f>
        <x:v>0.6666433063863066</x:v>
      </x:c>
      <x:c r="C752" s="7" t="n">
        <x:f>IF(AND('요약'!$B$20,A752&lt;='요약'!$B$6),LARGE('계산'!$B$2:$B$2001,'요약'!$B$6-A752+1),"")</x:f>
        <x:v>0.0065242843320094356</x:v>
      </x:c>
      <x:c r="D752" s="7" t="n">
        <x:f>IF(ISNUMBER(B752),'요약'!$B$7+'요약'!$B$13*B752,"")</x:f>
        <x:v>0.006691368623971789</x:v>
      </x:c>
    </x:row>
    <x:row r="753">
      <x:c r="A753" t="n">
        <x:f>749</x:f>
        <x:v>749</x:v>
      </x:c>
      <x:c r="B753" s="7" t="n">
        <x:f>IF(AND('요약'!$B$20,A753&lt;='요약'!$B$6),NORM.S.INV((A753-0.5)/'요약'!$B$6),"")</x:f>
        <x:v>0.6697769334559665</x:v>
      </x:c>
      <x:c r="C753" s="7" t="n">
        <x:f>IF(AND('요약'!$B$20,A753&lt;='요약'!$B$6),LARGE('계산'!$B$2:$B$2001,'요약'!$B$6-A753+1),"")</x:f>
        <x:v>0.006562757202947293</x:v>
      </x:c>
      <x:c r="D753" s="7" t="n">
        <x:f>IF(ISNUMBER(B753),'요약'!$B$7+'요약'!$B$13*B753,"")</x:f>
        <x:v>0.0067230488609319366</x:v>
      </x:c>
    </x:row>
    <x:row r="754">
      <x:c r="A754" t="n">
        <x:f>750</x:f>
        <x:v>750</x:v>
      </x:c>
      <x:c r="B754" s="7" t="n">
        <x:f>IF(AND('요약'!$B$20,A754&lt;='요약'!$B$6),NORM.S.INV((A754-0.5)/'요약'!$B$6),"")</x:f>
        <x:v>0.6729171513312946</x:v>
      </x:c>
      <x:c r="C754" s="7" t="n">
        <x:f>IF(AND('요약'!$B$20,A754&lt;='요약'!$B$6),LARGE('계산'!$B$2:$B$2001,'요약'!$B$6-A754+1),"")</x:f>
        <x:v>0.0065911526516496954</x:v>
      </x:c>
      <x:c r="D754" s="7" t="n">
        <x:f>IF(ISNUMBER(B754),'요약'!$B$7+'요약'!$B$13*B754,"")</x:f>
        <x:v>0.00675479572939631</x:v>
      </x:c>
    </x:row>
    <x:row r="755">
      <x:c r="A755" t="n">
        <x:f>751</x:f>
        <x:v>751</x:v>
      </x:c>
      <x:c r="B755" s="7" t="n">
        <x:f>IF(AND('요약'!$B$20,A755&lt;='요약'!$B$6),NORM.S.INV((A755-0.5)/'요약'!$B$6),"")</x:f>
        <x:v>0.6760640188917231</x:v>
      </x:c>
      <x:c r="C755" s="7" t="n">
        <x:f>IF(AND('요약'!$B$20,A755&lt;='요약'!$B$6),LARGE('계산'!$B$2:$B$2001,'요약'!$B$6-A755+1),"")</x:f>
        <x:v>0.006616886608849513</x:v>
      </x:c>
      <x:c r="D755" s="7" t="n">
        <x:f>IF(ISNUMBER(B755),'요약'!$B$7+'요약'!$B$13*B755,"")</x:f>
        <x:v>0.006786609824622198</x:v>
      </x:c>
    </x:row>
    <x:row r="756">
      <x:c r="A756" t="n">
        <x:f>752</x:f>
        <x:v>752</x:v>
      </x:c>
      <x:c r="B756" s="7" t="n">
        <x:f>IF(AND('요약'!$B$20,A756&lt;='요약'!$B$6),NORM.S.INV((A756-0.5)/'요약'!$B$6),"")</x:f>
        <x:v>0.6792175956552188</x:v>
      </x:c>
      <x:c r="C756" s="7" t="n">
        <x:f>IF(AND('요약'!$B$20,A756&lt;='요약'!$B$6),LARGE('계산'!$B$2:$B$2001,'요약'!$B$6-A756+1),"")</x:f>
        <x:v>0.0066271239033912025</x:v>
      </x:c>
      <x:c r="D756" s="7" t="n">
        <x:f>IF(ISNUMBER(B756),'요약'!$B$7+'요약'!$B$13*B756,"")</x:f>
        <x:v>0.006818491748322329</x:v>
      </x:c>
    </x:row>
    <x:row r="757">
      <x:c r="A757" t="n">
        <x:f>753</x:f>
        <x:v>753</x:v>
      </x:c>
      <x:c r="B757" s="7" t="n">
        <x:f>IF(AND('요약'!$B$20,A757&lt;='요약'!$B$6),NORM.S.INV((A757-0.5)/'요약'!$B$6),"")</x:f>
        <x:v>0.6823779417884335</x:v>
      </x:c>
      <x:c r="C757" s="7" t="n">
        <x:f>IF(AND('요약'!$B$20,A757&lt;='요약'!$B$6),LARGE('계산'!$B$2:$B$2001,'요약'!$B$6-A757+1),"")</x:f>
        <x:v>0.006638582961846316</x:v>
      </x:c>
      <x:c r="D757" s="7" t="n">
        <x:f>IF(ISNUMBER(B757),'요약'!$B$7+'요약'!$B$13*B757,"")</x:f>
        <x:v>0.0068504421087674855</x:v>
      </x:c>
    </x:row>
    <x:row r="758">
      <x:c r="A758" t="n">
        <x:f>754</x:f>
        <x:v>754</x:v>
      </x:c>
      <x:c r="B758" s="7" t="n">
        <x:f>IF(AND('요약'!$B$20,A758&lt;='요약'!$B$6),NORM.S.INV((A758-0.5)/'요약'!$B$6),"")</x:f>
        <x:v>0.6855451181170549</x:v>
      </x:c>
      <x:c r="C758" s="7" t="n">
        <x:f>IF(AND('요약'!$B$20,A758&lt;='요약'!$B$6),LARGE('계산'!$B$2:$B$2001,'요약'!$B$6-A758+1),"")</x:f>
        <x:v>0.006663079400884217</x:v>
      </x:c>
      <x:c r="D758" s="7" t="n">
        <x:f>IF(ISNUMBER(B758),'요약'!$B$7+'요약'!$B$13*B758,"")</x:f>
        <x:v>0.0068824615208911465</x:v>
      </x:c>
    </x:row>
    <x:row r="759">
      <x:c r="A759" t="n">
        <x:f>755</x:f>
        <x:v>755</x:v>
      </x:c>
      <x:c r="B759" s="7" t="n">
        <x:f>IF(AND('요약'!$B$20,A759&lt;='요약'!$B$6),NORM.S.INV((A759-0.5)/'요약'!$B$6),"")</x:f>
        <x:v>0.6887191861363625</x:v>
      </x:c>
      <x:c r="C759" s="7" t="n">
        <x:f>IF(AND('요약'!$B$20,A759&lt;='요약'!$B$6),LARGE('계산'!$B$2:$B$2001,'요약'!$B$6-A759+1),"")</x:f>
        <x:v>0.006709545733138368</x:v>
      </x:c>
      <x:c r="D759" s="7" t="n">
        <x:f>IF(ISNUMBER(B759),'요약'!$B$7+'요약'!$B$13*B759,"")</x:f>
        <x:v>0.0069145506063962095</x:v>
      </x:c>
    </x:row>
    <x:row r="760">
      <x:c r="A760" t="n">
        <x:f>756</x:f>
        <x:v>756</x:v>
      </x:c>
      <x:c r="B760" s="7" t="n">
        <x:f>IF(AND('요약'!$B$20,A760&lt;='요약'!$B$6),NORM.S.INV((A760-0.5)/'요약'!$B$6),"")</x:f>
        <x:v>0.6919002080219894</x:v>
      </x:c>
      <x:c r="C760" s="7" t="n">
        <x:f>IF(AND('요약'!$B$20,A760&lt;='요약'!$B$6),LARGE('계산'!$B$2:$B$2001,'요약'!$B$6-A760+1),"")</x:f>
        <x:v>0.006714217548258947</x:v>
      </x:c>
      <x:c r="D760" s="7" t="n">
        <x:f>IF(ISNUMBER(B760),'요약'!$B$7+'요약'!$B$13*B760,"")</x:f>
        <x:v>0.006946709993863786</x:v>
      </x:c>
    </x:row>
    <x:row r="761">
      <x:c r="A761" t="n">
        <x:f>757</x:f>
        <x:v>757</x:v>
      </x:c>
      <x:c r="B761" s="7" t="n">
        <x:f>IF(AND('요약'!$B$20,A761&lt;='요약'!$B$6),NORM.S.INV((A761-0.5)/'요약'!$B$6),"")</x:f>
        <x:v>0.6950882466409002</x:v>
      </x:c>
      <x:c r="C761" s="7" t="n">
        <x:f>IF(AND('요약'!$B$20,A761&lt;='요약'!$B$6),LARGE('계산'!$B$2:$B$2001,'요약'!$B$6-A761+1),"")</x:f>
        <x:v>0.006738606747578889</x:v>
      </x:c>
      <x:c r="D761" s="7" t="n">
        <x:f>IF(ISNUMBER(B761),'요약'!$B$7+'요약'!$B$13*B761,"")</x:f>
        <x:v>0.00697894031886419</x:v>
      </x:c>
    </x:row>
    <x:row r="762">
      <x:c r="A762" t="n">
        <x:f>758</x:f>
        <x:v>758</x:v>
      </x:c>
      <x:c r="B762" s="7" t="n">
        <x:f>IF(AND('요약'!$B$20,A762&lt;='요약'!$B$6),NORM.S.INV((A762-0.5)/'요약'!$B$6),"")</x:f>
        <x:v>0.6982833655625874</x:v>
      </x:c>
      <x:c r="C762" s="7" t="n">
        <x:f>IF(AND('요약'!$B$20,A762&lt;='요약'!$B$6),LARGE('계산'!$B$2:$B$2001,'요약'!$B$6-A762+1),"")</x:f>
        <x:v>0.006752945208341593</x:v>
      </x:c>
      <x:c r="D762" s="7" t="n">
        <x:f>IF(ISNUMBER(B762),'요약'!$B$7+'요약'!$B$13*B762,"")</x:f>
        <x:v>0.007011242224070124</x:v>
      </x:c>
    </x:row>
    <x:row r="763">
      <x:c r="A763" t="n">
        <x:f>759</x:f>
        <x:v>759</x:v>
      </x:c>
      <x:c r="B763" s="7" t="n">
        <x:f>IF(AND('요약'!$B$20,A763&lt;='요약'!$B$6),NORM.S.INV((A763-0.5)/'요약'!$B$6),"")</x:f>
        <x:v>0.70148562907049</x:v>
      </x:c>
      <x:c r="C763" s="7" t="n">
        <x:f>IF(AND('요약'!$B$20,A763&lt;='요약'!$B$6),LARGE('계산'!$B$2:$B$2001,'요약'!$B$6-A763+1),"")</x:f>
        <x:v>0.006788260699874992</x:v>
      </x:c>
      <x:c r="D763" s="7" t="n">
        <x:f>IF(ISNUMBER(B763),'요약'!$B$7+'요약'!$B$13*B763,"")</x:f>
        <x:v>0.007043616359372128</x:v>
      </x:c>
    </x:row>
    <x:row r="764">
      <x:c r="A764" t="n">
        <x:f>760</x:f>
        <x:v>760</x:v>
      </x:c>
      <x:c r="B764" s="7" t="n">
        <x:f>IF(AND('요약'!$B$20,A764&lt;='요약'!$B$6),NORM.S.INV((A764-0.5)/'요약'!$B$6),"")</x:f>
        <x:v>0.7046951021736428</x:v>
      </x:c>
      <x:c r="C764" s="7" t="n">
        <x:f>IF(AND('요약'!$B$20,A764&lt;='요약'!$B$6),LARGE('계산'!$B$2:$B$2001,'요약'!$B$6-A764+1),"")</x:f>
        <x:v>0.006845689178415148</x:v>
      </x:c>
      <x:c r="D764" s="7" t="n">
        <x:f>IF(ISNUMBER(B764),'요약'!$B$7+'요약'!$B$13*B764,"")</x:f>
        <x:v>0.007076063381996344</x:v>
      </x:c>
    </x:row>
    <x:row r="765">
      <x:c r="A765" t="n">
        <x:f>761</x:f>
        <x:v>761</x:v>
      </x:c>
      <x:c r="B765" s="7" t="n">
        <x:f>IF(AND('요약'!$B$20,A765&lt;='요약'!$B$6),NORM.S.INV((A765-0.5)/'요약'!$B$6),"")</x:f>
        <x:v>0.7079118506185639</x:v>
      </x:c>
      <x:c r="C765" s="7" t="n">
        <x:f>IF(AND('요약'!$B$20,A765&lt;='요약'!$B$6),LARGE('계산'!$B$2:$B$2001,'요약'!$B$6-A765+1),"")</x:f>
        <x:v>0.006849703815081648</x:v>
      </x:c>
      <x:c r="D765" s="7" t="n">
        <x:f>IF(ISNUMBER(B765),'요약'!$B$7+'요약'!$B$13*B765,"")</x:f>
        <x:v>0.007108583956624693</x:v>
      </x:c>
    </x:row>
    <x:row r="766">
      <x:c r="A766" t="n">
        <x:f>762</x:f>
        <x:v>762</x:v>
      </x:c>
      <x:c r="B766" s="7" t="n">
        <x:f>IF(AND('요약'!$B$20,A766&lt;='요약'!$B$6),NORM.S.INV((A766-0.5)/'요약'!$B$6),"")</x:f>
        <x:v>0.7111359409013776</x:v>
      </x:c>
      <x:c r="C766" s="7" t="n">
        <x:f>IF(AND('요약'!$B$20,A766&lt;='요약'!$B$6),LARGE('계산'!$B$2:$B$2001,'요약'!$B$6-A766+1),"")</x:f>
        <x:v>0.006850921469281902</x:v>
      </x:c>
      <x:c r="D766" s="7" t="n">
        <x:f>IF(ISNUMBER(B766),'요약'!$B$7+'요약'!$B$13*B766,"")</x:f>
        <x:v>0.007141178755517445</x:v>
      </x:c>
    </x:row>
    <x:row r="767">
      <x:c r="A767" t="n">
        <x:f>763</x:f>
        <x:v>763</x:v>
      </x:c>
      <x:c r="B767" s="7" t="n">
        <x:f>IF(AND('요약'!$B$20,A767&lt;='요약'!$B$6),NORM.S.INV((A767-0.5)/'요약'!$B$6),"")</x:f>
        <x:v>0.7143674402801875</x:v>
      </x:c>
      <x:c r="C767" s="7" t="n">
        <x:f>IF(AND('요약'!$B$20,A767&lt;='요약'!$B$6),LARGE('계산'!$B$2:$B$2001,'요약'!$B$6-A767+1),"")</x:f>
        <x:v>0.006982569806328097</x:v>
      </x:c>
      <x:c r="D767" s="7" t="n">
        <x:f>IF(ISNUMBER(B767),'요약'!$B$7+'요약'!$B$13*B767,"")</x:f>
        <x:v>0.007173848458638304</x:v>
      </x:c>
    </x:row>
    <x:row r="768">
      <x:c r="A768" t="n">
        <x:f>764</x:f>
        <x:v>764</x:v>
      </x:c>
      <x:c r="B768" s="7" t="n">
        <x:f>IF(AND('요약'!$B$20,A768&lt;='요약'!$B$6),NORM.S.INV((A768-0.5)/'요약'!$B$6),"")</x:f>
        <x:v>0.7176064167877055</x:v>
      </x:c>
      <x:c r="C768" s="7" t="n">
        <x:f>IF(AND('요약'!$B$20,A768&lt;='요약'!$B$6),LARGE('계산'!$B$2:$B$2001,'요약'!$B$6-A768+1),"")</x:f>
        <x:v>0.007010837350663446</x:v>
      </x:c>
      <x:c r="D768" s="7" t="n">
        <x:f>IF(ISNUMBER(B768),'요약'!$B$7+'요약'!$B$13*B768,"")</x:f>
        <x:v>0.007206593753782076</x:v>
      </x:c>
    </x:row>
    <x:row r="769">
      <x:c r="A769" t="n">
        <x:f>765</x:f>
        <x:v>765</x:v>
      </x:c>
      <x:c r="B769" s="7" t="n">
        <x:f>IF(AND('요약'!$B$20,A769&lt;='요약'!$B$6),NORM.S.INV((A769-0.5)/'요약'!$B$6),"")</x:f>
        <x:v>0.7208529392441333</x:v>
      </x:c>
      <x:c r="C769" s="7" t="n">
        <x:f>IF(AND('요약'!$B$20,A769&lt;='요약'!$B$6),LARGE('계산'!$B$2:$B$2001,'요약'!$B$6-A769+1),"")</x:f>
        <x:v>0.007066688626041808</x:v>
      </x:c>
      <x:c r="D769" s="7" t="n">
        <x:f>IF(ISNUMBER(B769),'요약'!$B$7+'요약'!$B$13*B769,"")</x:f>
        <x:v>0.007239415336704909</x:v>
      </x:c>
    </x:row>
    <x:row r="770">
      <x:c r="A770" t="n">
        <x:f>766</x:f>
        <x:v>766</x:v>
      </x:c>
      <x:c r="B770" s="7" t="n">
        <x:f>IF(AND('요약'!$B$20,A770&lt;='요약'!$B$6),NORM.S.INV((A770-0.5)/'요약'!$B$6),"")</x:f>
        <x:v>0.7241070772703165</x:v>
      </x:c>
      <x:c r="C770" s="7" t="n">
        <x:f>IF(AND('요약'!$B$20,A770&lt;='요약'!$B$6),LARGE('계산'!$B$2:$B$2001,'요약'!$B$6-A770+1),"")</x:f>
        <x:v>0.007095385794504991</x:v>
      </x:c>
      <x:c r="D770" s="7" t="n">
        <x:f>IF(ISNUMBER(B770),'요약'!$B$7+'요약'!$B$13*B770,"")</x:f>
        <x:v>0.007272313911257274</x:v>
      </x:c>
    </x:row>
    <x:row r="771">
      <x:c r="A771" t="n">
        <x:f>767</x:f>
        <x:v>767</x:v>
      </x:c>
      <x:c r="B771" s="7" t="n">
        <x:f>IF(AND('요약'!$B$20,A771&lt;='요약'!$B$6),NORM.S.INV((A771-0.5)/'요약'!$B$6),"")</x:f>
        <x:v>0.727368901301169</x:v>
      </x:c>
      <x:c r="C771" s="7" t="n">
        <x:f>IF(AND('요약'!$B$20,A771&lt;='요약'!$B$6),LARGE('계산'!$B$2:$B$2001,'요약'!$B$6-A771+1),"")</x:f>
        <x:v>0.007123787120307967</x:v>
      </x:c>
      <x:c r="D771" s="7" t="n">
        <x:f>IF(ISNUMBER(B771),'요약'!$B$7+'요약'!$B$13*B771,"")</x:f>
        <x:v>0.007305290189519681</x:v>
      </x:c>
    </x:row>
    <x:row r="772">
      <x:c r="A772" t="n">
        <x:f>768</x:f>
        <x:v>768</x:v>
      </x:c>
      <x:c r="B772" s="7" t="n">
        <x:f>IF(AND('요약'!$B$20,A772&lt;='요약'!$B$6),NORM.S.INV((A772-0.5)/'요약'!$B$6),"")</x:f>
        <x:v>0.730638482599372</x:v>
      </x:c>
      <x:c r="C772" s="7" t="n">
        <x:f>IF(AND('요약'!$B$20,A772&lt;='요약'!$B$6),LARGE('계산'!$B$2:$B$2001,'요약'!$B$6-A772+1),"")</x:f>
        <x:v>0.007175323575867189</x:v>
      </x:c>
      <x:c r="D772" s="7" t="n">
        <x:f>IF(ISNUMBER(B772),'요약'!$B$7+'요약'!$B$13*B772,"")</x:f>
        <x:v>0.007338344891941174</x:v>
      </x:c>
    </x:row>
    <x:row r="773">
      <x:c r="A773" t="n">
        <x:f>769</x:f>
        <x:v>769</x:v>
      </x:c>
      <x:c r="B773" s="7" t="n">
        <x:f>IF(AND('요약'!$B$20,A773&lt;='요약'!$B$6),NORM.S.INV((A773-0.5)/'요약'!$B$6),"")</x:f>
        <x:v>0.7339158932693709</x:v>
      </x:c>
      <x:c r="C773" s="7" t="n">
        <x:f>IF(AND('요약'!$B$20,A773&lt;='요약'!$B$6),LARGE('계산'!$B$2:$B$2001,'요약'!$B$6-A773+1),"")</x:f>
        <x:v>0.007221012173334191</x:v>
      </x:c>
      <x:c r="D773" s="7" t="n">
        <x:f>IF(ISNUMBER(B773),'요약'!$B$7+'요약'!$B$13*B773,"")</x:f>
        <x:v>0.007371478747480836</x:v>
      </x:c>
    </x:row>
    <x:row r="774">
      <x:c r="A774" t="n">
        <x:f>770</x:f>
        <x:v>770</x:v>
      </x:c>
      <x:c r="B774" s="7" t="n">
        <x:f>IF(AND('요약'!$B$20,A774&lt;='요약'!$B$6),NORM.S.INV((A774-0.5)/'요약'!$B$6),"")</x:f>
        <x:v>0.7372012062716544</x:v>
      </x:c>
      <x:c r="C774" s="7" t="n">
        <x:f>IF(AND('요약'!$B$20,A774&lt;='요약'!$B$6),LARGE('계산'!$B$2:$B$2001,'요약'!$B$6-A774+1),"")</x:f>
        <x:v>0.007294705136501021</x:v>
      </x:c>
      <x:c r="D774" s="7" t="n">
        <x:f>IF(ISNUMBER(B774),'요약'!$B$7+'요약'!$B$13*B774,"")</x:f>
        <x:v>0.007404692493752148</x:v>
      </x:c>
    </x:row>
    <x:row r="775">
      <x:c r="A775" t="n">
        <x:f>771</x:f>
        <x:v>771</x:v>
      </x:c>
      <x:c r="B775" s="7" t="n">
        <x:f>IF(AND('요약'!$B$20,A775&lt;='요약'!$B$6),NORM.S.INV((A775-0.5)/'요약'!$B$6),"")</x:f>
        <x:v>0.7404944954373419</x:v>
      </x:c>
      <x:c r="C775" s="7" t="n">
        <x:f>IF(AND('요약'!$B$20,A775&lt;='요약'!$B$6),LARGE('계산'!$B$2:$B$2001,'요약'!$B$6-A775+1),"")</x:f>
        <x:v>0.007312500411257819</x:v>
      </x:c>
      <x:c r="D775" s="7" t="n">
        <x:f>IF(ISNUMBER(B775),'요약'!$B$7+'요약'!$B$13*B775,"")</x:f>
        <x:v>0.0074379868771704645</x:v>
      </x:c>
    </x:row>
    <x:row r="776">
      <x:c r="A776" t="n">
        <x:f>772</x:f>
        <x:v>772</x:v>
      </x:c>
      <x:c r="B776" s="7" t="n">
        <x:f>IF(AND('요약'!$B$20,A776&lt;='요약'!$B$6),NORM.S.INV((A776-0.5)/'요약'!$B$6),"")</x:f>
        <x:v>0.7437958354830786</x:v>
      </x:c>
      <x:c r="C776" s="7" t="n">
        <x:f>IF(AND('요약'!$B$20,A776&lt;='요약'!$B$6),LARGE('계산'!$B$2:$B$2001,'요약'!$B$6-A776+1),"")</x:f>
        <x:v>0.00731559155428406</x:v>
      </x:c>
      <x:c r="D776" s="7" t="n">
        <x:f>IF(ISNUMBER(B776),'요약'!$B$7+'요약'!$B$13*B776,"")</x:f>
        <x:v>0.007471362653103597</x:v>
      </x:c>
    </x:row>
    <x:row r="777">
      <x:c r="A777" t="n">
        <x:f>773</x:f>
        <x:v>773</x:v>
      </x:c>
      <x:c r="B777" s="7" t="n">
        <x:f>IF(AND('요약'!$B$20,A777&lt;='요약'!$B$6),NORM.S.INV((A777-0.5)/'요약'!$B$6),"")</x:f>
        <x:v>0.7471053020262451</x:v>
      </x:c>
      <x:c r="C777" s="7" t="n">
        <x:f>IF(AND('요약'!$B$20,A777&lt;='요약'!$B$6),LARGE('계산'!$B$2:$B$2001,'요약'!$B$6-A777+1),"")</x:f>
        <x:v>0.007322118749073701</x:v>
      </x:c>
      <x:c r="D777" s="7" t="n">
        <x:f>IF(ISNUMBER(B777),'요약'!$B$7+'요약'!$B$13*B777,"")</x:f>
        <x:v>0.007504820586025583</x:v>
      </x:c>
    </x:row>
    <x:row r="778">
      <x:c r="A778" t="n">
        <x:f>774</x:f>
        <x:v>774</x:v>
      </x:c>
      <x:c r="B778" s="7" t="n">
        <x:f>IF(AND('요약'!$B$20,A778&lt;='요약'!$B$6),NORM.S.INV((A778-0.5)/'요약'!$B$6),"")</x:f>
        <x:v>0.7504229716004979</x:v>
      </x:c>
      <x:c r="C778" s="7" t="n">
        <x:f>IF(AND('요약'!$B$20,A778&lt;='요약'!$B$6),LARGE('계산'!$B$2:$B$2001,'요약'!$B$6-A778+1),"")</x:f>
        <x:v>0.007326194600390143</x:v>
      </x:c>
      <x:c r="D778" s="7" t="n">
        <x:f>IF(ISNUMBER(B778),'요약'!$B$7+'요약'!$B$13*B778,"")</x:f>
        <x:v>0.007538361449673793</x:v>
      </x:c>
    </x:row>
    <x:row r="779">
      <x:c r="A779" t="n">
        <x:f>775</x:f>
        <x:v>775</x:v>
      </x:c>
      <x:c r="B779" s="7" t="n">
        <x:f>IF(AND('요약'!$B$20,A779&lt;='요약'!$B$6),NORM.S.INV((A779-0.5)/'요약'!$B$6),"")</x:f>
        <x:v>0.7537489216716377</x:v>
      </x:c>
      <x:c r="C779" s="7" t="n">
        <x:f>IF(AND('요약'!$B$20,A779&lt;='요약'!$B$6),LARGE('계산'!$B$2:$B$2001,'요약'!$B$6-A779+1),"")</x:f>
        <x:v>0.007330565688673224</x:v>
      </x:c>
      <x:c r="D779" s="7" t="n">
        <x:f>IF(ISNUMBER(B779),'요약'!$B$7+'요약'!$B$13*B779,"")</x:f>
        <x:v>0.007571986027209361</x:v>
      </x:c>
    </x:row>
    <x:row r="780">
      <x:c r="A780" t="n">
        <x:f>776</x:f>
        <x:v>776</x:v>
      </x:c>
      <x:c r="B780" s="7" t="n">
        <x:f>IF(AND('요약'!$B$20,A780&lt;='요약'!$B$6),NORM.S.INV((A780-0.5)/'요약'!$B$6),"")</x:f>
        <x:v>0.7570832306538239</x:v>
      </x:c>
      <x:c r="C780" s="7" t="n">
        <x:f>IF(AND('요약'!$B$20,A780&lt;='요약'!$B$6),LARGE('계산'!$B$2:$B$2001,'요약'!$B$6-A780+1),"")</x:f>
        <x:v>0.007349153194581311</x:v>
      </x:c>
      <x:c r="D780" s="7" t="n">
        <x:f>IF(ISNUMBER(B780),'요약'!$B$7+'요약'!$B$13*B780,"")</x:f>
        <x:v>0.007605695111381102</x:v>
      </x:c>
    </x:row>
    <x:row r="781">
      <x:c r="A781" t="n">
        <x:f>777</x:f>
        <x:v>777</x:v>
      </x:c>
      <x:c r="B781" s="7" t="n">
        <x:f>IF(AND('요약'!$B$20,A781&lt;='요약'!$B$6),NORM.S.INV((A781-0.5)/'요약'!$B$6),"")</x:f>
        <x:v>0.760425977926141</x:v>
      </x:c>
      <x:c r="C781" s="7" t="n">
        <x:f>IF(AND('요약'!$B$20,A781&lt;='요약'!$B$6),LARGE('계산'!$B$2:$B$2001,'요약'!$B$6-A781+1),"")</x:f>
        <x:v>0.0073782428059706645</x:v>
      </x:c>
      <x:c r="D781" s="7" t="n">
        <x:f>IF(ISNUMBER(B781),'요약'!$B$7+'요약'!$B$13*B781,"")</x:f>
        <x:v>0.007639489504693</x:v>
      </x:c>
    </x:row>
    <x:row r="782">
      <x:c r="A782" t="n">
        <x:f>778</x:f>
        <x:v>778</x:v>
      </x:c>
      <x:c r="B782" s="7" t="n">
        <x:f>IF(AND('요약'!$B$20,A782&lt;='요약'!$B$6),NORM.S.INV((A782-0.5)/'요약'!$B$6),"")</x:f>
        <x:v>0.7637772438495222</x:v>
      </x:c>
      <x:c r="C782" s="7" t="n">
        <x:f>IF(AND('요약'!$B$20,A782&lt;='요약'!$B$6),LARGE('계산'!$B$2:$B$2001,'요약'!$B$6-A782+1),"")</x:f>
        <x:v>0.007401112978771358</x:v>
      </x:c>
      <x:c r="D782" s="7" t="n">
        <x:f>IF(ISNUMBER(B782),'요약'!$B$7+'요약'!$B$13*B782,"")</x:f>
        <x:v>0.007673370019575299</x:v>
      </x:c>
    </x:row>
    <x:row r="783">
      <x:c r="A783" t="n">
        <x:f>779</x:f>
        <x:v>779</x:v>
      </x:c>
      <x:c r="B783" s="7" t="n">
        <x:f>IF(AND('요약'!$B$20,A783&lt;='요약'!$B$6),NORM.S.INV((A783-0.5)/'요약'!$B$6),"")</x:f>
        <x:v>0.7671371097840485</x:v>
      </x:c>
      <x:c r="C783" s="7" t="n">
        <x:f>IF(AND('요약'!$B$20,A783&lt;='요약'!$B$6),LARGE('계산'!$B$2:$B$2001,'요약'!$B$6-A783+1),"")</x:f>
        <x:v>0.0074431840858504355</x:v>
      </x:c>
      <x:c r="D783" s="7" t="n">
        <x:f>IF(ISNUMBER(B783),'요약'!$B$7+'요약'!$B$13*B783,"")</x:f>
        <x:v>0.007707337478559396</x:v>
      </x:c>
    </x:row>
    <x:row r="784">
      <x:c r="A784" t="n">
        <x:f>780</x:f>
        <x:v>780</x:v>
      </x:c>
      <x:c r="B784" s="7" t="n">
        <x:f>IF(AND('요약'!$B$20,A784&lt;='요약'!$B$6),NORM.S.INV((A784-0.5)/'요약'!$B$6),"")</x:f>
        <x:v>0.7705056581066219</x:v>
      </x:c>
      <x:c r="C784" s="7" t="n">
        <x:f>IF(AND('요약'!$B$20,A784&lt;='요약'!$B$6),LARGE('계산'!$B$2:$B$2001,'요약'!$B$6-A784+1),"")</x:f>
        <x:v>0.007518649631009927</x:v>
      </x:c>
      <x:c r="D784" s="7" t="n">
        <x:f>IF(ISNUMBER(B784),'요약'!$B$7+'요약'!$B$13*B784,"")</x:f>
        <x:v>0.007741392714456506</x:v>
      </x:c>
    </x:row>
    <x:row r="785">
      <x:c r="A785" t="n">
        <x:f>781</x:f>
        <x:v>781</x:v>
      </x:c>
      <x:c r="B785" s="7" t="n">
        <x:f>IF(AND('요약'!$B$20,A785&lt;='요약'!$B$6),NORM.S.INV((A785-0.5)/'요약'!$B$6),"")</x:f>
        <x:v>0.7738829722290366</x:v>
      </x:c>
      <x:c r="C785" s="7" t="n">
        <x:f>IF(AND('요약'!$B$20,A785&lt;='요약'!$B$6),LARGE('계산'!$B$2:$B$2001,'요약'!$B$6-A785+1),"")</x:f>
        <x:v>0.007536836552699775</x:v>
      </x:c>
      <x:c r="D785" s="7" t="n">
        <x:f>IF(ISNUMBER(B785),'요약'!$B$7+'요약'!$B$13*B785,"")</x:f>
        <x:v>0.007775536570540365</x:v>
      </x:c>
    </x:row>
    <x:row r="786">
      <x:c r="A786" t="n">
        <x:f>782</x:f>
        <x:v>782</x:v>
      </x:c>
      <x:c r="B786" s="7" t="n">
        <x:f>IF(AND('요약'!$B$20,A786&lt;='요약'!$B$6),NORM.S.INV((A786-0.5)/'요약'!$B$6),"")</x:f>
        <x:v>0.777269136616444</x:v>
      </x:c>
      <x:c r="C786" s="7" t="n">
        <x:f>IF(AND('요약'!$B$20,A786&lt;='요약'!$B$6),LARGE('계산'!$B$2:$B$2001,'요약'!$B$6-A786+1),"")</x:f>
        <x:v>0.007550959732334497</x:v>
      </x:c>
      <x:c r="D786" s="7" t="n">
        <x:f>IF(ISNUMBER(B786),'요약'!$B$7+'요약'!$B$13*B786,"")</x:f>
        <x:v>0.007809769900733906</x:v>
      </x:c>
    </x:row>
    <x:row r="787">
      <x:c r="A787" t="n">
        <x:f>783</x:f>
        <x:v>783</x:v>
      </x:c>
      <x:c r="B787" s="7" t="n">
        <x:f>IF(AND('요약'!$B$20,A787&lt;='요약'!$B$6),NORM.S.INV((A787-0.5)/'요약'!$B$6),"")</x:f>
        <x:v>0.7806642368062333</x:v>
      </x:c>
      <x:c r="C787" s="7" t="n">
        <x:f>IF(AND('요약'!$B$20,A787&lt;='요약'!$B$6),LARGE('계산'!$B$2:$B$2001,'요약'!$B$6-A787+1),"")</x:f>
        <x:v>0.007555362948614445</x:v>
      </x:c>
      <x:c r="D787" s="7" t="n">
        <x:f>IF(ISNUMBER(B787),'요약'!$B$7+'요약'!$B$13*B787,"")</x:f>
        <x:v>0.007844093569800132</x:v>
      </x:c>
    </x:row>
    <x:row r="788">
      <x:c r="A788" t="n">
        <x:f>784</x:f>
        <x:v>784</x:v>
      </x:c>
      <x:c r="B788" s="7" t="n">
        <x:f>IF(AND('요약'!$B$20,A788&lt;='요약'!$B$6),NORM.S.INV((A788-0.5)/'요약'!$B$6),"")</x:f>
        <x:v>0.7840683594273344</x:v>
      </x:c>
      <x:c r="C788" s="7" t="n">
        <x:f>IF(AND('요약'!$B$20,A788&lt;='요약'!$B$6),LARGE('계산'!$B$2:$B$2001,'요약'!$B$6-A788+1),"")</x:f>
        <x:v>0.007630261905015059</x:v>
      </x:c>
      <x:c r="D788" s="7" t="n">
        <x:f>IF(ISNUMBER(B788),'요약'!$B$7+'요약'!$B$13*B788,"")</x:f>
        <x:v>0.00787850845353727</x:v>
      </x:c>
    </x:row>
    <x:row r="789">
      <x:c r="A789" t="n">
        <x:f>785</x:f>
        <x:v>785</x:v>
      </x:c>
      <x:c r="B789" s="7" t="n">
        <x:f>IF(AND('요약'!$B$20,A789&lt;='요약'!$B$6),NORM.S.INV((A789-0.5)/'요약'!$B$6),"")</x:f>
        <x:v>0.7874815922199551</x:v>
      </x:c>
      <x:c r="C789" s="7" t="n">
        <x:f>IF(AND('요약'!$B$20,A789&lt;='요약'!$B$6),LARGE('계산'!$B$2:$B$2001,'요약'!$B$6-A789+1),"")</x:f>
        <x:v>0.00764496522741804</x:v>
      </x:c>
      <x:c r="D789" s="7" t="n">
        <x:f>IF(ISNUMBER(B789),'요약'!$B$7+'요약'!$B$13*B789,"")</x:f>
        <x:v>0.007913015438978299</x:v>
      </x:c>
    </x:row>
    <x:row r="790">
      <x:c r="A790" t="n">
        <x:f>786</x:f>
        <x:v>786</x:v>
      </x:c>
      <x:c r="B790" s="7" t="n">
        <x:f>IF(AND('요약'!$B$20,A790&lt;='요약'!$B$6),NORM.S.INV((A790-0.5)/'요약'!$B$6),"")</x:f>
        <x:v>0.7909040240557629</x:v>
      </x:c>
      <x:c r="C790" s="7" t="n">
        <x:f>IF(AND('요약'!$B$20,A790&lt;='요약'!$B$6),LARGE('계산'!$B$2:$B$2001,'요약'!$B$6-A790+1),"")</x:f>
        <x:v>0.007656332611301733</x:v>
      </x:c>
      <x:c r="D790" s="7" t="n">
        <x:f>IF(ISNUMBER(B790),'요약'!$B$7+'요약'!$B$13*B790,"")</x:f>
        <x:v>0.007947615424595003</x:v>
      </x:c>
    </x:row>
    <x:row r="791">
      <x:c r="A791" t="n">
        <x:f>787</x:f>
        <x:v>787</x:v>
      </x:c>
      <x:c r="B791" s="7" t="n">
        <x:f>IF(AND('요약'!$B$20,A791&lt;='요약'!$B$6),NORM.S.INV((A791-0.5)/'요약'!$B$6),"")</x:f>
        <x:v>0.7943357449585283</x:v>
      </x:c>
      <x:c r="C791" s="7" t="n">
        <x:f>IF(AND('요약'!$B$20,A791&lt;='요약'!$B$6),LARGE('계산'!$B$2:$B$2001,'요약'!$B$6-A791+1),"")</x:f>
        <x:v>0.007680471079159633</x:v>
      </x:c>
      <x:c r="D791" s="7" t="n">
        <x:f>IF(ISNUMBER(B791),'요약'!$B$7+'요약'!$B$13*B791,"")</x:f>
        <x:v>0.007982309320506652</x:v>
      </x:c>
    </x:row>
    <x:row r="792">
      <x:c r="A792" t="n">
        <x:f>788</x:f>
        <x:v>788</x:v>
      </x:c>
      <x:c r="B792" s="7" t="n">
        <x:f>IF(AND('요약'!$B$20,A792&lt;='요약'!$B$6),NORM.S.INV((A792-0.5)/'요약'!$B$6),"")</x:f>
        <x:v>0.7977768461252384</x:v>
      </x:c>
      <x:c r="C792" s="7" t="n">
        <x:f>IF(AND('요약'!$B$20,A792&lt;='요약'!$B$6),LARGE('계산'!$B$2:$B$2001,'요약'!$B$6-A792+1),"")</x:f>
        <x:v>0.007694222947868969</x:v>
      </x:c>
      <x:c r="D792" s="7" t="n">
        <x:f>IF(ISNUMBER(B792),'요약'!$B$7+'요약'!$B$13*B792,"")</x:f>
        <x:v>0.00801709804869346</x:v>
      </x:c>
    </x:row>
    <x:row r="793">
      <x:c r="A793" t="n">
        <x:f>789</x:f>
        <x:v>789</x:v>
      </x:c>
      <x:c r="B793" s="7" t="n">
        <x:f>IF(AND('요약'!$B$20,A793&lt;='요약'!$B$6),NORM.S.INV((A793-0.5)/'요약'!$B$6),"")</x:f>
        <x:v>0.8012274199476916</x:v>
      </x:c>
      <x:c r="C793" s="7" t="n">
        <x:f>IF(AND('요약'!$B$20,A793&lt;='요약'!$B$6),LARGE('계산'!$B$2:$B$2001,'요약'!$B$6-A793+1),"")</x:f>
        <x:v>0.007696806637142092</x:v>
      </x:c>
      <x:c r="D793" s="7" t="n">
        <x:f>IF(ISNUMBER(B793),'요약'!$B$7+'요약'!$B$13*B793,"")</x:f>
        <x:v>0.008051982543214906</x:v>
      </x:c>
    </x:row>
    <x:row r="794">
      <x:c r="A794" t="n">
        <x:f>790</x:f>
        <x:v>790</x:v>
      </x:c>
      <x:c r="B794" s="7" t="n">
        <x:f>IF(AND('요약'!$B$20,A794&lt;='요약'!$B$6),NORM.S.INV((A794-0.5)/'요약'!$B$6),"")</x:f>
        <x:v>0.8046875600345964</x:v>
      </x:c>
      <x:c r="C794" s="7" t="n">
        <x:f>IF(AND('요약'!$B$20,A794&lt;='요약'!$B$6),LARGE('계산'!$B$2:$B$2001,'요약'!$B$6-A794+1),"")</x:f>
        <x:v>0.007719525669851715</x:v>
      </x:c>
      <x:c r="D794" s="7" t="n">
        <x:f>IF(ISNUMBER(B794),'요약'!$B$7+'요약'!$B$13*B794,"")</x:f>
        <x:v>0.008086963750433144</x:v>
      </x:c>
    </x:row>
    <x:row r="795">
      <x:c r="A795" t="n">
        <x:f>791</x:f>
        <x:v>791</x:v>
      </x:c>
      <x:c r="B795" s="7" t="n">
        <x:f>IF(AND('요약'!$B$20,A795&lt;='요약'!$B$6),NORM.S.INV((A795-0.5)/'요약'!$B$6),"")</x:f>
        <x:v>0.8081573612341747</x:v>
      </x:c>
      <x:c r="C795" s="7" t="n">
        <x:f>IF(AND('요약'!$B$20,A795&lt;='요약'!$B$6),LARGE('계산'!$B$2:$B$2001,'요약'!$B$6-A795+1),"")</x:f>
        <x:v>0.007827478176518807</x:v>
      </x:c>
      <x:c r="D795" s="7" t="n">
        <x:f>IF(ISNUMBER(B795),'요약'!$B$7+'요약'!$B$13*B795,"")</x:f>
        <x:v>0.008122042629241521</x:v>
      </x:c>
    </x:row>
    <x:row r="796">
      <x:c r="A796" t="n">
        <x:f>792</x:f>
        <x:v>792</x:v>
      </x:c>
      <x:c r="B796" s="7" t="n">
        <x:f>IF(AND('요약'!$B$20,A796&lt;='요약'!$B$6),NORM.S.INV((A796-0.5)/'요약'!$B$6),"")</x:f>
        <x:v>0.8116369196572972</x:v>
      </x:c>
      <x:c r="C796" s="7" t="n">
        <x:f>IF(AND('요약'!$B$20,A796&lt;='요약'!$B$6),LARGE('계산'!$B$2:$B$2001,'요약'!$B$6-A796+1),"")</x:f>
        <x:v>0.007846531058094929</x:v>
      </x:c>
      <x:c r="D796" s="7" t="n">
        <x:f>IF(ISNUMBER(B796),'요약'!$B$7+'요약'!$B$13*B796,"")</x:f>
        <x:v>0.008157220151298468</x:v>
      </x:c>
    </x:row>
    <x:row r="797">
      <x:c r="A797" t="n">
        <x:f>793</x:f>
        <x:v>793</x:v>
      </x:c>
      <x:c r="B797" s="7" t="n">
        <x:f>IF(AND('요약'!$B$20,A797&lt;='요약'!$B$6),NORM.S.INV((A797-0.5)/'요약'!$B$6),"")</x:f>
        <x:v>0.8151263327011556</x:v>
      </x:c>
      <x:c r="C797" s="7" t="n">
        <x:f>IF(AND('요약'!$B$20,A797&lt;='요약'!$B$6),LARGE('계산'!$B$2:$B$2001,'요약'!$B$6-A797+1),"")</x:f>
        <x:v>0.007866521648161439</x:v>
      </x:c>
      <x:c r="D797" s="7" t="n">
        <x:f>IF(ISNUMBER(B797),'요약'!$B$7+'요약'!$B$13*B797,"")</x:f>
        <x:v>0.008192497301266817</x:v>
      </x:c>
    </x:row>
    <x:row r="798">
      <x:c r="A798" t="n">
        <x:f>794</x:f>
        <x:v>794</x:v>
      </x:c>
      <x:c r="B798" s="7" t="n">
        <x:f>IF(AND('요약'!$B$20,A798&lt;='요약'!$B$6),NORM.S.INV((A798-0.5)/'요약'!$B$6),"")</x:f>
        <x:v>0.8186256990734949</x:v>
      </x:c>
      <x:c r="C798" s="7" t="n">
        <x:f>IF(AND('요약'!$B$20,A798&lt;='요약'!$B$6),LARGE('계산'!$B$2:$B$2001,'요약'!$B$6-A798+1),"")</x:f>
        <x:v>0.007894560831499213</x:v>
      </x:c>
      <x:c r="D798" s="7" t="n">
        <x:f>IF(ISNUMBER(B798),'요약'!$B$7+'요약'!$B$13*B798,"")</x:f>
        <x:v>0.008227875077058789</x:v>
      </x:c>
    </x:row>
    <x:row r="799">
      <x:c r="A799" t="n">
        <x:f>795</x:f>
        <x:v>795</x:v>
      </x:c>
      <x:c r="B799" s="7" t="n">
        <x:f>IF(AND('요약'!$B$20,A799&lt;='요약'!$B$6),NORM.S.INV((A799-0.5)/'요약'!$B$6),"")</x:f>
        <x:v>0.8221351188174142</x:v>
      </x:c>
      <x:c r="C799" s="7" t="n">
        <x:f>IF(AND('요약'!$B$20,A799&lt;='요약'!$B$6),LARGE('계산'!$B$2:$B$2001,'요약'!$B$6-A799+1),"")</x:f>
        <x:v>0.007917794432662176</x:v>
      </x:c>
      <x:c r="D799" s="7" t="n">
        <x:f>IF(ISNUMBER(B799),'요약'!$B$7+'요약'!$B$13*B799,"")</x:f>
        <x:v>0.008263354490086727</x:v>
      </x:c>
    </x:row>
    <x:row r="800">
      <x:c r="A800" t="n">
        <x:f>796</x:f>
        <x:v>796</x:v>
      </x:c>
      <x:c r="B800" s="7" t="n">
        <x:f>IF(AND('요약'!$B$20,A800&lt;='요약'!$B$6),NORM.S.INV((A800-0.5)/'요약'!$B$6),"")</x:f>
        <x:v>0.8256546933367594</x:v>
      </x:c>
      <x:c r="C800" s="7" t="n">
        <x:f>IF(AND('요약'!$B$20,A800&lt;='요약'!$B$6),LARGE('계산'!$B$2:$B$2001,'요약'!$B$6-A800+1),"")</x:f>
        <x:v>0.007944835987334774</x:v>
      </x:c>
      <x:c r="D800" s="7" t="n">
        <x:f>IF(ISNUMBER(B800),'요약'!$B$7+'요약'!$B$13*B800,"")</x:f>
        <x:v>0.008298936565519801</x:v>
      </x:c>
    </x:row>
    <x:row r="801">
      <x:c r="A801" t="n">
        <x:f>797</x:f>
        <x:v>797</x:v>
      </x:c>
      <x:c r="B801" s="7" t="n">
        <x:f>IF(AND('요약'!$B$20,A801&lt;='요약'!$B$6),NORM.S.INV((A801-0.5)/'요약'!$B$6),"")</x:f>
        <x:v>0.8291845254221183</x:v>
      </x:c>
      <x:c r="C801" s="7" t="n">
        <x:f>IF(AND('요약'!$B$20,A801&lt;='요약'!$B$6),LARGE('계산'!$B$2:$B$2001,'요약'!$B$6-A801+1),"")</x:f>
        <x:v>0.007948611589642968</x:v>
      </x:c>
      <x:c r="D801" s="7" t="n">
        <x:f>IF(ISNUMBER(B801),'요약'!$B$7+'요약'!$B$13*B801,"")</x:f>
        <x:v>0.008334622342546815</x:v>
      </x:c>
    </x:row>
    <x:row r="802">
      <x:c r="A802" t="n">
        <x:f>798</x:f>
        <x:v>798</x:v>
      </x:c>
      <x:c r="B802" s="7" t="n">
        <x:f>IF(AND('요약'!$B$20,A802&lt;='요약'!$B$6),NORM.S.INV((A802-0.5)/'요약'!$B$6),"")</x:f>
        <x:v>0.8327247192774435</x:v>
      </x:c>
      <x:c r="C802" s="7" t="n">
        <x:f>IF(AND('요약'!$B$20,A802&lt;='요약'!$B$6),LARGE('계산'!$B$2:$B$2001,'요약'!$B$6-A802+1),"")</x:f>
        <x:v>0.007984748303273179</x:v>
      </x:c>
      <x:c r="D802" s="7" t="n">
        <x:f>IF(ISNUMBER(B802),'요약'!$B$7+'요약'!$B$13*B802,"")</x:f>
        <x:v>0.008370412874645372</x:v>
      </x:c>
    </x:row>
    <x:row r="803">
      <x:c r="A803" t="n">
        <x:f>799</x:f>
        <x:v>799</x:v>
      </x:c>
      <x:c r="B803" s="7" t="n">
        <x:f>IF(AND('요약'!$B$20,A803&lt;='요약'!$B$6),NORM.S.INV((A803-0.5)/'요약'!$B$6),"")</x:f>
        <x:v>0.8362753805473111</x:v>
      </x:c>
      <x:c r="C803" s="7" t="n">
        <x:f>IF(AND('요약'!$B$20,A803&lt;='요약'!$B$6),LARGE('계산'!$B$2:$B$2001,'요약'!$B$6-A803+1),"")</x:f>
        <x:v>0.008009639058652122</x:v>
      </x:c>
      <x:c r="D803" s="7" t="n">
        <x:f>IF(ISNUMBER(B803),'요약'!$B$7+'요약'!$B$13*B803,"")</x:f>
        <x:v>0.008406309229857429</x:v>
      </x:c>
    </x:row>
    <x:row r="804">
      <x:c r="A804" t="n">
        <x:f>800</x:f>
        <x:v>800</x:v>
      </x:c>
      <x:c r="B804" s="7" t="n">
        <x:f>IF(AND('요약'!$B$20,A804&lt;='요약'!$B$6),NORM.S.INV((A804-0.5)/'요약'!$B$6),"")</x:f>
        <x:v>0.8398366163448432</x:v>
      </x:c>
      <x:c r="C804" s="7" t="n">
        <x:f>IF(AND('요약'!$B$20,A804&lt;='요약'!$B$6),LARGE('계산'!$B$2:$B$2001,'요약'!$B$6-A804+1),"")</x:f>
        <x:v>0.008113160803765063</x:v>
      </x:c>
      <x:c r="D804" s="7" t="n">
        <x:f>IF(ISNUMBER(B804),'요약'!$B$7+'요약'!$B$13*B804,"")</x:f>
        <x:v>0.008442312491071606</x:v>
      </x:c>
    </x:row>
    <x:row r="805">
      <x:c r="A805" t="n">
        <x:f>801</x:f>
        <x:v>801</x:v>
      </x:c>
      <x:c r="B805" s="7" t="n">
        <x:f>IF(AND('요약'!$B$20,A805&lt;='요약'!$B$6),NORM.S.INV((A805-0.5)/'요약'!$B$6),"")</x:f>
        <x:v>0.8434085352803098</x:v>
      </x:c>
      <x:c r="C805" s="7" t="n">
        <x:f>IF(AND('요약'!$B$20,A805&lt;='요약'!$B$6),LARGE('계산'!$B$2:$B$2001,'요약'!$B$6-A805+1),"")</x:f>
        <x:v>0.008114145152740098</x:v>
      </x:c>
      <x:c r="D805" s="7" t="n">
        <x:f>IF(ISNUMBER(B805),'요약'!$B$7+'요약'!$B$13*B805,"")</x:f>
        <x:v>0.008478423756312338</x:v>
      </x:c>
    </x:row>
    <x:row r="806">
      <x:c r="A806" t="n">
        <x:f>802</x:f>
        <x:v>802</x:v>
      </x:c>
      <x:c r="B806" s="7" t="n">
        <x:f>IF(AND('요약'!$B$20,A806&lt;='요약'!$B$6),NORM.S.INV((A806-0.5)/'요약'!$B$6),"")</x:f>
        <x:v>0.8469912474904282</x:v>
      </x:c>
      <x:c r="C806" s="7" t="n">
        <x:f>IF(AND('요약'!$B$20,A806&lt;='요약'!$B$6),LARGE('계산'!$B$2:$B$2001,'요약'!$B$6-A806+1),"")</x:f>
        <x:v>0.008154907923552605</x:v>
      </x:c>
      <x:c r="D806" s="7" t="n">
        <x:f>IF(ISNUMBER(B806),'요약'!$B$7+'요약'!$B$13*B806,"")</x:f>
        <x:v>0.008514644139036083</x:v>
      </x:c>
    </x:row>
    <x:row r="807">
      <x:c r="A807" t="n">
        <x:f>803</x:f>
        <x:v>803</x:v>
      </x:c>
      <x:c r="B807" s="7" t="n">
        <x:f>IF(AND('요약'!$B$20,A807&lt;='요약'!$B$6),NORM.S.INV((A807-0.5)/'요약'!$B$6),"")</x:f>
        <x:v>0.8505848646683848</x:v>
      </x:c>
      <x:c r="C807" s="7" t="n">
        <x:f>IF(AND('요약'!$B$20,A807&lt;='요약'!$B$6),LARGE('계산'!$B$2:$B$2001,'요약'!$B$6-A807+1),"")</x:f>
        <x:v>0.008169252326900571</x:v>
      </x:c>
      <x:c r="D807" s="7" t="n">
        <x:f>IF(ISNUMBER(B807),'요약'!$B$7+'요약'!$B$13*B807,"")</x:f>
        <x:v>0.00855097476843484</x:v>
      </x:c>
    </x:row>
    <x:row r="808">
      <x:c r="A808" t="n">
        <x:f>804</x:f>
        <x:v>804</x:v>
      </x:c>
      <x:c r="B808" s="7" t="n">
        <x:f>IF(AND('요약'!$B$20,A808&lt;='요약'!$B$6),NORM.S.INV((A808-0.5)/'요약'!$B$6),"")</x:f>
        <x:v>0.8541895000945976</x:v>
      </x:c>
      <x:c r="C808" s="7" t="n">
        <x:f>IF(AND('요약'!$B$20,A808&lt;='요약'!$B$6),LARGE('계산'!$B$2:$B$2001,'요약'!$B$6-A808+1),"")</x:f>
        <x:v>0.008213339005676317</x:v>
      </x:c>
      <x:c r="D808" s="7" t="n">
        <x:f>IF(ISNUMBER(B808),'요약'!$B$7+'요약'!$B$13*B808,"")</x:f>
        <x:v>0.008587416789747148</x:v>
      </x:c>
    </x:row>
    <x:row r="809">
      <x:c r="A809" t="n">
        <x:f>805</x:f>
        <x:v>805</x:v>
      </x:c>
      <x:c r="B809" s="7" t="n">
        <x:f>IF(AND('요약'!$B$20,A809&lt;='요약'!$B$6),NORM.S.INV((A809-0.5)/'요약'!$B$6),"")</x:f>
        <x:v>0.8578052686682434</x:v>
      </x:c>
      <x:c r="C809" s="7" t="n">
        <x:f>IF(AND('요약'!$B$20,A809&lt;='요약'!$B$6),LARGE('계산'!$B$2:$B$2001,'요약'!$B$6-A809+1),"")</x:f>
        <x:v>0.008284959257618076</x:v>
      </x:c>
      <x:c r="D809" s="7" t="n">
        <x:f>IF(ISNUMBER(B809),'요약'!$B$7+'요약'!$B$13*B809,"")</x:f>
        <x:v>0.008623971364576816</x:v>
      </x:c>
    </x:row>
    <x:row r="810">
      <x:c r="A810" t="n">
        <x:f>806</x:f>
        <x:v>806</x:v>
      </x:c>
      <x:c r="B810" s="7" t="n">
        <x:f>IF(AND('요약'!$B$20,A810&lt;='요약'!$B$6),NORM.S.INV((A810-0.5)/'요약'!$B$6),"")</x:f>
        <x:v>0.861432286939572</x:v>
      </x:c>
      <x:c r="C810" s="7" t="n">
        <x:f>IF(AND('요약'!$B$20,A810&lt;='요약'!$B$6),LARGE('계산'!$B$2:$B$2001,'요약'!$B$6-A810+1),"")</x:f>
        <x:v>0.008298888375543127</x:v>
      </x:c>
      <x:c r="D810" s="7" t="n">
        <x:f>IF(ISNUMBER(B810),'요약'!$B$7+'요약'!$B$13*B810,"")</x:f>
        <x:v>0.00866063967121962</x:v>
      </x:c>
    </x:row>
    <x:row r="811">
      <x:c r="A811" t="n">
        <x:f>807</x:f>
        <x:v>807</x:v>
      </x:c>
      <x:c r="B811" s="7" t="n">
        <x:f>IF(AND('요약'!$B$20,A811&lt;='요약'!$B$6),NORM.S.INV((A811-0.5)/'요약'!$B$6),"")</x:f>
        <x:v>0.8650706731430314</x:v>
      </x:c>
      <x:c r="C811" s="7" t="n">
        <x:f>IF(AND('요약'!$B$20,A811&lt;='요약'!$B$6),LARGE('계산'!$B$2:$B$2001,'요약'!$B$6-A811+1),"")</x:f>
        <x:v>0.008300619714449644</x:v>
      </x:c>
      <x:c r="D811" s="7" t="n">
        <x:f>IF(ISNUMBER(B811),'요약'!$B$7+'요약'!$B$13*B811,"")</x:f>
        <x:v>0.008697422904998182</x:v>
      </x:c>
    </x:row>
    <x:row r="812">
      <x:c r="A812" t="n">
        <x:f>808</x:f>
        <x:v>808</x:v>
      </x:c>
      <x:c r="B812" s="7" t="n">
        <x:f>IF(AND('요약'!$B$20,A812&lt;='요약'!$B$6),NORM.S.INV((A812-0.5)/'요약'!$B$6),"")</x:f>
        <x:v>0.8687205472312284</x:v>
      </x:c>
      <x:c r="C812" s="7" t="n">
        <x:f>IF(AND('요약'!$B$20,A812&lt;='요약'!$B$6),LARGE('계산'!$B$2:$B$2001,'요약'!$B$6-A812+1),"")</x:f>
        <x:v>0.008327515426863887</x:v>
      </x:c>
      <x:c r="D812" s="7" t="n">
        <x:f>IF(ISNUMBER(B812),'요약'!$B$7+'요약'!$B$13*B812,"")</x:f>
        <x:v>0.00873432227860531</x:v>
      </x:c>
    </x:row>
    <x:row r="813">
      <x:c r="A813" t="n">
        <x:f>809</x:f>
        <x:v>809</x:v>
      </x:c>
      <x:c r="B813" s="7" t="n">
        <x:f>IF(AND('요약'!$B$20,A813&lt;='요약'!$B$6),NORM.S.INV((A813-0.5)/'요약'!$B$6),"")</x:f>
        <x:v>0.8723820309097523</x:v>
      </x:c>
      <x:c r="C813" s="7" t="n">
        <x:f>IF(AND('요약'!$B$20,A813&lt;='요약'!$B$6),LARGE('계산'!$B$2:$B$2001,'요약'!$B$6-A813+1),"")</x:f>
        <x:v>0.008329227112651199</x:v>
      </x:c>
      <x:c r="D813" s="7" t="n">
        <x:f>IF(ISNUMBER(B813),'요약'!$B$7+'요약'!$B$13*B813,"")</x:f>
        <x:v>0.008771339022456054</x:v>
      </x:c>
    </x:row>
    <x:row r="814">
      <x:c r="A814" t="n">
        <x:f>810</x:f>
        <x:v>810</x:v>
      </x:c>
      <x:c r="B814" s="7" t="n">
        <x:f>IF(AND('요약'!$B$20,A814&lt;='요약'!$B$6),NORM.S.INV((A814-0.5)/'요약'!$B$6),"")</x:f>
        <x:v>0.8760552476728833</x:v>
      </x:c>
      <x:c r="C814" s="7" t="n">
        <x:f>IF(AND('요약'!$B$20,A814&lt;='요약'!$B$6),LARGE('계산'!$B$2:$B$2001,'요약'!$B$6-A814+1),"")</x:f>
        <x:v>0.008402594540140347</x:v>
      </x:c>
      <x:c r="D814" s="7" t="n">
        <x:f>IF(ISNUMBER(B814),'요약'!$B$7+'요약'!$B$13*B814,"")</x:f>
        <x:v>0.008808474385048708</x:v>
      </x:c>
    </x:row>
    <x:row r="815">
      <x:c r="A815" t="n">
        <x:f>811</x:f>
        <x:v>811</x:v>
      </x:c>
      <x:c r="B815" s="7" t="n">
        <x:f>IF(AND('요약'!$B$20,A815&lt;='요약'!$B$6),NORM.S.INV((A815-0.5)/'요약'!$B$6),"")</x:f>
        <x:v>0.8797403228402194</x:v>
      </x:c>
      <x:c r="C815" s="7" t="n">
        <x:f>IF(AND('요약'!$B$20,A815&lt;='요약'!$B$6),LARGE('계산'!$B$2:$B$2001,'요약'!$B$6-A815+1),"")</x:f>
        <x:v>0.008495750881789043</x:v>
      </x:c>
      <x:c r="D815" s="7" t="n">
        <x:f>IF(ISNUMBER(B815),'요약'!$B$7+'요약'!$B$13*B815,"")</x:f>
        <x:v>0.00884572963333511</x:v>
      </x:c>
    </x:row>
    <x:row r="816">
      <x:c r="A816" t="n">
        <x:f>812</x:f>
        <x:v>812</x:v>
      </x:c>
      <x:c r="B816" s="7" t="n">
        <x:f>IF(AND('요약'!$B$20,A816&lt;='요약'!$B$6),NORM.S.INV((A816-0.5)/'요약'!$B$6),"")</x:f>
        <x:v>0.8834373835942453</x:v>
      </x:c>
      <x:c r="C816" s="7" t="n">
        <x:f>IF(AND('요약'!$B$20,A816&lt;='요약'!$B$6),LARGE('계산'!$B$2:$B$2001,'요약'!$B$6-A816+1),"")</x:f>
        <x:v>0.00852148679667843</x:v>
      </x:c>
      <x:c r="D816" s="7" t="n">
        <x:f>IF(ISNUMBER(B816),'요약'!$B$7+'요약'!$B$13*B816,"")</x:f>
        <x:v>0.008883106053100439</x:v>
      </x:c>
    </x:row>
    <x:row r="817">
      <x:c r="A817" t="n">
        <x:f>813</x:f>
        <x:v>813</x:v>
      </x:c>
      <x:c r="B817" s="7" t="n">
        <x:f>IF(AND('요약'!$B$20,A817&lt;='요약'!$B$6),NORM.S.INV((A817-0.5)/'요약'!$B$6),"")</x:f>
        <x:v>0.8871465590188761</x:v>
      </x:c>
      <x:c r="C817" s="7" t="n">
        <x:f>IF(AND('요약'!$B$20,A817&lt;='요약'!$B$6),LARGE('계산'!$B$2:$B$2001,'요약'!$B$6-A817+1),"")</x:f>
        <x:v>0.008582685155711412</x:v>
      </x:c>
      <x:c r="D817" s="7" t="n">
        <x:f>IF(ISNUMBER(B817),'요약'!$B$7+'요약'!$B$13*B817,"")</x:f>
        <x:v>0.008920604949352895</x:v>
      </x:c>
    </x:row>
    <x:row r="818">
      <x:c r="A818" t="n">
        <x:f>814</x:f>
        <x:v>814</x:v>
      </x:c>
      <x:c r="B818" s="7" t="n">
        <x:f>IF(AND('요약'!$B$20,A818&lt;='요약'!$B$6),NORM.S.INV((A818-0.5)/'요약'!$B$6),"")</x:f>
        <x:v>0.8908679801390023</x:v>
      </x:c>
      <x:c r="C818" s="7" t="n">
        <x:f>IF(AND('요약'!$B$20,A818&lt;='요약'!$B$6),LARGE('계산'!$B$2:$B$2001,'요약'!$B$6-A818+1),"")</x:f>
        <x:v>0.008773050280985085</x:v>
      </x:c>
      <x:c r="D818" s="7" t="n">
        <x:f>IF(ISNUMBER(B818),'요약'!$B$7+'요약'!$B$13*B818,"")</x:f>
        <x:v>0.008958227646723485</x:v>
      </x:c>
    </x:row>
    <x:row r="819">
      <x:c r="A819" t="n">
        <x:f>815</x:f>
        <x:v>815</x:v>
      </x:c>
      <x:c r="B819" s="7" t="n">
        <x:f>IF(AND('요약'!$B$20,A819&lt;='요약'!$B$6),NORM.S.INV((A819-0.5)/'요약'!$B$6),"")</x:f>
        <x:v>0.8946017799610745</x:v>
      </x:c>
      <x:c r="C819" s="7" t="n">
        <x:f>IF(AND('요약'!$B$20,A819&lt;='요약'!$B$6),LARGE('계산'!$B$2:$B$2001,'요약'!$B$6-A819+1),"")</x:f>
        <x:v>0.008853273403918645</x:v>
      </x:c>
      <x:c r="D819" s="7" t="n">
        <x:f>IF(ISNUMBER(B819),'요약'!$B$7+'요약'!$B$13*B819,"")</x:f>
        <x:v>0.008995975489876323</x:v>
      </x:c>
    </x:row>
    <x:row r="820">
      <x:c r="A820" t="n">
        <x:f>816</x:f>
        <x:v>816</x:v>
      </x:c>
      <x:c r="B820" s="7" t="n">
        <x:f>IF(AND('요약'!$B$20,A820&lt;='요약'!$B$6),NORM.S.INV((A820-0.5)/'요약'!$B$6),"")</x:f>
        <x:v>0.8983480935147531</x:v>
      </x:c>
      <x:c r="C820" s="7" t="n">
        <x:f>IF(AND('요약'!$B$20,A820&lt;='요약'!$B$6),LARGE('계산'!$B$2:$B$2001,'요약'!$B$6-A820+1),"")</x:f>
        <x:v>0.008897203922794234</x:v>
      </x:c>
      <x:c r="D820" s="7" t="n">
        <x:f>IF(ISNUMBER(B820),'요약'!$B$7+'요약'!$B$13*B820,"")</x:f>
        <x:v>0.009033849843929704</x:v>
      </x:c>
    </x:row>
    <x:row r="821">
      <x:c r="A821" t="n">
        <x:f>817</x:f>
        <x:v>817</x:v>
      </x:c>
      <x:c r="B821" s="7" t="n">
        <x:f>IF(AND('요약'!$B$20,A821&lt;='요약'!$B$6),NORM.S.INV((A821-0.5)/'요약'!$B$6),"")</x:f>
        <x:v>0.9021070578956625</x:v>
      </x:c>
      <x:c r="C821" s="7" t="n">
        <x:f>IF(AND('요약'!$B$20,A821&lt;='요약'!$B$6),LARGE('계산'!$B$2:$B$2001,'요약'!$B$6-A821+1),"")</x:f>
        <x:v>0.00895471507505181</x:v>
      </x:c>
      <x:c r="D821" s="7" t="n">
        <x:f>IF(ISNUMBER(B821),'요약'!$B$7+'요약'!$B$13*B821,"")</x:f>
        <x:v>0.009071852094888333</x:v>
      </x:c>
    </x:row>
    <x:row r="822">
      <x:c r="A822" t="n">
        <x:f>818</x:f>
        <x:v>818</x:v>
      </x:c>
      <x:c r="B822" s="7" t="n">
        <x:f>IF(AND('요약'!$B$20,A822&lt;='요약'!$B$6),NORM.S.INV((A822-0.5)/'요약'!$B$6),"")</x:f>
        <x:v>0.9058788123092846</x:v>
      </x:c>
      <x:c r="C822" s="7" t="n">
        <x:f>IF(AND('요약'!$B$20,A822&lt;='요약'!$B$6),LARGE('계산'!$B$2:$B$2001,'요약'!$B$6-A822+1),"")</x:f>
        <x:v>0.008956023561565612</x:v>
      </x:c>
      <x:c r="D822" s="7" t="n">
        <x:f>IF(ISNUMBER(B822),'요약'!$B$7+'요약'!$B$13*B822,"")</x:f>
        <x:v>0.009109983650087083</x:v>
      </x:c>
    </x:row>
    <x:row r="823">
      <x:c r="A823" t="n">
        <x:f>819</x:f>
        <x:v>819</x:v>
      </x:c>
      <x:c r="B823" s="7" t="n">
        <x:f>IF(AND('요약'!$B$20,A823&lt;='요약'!$B$6),NORM.S.INV((A823-0.5)/'요약'!$B$6),"")</x:f>
        <x:v>0.9096634981160243</x:v>
      </x:c>
      <x:c r="C823" s="7" t="n">
        <x:f>IF(AND('요약'!$B$20,A823&lt;='요약'!$B$6),LARGE('계산'!$B$2:$B$2001,'요약'!$B$6-A823+1),"")</x:f>
        <x:v>0.008979217741843099</x:v>
      </x:c>
      <x:c r="D823" s="7" t="n">
        <x:f>IF(ISNUMBER(B823),'요약'!$B$7+'요약'!$B$13*B823,"")</x:f>
        <x:v>0.009148245938646596</x:v>
      </x:c>
    </x:row>
    <x:row r="824">
      <x:c r="A824" t="n">
        <x:f>820</x:f>
        <x:v>820</x:v>
      </x:c>
      <x:c r="B824" s="7" t="n">
        <x:f>IF(AND('요약'!$B$20,A824&lt;='요약'!$B$6),NORM.S.INV((A824-0.5)/'요약'!$B$6),"")</x:f>
        <x:v>0.9134612588774915</x:v>
      </x:c>
      <x:c r="C824" s="7" t="n">
        <x:f>IF(AND('요약'!$B$20,A824&lt;='요약'!$B$6),LARGE('계산'!$B$2:$B$2001,'요약'!$B$6-A824+1),"")</x:f>
        <x:v>0.008979728729418348</x:v>
      </x:c>
      <x:c r="D824" s="7" t="n">
        <x:f>IF(ISNUMBER(B824),'요약'!$B$7+'요약'!$B$13*B824,"")</x:f>
        <x:v>0.009186640411941178</x:v>
      </x:c>
    </x:row>
    <x:row r="825">
      <x:c r="A825" t="n">
        <x:f>821</x:f>
        <x:v>821</x:v>
      </x:c>
      <x:c r="B825" s="7" t="n">
        <x:f>IF(AND('요약'!$B$20,A825&lt;='요약'!$B$6),NORM.S.INV((A825-0.5)/'요약'!$B$6),"")</x:f>
        <x:v>0.9172722404040337</x:v>
      </x:c>
      <x:c r="C825" s="7" t="n">
        <x:f>IF(AND('요약'!$B$20,A825&lt;='요약'!$B$6),LARGE('계산'!$B$2:$B$2001,'요약'!$B$6-A825+1),"")</x:f>
        <x:v>0.008990530386964173</x:v>
      </x:c>
      <x:c r="D825" s="7" t="n">
        <x:f>IF(ISNUMBER(B825),'요약'!$B$7+'요약'!$B$13*B825,"")</x:f>
        <x:v>0.00922516854407935</x:v>
      </x:c>
    </x:row>
    <x:row r="826">
      <x:c r="A826" t="n">
        <x:f>822</x:f>
        <x:v>822</x:v>
      </x:c>
      <x:c r="B826" s="7" t="n">
        <x:f>IF(AND('요약'!$B$20,A826&lt;='요약'!$B$6),NORM.S.INV((A826-0.5)/'요약'!$B$6),"")</x:f>
        <x:v>0.9210965908035641</x:v>
      </x:c>
      <x:c r="C826" s="7" t="n">
        <x:f>IF(AND('요약'!$B$20,A826&lt;='요약'!$B$6),LARGE('계산'!$B$2:$B$2001,'요약'!$B$6-A826+1),"")</x:f>
        <x:v>0.009011168097113137</x:v>
      </x:c>
      <x:c r="D826" s="7" t="n">
        <x:f>IF(ISNUMBER(B826),'요약'!$B$7+'요약'!$B$13*B826,"")</x:f>
        <x:v>0.009263831832397481</x:v>
      </x:c>
    </x:row>
    <x:row r="827">
      <x:c r="A827" t="n">
        <x:f>823</x:f>
        <x:v>823</x:v>
      </x:c>
      <x:c r="B827" s="7" t="n">
        <x:f>IF(AND('요약'!$B$20,A827&lt;='요약'!$B$6),NORM.S.INV((A827-0.5)/'요약'!$B$6),"")</x:f>
        <x:v>0.9249344605317255</x:v>
      </x:c>
      <x:c r="C827" s="7" t="n">
        <x:f>IF(AND('요약'!$B$20,A827&lt;='요약'!$B$6),LARGE('계산'!$B$2:$B$2001,'요약'!$B$6-A827+1),"")</x:f>
        <x:v>0.009022118755822659</x:v>
      </x:c>
      <x:c r="D827" s="7" t="n">
        <x:f>IF(ISNUMBER(B827),'요약'!$B$7+'요약'!$B$13*B827,"")</x:f>
        <x:v>0.009302631797966943</x:v>
      </x:c>
    </x:row>
    <x:row r="828">
      <x:c r="A828" t="n">
        <x:f>824</x:f>
        <x:v>824</x:v>
      </x:c>
      <x:c r="B828" s="7" t="n">
        <x:f>IF(AND('요약'!$B$20,A828&lt;='요약'!$B$6),NORM.S.INV((A828-0.5)/'요약'!$B$6),"")</x:f>
        <x:v>0.9287860024434342</x:v>
      </x:c>
      <x:c r="C828" s="7" t="n">
        <x:f>IF(AND('요약'!$B$20,A828&lt;='요약'!$B$6),LARGE('계산'!$B$2:$B$2001,'요약'!$B$6-A828+1),"")</x:f>
        <x:v>0.009036062257526708</x:v>
      </x:c>
      <x:c r="D828" s="7" t="n">
        <x:f>IF(ISNUMBER(B828),'요약'!$B$7+'요약'!$B$13*B828,"")</x:f>
        <x:v>0.009341569986115196</x:v>
      </x:c>
    </x:row>
    <x:row r="829">
      <x:c r="A829" t="n">
        <x:f>825</x:f>
        <x:v>825</x:v>
      </x:c>
      <x:c r="B829" s="7" t="n">
        <x:f>IF(AND('요약'!$B$20,A829&lt;='요약'!$B$6),NORM.S.INV((A829-0.5)/'요약'!$B$6),"")</x:f>
        <x:v>0.9326513718458574</x:v>
      </x:c>
      <x:c r="C829" s="7" t="n">
        <x:f>IF(AND('요약'!$B$20,A829&lt;='요약'!$B$6),LARGE('계산'!$B$2:$B$2001,'요약'!$B$6-A829+1),"")</x:f>
        <x:v>0.009134843029605117</x:v>
      </x:c>
      <x:c r="D829" s="7" t="n">
        <x:f>IF(ISNUMBER(B829),'요약'!$B$7+'요약'!$B$13*B829,"")</x:f>
        <x:v>0.009380647966961388</x:v>
      </x:c>
    </x:row>
    <x:row r="830">
      <x:c r="A830" t="n">
        <x:f>826</x:f>
        <x:v>826</x:v>
      </x:c>
      <x:c r="B830" s="7" t="n">
        <x:f>IF(AND('요약'!$B$20,A830&lt;='요약'!$B$6),NORM.S.INV((A830-0.5)/'요약'!$B$6),"")</x:f>
        <x:v>0.9365307265528551</x:v>
      </x:c>
      <x:c r="C830" s="7" t="n">
        <x:f>IF(AND('요약'!$B$20,A830&lt;='요약'!$B$6),LARGE('계산'!$B$2:$B$2001,'요약'!$B$6-A830+1),"")</x:f>
        <x:v>0.0091581206601663</x:v>
      </x:c>
      <x:c r="D830" s="7" t="n">
        <x:f>IF(ISNUMBER(B830),'요약'!$B$7+'요약'!$B$13*B830,"")</x:f>
        <x:v>0.00941986733596674</x:v>
      </x:c>
    </x:row>
    <x:row r="831">
      <x:c r="A831" t="n">
        <x:f>827</x:f>
        <x:v>827</x:v>
      </x:c>
      <x:c r="B831" s="7" t="n">
        <x:f>IF(AND('요약'!$B$20,A831&lt;='요약'!$B$6),NORM.S.INV((A831-0.5)/'요약'!$B$6),"")</x:f>
        <x:v>0.9404242269409588</x:v>
      </x:c>
      <x:c r="C831" s="7" t="n">
        <x:f>IF(AND('요약'!$B$20,A831&lt;='요약'!$B$6),LARGE('계산'!$B$2:$B$2001,'요약'!$B$6-A831+1),"")</x:f>
        <x:v>0.009217435064282171</x:v>
      </x:c>
      <x:c r="D831" s="7" t="n">
        <x:f>IF(ISNUMBER(B831),'요약'!$B$7+'요약'!$B$13*B831,"")</x:f>
        <x:v>0.009459229714500491</x:v>
      </x:c>
    </x:row>
    <x:row r="832">
      <x:c r="A832" t="n">
        <x:f>828</x:f>
        <x:v>828</x:v>
      </x:c>
      <x:c r="B832" s="7" t="n">
        <x:f>IF(AND('요약'!$B$20,A832&lt;='요약'!$B$6),NORM.S.INV((A832-0.5)/'요약'!$B$6),"")</x:f>
        <x:v>0.9443320360069192</x:v>
      </x:c>
      <x:c r="C832" s="7" t="n">
        <x:f>IF(AND('요약'!$B$20,A832&lt;='요약'!$B$6),LARGE('계산'!$B$2:$B$2001,'요약'!$B$6-A832+1),"")</x:f>
        <x:v>0.009234979697386595</x:v>
      </x:c>
      <x:c r="D832" s="7" t="n">
        <x:f>IF(ISNUMBER(B832),'요약'!$B$7+'요약'!$B$13*B832,"")</x:f>
        <x:v>0.009498736750421673</x:v>
      </x:c>
    </x:row>
    <x:row r="833">
      <x:c r="A833" t="n">
        <x:f>829</x:f>
        <x:v>829</x:v>
      </x:c>
      <x:c r="B833" s="7" t="n">
        <x:f>IF(AND('요약'!$B$20,A833&lt;='요약'!$B$6),NORM.S.INV((A833-0.5)/'요약'!$B$6),"")</x:f>
        <x:v>0.9482543194268882</x:v>
      </x:c>
      <x:c r="C833" s="7" t="n">
        <x:f>IF(AND('요약'!$B$20,A833&lt;='요약'!$B$6),LARGE('계산'!$B$2:$B$2001,'요약'!$B$6-A833+1),"")</x:f>
        <x:v>0.009270621490588866</x:v>
      </x:c>
      <x:c r="D833" s="7" t="n">
        <x:f>IF(ISNUMBER(B833),'요약'!$B$7+'요약'!$B$13*B833,"")</x:f>
        <x:v>0.009538390118677445</x:v>
      </x:c>
    </x:row>
    <x:row r="834">
      <x:c r="A834" t="n">
        <x:f>830</x:f>
        <x:v>830</x:v>
      </x:c>
      <x:c r="B834" s="7" t="n">
        <x:f>IF(AND('요약'!$B$20,A834&lt;='요약'!$B$6),NORM.S.INV((A834-0.5)/'요약'!$B$6),"")</x:f>
        <x:v>0.9521912456172869</x:v>
      </x:c>
      <x:c r="C834" s="7" t="n">
        <x:f>IF(AND('요약'!$B$20,A834&lt;='요약'!$B$6),LARGE('계산'!$B$2:$B$2001,'요약'!$B$6-A834+1),"")</x:f>
        <x:v>0.00930565147599334</x:v>
      </x:c>
      <x:c r="D834" s="7" t="n">
        <x:f>IF(ISNUMBER(B834),'요약'!$B$7+'요약'!$B$13*B834,"")</x:f>
        <x:v>0.009578191521918446</x:v>
      </x:c>
    </x:row>
    <x:row r="835">
      <x:c r="A835" t="n">
        <x:f>831</x:f>
        <x:v>831</x:v>
      </x:c>
      <x:c r="B835" s="7" t="n">
        <x:f>IF(AND('요약'!$B$20,A835&lt;='요약'!$B$6),NORM.S.INV((A835-0.5)/'요약'!$B$6),"")</x:f>
        <x:v>0.9561429857974223</x:v>
      </x:c>
      <x:c r="C835" s="7" t="n">
        <x:f>IF(AND('요약'!$B$20,A835&lt;='요약'!$B$6),LARGE('계산'!$B$2:$B$2001,'요약'!$B$6-A835+1),"")</x:f>
        <x:v>0.009319960590604416</x:v>
      </x:c>
      <x:c r="D835" s="7" t="n">
        <x:f>IF(ISNUMBER(B835),'요약'!$B$7+'요약'!$B$13*B835,"")</x:f>
        <x:v>0.009618142691131832</x:v>
      </x:c>
    </x:row>
    <x:row r="836">
      <x:c r="A836" t="n">
        <x:f>832</x:f>
        <x:v>832</x:v>
      </x:c>
      <x:c r="B836" s="7" t="n">
        <x:f>IF(AND('요약'!$B$20,A836&lt;='요약'!$B$6),NORM.S.INV((A836-0.5)/'요약'!$B$6),"")</x:f>
        <x:v>0.9601097140539036</x:v>
      </x:c>
      <x:c r="C836" s="7" t="n">
        <x:f>IF(AND('요약'!$B$20,A836&lt;='요약'!$B$6),LARGE('계산'!$B$2:$B$2001,'요약'!$B$6-A836+1),"")</x:f>
        <x:v>0.009354790013777384</x:v>
      </x:c>
      <x:c r="D836" s="7" t="n">
        <x:f>IF(ISNUMBER(B836),'요약'!$B$7+'요약'!$B$13*B836,"")</x:f>
        <x:v>0.009658245386292518</x:v>
      </x:c>
    </x:row>
    <x:row r="837">
      <x:c r="A837" t="n">
        <x:f>833</x:f>
        <x:v>833</x:v>
      </x:c>
      <x:c r="B837" s="7" t="n">
        <x:f>IF(AND('요약'!$B$20,A837&lt;='요약'!$B$6),NORM.S.INV((A837-0.5)/'요약'!$B$6),"")</x:f>
        <x:v>0.9640916074069344</x:v>
      </x:c>
      <x:c r="C837" s="7" t="n">
        <x:f>IF(AND('요약'!$B$20,A837&lt;='요약'!$B$6),LARGE('계산'!$B$2:$B$2001,'요약'!$B$6-A837+1),"")</x:f>
        <x:v>0.009416389673460496</x:v>
      </x:c>
      <x:c r="D837" s="7" t="n">
        <x:f>IF(ISNUMBER(B837),'요약'!$B$7+'요약'!$B$13*B837,"")</x:f>
        <x:v>0.009698501397033373</x:v>
      </x:c>
    </x:row>
    <x:row r="838">
      <x:c r="A838" t="n">
        <x:f>834</x:f>
        <x:v>834</x:v>
      </x:c>
      <x:c r="B838" s="7" t="n">
        <x:f>IF(AND('요약'!$B$20,A838&lt;='요약'!$B$6),NORM.S.INV((A838-0.5)/'요약'!$B$6),"")</x:f>
        <x:v>0.968088845878538</x:v>
      </x:c>
      <x:c r="C838" s="7" t="n">
        <x:f>IF(AND('요약'!$B$20,A838&lt;='요약'!$B$6),LARGE('계산'!$B$2:$B$2001,'요약'!$B$6-A838+1),"")</x:f>
        <x:v>0.009540017168025331</x:v>
      </x:c>
      <x:c r="D838" s="7" t="n">
        <x:f>IF(ISNUMBER(B838),'요약'!$B$7+'요약'!$B$13*B838,"")</x:f>
        <x:v>0.009738912543334956</x:v>
      </x:c>
    </x:row>
    <x:row r="839">
      <x:c r="A839" t="n">
        <x:f>835</x:f>
        <x:v>835</x:v>
      </x:c>
      <x:c r="B839" s="7" t="n">
        <x:f>IF(AND('요약'!$B$20,A839&lt;='요약'!$B$6),NORM.S.INV((A839-0.5)/'요약'!$B$6),"")</x:f>
        <x:v>0.972101612562785</x:v>
      </x:c>
      <x:c r="C839" s="7" t="n">
        <x:f>IF(AND('요약'!$B$20,A839&lt;='요약'!$B$6),LARGE('계산'!$B$2:$B$2001,'요약'!$B$6-A839+1),"")</x:f>
        <x:v>0.00955556188663714</x:v>
      </x:c>
      <x:c r="D839" s="7" t="n">
        <x:f>IF(ISNUMBER(B839),'요약'!$B$7+'요약'!$B$13*B839,"")</x:f>
        <x:v>0.00977948067623551</x:v>
      </x:c>
    </x:row>
    <x:row r="840">
      <x:c r="A840" t="n">
        <x:f>836</x:f>
        <x:v>836</x:v>
      </x:c>
      <x:c r="B840" s="7" t="n">
        <x:f>IF(AND('요약'!$B$20,A840&lt;='요약'!$B$6),NORM.S.INV((A840-0.5)/'요약'!$B$6),"")</x:f>
        <x:v>0.9761300936980976</x:v>
      </x:c>
      <x:c r="C840" s="7" t="n">
        <x:f>IF(AND('요약'!$B$20,A840&lt;='요약'!$B$6),LARGE('계산'!$B$2:$B$2001,'요약'!$B$6-A840+1),"")</x:f>
        <x:v>0.009574553891525391</x:v>
      </x:c>
      <x:c r="D840" s="7" t="n">
        <x:f>IF(ISNUMBER(B840),'요약'!$B$7+'요약'!$B$13*B840,"")</x:f>
        <x:v>0.009820207678561935</x:v>
      </x:c>
    </x:row>
    <x:row r="841">
      <x:c r="A841" t="n">
        <x:f>837</x:f>
        <x:v>837</x:v>
      </x:c>
      <x:c r="B841" s="7" t="n">
        <x:f>IF(AND('요약'!$B$20,A841&lt;='요약'!$B$6),NORM.S.INV((A841-0.5)/'요약'!$B$6),"")</x:f>
        <x:v>0.9801744787417053</x:v>
      </x:c>
      <x:c r="C841" s="7" t="n">
        <x:f>IF(AND('요약'!$B$20,A841&lt;='요약'!$B$6),LARGE('계산'!$B$2:$B$2001,'요약'!$B$6-A841+1),"")</x:f>
        <x:v>0.009576699718043327</x:v>
      </x:c>
      <x:c r="D841" s="7" t="n">
        <x:f>IF(ISNUMBER(B841),'요약'!$B$7+'요약'!$B$13*B841,"")</x:f>
        <x:v>0.009861095465682526</x:v>
      </x:c>
    </x:row>
    <x:row r="842">
      <x:c r="A842" t="n">
        <x:f>838</x:f>
        <x:v>838</x:v>
      </x:c>
      <x:c r="B842" s="7" t="n">
        <x:f>IF(AND('요약'!$B$20,A842&lt;='요약'!$B$6),NORM.S.INV((A842-0.5)/'요약'!$B$6),"")</x:f>
        <x:v>0.9842349604463254</x:v>
      </x:c>
      <x:c r="C842" s="7" t="n">
        <x:f>IF(AND('요약'!$B$20,A842&lt;='요약'!$B$6),LARGE('계산'!$B$2:$B$2001,'요약'!$B$6-A842+1),"")</x:f>
        <x:v>0.00968653898328446</x:v>
      </x:c>
      <x:c r="D842" s="7" t="n">
        <x:f>IF(ISNUMBER(B842),'요약'!$B$7+'요약'!$B$13*B842,"")</x:f>
        <x:v>0.009902145986282184</x:v>
      </x:c>
    </x:row>
    <x:row r="843">
      <x:c r="A843" t="n">
        <x:f>839</x:f>
        <x:v>839</x:v>
      </x:c>
      <x:c r="B843" s="7" t="n">
        <x:f>IF(AND('요약'!$B$20,A843&lt;='요약'!$B$6),NORM.S.INV((A843-0.5)/'요약'!$B$6),"")</x:f>
        <x:v>0.9883117349391508</x:v>
      </x:c>
      <x:c r="C843" s="7" t="n">
        <x:f>IF(AND('요약'!$B$20,A843&lt;='요약'!$B$6),LARGE('계산'!$B$2:$B$2001,'요약'!$B$6-A843+1),"")</x:f>
        <x:v>0.009696734932615777</x:v>
      </x:c>
      <x:c r="D843" s="7" t="n">
        <x:f>IF(ISNUMBER(B843),'요약'!$B$7+'요약'!$B$13*B843,"")</x:f>
        <x:v>0.009943361223160967</x:v>
      </x:c>
    </x:row>
    <x:row r="844">
      <x:c r="A844" t="n">
        <x:f>840</x:f>
        <x:v>840</x:v>
      </x:c>
      <x:c r="B844" s="7" t="n">
        <x:f>IF(AND('요약'!$B$20,A844&lt;='요약'!$B$6),NORM.S.INV((A844-0.5)/'요약'!$B$6),"")</x:f>
        <x:v>0.9924050018032363</x:v>
      </x:c>
      <x:c r="C844" s="7" t="n">
        <x:f>IF(AND('요약'!$B$20,A844&lt;='요약'!$B$6),LARGE('계산'!$B$2:$B$2001,'요약'!$B$6-A844+1),"")</x:f>
        <x:v>0.009740893923508393</x:v>
      </x:c>
      <x:c r="D844" s="7" t="n">
        <x:f>IF(ISNUMBER(B844),'요약'!$B$7+'요약'!$B$13*B844,"")</x:f>
        <x:v>0.009984743194056893</x:v>
      </x:c>
    </x:row>
    <x:row r="845">
      <x:c r="A845" t="n">
        <x:f>841</x:f>
        <x:v>841</x:v>
      </x:c>
      <x:c r="B845" s="7" t="n">
        <x:f>IF(AND('요약'!$B$20,A845&lt;='요약'!$B$6),NORM.S.INV((A845-0.5)/'요약'!$B$6),"")</x:f>
        <x:v>0.9965149641613581</x:v>
      </x:c>
      <x:c r="C845" s="7" t="n">
        <x:f>IF(AND('요약'!$B$20,A845&lt;='요약'!$B$6),LARGE('계산'!$B$2:$B$2001,'요약'!$B$6-A845+1),"")</x:f>
        <x:v>0.009786961706873565</x:v>
      </x:c>
      <x:c r="D845" s="7" t="n">
        <x:f>IF(ISNUMBER(B845),'요약'!$B$7+'요약'!$B$13*B845,"")</x:f>
        <x:v>0.010026293952493737</x:v>
      </x:c>
    </x:row>
    <x:row r="846">
      <x:c r="A846" t="n">
        <x:f>842</x:f>
        <x:v>842</x:v>
      </x:c>
      <x:c r="B846" s="7" t="n">
        <x:f>IF(AND('요약'!$B$20,A846&lt;='요약'!$B$6),NORM.S.INV((A846-0.5)/'요약'!$B$6),"")</x:f>
        <x:v>1.0006418287624492</x:v>
      </x:c>
      <x:c r="C846" s="7" t="n">
        <x:f>IF(AND('요약'!$B$20,A846&lt;='요약'!$B$6),LARGE('계산'!$B$2:$B$2001,'요약'!$B$6-A846+1),"")</x:f>
        <x:v>0.009818161386356519</x:v>
      </x:c>
      <x:c r="D846" s="7" t="n">
        <x:f>IF(ISNUMBER(B846),'요약'!$B$7+'요약'!$B$13*B846,"")</x:f>
        <x:v>0.010068015588654866</x:v>
      </x:c>
    </x:row>
    <x:row r="847">
      <x:c r="A847" t="n">
        <x:f>843</x:f>
        <x:v>843</x:v>
      </x:c>
      <x:c r="B847" s="7" t="n">
        <x:f>IF(AND('요약'!$B$20,A847&lt;='요약'!$B$6),NORM.S.INV((A847-0.5)/'요약'!$B$6),"")</x:f>
        <x:v>1.0047858060707053</x:v>
      </x:c>
      <x:c r="C847" s="7" t="n">
        <x:f>IF(AND('요약'!$B$20,A847&lt;='요약'!$B$6),LARGE('계산'!$B$2:$B$2001,'요약'!$B$6-A847+1),"")</x:f>
        <x:v>0.009831004744299156</x:v>
      </x:c>
      <x:c r="D847" s="7" t="n">
        <x:f>IF(ISNUMBER(B847),'요약'!$B$7+'요약'!$B$13*B847,"")</x:f>
        <x:v>0.01010991023028409</x:v>
      </x:c>
    </x:row>
    <x:row r="848">
      <x:c r="A848" t="n">
        <x:f>844</x:f>
        <x:v>844</x:v>
      </x:c>
      <x:c r="B848" s="7" t="n">
        <x:f>IF(AND('요약'!$B$20,A848&lt;='요약'!$B$6),NORM.S.INV((A848-0.5)/'요약'!$B$6),"")</x:f>
        <x:v>1.0089471103574519</x:v>
      </x:c>
      <x:c r="C848" s="7" t="n">
        <x:f>IF(AND('요약'!$B$20,A848&lt;='요약'!$B$6),LARGE('계산'!$B$2:$B$2001,'요약'!$B$6-A848+1),"")</x:f>
        <x:v>0.009879680867747972</x:v>
      </x:c>
      <x:c r="D848" s="7" t="n">
        <x:f>IF(ISNUMBER(B848),'요약'!$B$7+'요약'!$B$13*B848,"")</x:f>
        <x:v>0.010151980043614405</x:v>
      </x:c>
    </x:row>
    <x:row r="849">
      <x:c r="A849" t="n">
        <x:f>845</x:f>
        <x:v>845</x:v>
      </x:c>
      <x:c r="B849" s="7" t="n">
        <x:f>IF(AND('요약'!$B$20,A849&lt;='요약'!$B$6),NORM.S.INV((A849-0.5)/'요약'!$B$6),"")</x:f>
        <x:v>1.0131259597958917</x:v>
      </x:c>
      <x:c r="C849" s="7" t="n">
        <x:f>IF(AND('요약'!$B$20,A849&lt;='요약'!$B$6),LARGE('계산'!$B$2:$B$2001,'요약'!$B$6-A849+1),"")</x:f>
        <x:v>0.00988711803419224</x:v>
      </x:c>
      <x:c r="D849" s="7" t="n">
        <x:f>IF(ISNUMBER(B849),'요약'!$B$7+'요약'!$B$13*B849,"")</x:f>
        <x:v>0.010194227234325878</x:v>
      </x:c>
    </x:row>
    <x:row r="850">
      <x:c r="A850" t="n">
        <x:f>846</x:f>
        <x:v>846</x:v>
      </x:c>
      <x:c r="B850" s="7" t="n">
        <x:f>IF(AND('요약'!$B$20,A850&lt;='요약'!$B$6),NORM.S.INV((A850-0.5)/'요약'!$B$6),"")</x:f>
        <x:v>1.0173225765588285</x:v>
      </x:c>
      <x:c r="C850" s="7" t="n">
        <x:f>IF(AND('요약'!$B$20,A850&lt;='요약'!$B$6),LARGE('계산'!$B$2:$B$2001,'요약'!$B$6-A850+1),"")</x:f>
        <x:v>0.009977419362301244</x:v>
      </x:c>
      <x:c r="D850" s="7" t="n">
        <x:f>IF(ISNUMBER(B850),'요약'!$B$7+'요약'!$B$13*B850,"")</x:f>
        <x:v>0.010236654048533607</x:v>
      </x:c>
    </x:row>
    <x:row r="851">
      <x:c r="A851" t="n">
        <x:f>847</x:f>
        <x:v>847</x:v>
      </x:c>
      <x:c r="B851" s="7" t="n">
        <x:f>IF(AND('요약'!$B$20,A851&lt;='요약'!$B$6),NORM.S.INV((A851-0.5)/'요약'!$B$6),"")</x:f>
        <x:v>1.021537186919487</x:v>
      </x:c>
      <x:c r="C851" s="7" t="n">
        <x:f>IF(AND('요약'!$B$20,A851&lt;='요약'!$B$6),LARGE('계산'!$B$2:$B$2001,'요약'!$B$6-A851+1),"")</x:f>
        <x:v>0.00999330439762934</x:v>
      </x:c>
      <x:c r="D851" s="7" t="n">
        <x:f>IF(ISNUMBER(B851),'요약'!$B$7+'요약'!$B$13*B851,"")</x:f>
        <x:v>0.010279262773806985</x:v>
      </x:c>
    </x:row>
    <x:row r="852">
      <x:c r="A852" t="n">
        <x:f>848</x:f>
        <x:v>848</x:v>
      </x:c>
      <x:c r="B852" s="7" t="n">
        <x:f>IF(AND('요약'!$B$20,A852&lt;='요약'!$B$6),NORM.S.INV((A852-0.5)/'요약'!$B$6),"")</x:f>
        <x:v>1.0257700213555496</x:v>
      </x:c>
      <x:c r="C852" s="7" t="n">
        <x:f>IF(AND('요약'!$B$20,A852&lt;='요약'!$B$6),LARGE('계산'!$B$2:$B$2001,'요약'!$B$6-A852+1),"")</x:f>
        <x:v>0.010034653515593373</x:v>
      </x:c>
      <x:c r="D852" s="7" t="n">
        <x:f>IF(ISNUMBER(B852),'요약'!$B$7+'요약'!$B$13*B852,"")</x:f>
        <x:v>0.010322055740221492</x:v>
      </x:c>
    </x:row>
    <x:row r="853">
      <x:c r="A853" t="n">
        <x:f>849</x:f>
        <x:v>849</x:v>
      </x:c>
      <x:c r="B853" s="7" t="n">
        <x:f>IF(AND('요약'!$B$20,A853&lt;='요약'!$B$6),NORM.S.INV((A853-0.5)/'요약'!$B$6),"")</x:f>
        <x:v>1.0300213146565291</x:v>
      </x:c>
      <x:c r="C853" s="7" t="n">
        <x:f>IF(AND('요약'!$B$20,A853&lt;='요약'!$B$6),LARGE('계산'!$B$2:$B$2001,'요약'!$B$6-A853+1),"")</x:f>
        <x:v>0.010062242042435936</x:v>
      </x:c>
      <x:c r="D853" s="7" t="n">
        <x:f>IF(ISNUMBER(B853),'요약'!$B$7+'요약'!$B$13*B853,"")</x:f>
        <x:v>0.010365035321444201</x:v>
      </x:c>
    </x:row>
    <x:row r="854">
      <x:c r="A854" t="n">
        <x:f>850</x:f>
        <x:v>850</x:v>
      </x:c>
      <x:c r="B854" s="7" t="n">
        <x:f>IF(AND('요약'!$B$20,A854&lt;='요약'!$B$6),NORM.S.INV((A854-0.5)/'요약'!$B$6),"")</x:f>
        <x:v>1.0342913060346124</x:v>
      </x:c>
      <x:c r="C854" s="7" t="n">
        <x:f>IF(AND('요약'!$B$20,A854&lt;='요약'!$B$6),LARGE('계산'!$B$2:$B$2001,'요약'!$B$6-A854+1),"")</x:f>
        <x:v>0.010130932430584286</x:v>
      </x:c>
      <x:c r="D854" s="7" t="n">
        <x:f>IF(ISNUMBER(B854),'요약'!$B$7+'요약'!$B$13*B854,"")</x:f>
        <x:v>0.010408203935854387</x:v>
      </x:c>
    </x:row>
    <x:row r="855">
      <x:c r="A855" t="n">
        <x:f>851</x:f>
        <x:v>851</x:v>
      </x:c>
      <x:c r="B855" s="7" t="n">
        <x:f>IF(AND('요약'!$B$20,A855&lt;='요약'!$B$6),NORM.S.INV((A855-0.5)/'요약'!$B$6),"")</x:f>
        <x:v>1.0385802392391075</x:v>
      </x:c>
      <x:c r="C855" s="7" t="n">
        <x:f>IF(AND('요약'!$B$20,A855&lt;='요약'!$B$6),LARGE('계산'!$B$2:$B$2001,'요약'!$B$6-A855+1),"")</x:f>
        <x:v>0.010353108843897504</x:v>
      </x:c>
      <x:c r="D855" s="7" t="n">
        <x:f>IF(ISNUMBER(B855),'요약'!$B$7+'요약'!$B$13*B855,"")</x:f>
        <x:v>0.010451564047700562</x:v>
      </x:c>
    </x:row>
    <x:row r="856">
      <x:c r="A856" t="n">
        <x:f>852</x:f>
        <x:v>852</x:v>
      </x:c>
      <x:c r="B856" s="7" t="n">
        <x:f>IF(AND('요약'!$B$20,A856&lt;='요약'!$B$6),NORM.S.INV((A856-0.5)/'요약'!$B$6),"")</x:f>
        <x:v>1.042888362674638</x:v>
      </x:c>
      <x:c r="C856" s="7" t="n">
        <x:f>IF(AND('요약'!$B$20,A856&lt;='요약'!$B$6),LARGE('계산'!$B$2:$B$2001,'요약'!$B$6-A856+1),"")</x:f>
        <x:v>0.010418863813603359</x:v>
      </x:c>
      <x:c r="D856" s="7" t="n">
        <x:f>IF(ISNUMBER(B856),'요약'!$B$7+'요약'!$B$13*B856,"")</x:f>
        <x:v>0.010495118168295388</x:v>
      </x:c>
    </x:row>
    <x:row r="857">
      <x:c r="A857" t="n">
        <x:f>853</x:f>
        <x:v>853</x:v>
      </x:c>
      <x:c r="B857" s="7" t="n">
        <x:f>IF(AND('요약'!$B$20,A857&lt;='요약'!$B$6),NORM.S.INV((A857-0.5)/'요약'!$B$6),"")</x:f>
        <x:v>1.0472159295232384</x:v>
      </x:c>
      <x:c r="C857" s="7" t="n">
        <x:f>IF(AND('요약'!$B$20,A857&lt;='요약'!$B$6),LARGE('계산'!$B$2:$B$2001,'요약'!$B$6-A857+1),"")</x:f>
        <x:v>0.010431435122743084</x:v>
      </x:c>
      <x:c r="D857" s="7" t="n">
        <x:f>IF(ISNUMBER(B857),'요약'!$B$7+'요약'!$B$13*B857,"")</x:f>
        <x:v>0.010538868857250033</x:v>
      </x:c>
    </x:row>
    <x:row r="858">
      <x:c r="A858" t="n">
        <x:f>854</x:f>
        <x:v>854</x:v>
      </x:c>
      <x:c r="B858" s="7" t="n">
        <x:f>IF(AND('요약'!$B$20,A858&lt;='요약'!$B$6),NORM.S.INV((A858-0.5)/'요약'!$B$6),"")</x:f>
        <x:v>1.051563197870493</x:v>
      </x:c>
      <x:c r="C858" s="7" t="n">
        <x:f>IF(AND('요약'!$B$20,A858&lt;='요약'!$B$6),LARGE('계산'!$B$2:$B$2001,'요약'!$B$6-A858+1),"")</x:f>
        <x:v>0.010443084416756199</x:v>
      </x:c>
      <x:c r="D858" s="7" t="n">
        <x:f>IF(ISNUMBER(B858),'요약'!$B$7+'요약'!$B$13*B858,"")</x:f>
        <x:v>0.010582818723749407</x:v>
      </x:c>
    </x:row>
    <x:row r="859">
      <x:c r="A859" t="n">
        <x:f>855</x:f>
        <x:v>855</x:v>
      </x:c>
      <x:c r="B859" s="7" t="n">
        <x:f>IF(AND('요약'!$B$20,A859&lt;='요약'!$B$6),NORM.S.INV((A859-0.5)/'요약'!$B$6),"")</x:f>
        <x:v>1.0559304308358977</x:v>
      </x:c>
      <x:c r="C859" s="7" t="n">
        <x:f>IF(AND('요약'!$B$20,A859&lt;='요약'!$B$6),LARGE('계산'!$B$2:$B$2001,'요약'!$B$6-A859+1),"")</x:f>
        <x:v>0.010543252899100033</x:v>
      </x:c>
      <x:c r="D859" s="7" t="n">
        <x:f>IF(ISNUMBER(B859),'요약'!$B$7+'요약'!$B$13*B859,"")</x:f>
        <x:v>0.010626970427870093</x:v>
      </x:c>
    </x:row>
    <x:row r="860">
      <x:c r="A860" t="n">
        <x:f>856</x:f>
        <x:v>856</x:v>
      </x:c>
      <x:c r="B860" s="7" t="n">
        <x:f>IF(AND('요약'!$B$20,A860&lt;='요약'!$B$6),NORM.S.INV((A860-0.5)/'요약'!$B$6),"")</x:f>
        <x:v>1.0603178967076081</x:v>
      </x:c>
      <x:c r="C860" s="7" t="n">
        <x:f>IF(AND('요약'!$B$20,A860&lt;='요약'!$B$6),LARGE('계산'!$B$2:$B$2001,'요약'!$B$6-A860+1),"")</x:f>
        <x:v>0.010571573451726901</x:v>
      </x:c>
      <x:c r="D860" s="7" t="n">
        <x:f>IF(ISNUMBER(B860),'요약'!$B$7+'요약'!$B$13*B860,"")</x:f>
        <x:v>0.010671326681942612</x:v>
      </x:c>
    </x:row>
    <x:row r="861">
      <x:c r="A861" t="n">
        <x:f>857</x:f>
        <x:v>857</x:v>
      </x:c>
      <x:c r="B861" s="7" t="n">
        <x:f>IF(AND('요약'!$B$20,A861&lt;='요약'!$B$6),NORM.S.INV((A861-0.5)/'요약'!$B$6),"")</x:f>
        <x:v>1.0647258690817463</x:v>
      </x:c>
      <x:c r="C861" s="7" t="n">
        <x:f>IF(AND('요약'!$B$20,A861&lt;='요약'!$B$6),LARGE('계산'!$B$2:$B$2001,'요약'!$B$6-A861+1),"")</x:f>
        <x:v>0.010631175292930579</x:v>
      </x:c>
      <x:c r="D861" s="7" t="n">
        <x:f>IF(ISNUMBER(B861),'요약'!$B$7+'요약'!$B$13*B861,"")</x:f>
        <x:v>0.01071589025195978</x:v>
      </x:c>
    </x:row>
    <x:row r="862">
      <x:c r="A862" t="n">
        <x:f>858</x:f>
        <x:v>858</x:v>
      </x:c>
      <x:c r="B862" s="7" t="n">
        <x:f>IF(AND('요약'!$B$20,A862&lt;='요약'!$B$6),NORM.S.INV((A862-0.5)/'요약'!$B$6),"")</x:f>
        <x:v>1.0691546270064725</x:v>
      </x:c>
      <x:c r="C862" s="7" t="n">
        <x:f>IF(AND('요약'!$B$20,A862&lt;='요약'!$B$6),LARGE('계산'!$B$2:$B$2001,'요약'!$B$6-A862+1),"")</x:f>
        <x:v>0.010656512148598606</x:v>
      </x:c>
      <x:c r="D862" s="7" t="n">
        <x:f>IF(ISNUMBER(B862),'요약'!$B$7+'요약'!$B$13*B862,"")</x:f>
        <x:v>0.010760663959033256</x:v>
      </x:c>
    </x:row>
    <x:row r="863">
      <x:c r="A863" t="n">
        <x:f>859</x:f>
        <x:v>859</x:v>
      </x:c>
      <x:c r="B863" s="7" t="n">
        <x:f>IF(AND('요약'!$B$20,A863&lt;='요약'!$B$6),NORM.S.INV((A863-0.5)/'요약'!$B$6),"")</x:f>
        <x:v>1.0736044551309971</x:v>
      </x:c>
      <x:c r="C863" s="7" t="n">
        <x:f>IF(AND('요약'!$B$20,A863&lt;='요약'!$B$6),LARGE('계산'!$B$2:$B$2001,'요약'!$B$6-A863+1),"")</x:f>
        <x:v>0.01066519523326928</x:v>
      </x:c>
      <x:c r="D863" s="7" t="n">
        <x:f>IF(ISNUMBER(B863),'요약'!$B$7+'요약'!$B$13*B863,"")</x:f>
        <x:v>0.010805650680899996</x:v>
      </x:c>
    </x:row>
    <x:row r="864">
      <x:c r="A864" t="n">
        <x:f>860</x:f>
        <x:v>860</x:v>
      </x:c>
      <x:c r="B864" s="7" t="n">
        <x:f>IF(AND('요약'!$B$20,A864&lt;='요약'!$B$6),NORM.S.INV((A864-0.5)/'요약'!$B$6),"")</x:f>
        <x:v>1.0780756438597572</x:v>
      </x:c>
      <x:c r="C864" s="7" t="n">
        <x:f>IF(AND('요약'!$B$20,A864&lt;='요약'!$B$6),LARGE('계산'!$B$2:$B$2001,'요약'!$B$6-A864+1),"")</x:f>
        <x:v>0.010764462370018815</x:v>
      </x:c>
      <x:c r="D864" s="7" t="n">
        <x:f>IF(ISNUMBER(B864),'요약'!$B$7+'요약'!$B$13*B864,"")</x:f>
        <x:v>0.010850853353480953</x:v>
      </x:c>
    </x:row>
    <x:row r="865">
      <x:c r="A865" t="n">
        <x:f>861</x:f>
        <x:v>861</x:v>
      </x:c>
      <x:c r="B865" s="7" t="n">
        <x:f>IF(AND('요약'!$B$20,A865&lt;='요약'!$B$6),NORM.S.INV((A865-0.5)/'요약'!$B$6),"")</x:f>
        <x:v>1.0825684895119634</x:v>
      </x:c>
      <x:c r="C865" s="7" t="n">
        <x:f>IF(AND('요약'!$B$20,A865&lt;='요약'!$B$6),LARGE('계산'!$B$2:$B$2001,'요약'!$B$6-A865+1),"")</x:f>
        <x:v>0.0108012076545309</x:v>
      </x:c>
      <x:c r="D865" s="7" t="n">
        <x:f>IF(ISNUMBER(B865),'요약'!$B$7+'요약'!$B$13*B865,"")</x:f>
        <x:v>0.010896274972494067</x:v>
      </x:c>
    </x:row>
    <x:row r="866">
      <x:c r="A866" t="n">
        <x:f>862</x:f>
        <x:v>862</x:v>
      </x:c>
      <x:c r="B866" s="7" t="n">
        <x:f>IF(AND('요약'!$B$20,A866&lt;='요약'!$B$6),NORM.S.INV((A866-0.5)/'요약'!$B$6),"")</x:f>
        <x:v>1.0870832944867508</x:v>
      </x:c>
      <x:c r="C866" s="7" t="n">
        <x:f>IF(AND('요약'!$B$20,A866&lt;='요약'!$B$6),LARGE('계산'!$B$2:$B$2001,'요약'!$B$6-A866+1),"")</x:f>
        <x:v>0.010883277043929962</x:v>
      </x:c>
      <x:c r="D866" s="7" t="n">
        <x:f>IF(ISNUMBER(B866),'요약'!$B$7+'요약'!$B$13*B866,"")</x:f>
        <x:v>0.010941918595123879</x:v>
      </x:c>
    </x:row>
    <x:row r="867">
      <x:c r="A867" t="n">
        <x:f>863</x:f>
        <x:v>863</x:v>
      </x:c>
      <x:c r="B867" s="7" t="n">
        <x:f>IF(AND('요약'!$B$20,A867&lt;='요약'!$B$6),NORM.S.INV((A867-0.5)/'요약'!$B$6),"")</x:f>
        <x:v>1.0916203674341687</x:v>
      </x:c>
      <x:c r="C867" s="7" t="n">
        <x:f>IF(AND('요약'!$B$20,A867&lt;='요약'!$B$6),LARGE('계산'!$B$2:$B$2001,'요약'!$B$6-A867+1),"")</x:f>
        <x:v>0.010939693946724368</x:v>
      </x:c>
      <x:c r="D867" s="7" t="n">
        <x:f>IF(ISNUMBER(B867),'요약'!$B$7+'요약'!$B$13*B867,"")</x:f>
        <x:v>0.010987787341750222</x:v>
      </x:c>
    </x:row>
    <x:row r="868">
      <x:c r="A868" t="n">
        <x:f>864</x:f>
        <x:v>864</x:v>
      </x:c>
      <x:c r="B868" s="7" t="n">
        <x:f>IF(AND('요약'!$B$20,A868&lt;='요약'!$B$6),NORM.S.INV((A868-0.5)/'요약'!$B$6),"")</x:f>
        <x:v>1.0961800234322614</x:v>
      </x:c>
      <x:c r="C868" s="7" t="n">
        <x:f>IF(AND('요약'!$B$20,A868&lt;='요약'!$B$6),LARGE('계산'!$B$2:$B$2001,'요약'!$B$6-A868+1),"")</x:f>
        <x:v>0.010947704810494889</x:v>
      </x:c>
      <x:c r="D868" s="7" t="n">
        <x:f>IF(ISNUMBER(B868),'요약'!$B$7+'요약'!$B$13*B868,"")</x:f>
        <x:v>0.011033884397738452</x:v>
      </x:c>
    </x:row>
    <x:row r="869">
      <x:c r="A869" t="n">
        <x:f>865</x:f>
        <x:v>865</x:v>
      </x:c>
      <x:c r="B869" s="7" t="n">
        <x:f>IF(AND('요약'!$B$20,A869&lt;='요약'!$B$6),NORM.S.INV((A869-0.5)/'요약'!$B$6),"")</x:f>
        <x:v>1.1007625841705073</x:v>
      </x:c>
      <x:c r="C869" s="7" t="n">
        <x:f>IF(AND('요약'!$B$20,A869&lt;='요약'!$B$6),LARGE('계산'!$B$2:$B$2001,'요약'!$B$6-A869+1),"")</x:f>
        <x:v>0.010959144354937951</x:v>
      </x:c>
      <x:c r="D869" s="7" t="n">
        <x:f>IF(ISNUMBER(B869),'요약'!$B$7+'요약'!$B$13*B869,"")</x:f>
        <x:v>0.011080213015293975</x:v>
      </x:c>
    </x:row>
    <x:row r="870">
      <x:c r="A870" t="n">
        <x:f>866</x:f>
        <x:v>866</x:v>
      </x:c>
      <x:c r="B870" s="7" t="n">
        <x:f>IF(AND('요약'!$B$20,A870&lt;='요약'!$B$6),NORM.S.INV((A870-0.5)/'요약'!$B$6),"")</x:f>
        <x:v>1.1053683781398869</x:v>
      </x:c>
      <x:c r="C870" s="7" t="n">
        <x:f>IF(AND('요약'!$B$20,A870&lt;='요약'!$B$6),LARGE('계산'!$B$2:$B$2001,'요약'!$B$6-A870+1),"")</x:f>
        <x:v>0.011029686056536366</x:v>
      </x:c>
      <x:c r="D870" s="7" t="n">
        <x:f>IF(ISNUMBER(B870),'요약'!$B$7+'요약'!$B$13*B870,"")</x:f>
        <x:v>0.011126776515383794</x:v>
      </x:c>
    </x:row>
    <x:row r="871">
      <x:c r="A871" t="n">
        <x:f>867</x:f>
        <x:v>867</x:v>
      </x:c>
      <x:c r="B871" s="7" t="n">
        <x:f>IF(AND('요약'!$B$20,A871&lt;='요약'!$B$6),NORM.S.INV((A871-0.5)/'요약'!$B$6),"")</x:f>
        <x:v>1.1099977408298745</x:v>
      </x:c>
      <x:c r="C871" s="7" t="n">
        <x:f>IF(AND('요약'!$B$20,A871&lt;='요약'!$B$6),LARGE('계산'!$B$2:$B$2001,'요약'!$B$6-A871+1),"")</x:f>
        <x:v>0.011078761682720244</x:v>
      </x:c>
      <x:c r="D871" s="7" t="n">
        <x:f>IF(ISNUMBER(B871),'요약'!$B$7+'요약'!$B$13*B871,"")</x:f>
        <x:v>0.011173578289728052</x:v>
      </x:c>
    </x:row>
    <x:row r="872">
      <x:c r="A872" t="n">
        <x:f>868</x:f>
        <x:v>868</x:v>
      </x:c>
      <x:c r="B872" s="7" t="n">
        <x:f>IF(AND('요약'!$B$20,A872&lt;='요약'!$B$6),NORM.S.INV((A872-0.5)/'요약'!$B$6),"")</x:f>
        <x:v>1.1146510149326598</x:v>
      </x:c>
      <x:c r="C872" s="7" t="n">
        <x:f>IF(AND('요약'!$B$20,A872&lt;='요약'!$B$6),LARGE('계산'!$B$2:$B$2001,'요약'!$B$6-A872+1),"")</x:f>
        <x:v>0.011089652565303752</x:v>
      </x:c>
      <x:c r="D872" s="7" t="n">
        <x:f>IF(ISNUMBER(B872),'요약'!$B$7+'요약'!$B$13*B872,"")</x:f>
        <x:v>0.011220621802864657</x:v>
      </x:c>
    </x:row>
    <x:row r="873">
      <x:c r="A873" t="n">
        <x:f>869</x:f>
        <x:v>869</x:v>
      </x:c>
      <x:c r="B873" s="7" t="n">
        <x:f>IF(AND('요약'!$B$20,A873&lt;='요약'!$B$6),NORM.S.INV((A873-0.5)/'요약'!$B$6),"")</x:f>
        <x:v>1.1193285505549242</x:v>
      </x:c>
      <x:c r="C873" s="7" t="n">
        <x:f>IF(AND('요약'!$B$20,A873&lt;='요약'!$B$6),LARGE('계산'!$B$2:$B$2001,'요약'!$B$6-A873+1),"")</x:f>
        <x:v>0.011100146309780387</x:v>
      </x:c>
      <x:c r="D873" s="7" t="n">
        <x:f>IF(ISNUMBER(B873),'요약'!$B$7+'요약'!$B$13*B873,"")</x:f>
        <x:v>0.011267910594290291</x:v>
      </x:c>
    </x:row>
    <x:row r="874">
      <x:c r="A874" t="n">
        <x:f>870</x:f>
        <x:v>870</x:v>
      </x:c>
      <x:c r="B874" s="7" t="n">
        <x:f>IF(AND('요약'!$B$20,A874&lt;='요약'!$B$6),NORM.S.INV((A874-0.5)/'요약'!$B$6),"")</x:f>
        <x:v>1.124030705437504</x:v>
      </x:c>
      <x:c r="C874" s="7" t="n">
        <x:f>IF(AND('요약'!$B$20,A874&lt;='요약'!$B$6),LARGE('계산'!$B$2:$B$2001,'요약'!$B$6-A874+1),"")</x:f>
        <x:v>0.01126731360117315</x:v>
      </x:c>
      <x:c r="D874" s="7" t="n">
        <x:f>IF(ISNUMBER(B874),'요약'!$B$7+'요약'!$B$13*B874,"")</x:f>
        <x:v>0.011315448280681168</x:v>
      </x:c>
    </x:row>
    <x:row r="875">
      <x:c r="A875" t="n">
        <x:f>871</x:f>
        <x:v>871</x:v>
      </x:c>
      <x:c r="B875" s="7" t="n">
        <x:f>IF(AND('요약'!$B$20,A875&lt;='요약'!$B$6),NORM.S.INV((A875-0.5)/'요약'!$B$6),"")</x:f>
        <x:v>1.1287578451833051</x:v>
      </x:c>
      <x:c r="C875" s="7" t="n">
        <x:f>IF(AND('요약'!$B$20,A875&lt;='요약'!$B$6),LARGE('계산'!$B$2:$B$2001,'요약'!$B$6-A875+1),"")</x:f>
        <x:v>0.011437980750964135</x:v>
      </x:c>
      <x:c r="D875" s="7" t="n">
        <x:f>IF(ISNUMBER(B875),'요약'!$B$7+'요약'!$B$13*B875,"")</x:f>
        <x:v>0.011363238558197174</x:v>
      </x:c>
    </x:row>
    <x:row r="876">
      <x:c r="A876" t="n">
        <x:f>872</x:f>
        <x:v>872</x:v>
      </x:c>
      <x:c r="B876" s="7" t="n">
        <x:f>IF(AND('요약'!$B$20,A876&lt;='요약'!$B$6),NORM.S.INV((A876-0.5)/'요약'!$B$6),"")</x:f>
        <x:v>1.1335103434938418</x:v>
      </x:c>
      <x:c r="C876" s="7" t="n">
        <x:f>IF(AND('요약'!$B$20,A876&lt;='요약'!$B$6),LARGE('계산'!$B$2:$B$2001,'요약'!$B$6-A876+1),"")</x:f>
        <x:v>0.011484149999767572</x:v>
      </x:c>
      <x:c r="D876" s="7" t="n">
        <x:f>IF(ISNUMBER(B876),'요약'!$B$7+'요약'!$B$13*B876,"")</x:f>
        <x:v>0.011411285204873242</x:v>
      </x:c>
    </x:row>
    <x:row r="877">
      <x:c r="A877" t="n">
        <x:f>873</x:f>
        <x:v>873</x:v>
      </x:c>
      <x:c r="B877" s="7" t="n">
        <x:f>IF(AND('요약'!$B$20,A877&lt;='요약'!$B$6),NORM.S.INV((A877-0.5)/'요약'!$B$6),"")</x:f>
        <x:v>1.1382885824147988</x:v>
      </x:c>
      <x:c r="C877" s="7" t="n">
        <x:f>IF(AND('요약'!$B$20,A877&lt;='요약'!$B$6),LARGE('계산'!$B$2:$B$2001,'요약'!$B$6-A877+1),"")</x:f>
        <x:v>0.011530856098962197</x:v>
      </x:c>
      <x:c r="D877" s="7" t="n">
        <x:f>IF(ISNUMBER(B877),'요약'!$B$7+'요약'!$B$13*B877,"")</x:f>
        <x:v>0.011459592083101912</x:v>
      </x:c>
    </x:row>
    <x:row r="878">
      <x:c r="A878" t="n">
        <x:f>874</x:f>
        <x:v>874</x:v>
      </x:c>
      <x:c r="B878" s="7" t="n">
        <x:f>IF(AND('요약'!$B$20,A878&lt;='요약'!$B$6),NORM.S.INV((A878-0.5)/'요약'!$B$6),"")</x:f>
        <x:v>1.1430929525910276</x:v>
      </x:c>
      <x:c r="C878" s="7" t="n">
        <x:f>IF(AND('요약'!$B$20,A878&lt;='요약'!$B$6),LARGE('계산'!$B$2:$B$2001,'요약'!$B$6-A878+1),"")</x:f>
        <x:v>0.011642224733374111</x:v>
      </x:c>
      <x:c r="D878" s="7" t="n">
        <x:f>IF(ISNUMBER(B878),'요약'!$B$7+'요약'!$B$13*B878,"")</x:f>
        <x:v>0.011508163142211291</x:v>
      </x:c>
    </x:row>
    <x:row r="879">
      <x:c r="A879" t="n">
        <x:f>875</x:f>
        <x:v>875</x:v>
      </x:c>
      <x:c r="B879" s="7" t="n">
        <x:f>IF(AND('요약'!$B$20,A879&lt;='요약'!$B$6),NORM.S.INV((A879-0.5)/'요약'!$B$6),"")</x:f>
        <x:v>1.1479238535314324</x:v>
      </x:c>
      <x:c r="C879" s="7" t="n">
        <x:f>IF(AND('요약'!$B$20,A879&lt;='요약'!$B$6),LARGE('계산'!$B$2:$B$2001,'요약'!$B$6-A879+1),"")</x:f>
        <x:v>0.011674840158858599</x:v>
      </x:c>
      <x:c r="D879" s="7" t="n">
        <x:f>IF(ISNUMBER(B879),'요약'!$B$7+'요약'!$B$13*B879,"")</x:f>
        <x:v>0.011557002421142987</x:v>
      </x:c>
    </x:row>
    <x:row r="880">
      <x:c r="A880" t="n">
        <x:f>876</x:f>
        <x:v>876</x:v>
      </x:c>
      <x:c r="B880" s="7" t="n">
        <x:f>IF(AND('요약'!$B$20,A880&lt;='요약'!$B$6),NORM.S.INV((A880-0.5)/'요약'!$B$6),"")</x:f>
        <x:v>1.1527816938841926</x:v>
      </x:c>
      <x:c r="C880" s="7" t="n">
        <x:f>IF(AND('요약'!$B$20,A880&lt;='요약'!$B$6),LARGE('계산'!$B$2:$B$2001,'요약'!$B$6-A880+1),"")</x:f>
        <x:v>0.011677656125944782</x:v>
      </x:c>
      <x:c r="D880" s="7" t="n">
        <x:f>IF(ISNUMBER(B880),'요약'!$B$7+'요약'!$B$13*B880,"")</x:f>
        <x:v>0.01160611405123454</x:v>
      </x:c>
    </x:row>
    <x:row r="881">
      <x:c r="A881" t="n">
        <x:f>877</x:f>
        <x:v>877</x:v>
      </x:c>
      <x:c r="B881" s="7" t="n">
        <x:f>IF(AND('요약'!$B$20,A881&lt;='요약'!$B$6),NORM.S.INV((A881-0.5)/'요약'!$B$6),"")</x:f>
        <x:v>1.1576668917228294</x:v>
      </x:c>
      <x:c r="C881" s="7" t="n">
        <x:f>IF(AND('요약'!$B$20,A881&lt;='요약'!$B$6),LARGE('계산'!$B$2:$B$2001,'요약'!$B$6-A881+1),"")</x:f>
        <x:v>0.011721500980458334</x:v>
      </x:c>
      <x:c r="D881" s="7" t="n">
        <x:f>IF(ISNUMBER(B881),'요약'!$B$7+'요약'!$B$13*B881,"")</x:f>
        <x:v>0.011655502259111496</x:v>
      </x:c>
    </x:row>
    <x:row r="882">
      <x:c r="A882" t="n">
        <x:f>878</x:f>
        <x:v>878</x:v>
      </x:c>
      <x:c r="B882" s="7" t="n">
        <x:f>IF(AND('요약'!$B$20,A882&lt;='요약'!$B$6),NORM.S.INV((A882-0.5)/'요약'!$B$6),"")</x:f>
        <x:v>1.1625798748436225</x:v>
      </x:c>
      <x:c r="C882" s="7" t="n">
        <x:f>IF(AND('요약'!$B$20,A882&lt;='요약'!$B$6),LARGE('계산'!$B$2:$B$2001,'요약'!$B$6-A882+1),"")</x:f>
        <x:v>0.011826682048302735</x:v>
      </x:c>
      <x:c r="D882" s="7" t="n">
        <x:f>IF(ISNUMBER(B882),'요약'!$B$7+'요약'!$B$13*B882,"")</x:f>
        <x:v>0.011705171369694215</x:v>
      </x:c>
    </x:row>
    <x:row r="883">
      <x:c r="A883" t="n">
        <x:f>879</x:f>
        <x:v>879</x:v>
      </x:c>
      <x:c r="B883" s="7" t="n">
        <x:f>IF(AND('요약'!$B$20,A883&lt;='요약'!$B$6),NORM.S.INV((A883-0.5)/'요약'!$B$6),"")</x:f>
        <x:v>1.1675210810749364</x:v>
      </x:c>
      <x:c r="C883" s="7" t="n">
        <x:f>IF(AND('요약'!$B$20,A883&lt;='요약'!$B$6),LARGE('계산'!$B$2:$B$2001,'요약'!$B$6-A883+1),"")</x:f>
        <x:v>0.0118311031601731</x:v>
      </x:c>
      <x:c r="D883" s="7" t="n">
        <x:f>IF(ISNUMBER(B883),'요약'!$B$7+'요약'!$B$13*B883,"")</x:f>
        <x:v>0.011755125809325086</x:v>
      </x:c>
    </x:row>
    <x:row r="884">
      <x:c r="A884" t="n">
        <x:f>880</x:f>
        <x:v>880</x:v>
      </x:c>
      <x:c r="B884" s="7" t="n">
        <x:f>IF(AND('요약'!$B$20,A884&lt;='요약'!$B$6),NORM.S.INV((A884-0.5)/'요약'!$B$6),"")</x:f>
        <x:v>1.172490958599023</x:v>
      </x:c>
      <x:c r="C884" s="7" t="n">
        <x:f>IF(AND('요약'!$B$20,A884&lt;='요약'!$B$6),LARGE('계산'!$B$2:$B$2001,'요약'!$B$6-A884+1),"")</x:f>
        <x:v>0.011856956060496422</x:v>
      </x:c>
      <x:c r="D884" s="7" t="n">
        <x:f>IF(ISNUMBER(B884),'요약'!$B$7+'요약'!$B$13*B884,"")</x:f>
        <x:v>0.011805370109021883</x:v>
      </x:c>
    </x:row>
    <x:row r="885">
      <x:c r="A885" t="n">
        <x:f>881</x:f>
        <x:v>881</x:v>
      </x:c>
      <x:c r="B885" s="7" t="n">
        <x:f>IF(AND('요약'!$B$20,A885&lt;='요약'!$B$6),NORM.S.INV((A885-0.5)/'요약'!$B$6),"")</x:f>
        <x:v>1.1774899662869247</x:v>
      </x:c>
      <x:c r="C885" s="7" t="n">
        <x:f>IF(AND('요약'!$B$20,A885&lt;='요약'!$B$6),LARGE('계산'!$B$2:$B$2001,'요약'!$B$6-A885+1),"")</x:f>
        <x:v>0.011946617560093884</x:v>
      </x:c>
      <x:c r="D885" s="7" t="n">
        <x:f>IF(ISNUMBER(B885),'요약'!$B$7+'요약'!$B$13*B885,"")</x:f>
        <x:v>0.011855908907863545</x:v>
      </x:c>
    </x:row>
    <x:row r="886">
      <x:c r="A886" t="n">
        <x:f>882</x:f>
        <x:v>882</x:v>
      </x:c>
      <x:c r="B886" s="7" t="n">
        <x:f>IF(AND('요약'!$B$20,A886&lt;='요약'!$B$6),NORM.S.INV((A886-0.5)/'요약'!$B$6),"")</x:f>
        <x:v>1.1825185740471165</x:v>
      </x:c>
      <x:c r="C886" s="7" t="n">
        <x:f>IF(AND('요약'!$B$20,A886&lt;='요약'!$B$6),LARGE('계산'!$B$2:$B$2001,'요약'!$B$6-A886+1),"")</x:f>
        <x:v>0.012066613051879558</x:v>
      </x:c>
      <x:c r="D886" s="7" t="n">
        <x:f>IF(ISNUMBER(B886),'요약'!$B$7+'요약'!$B$13*B886,"")</x:f>
        <x:v>0.011906746956514882</x:v>
      </x:c>
    </x:row>
    <x:row r="887">
      <x:c r="A887" t="n">
        <x:f>883</x:f>
        <x:v>883</x:v>
      </x:c>
      <x:c r="B887" s="7" t="n">
        <x:f>IF(AND('요약'!$B$20,A887&lt;='요약'!$B$6),NORM.S.INV((A887-0.5)/'요약'!$B$6),"")</x:f>
        <x:v>1.1875772631885781</x:v>
      </x:c>
      <x:c r="C887" s="7" t="n">
        <x:f>IF(AND('요약'!$B$20,A887&lt;='요약'!$B$6),LARGE('계산'!$B$2:$B$2001,'요약'!$B$6-A887+1),"")</x:f>
        <x:v>0.012190388798373752</x:v>
      </x:c>
      <x:c r="D887" s="7" t="n">
        <x:f>IF(ISNUMBER(B887),'요약'!$B$7+'요약'!$B$13*B887,"")</x:f>
        <x:v>0.01195788912089714</x:v>
      </x:c>
    </x:row>
    <x:row r="888">
      <x:c r="A888" t="n">
        <x:f>884</x:f>
        <x:v>884</x:v>
      </x:c>
      <x:c r="B888" s="7" t="n">
        <x:f>IF(AND('요약'!$B$20,A888&lt;='요약'!$B$6),NORM.S.INV((A888-0.5)/'요약'!$B$6),"")</x:f>
        <x:v>1.1926665267990217</x:v>
      </x:c>
      <x:c r="C888" s="7" t="n">
        <x:f>IF(AND('요약'!$B$20,A888&lt;='요약'!$B$6),LARGE('계산'!$B$2:$B$2001,'요약'!$B$6-A888+1),"")</x:f>
        <x:v>0.01225153556134668</x:v>
      </x:c>
      <x:c r="D888" s="7" t="n">
        <x:f>IF(ISNUMBER(B888),'요약'!$B$7+'요약'!$B$13*B888,"")</x:f>
        <x:v>0.01200934038601179</x:v>
      </x:c>
    </x:row>
    <x:row r="889">
      <x:c r="A889" t="n">
        <x:f>885</x:f>
        <x:v>885</x:v>
      </x:c>
      <x:c r="B889" s="7" t="n">
        <x:f>IF(AND('요약'!$B$20,A889&lt;='요약'!$B$6),NORM.S.INV((A889-0.5)/'요약'!$B$6),"")</x:f>
        <x:v>1.1977868701390406</x:v>
      </x:c>
      <x:c r="C889" s="7" t="n">
        <x:f>IF(AND('요약'!$B$20,A889&lt;='요약'!$B$6),LARGE('계산'!$B$2:$B$2001,'요약'!$B$6-A889+1),"")</x:f>
        <x:v>0.012332991853211461</x:v>
      </x:c>
      <x:c r="D889" s="7" t="n">
        <x:f>IF(ISNUMBER(B889),'요약'!$B$7+'요약'!$B$13*B889,"")</x:f>
        <x:v>0.012061105859925291</x:v>
      </x:c>
    </x:row>
    <x:row r="890">
      <x:c r="A890" t="n">
        <x:f>886</x:f>
        <x:v>886</x:v>
      </x:c>
      <x:c r="B890" s="7" t="n">
        <x:f>IF(AND('요약'!$B$20,A890&lt;='요약'!$B$6),NORM.S.INV((A890-0.5)/'요약'!$B$6),"")</x:f>
        <x:v>1.202938811052999</x:v>
      </x:c>
      <x:c r="C890" s="7" t="n">
        <x:f>IF(AND('요약'!$B$20,A890&lt;='요약'!$B$6),LARGE('계산'!$B$2:$B$2001,'요약'!$B$6-A890+1),"")</x:f>
        <x:v>0.012451505209006137</x:v>
      </x:c>
      <x:c r="D890" s="7" t="n">
        <x:f>IF(ISNUMBER(B890),'요약'!$B$7+'요약'!$B$13*B890,"")</x:f>
        <x:v>0.012113190777923081</x:v>
      </x:c>
    </x:row>
    <x:row r="891">
      <x:c r="A891" t="n">
        <x:f>887</x:f>
        <x:v>887</x:v>
      </x:c>
      <x:c r="B891" s="7" t="n">
        <x:f>IF(AND('요약'!$B$20,A891&lt;='요약'!$B$6),NORM.S.INV((A891-0.5)/'요약'!$B$6),"")</x:f>
        <x:v>1.2081228803975241</x:v>
      </x:c>
      <x:c r="C891" s="7" t="n">
        <x:f>IF(AND('요약'!$B$20,A891&lt;='요약'!$B$6),LARGE('계산'!$B$2:$B$2001,'요약'!$B$6-A891+1),"")</x:f>
        <x:v>0.012511391147022672</x:v>
      </x:c>
      <x:c r="D891" s="7" t="n">
        <x:f>IF(ISNUMBER(B891),'요약'!$B$7+'요약'!$B$13*B891,"")</x:f>
        <x:v>0.012165600506841533</x:v>
      </x:c>
    </x:row>
    <x:row r="892">
      <x:c r="A892" t="n">
        <x:f>888</x:f>
        <x:v>888</x:v>
      </x:c>
      <x:c r="B892" s="7" t="n">
        <x:f>IF(AND('요약'!$B$20,A892&lt;='요약'!$B$6),NORM.S.INV((A892-0.5)/'요약'!$B$6),"")</x:f>
        <x:v>1.213339622488518</x:v>
      </x:c>
      <x:c r="C892" s="7" t="n">
        <x:f>IF(AND('요약'!$B$20,A892&lt;='요약'!$B$6),LARGE('계산'!$B$2:$B$2001,'요약'!$B$6-A892+1),"")</x:f>
        <x:v>0.012615350915065465</x:v>
      </x:c>
      <x:c r="D892" s="7" t="n">
        <x:f>IF(ISNUMBER(B892),'요약'!$B$7+'요약'!$B$13*B892,"")</x:f>
        <x:v>0.012218340549587144</x:v>
      </x:c>
    </x:row>
    <x:row r="893">
      <x:c r="A893" t="n">
        <x:f>889</x:f>
        <x:v>889</x:v>
      </x:c>
      <x:c r="B893" s="7" t="n">
        <x:f>IF(AND('요약'!$B$20,A893&lt;='요약'!$B$6),NORM.S.INV((A893-0.5)/'요약'!$B$6),"")</x:f>
        <x:v>1.218589595567664</x:v>
      </x:c>
      <x:c r="C893" s="7" t="n">
        <x:f>IF(AND('요약'!$B$20,A893&lt;='요약'!$B$6),LARGE('계산'!$B$2:$B$2001,'요약'!$B$6-A893+1),"")</x:f>
        <x:v>0.012649029631155648</x:v>
      </x:c>
      <x:c r="D893" s="7" t="n">
        <x:f>IF(ISNUMBER(B893),'요약'!$B$7+'요약'!$B$13*B893,"")</x:f>
        <x:v>0.012271416549852804</x:v>
      </x:c>
    </x:row>
    <x:row r="894">
      <x:c r="A894" t="n">
        <x:f>890</x:f>
        <x:v>890</x:v>
      </x:c>
      <x:c r="B894" s="7" t="n">
        <x:f>IF(AND('요약'!$B$20,A894&lt;='요약'!$B$6),NORM.S.INV((A894-0.5)/'요약'!$B$6),"")</x:f>
        <x:v>1.223873372289463</x:v>
      </x:c>
      <x:c r="C894" s="7" t="n">
        <x:f>IF(AND('요약'!$B$20,A894&lt;='요약'!$B$6),LARGE('계산'!$B$2:$B$2001,'요약'!$B$6-A894+1),"")</x:f>
        <x:v>0.012793281108714654</x:v>
      </x:c>
      <x:c r="D894" s="7" t="n">
        <x:f>IF(ISNUMBER(B894),'요약'!$B$7+'요약'!$B$13*B894,"")</x:f>
        <x:v>0.012324834297041617</x:v>
      </x:c>
    </x:row>
    <x:row r="895">
      <x:c r="A895" t="n">
        <x:f>891</x:f>
        <x:v>891</x:v>
      </x:c>
      <x:c r="B895" s="7" t="n">
        <x:f>IF(AND('요약'!$B$20,A895&lt;='요약'!$B$6),NORM.S.INV((A895-0.5)/'요약'!$B$6),"")</x:f>
        <x:v>1.2291915402298943</x:v>
      </x:c>
      <x:c r="C895" s="7" t="n">
        <x:f>IF(AND('요약'!$B$20,A895&lt;='요약'!$B$6),LARGE('계산'!$B$2:$B$2001,'요약'!$B$6-A895+1),"")</x:f>
        <x:v>0.012799209026037688</x:v>
      </x:c>
      <x:c r="D895" s="7" t="n">
        <x:f>IF(ISNUMBER(B895),'요약'!$B$7+'요약'!$B$13*B895,"")</x:f>
        <x:v>0.012378599731409343</x:v>
      </x:c>
    </x:row>
    <x:row r="896">
      <x:c r="A896" t="n">
        <x:f>892</x:f>
        <x:v>892</x:v>
      </x:c>
      <x:c r="B896" s="7" t="n">
        <x:f>IF(AND('요약'!$B$20,A896&lt;='요약'!$B$6),NORM.S.INV((A896-0.5)/'요약'!$B$6),"")</x:f>
        <x:v>1.2345447024178717</x:v>
      </x:c>
      <x:c r="C896" s="7" t="n">
        <x:f>IF(AND('요약'!$B$20,A896&lt;='요약'!$B$6),LARGE('계산'!$B$2:$B$2001,'요약'!$B$6-A896+1),"")</x:f>
        <x:v>0.012890082702253437</x:v>
      </x:c>
      <x:c r="D896" s="7" t="n">
        <x:f>IF(ISNUMBER(B896),'요약'!$B$7+'요약'!$B$13*B896,"")</x:f>
        <x:v>0.012432718949437302</x:v>
      </x:c>
    </x:row>
    <x:row r="897">
      <x:c r="A897" t="n">
        <x:f>893</x:f>
        <x:v>893</x:v>
      </x:c>
      <x:c r="B897" s="7" t="n">
        <x:f>IF(AND('요약'!$B$20,A897&lt;='요약'!$B$6),NORM.S.INV((A897-0.5)/'요약'!$B$6),"")</x:f>
        <x:v>1.239933477890738</x:v>
      </x:c>
      <x:c r="C897" s="7" t="n">
        <x:f>IF(AND('요약'!$B$20,A897&lt;='요약'!$B$6),LARGE('계산'!$B$2:$B$2001,'요약'!$B$6-A897+1),"")</x:f>
        <x:v>0.01296629703012736</x:v>
      </x:c>
      <x:c r="D897" s="7" t="n">
        <x:f>IF(ISNUMBER(B897),'요약'!$B$7+'요약'!$B$13*B897,"")</x:f>
        <x:v>0.01248719820944828</x:v>
      </x:c>
    </x:row>
    <x:row r="898">
      <x:c r="A898" t="n">
        <x:f>894</x:f>
        <x:v>894</x:v>
      </x:c>
      <x:c r="B898" s="7" t="n">
        <x:f>IF(AND('요약'!$B$20,A898&lt;='요약'!$B$6),NORM.S.INV((A898-0.5)/'요약'!$B$6),"")</x:f>
        <x:v>1.245358502275122</x:v>
      </x:c>
      <x:c r="C898" s="7" t="n">
        <x:f>IF(AND('요약'!$B$20,A898&lt;='요약'!$B$6),LARGE('계산'!$B$2:$B$2001,'요약'!$B$6-A898+1),"")</x:f>
        <x:v>0.012977293205082814</x:v>
      </x:c>
      <x:c r="D898" s="7" t="n">
        <x:f>IF(ISNUMBER(B898),'요약'!$B$7+'요약'!$B$13*B898,"")</x:f>
        <x:v>0.012542043937478872</x:v>
      </x:c>
    </x:row>
    <x:row r="899">
      <x:c r="A899" t="n">
        <x:f>895</x:f>
        <x:v>895</x:v>
      </x:c>
      <x:c r="B899" s="7" t="n">
        <x:f>IF(AND('요약'!$B$20,A899&lt;='요약'!$B$6),NORM.S.INV((A899-0.5)/'요약'!$B$6),"")</x:f>
        <x:v>1.2508204283945628</x:v>
      </x:c>
      <x:c r="C899" s="7" t="n">
        <x:f>IF(AND('요약'!$B$20,A899&lt;='요약'!$B$6),LARGE('계산'!$B$2:$B$2001,'요약'!$B$6-A899+1),"")</x:f>
        <x:v>0.013021027910592871</x:v>
      </x:c>
      <x:c r="D899" s="7" t="n">
        <x:f>IF(ISNUMBER(B899),'요약'!$B$7+'요약'!$B$13*B899,"")</x:f>
        <x:v>0.012597262733422415</x:v>
      </x:c>
    </x:row>
    <x:row r="900">
      <x:c r="A900" t="n">
        <x:f>896</x:f>
        <x:v>896</x:v>
      </x:c>
      <x:c r="B900" s="7" t="n">
        <x:f>IF(AND('요약'!$B$20,A900&lt;='요약'!$B$6),NORM.S.INV((A900-0.5)/'요약'!$B$6),"")</x:f>
        <x:v>1.256319926905406</x:v>
      </x:c>
      <x:c r="C900" s="7" t="n">
        <x:f>IF(AND('요약'!$B$20,A900&lt;='요약'!$B$6),LARGE('계산'!$B$2:$B$2001,'요약'!$B$6-A900+1),"")</x:f>
        <x:v>0.013031417115319887</x:v>
      </x:c>
      <x:c r="D900" s="7" t="n">
        <x:f>IF(ISNUMBER(B900),'요약'!$B$7+'요약'!$B$13*B900,"")</x:f>
        <x:v>0.012652861377457747</x:v>
      </x:c>
    </x:row>
    <x:row r="901">
      <x:c r="A901" t="n">
        <x:f>897</x:f>
        <x:v>897</x:v>
      </x:c>
      <x:c r="B901" s="7" t="n">
        <x:f>IF(AND('요약'!$B$20,A901&lt;='요약'!$B$6),NORM.S.INV((A901-0.5)/'요약'!$B$6),"")</x:f>
        <x:v>1.2618576869625726</x:v>
      </x:c>
      <x:c r="C901" s="7" t="n">
        <x:f>IF(AND('요약'!$B$20,A901&lt;='요약'!$B$6),LARGE('계산'!$B$2:$B$2001,'요약'!$B$6-A901+1),"")</x:f>
        <x:v>0.013043162104629953</x:v>
      </x:c>
      <x:c r="D901" s="7" t="n">
        <x:f>IF(ISNUMBER(B901),'요약'!$B$7+'요약'!$B$13*B901,"")</x:f>
        <x:v>0.012708846836779978</x:v>
      </x:c>
    </x:row>
    <x:row r="902">
      <x:c r="A902" t="n">
        <x:f>898</x:f>
        <x:v>898</x:v>
      </x:c>
      <x:c r="B902" s="7" t="n">
        <x:f>IF(AND('요약'!$B$20,A902&lt;='요약'!$B$6),NORM.S.INV((A902-0.5)/'요약'!$B$6),"")</x:f>
        <x:v>1.2674344169169047</x:v>
      </x:c>
      <x:c r="C902" s="7" t="n">
        <x:f>IF(AND('요약'!$B$20,A902&lt;='요약'!$B$6),LARGE('계산'!$B$2:$B$2001,'요약'!$B$6-A902+1),"")</x:f>
        <x:v>0.01304316700459289</x:v>
      </x:c>
      <x:c r="D902" s="7" t="n">
        <x:f>IF(ISNUMBER(B902),'요약'!$B$7+'요약'!$B$13*B902,"")</x:f>
        <x:v>0.012765226272650494</x:v>
      </x:c>
    </x:row>
    <x:row r="903">
      <x:c r="A903" t="n">
        <x:f>899</x:f>
        <x:v>899</x:v>
      </x:c>
      <x:c r="B903" s="7" t="n">
        <x:f>IF(AND('요약'!$B$20,A903&lt;='요약'!$B$6),NORM.S.INV((A903-0.5)/'요약'!$B$6),"")</x:f>
        <x:v>1.273050845045919</x:v>
      </x:c>
      <x:c r="C903" s="7" t="n">
        <x:f>IF(AND('요약'!$B$20,A903&lt;='요약'!$B$6),LARGE('계산'!$B$2:$B$2001,'요약'!$B$6-A903+1),"")</x:f>
        <x:v>0.013060530516644723</x:v>
      </x:c>
      <x:c r="D903" s="7" t="n">
        <x:f>IF(ISNUMBER(B903),'요약'!$B$7+'요약'!$B$13*B903,"")</x:f>
        <x:v>0.0128220070477847</x:v>
      </x:c>
    </x:row>
    <x:row r="904">
      <x:c r="A904" t="n">
        <x:f>900</x:f>
        <x:v>900</x:v>
      </x:c>
      <x:c r="B904" s="7" t="n">
        <x:f>IF(AND('요약'!$B$20,A904&lt;='요약'!$B$6),NORM.S.INV((A904-0.5)/'요약'!$B$6),"")</x:f>
        <x:v>1.2787077203199049</x:v>
      </x:c>
      <x:c r="C904" s="7" t="n">
        <x:f>IF(AND('요약'!$B$20,A904&lt;='요약'!$B$6),LARGE('계산'!$B$2:$B$2001,'요약'!$B$6-A904+1),"")</x:f>
        <x:v>0.013130236680933048</x:v>
      </x:c>
      <x:c r="D904" s="7" t="n">
        <x:f>IF(ISNUMBER(B904),'요약'!$B$7+'요약'!$B$13*B904,"")</x:f>
        <x:v>0.012879196734097095</x:v>
      </x:c>
    </x:row>
    <x:row r="905">
      <x:c r="A905" t="n">
        <x:f>901</x:f>
        <x:v>901</x:v>
      </x:c>
      <x:c r="B905" s="7" t="n">
        <x:f>IF(AND('요약'!$B$20,A905&lt;='요약'!$B$6),NORM.S.INV((A905-0.5)/'요약'!$B$6),"")</x:f>
        <x:v>1.2844058132054619</x:v>
      </x:c>
      <x:c r="C905" s="7" t="n">
        <x:f>IF(AND('요약'!$B$20,A905&lt;='요약'!$B$6),LARGE('계산'!$B$2:$B$2001,'요약'!$B$6-A905+1),"")</x:f>
        <x:v>0.01342326684712267</x:v>
      </x:c>
      <x:c r="D905" s="7" t="n">
        <x:f>IF(ISNUMBER(B905),'요약'!$B$7+'요약'!$B$13*B905,"")</x:f>
        <x:v>0.012936803120824849</x:v>
      </x:c>
    </x:row>
    <x:row r="906">
      <x:c r="A906" t="n">
        <x:f>902</x:f>
        <x:v>902</x:v>
      </x:c>
      <x:c r="B906" s="7" t="n">
        <x:f>IF(AND('요약'!$B$20,A906&lt;='요약'!$B$6),NORM.S.INV((A906-0.5)/'요약'!$B$6),"")</x:f>
        <x:v>1.2901459165086895</x:v>
      </x:c>
      <x:c r="C906" s="7" t="n">
        <x:f>IF(AND('요약'!$B$20,A906&lt;='요약'!$B$6),LARGE('계산'!$B$2:$B$2001,'요약'!$B$6-A906+1),"")</x:f>
        <x:v>0.013477353707385998</x:v>
      </x:c>
      <x:c r="D906" s="7" t="n">
        <x:f>IF(ISNUMBER(B906),'요약'!$B$7+'요약'!$B$13*B906,"")</x:f>
        <x:v>0.012994834223052249</x:v>
      </x:c>
    </x:row>
    <x:row r="907">
      <x:c r="A907" t="n">
        <x:f>903</x:f>
        <x:v>903</x:v>
      </x:c>
      <x:c r="B907" s="7" t="n">
        <x:f>IF(AND('요약'!$B$20,A907&lt;='요약'!$B$6),NORM.S.INV((A907-0.5)/'요약'!$B$6),"")</x:f>
        <x:v>1.2959288462604268</x:v>
      </x:c>
      <x:c r="C907" s="7" t="n">
        <x:f>IF(AND('요약'!$B$20,A907&lt;='요약'!$B$6),LARGE('계산'!$B$2:$B$2001,'요약'!$B$6-A907+1),"")</x:f>
        <x:v>0.013498059907680379</x:v>
      </x:c>
      <x:c r="D907" s="7" t="n">
        <x:f>IF(ISNUMBER(B907),'요약'!$B$7+'요약'!$B$13*B907,"")</x:f>
        <x:v>0.013053298290660275</x:v>
      </x:c>
    </x:row>
    <x:row r="908">
      <x:c r="A908" t="n">
        <x:f>904</x:f>
        <x:v>904</x:v>
      </x:c>
      <x:c r="B908" s="7" t="n">
        <x:f>IF(AND('요약'!$B$20,A908&lt;='요약'!$B$6),NORM.S.INV((A908-0.5)/'요약'!$B$6),"")</x:f>
        <x:v>1.3017554426460813</x:v>
      </x:c>
      <x:c r="C908" s="7" t="n">
        <x:f>IF(AND('요약'!$B$20,A908&lt;='요약'!$B$6),LARGE('계산'!$B$2:$B$2001,'요약'!$B$6-A908+1),"")</x:f>
        <x:v>0.0135061583906923</x:v>
      </x:c>
      <x:c r="D908" s="7" t="n">
        <x:f>IF(ISNUMBER(B908),'요약'!$B$7+'요약'!$B$13*B908,"")</x:f>
        <x:v>0.01311220381772694</x:v>
      </x:c>
    </x:row>
    <x:row r="909">
      <x:c r="A909" t="n">
        <x:f>905</x:f>
        <x:v>905</x:v>
      </x:c>
      <x:c r="B909" s="7" t="n">
        <x:f>IF(AND('요약'!$B$20,A909&lt;='요약'!$B$6),NORM.S.INV((A909-0.5)/'요약'!$B$6),"")</x:f>
        <x:v>1.3076265709827957</x:v>
      </x:c>
      <x:c r="C909" s="7" t="n">
        <x:f>IF(AND('요약'!$B$20,A909&lt;='요약'!$B$6),LARGE('계산'!$B$2:$B$2001,'요약'!$B$6-A909+1),"")</x:f>
        <x:v>0.013517623417320242</x:v>
      </x:c>
      <x:c r="D909" s="7" t="n">
        <x:f>IF(ISNUMBER(B909),'요약'!$B$7+'요약'!$B$13*B909,"")</x:f>
        <x:v>0.013171559552406223</x:v>
      </x:c>
    </x:row>
    <x:row r="910">
      <x:c r="A910" t="n">
        <x:f>906</x:f>
        <x:v>906</x:v>
      </x:c>
      <x:c r="B910" s="7" t="n">
        <x:f>IF(AND('요약'!$B$20,A910&lt;='요약'!$B$6),NORM.S.INV((A910-0.5)/'요약'!$B$6),"")</x:f>
        <x:v>1.313543122746876</x:v>
      </x:c>
      <x:c r="C910" s="7" t="n">
        <x:f>IF(AND('요약'!$B$20,A910&lt;='요약'!$B$6),LARGE('계산'!$B$2:$B$2001,'요약'!$B$6-A910+1),"")</x:f>
        <x:v>0.013600119111228822</x:v>
      </x:c>
      <x:c r="D910" s="7" t="n">
        <x:f>IF(ISNUMBER(B910),'요약'!$B$7+'요약'!$B$13*B910,"")</x:f>
        <x:v>0.013231374507315133</x:v>
      </x:c>
    </x:row>
    <x:row r="911">
      <x:c r="A911" t="n">
        <x:f>907</x:f>
        <x:v>907</x:v>
      </x:c>
      <x:c r="B911" s="7" t="n">
        <x:f>IF(AND('요약'!$B$20,A911&lt;='요약'!$B$6),NORM.S.INV((A911-0.5)/'요약'!$B$6),"")</x:f>
        <x:v>1.3195060166546384</x:v>
      </x:c>
      <x:c r="C911" s="7" t="n">
        <x:f>IF(AND('요약'!$B$20,A911&lt;='요약'!$B$6),LARGE('계산'!$B$2:$B$2001,'요약'!$B$6-A911+1),"")</x:f>
        <x:v>0.013660366581932796</x:v>
      </x:c>
      <x:c r="D911" s="7" t="n">
        <x:f>IF(ISNUMBER(B911),'요약'!$B$7+'요약'!$B$13*B911,"")</x:f>
        <x:v>0.013291657970460813</x:v>
      </x:c>
    </x:row>
    <x:row r="912">
      <x:c r="A912" t="n">
        <x:f>908</x:f>
        <x:v>908</x:v>
      </x:c>
      <x:c r="B912" s="7" t="n">
        <x:f>IF(AND('요약'!$B$20,A912&lt;='요약'!$B$6),NORM.S.INV((A912-0.5)/'요약'!$B$6),"")</x:f>
        <x:v>1.3255161998000577</x:v>
      </x:c>
      <x:c r="C912" s="7" t="n">
        <x:f>IF(AND('요약'!$B$20,A912&lt;='요약'!$B$6),LARGE('계산'!$B$2:$B$2001,'요약'!$B$6-A912+1),"")</x:f>
        <x:v>0.01373380421875699</x:v>
      </x:c>
      <x:c r="D912" s="7" t="n">
        <x:f>IF(ISNUMBER(B912),'요약'!$B$7+'요약'!$B$13*B912,"")</x:f>
        <x:v>0.013352419516741891</x:v>
      </x:c>
    </x:row>
    <x:row r="913">
      <x:c r="A913" t="n">
        <x:f>909</x:f>
        <x:v>909</x:v>
      </x:c>
      <x:c r="B913" s="7" t="n">
        <x:f>IF(AND('요약'!$B$20,A913&lt;='요약'!$B$6),NORM.S.INV((A913-0.5)/'요약'!$B$6),"")</x:f>
        <x:v>1.331574648852845</x:v>
      </x:c>
      <x:c r="C913" s="7" t="n">
        <x:f>IF(AND('요약'!$B$20,A913&lt;='요약'!$B$6),LARGE('계산'!$B$2:$B$2001,'요약'!$B$6-A913+1),"")</x:f>
        <x:v>0.013734500499663894</x:v>
      </x:c>
      <x:c r="D913" s="7" t="n">
        <x:f>IF(ISNUMBER(B913),'요약'!$B$7+'요약'!$B$13*B913,"")</x:f>
        <x:v>0.013413669020060779</x:v>
      </x:c>
    </x:row>
    <x:row r="914">
      <x:c r="A914" t="n">
        <x:f>910</x:f>
        <x:v>910</x:v>
      </x:c>
      <x:c r="B914" s="7" t="n">
        <x:f>IF(AND('요약'!$B$20,A914&lt;='요약'!$B$6),NORM.S.INV((A914-0.5)/'요약'!$B$6),"")</x:f>
        <x:v>1.337682371320883</x:v>
      </x:c>
      <x:c r="C914" s="7" t="n">
        <x:f>IF(AND('요약'!$B$20,A914&lt;='요약'!$B$6),LARGE('계산'!$B$2:$B$2001,'요약'!$B$6-A914+1),"")</x:f>
        <x:v>0.013777826991247015</x:v>
      </x:c>
      <x:c r="D914" s="7" t="n">
        <x:f>IF(ISNUMBER(B914),'요약'!$B$7+'요약'!$B$13*B914,"")</x:f>
        <x:v>0.013475416666086593</x:v>
      </x:c>
    </x:row>
    <x:row r="915">
      <x:c r="A915" t="n">
        <x:f>911</x:f>
        <x:v>911</x:v>
      </x:c>
      <x:c r="B915" s="7" t="n">
        <x:f>IF(AND('요약'!$B$20,A915&lt;='요약'!$B$6),NORM.S.INV((A915-0.5)/'요약'!$B$6),"")</x:f>
        <x:v>1.343840406881213</x:v>
      </x:c>
      <x:c r="C915" s="7" t="n">
        <x:f>IF(AND('요약'!$B$20,A915&lt;='요약'!$B$6),LARGE('계산'!$B$2:$B$2001,'요약'!$B$6-A915+1),"")</x:f>
        <x:v>0.013801689706058813</x:v>
      </x:c>
      <x:c r="D915" s="7" t="n">
        <x:f>IF(ISNUMBER(B915),'요약'!$B$7+'요약'!$B$13*B915,"")</x:f>
        <x:v>0.013537672965711121</x:v>
      </x:c>
    </x:row>
    <x:row r="916">
      <x:c r="A916" t="n">
        <x:f>912</x:f>
        <x:v>912</x:v>
      </x:c>
      <x:c r="B916" s="7" t="n">
        <x:f>IF(AND('요약'!$B$20,A916&lt;='요약'!$B$6),NORM.S.INV((A916-0.5)/'요약'!$B$6),"")</x:f>
        <x:v>1.3500498287841276</x:v>
      </x:c>
      <x:c r="C916" s="7" t="n">
        <x:f>IF(AND('요약'!$B$20,A916&lt;='요약'!$B$6),LARGE('계산'!$B$2:$B$2001,'요약'!$B$6-A916+1),"")</x:f>
        <x:v>0.01381553825110014</x:v>
      </x:c>
      <x:c r="D916" s="7" t="n">
        <x:f>IF(ISNUMBER(B916),'요약'!$B$7+'요약'!$B$13*B916,"")</x:f>
        <x:v>0.01360044876924387</x:v>
      </x:c>
    </x:row>
    <x:row r="917">
      <x:c r="A917" t="n">
        <x:f>913</x:f>
        <x:v>913</x:v>
      </x:c>
      <x:c r="B917" s="7" t="n">
        <x:f>IF(AND('요약'!$B$20,A917&lt;='요약'!$B$6),NORM.S.INV((A917-0.5)/'요약'!$B$6),"")</x:f>
        <x:v>1.3563117453352473</x:v>
      </x:c>
      <x:c r="C917" s="7" t="n">
        <x:f>IF(AND('요약'!$B$20,A917&lt;='요약'!$B$6),LARGE('계산'!$B$2:$B$2001,'요약'!$B$6-A917+1),"")</x:f>
        <x:v>0.013861716820631477</x:v>
      </x:c>
      <x:c r="D917" s="7" t="n">
        <x:f>IF(ISNUMBER(B917),'요약'!$B$7+'요약'!$B$13*B917,"")</x:f>
        <x:v>0.013663755281395516</x:v>
      </x:c>
    </x:row>
    <x:row r="918">
      <x:c r="A918" t="n">
        <x:f>914</x:f>
        <x:v>914</x:v>
      </x:c>
      <x:c r="B918" s="7" t="n">
        <x:f>IF(AND('요약'!$B$20,A918&lt;='요약'!$B$6),NORM.S.INV((A918-0.5)/'요약'!$B$6),"")</x:f>
        <x:v>1.362627301460878</x:v>
      </x:c>
      <x:c r="C918" s="7" t="n">
        <x:f>IF(AND('요약'!$B$20,A918&lt;='요약'!$B$6),LARGE('계산'!$B$2:$B$2001,'요약'!$B$6-A918+1),"")</x:f>
        <x:v>0.013873779755241377</x:v>
      </x:c>
      <x:c r="D918" s="7" t="n">
        <x:f>IF(ISNUMBER(B918),'요약'!$B$7+'요약'!$B$13*B918,"")</x:f>
        <x:v>0.013727604077103302</x:v>
      </x:c>
    </x:row>
    <x:row r="919">
      <x:c r="A919" t="n">
        <x:f>915</x:f>
        <x:v>915</x:v>
      </x:c>
      <x:c r="B919" s="7" t="n">
        <x:f>IF(AND('요약'!$B$20,A919&lt;='요약'!$B$6),NORM.S.INV((A919-0.5)/'요약'!$B$6),"")</x:f>
        <x:v>1.3689976803623412</x:v>
      </x:c>
      <x:c r="C919" s="7" t="n">
        <x:f>IF(AND('요약'!$B$20,A919&lt;='요약'!$B$6),LARGE('계산'!$B$2:$B$2001,'요약'!$B$6-A919+1),"")</x:f>
        <x:v>0.013894699748911625</x:v>
      </x:c>
      <x:c r="D919" s="7" t="n">
        <x:f>IF(ISNUMBER(B919),'요약'!$B$7+'요약'!$B$13*B919,"")</x:f>
        <x:v>0.013792007118255926</x:v>
      </x:c>
    </x:row>
    <x:row r="920">
      <x:c r="A920" t="n">
        <x:f>916</x:f>
        <x:v>916</x:v>
      </x:c>
      <x:c r="B920" s="7" t="n">
        <x:f>IF(AND('요약'!$B$20,A920&lt;='요약'!$B$6),NORM.S.INV((A920-0.5)/'요약'!$B$6),"")</x:f>
        <x:v>1.3754241052654514</x:v>
      </x:c>
      <x:c r="C920" s="7" t="n">
        <x:f>IF(AND('요약'!$B$20,A920&lt;='요약'!$B$6),LARGE('계산'!$B$2:$B$2001,'요약'!$B$6-A920+1),"")</x:f>
        <x:v>0.01398790183641143</x:v>
      </x:c>
      <x:c r="D920" s="7" t="n">
        <x:f>IF(ISNUMBER(B920),'요약'!$B$7+'요약'!$B$13*B920,"")</x:f>
        <x:v>0.013856976771380359</x:v>
      </x:c>
    </x:row>
    <x:row r="921">
      <x:c r="A921" t="n">
        <x:f>917</x:f>
        <x:v>917</x:v>
      </x:c>
      <x:c r="B921" s="7" t="n">
        <x:f>IF(AND('요약'!$B$20,A921&lt;='요약'!$B$6),NORM.S.INV((A921-0.5)/'요약'!$B$6),"")</x:f>
        <x:v>1.3819078412718093</x:v>
      </x:c>
      <x:c r="C921" s="7" t="n">
        <x:f>IF(AND('요약'!$B$20,A921&lt;='요약'!$B$6),LARGE('계산'!$B$2:$B$2001,'요약'!$B$6-A921+1),"")</x:f>
        <x:v>0.014079260982279206</x:v>
      </x:c>
      <x:c r="D921" s="7" t="n">
        <x:f>IF(ISNUMBER(B921),'요약'!$B$7+'요약'!$B$13*B921,"")</x:f>
        <x:v>0.01392252582635797</x:v>
      </x:c>
    </x:row>
    <x:row r="922">
      <x:c r="A922" t="n">
        <x:f>918</x:f>
        <x:v>918</x:v>
      </x:c>
      <x:c r="B922" s="7" t="n">
        <x:f>IF(AND('요약'!$B$20,A922&lt;='요약'!$B$6),NORM.S.INV((A922-0.5)/'요약'!$B$6),"")</x:f>
        <x:v>1.3884501973191472</x:v>
      </x:c>
      <x:c r="C922" s="7" t="n">
        <x:f>IF(AND('요약'!$B$20,A922&lt;='요약'!$B$6),LARGE('계산'!$B$2:$B$2001,'요약'!$B$6-A922+1),"")</x:f>
        <x:v>0.014089953310765003</x:v>
      </x:c>
      <x:c r="D922" s="7" t="n">
        <x:f>IF(ISNUMBER(B922),'요약'!$B$7+'요약'!$B$13*B922,"")</x:f>
        <x:v>0.013988667516243175</x:v>
      </x:c>
    </x:row>
    <x:row r="923">
      <x:c r="A923" t="n">
        <x:f>919</x:f>
        <x:v>919</x:v>
      </x:c>
      <x:c r="B923" s="7" t="n">
        <x:f>IF(AND('요약'!$B$20,A923&lt;='요약'!$B$6),NORM.S.INV((A923-0.5)/'요약'!$B$6),"")</x:f>
        <x:v>1.3950525282585469</x:v>
      </x:c>
      <x:c r="C923" s="7" t="n">
        <x:f>IF(AND('요약'!$B$20,A923&lt;='요약'!$B$6),LARGE('계산'!$B$2:$B$2001,'요약'!$B$6-A923+1),"")</x:f>
        <x:v>0.014502188406121089</x:v>
      </x:c>
      <x:c r="D923" s="7" t="n">
        <x:f>IF(ISNUMBER(B923),'요약'!$B$7+'요약'!$B$13*B923,"")</x:f>
        <x:v>0.014055415538263614</x:v>
      </x:c>
    </x:row>
    <x:row r="924">
      <x:c r="A924" t="n">
        <x:f>920</x:f>
        <x:v>920</x:v>
      </x:c>
      <x:c r="B924" s="7" t="n">
        <x:f>IF(AND('요약'!$B$20,A924&lt;='요약'!$B$6),NORM.S.INV((A924-0.5)/'요약'!$B$6),"")</x:f>
        <x:v>1.4017162370570508</x:v>
      </x:c>
      <x:c r="C924" s="7" t="n">
        <x:f>IF(AND('요약'!$B$20,A924&lt;='요약'!$B$6),LARGE('계산'!$B$2:$B$2001,'요약'!$B$6-A924+1),"")</x:f>
        <x:v>0.014559953893288046</x:v>
      </x:c>
      <x:c r="D924" s="7" t="n">
        <x:f>IF(ISNUMBER(B924),'요약'!$B$7+'요약'!$B$13*B924,"")</x:f>
        <x:v>0.014122784076088043</x:v>
      </x:c>
    </x:row>
    <x:row r="925">
      <x:c r="A925" t="n">
        <x:f>921</x:f>
        <x:v>921</x:v>
      </x:c>
      <x:c r="B925" s="7" t="n">
        <x:f>IF(AND('요약'!$B$20,A925&lt;='요약'!$B$6),NORM.S.INV((A925-0.5)/'요약'!$B$6),"")</x:f>
        <x:v>1.408442777134888</x:v>
      </x:c>
      <x:c r="C925" s="7" t="n">
        <x:f>IF(AND('요약'!$B$20,A925&lt;='요약'!$B$6),LARGE('계산'!$B$2:$B$2001,'요약'!$B$6-A925+1),"")</x:f>
        <x:v>0.014637567044555438</x:v>
      </x:c>
      <x:c r="D925" s="7" t="n">
        <x:f>IF(ISNUMBER(B925),'요약'!$B$7+'요약'!$B$13*B925,"")</x:f>
        <x:v>0.01419078782345513</x:v>
      </x:c>
    </x:row>
    <x:row r="926">
      <x:c r="A926" t="n">
        <x:f>922</x:f>
        <x:v>922</x:v>
      </x:c>
      <x:c r="B926" s="7" t="n">
        <x:f>IF(AND('요약'!$B$20,A926&lt;='요약'!$B$6),NORM.S.INV((A926-0.5)/'요약'!$B$6),"")</x:f>
        <x:v>1.4152336548473607</x:v>
      </x:c>
      <x:c r="C926" s="7" t="n">
        <x:f>IF(AND('요약'!$B$20,A926&lt;='요약'!$B$6),LARGE('계산'!$B$2:$B$2001,'요약'!$B$6-A926+1),"")</x:f>
        <x:v>0.014939362014823005</x:v>
      </x:c>
      <x:c r="D926" s="7" t="n">
        <x:f>IF(ISNUMBER(B926),'요약'!$B$7+'요약'!$B$13*B926,"")</x:f>
        <x:v>0.014259442009264765</x:v>
      </x:c>
    </x:row>
    <x:row r="927">
      <x:c r="A927" t="n">
        <x:f>923</x:f>
        <x:v>923</x:v>
      </x:c>
      <x:c r="B927" s="7" t="n">
        <x:f>IF(AND('요약'!$B$20,A927&lt;='요약'!$B$6),NORM.S.INV((A927-0.5)/'요약'!$B$6),"")</x:f>
        <x:v>1.4220904321223207</x:v>
      </x:c>
      <x:c r="C927" s="7" t="n">
        <x:f>IF(AND('요약'!$B$20,A927&lt;='요약'!$B$6),LARGE('계산'!$B$2:$B$2001,'요약'!$B$6-A927+1),"")</x:f>
        <x:v>0.015035944242245832</x:v>
      </x:c>
      <x:c r="D927" s="7" t="n">
        <x:f>IF(ISNUMBER(B927),'요약'!$B$7+'요약'!$B$13*B927,"")</x:f>
        <x:v>0.014328762424242312</x:v>
      </x:c>
    </x:row>
    <x:row r="928">
      <x:c r="A928" t="n">
        <x:f>924</x:f>
        <x:v>924</x:v>
      </x:c>
      <x:c r="B928" s="7" t="n">
        <x:f>IF(AND('요약'!$B$20,A928&lt;='요약'!$B$6),NORM.S.INV((A928-0.5)/'요약'!$B$6),"")</x:f>
        <x:v>1.4290147292651423</x:v>
      </x:c>
      <x:c r="C928" s="7" t="n">
        <x:f>IF(AND('요약'!$B$20,A928&lt;='요약'!$B$6),LARGE('계산'!$B$2:$B$2001,'요약'!$B$6-A928+1),"")</x:f>
        <x:v>0.015056134985145613</x:v>
      </x:c>
      <x:c r="D928" s="7" t="n">
        <x:f>IF(ISNUMBER(B928),'요약'!$B$7+'요약'!$B$13*B928,"")</x:f>
        <x:v>0.01439876544929624</x:v>
      </x:c>
    </x:row>
    <x:row r="929">
      <x:c r="A929" t="n">
        <x:f>925</x:f>
        <x:v>925</x:v>
      </x:c>
      <x:c r="B929" s="7" t="n">
        <x:f>IF(AND('요약'!$B$20,A929&lt;='요약'!$B$6),NORM.S.INV((A929-0.5)/'요약'!$B$6),"")</x:f>
        <x:v>1.436008227944182</x:v>
      </x:c>
      <x:c r="C929" s="7" t="n">
        <x:f>IF(AND('요약'!$B$20,A929&lt;='요약'!$B$6),LARGE('계산'!$B$2:$B$2001,'요약'!$B$6-A929+1),"")</x:f>
        <x:v>0.015085241213498838</x:v>
      </x:c>
      <x:c r="D929" s="7" t="n">
        <x:f>IF(ISNUMBER(B929),'요약'!$B$7+'요약'!$B$13*B929,"")</x:f>
        <x:v>0.014469468085700422</x:v>
      </x:c>
    </x:row>
    <x:row r="930">
      <x:c r="A930" t="n">
        <x:f>926</x:f>
        <x:v>926</x:v>
      </x:c>
      <x:c r="B930" s="7" t="n">
        <x:f>IF(AND('요약'!$B$20,A930&lt;='요약'!$B$6),NORM.S.INV((A930-0.5)/'요약'!$B$6),"")</x:f>
        <x:v>1.443072674370901</x:v>
      </x:c>
      <x:c r="C930" s="7" t="n">
        <x:f>IF(AND('요약'!$B$20,A930&lt;='요약'!$B$6),LARGE('계산'!$B$2:$B$2001,'요약'!$B$6-A930+1),"")</x:f>
        <x:v>0.01513805997667216</x:v>
      </x:c>
      <x:c r="D930" s="7" t="n">
        <x:f>IF(ISNUMBER(B930),'요약'!$B$7+'요약'!$B$13*B930,"")</x:f>
        <x:v>0.014540887987244427</x:v>
      </x:c>
    </x:row>
    <x:row r="931">
      <x:c r="A931" t="n">
        <x:f>927</x:f>
        <x:v>927</x:v>
      </x:c>
      <x:c r="B931" s="7" t="n">
        <x:f>IF(AND('요약'!$B$20,A931&lt;='요약'!$B$6),NORM.S.INV((A931-0.5)/'요약'!$B$6),"")</x:f>
        <x:v>1.4502098826901597</x:v>
      </x:c>
      <x:c r="C931" s="7" t="n">
        <x:f>IF(AND('요약'!$B$20,A931&lt;='요약'!$B$6),LARGE('계산'!$B$2:$B$2001,'요약'!$B$6-A931+1),"")</x:f>
        <x:v>0.015176207498072745</x:v>
      </x:c>
      <x:c r="D931" s="7" t="n">
        <x:f>IF(ISNUMBER(B931),'요약'!$B$7+'요약'!$B$13*B931,"")</x:f>
        <x:v>0.014613043494508602</x:v>
      </x:c>
    </x:row>
    <x:row r="932">
      <x:c r="A932" t="n">
        <x:f>928</x:f>
        <x:v>928</x:v>
      </x:c>
      <x:c r="B932" s="7" t="n">
        <x:f>IF(AND('요약'!$B$20,A932&lt;='요약'!$B$6),NORM.S.INV((A932-0.5)/'요약'!$B$6),"")</x:f>
        <x:v>1.4574217385976513</x:v>
      </x:c>
      <x:c r="C932" s="7" t="n">
        <x:f>IF(AND('요약'!$B$20,A932&lt;='요약'!$B$6),LARGE('계산'!$B$2:$B$2001,'요약'!$B$6-A932+1),"")</x:f>
        <x:v>0.015191728686574948</x:v>
      </x:c>
      <x:c r="D932" s="7" t="n">
        <x:f>IF(ISNUMBER(B932),'요약'!$B$7+'요약'!$B$13*B932,"")</x:f>
        <x:v>0.014685953671435489</x:v>
      </x:c>
    </x:row>
    <x:row r="933">
      <x:c r="A933" t="n">
        <x:f>929</x:f>
        <x:v>929</x:v>
      </x:c>
      <x:c r="B933" s="7" t="n">
        <x:f>IF(AND('요약'!$B$20,A933&lt;='요약'!$B$6),NORM.S.INV((A933-0.5)/'요약'!$B$6),"")</x:f>
        <x:v>1.4647102032030623</x:v>
      </x:c>
      <x:c r="C933" s="7" t="n">
        <x:f>IF(AND('요약'!$B$20,A933&lt;='요약'!$B$6),LARGE('계산'!$B$2:$B$2001,'요약'!$B$6-A933+1),"")</x:f>
        <x:v>0.015210226506903717</x:v>
      </x:c>
      <x:c r="D933" s="7" t="n">
        <x:f>IF(ISNUMBER(B933),'요약'!$B$7+'요약'!$B$13*B933,"")</x:f>
        <x:v>0.014759638344385465</x:v>
      </x:c>
    </x:row>
    <x:row r="934">
      <x:c r="A934" t="n">
        <x:f>930</x:f>
        <x:v>930</x:v>
      </x:c>
      <x:c r="B934" s="7" t="n">
        <x:f>IF(AND('요약'!$B$20,A934&lt;='요약'!$B$6),NORM.S.INV((A934-0.5)/'요약'!$B$6),"")</x:f>
        <x:v>1.472077317159367</x:v>
      </x:c>
      <x:c r="C934" s="7" t="n">
        <x:f>IF(AND('요약'!$B$20,A934&lt;='요약'!$B$6),LARGE('계산'!$B$2:$B$2001,'요약'!$B$6-A934+1),"")</x:f>
        <x:v>0.01526496331076456</x:v>
      </x:c>
      <x:c r="D934" s="7" t="n">
        <x:f>IF(ISNUMBER(B934),'요약'!$B$7+'요약'!$B$13*B934,"")</x:f>
        <x:v>0.014834118143882948</x:v>
      </x:c>
    </x:row>
    <x:row r="935">
      <x:c r="A935" t="n">
        <x:f>931</x:f>
        <x:v>931</x:v>
      </x:c>
      <x:c r="B935" s="7" t="n">
        <x:f>IF(AND('요약'!$B$20,A935&lt;='요약'!$B$6),NORM.S.INV((A935-0.5)/'요약'!$B$6),"")</x:f>
        <x:v>1.4795252050806595</x:v>
      </x:c>
      <x:c r="C935" s="7" t="n">
        <x:f>IF(AND('요약'!$B$20,A935&lt;='요약'!$B$6),LARGE('계산'!$B$2:$B$2001,'요약'!$B$6-A935+1),"")</x:f>
        <x:v>0.015282633058406941</x:v>
      </x:c>
      <x:c r="D935" s="7" t="n">
        <x:f>IF(ISNUMBER(B935),'요약'!$B$7+'요약'!$B$13*B935,"")</x:f>
        <x:v>0.014909414549279645</x:v>
      </x:c>
    </x:row>
    <x:row r="936">
      <x:c r="A936" t="n">
        <x:f>932</x:f>
        <x:v>932</x:v>
      </x:c>
      <x:c r="B936" s="7" t="n">
        <x:f>IF(AND('요약'!$B$20,A936&lt;='요약'!$B$6),NORM.S.INV((A936-0.5)/'요약'!$B$6),"")</x:f>
        <x:v>1.4870560802731703</x:v>
      </x:c>
      <x:c r="C936" s="7" t="n">
        <x:f>IF(AND('요약'!$B$20,A936&lt;='요약'!$B$6),LARGE('계산'!$B$2:$B$2001,'요약'!$B$6-A936+1),"")</x:f>
        <x:v>0.015396516979239466</x:v>
      </x:c>
      <x:c r="D936" s="7" t="n">
        <x:f>IF(ISNUMBER(B936),'요약'!$B$7+'요약'!$B$13*B936,"")</x:f>
        <x:v>0.014985549936584025</x:v>
      </x:c>
    </x:row>
    <x:row r="937">
      <x:c r="A937" t="n">
        <x:f>933</x:f>
        <x:v>933</x:v>
      </x:c>
      <x:c r="B937" s="7" t="n">
        <x:f>IF(AND('요약'!$B$20,A937&lt;='요약'!$B$6),NORM.S.INV((A937-0.5)/'요약'!$B$6),"")</x:f>
        <x:v>1.49467224980662</x:v>
      </x:c>
      <x:c r="C937" s="7" t="n">
        <x:f>IF(AND('요약'!$B$20,A937&lt;='요약'!$B$6),LARGE('계산'!$B$2:$B$2001,'요약'!$B$6-A937+1),"")</x:f>
        <x:v>0.015465042473153999</x:v>
      </x:c>
      <x:c r="D937" s="7" t="n">
        <x:f>IF(ISNUMBER(B937),'요약'!$B$7+'요약'!$B$13*B937,"")</x:f>
        <x:v>0.015062547629731521</x:v>
      </x:c>
    </x:row>
    <x:row r="938">
      <x:c r="A938" t="n">
        <x:f>934</x:f>
        <x:v>934</x:v>
      </x:c>
      <x:c r="B938" s="7" t="n">
        <x:f>IF(AND('요약'!$B$20,A938&lt;='요약'!$B$6),NORM.S.INV((A938-0.5)/'요약'!$B$6),"")</x:f>
        <x:v>1.5023761199558543</x:v>
      </x:c>
      <x:c r="C938" s="7" t="n">
        <x:f>IF(AND('요약'!$B$20,A938&lt;='요약'!$B$6),LARGE('계산'!$B$2:$B$2001,'요약'!$B$6-A938+1),"")</x:f>
        <x:v>0.015508636711103514</x:v>
      </x:c>
      <x:c r="D938" s="7" t="n">
        <x:f>IF(ISNUMBER(B938),'요약'!$B$7+'요약'!$B$13*B938,"")</x:f>
        <x:v>0.015140431955598175</x:v>
      </x:c>
    </x:row>
    <x:row r="939">
      <x:c r="A939" t="n">
        <x:f>935</x:f>
        <x:v>935</x:v>
      </x:c>
      <x:c r="B939" s="7" t="n">
        <x:f>IF(AND('요약'!$B$20,A939&lt;='요약'!$B$6),NORM.S.INV((A939-0.5)/'요약'!$B$6),"")</x:f>
        <x:v>1.510170202045823</x:v>
      </x:c>
      <x:c r="C939" s="7" t="n">
        <x:f>IF(AND('요약'!$B$20,A939&lt;='요약'!$B$6),LARGE('계산'!$B$2:$B$2001,'요약'!$B$6-A939+1),"")</x:f>
        <x:v>0.015543691427775399</x:v>
      </x:c>
      <x:c r="D939" s="7" t="n">
        <x:f>IF(ISNUMBER(B939),'요약'!$B$7+'요약'!$B$13*B939,"")</x:f>
        <x:v>0.015219228303092025</x:v>
      </x:c>
    </x:row>
    <x:row r="940">
      <x:c r="A940" t="n">
        <x:f>936</x:f>
        <x:v>936</x:v>
      </x:c>
      <x:c r="B940" s="7" t="n">
        <x:f>IF(AND('요약'!$B$20,A940&lt;='요약'!$B$6),NORM.S.INV((A940-0.5)/'요약'!$B$6),"")</x:f>
        <x:v>1.518057118736495</x:v>
      </x:c>
      <x:c r="C940" s="7" t="n">
        <x:f>IF(AND('요약'!$B$20,A940&lt;='요약'!$B$6),LARGE('계산'!$B$2:$B$2001,'요약'!$B$6-A940+1),"")</x:f>
        <x:v>0.015571067238582021</x:v>
      </x:c>
      <x:c r="D940" s="7" t="n">
        <x:f>IF(ISNUMBER(B940),'요약'!$B$7+'요약'!$B$13*B940,"")</x:f>
        <x:v>0.015298963186692122</x:v>
      </x:c>
    </x:row>
    <x:row r="941">
      <x:c r="A941" t="n">
        <x:f>937</x:f>
        <x:v>937</x:v>
      </x:c>
      <x:c r="B941" s="7" t="n">
        <x:f>IF(AND('요약'!$B$20,A941&lt;='요약'!$B$6),NORM.S.INV((A941-0.5)/'요약'!$B$6),"")</x:f>
        <x:v>1.5260396107882268</x:v>
      </x:c>
      <x:c r="C941" s="7" t="n">
        <x:f>IF(AND('요약'!$B$20,A941&lt;='요약'!$B$6),LARGE('계산'!$B$2:$B$2001,'요약'!$B$6-A941+1),"")</x:f>
        <x:v>0.01566295891262201</x:v>
      </x:c>
      <x:c r="D941" s="7" t="n">
        <x:f>IF(ISNUMBER(B941),'요약'!$B$7+'요약'!$B$13*B941,"")</x:f>
        <x:v>0.015379664314844815</x:v>
      </x:c>
    </x:row>
    <x:row r="942">
      <x:c r="A942" t="n">
        <x:f>938</x:f>
        <x:v>938</x:v>
      </x:c>
      <x:c r="B942" s="7" t="n">
        <x:f>IF(AND('요약'!$B$20,A942&lt;='요약'!$B$6),NORM.S.INV((A942-0.5)/'요약'!$B$6),"")</x:f>
        <x:v>1.5341205443525465</x:v>
      </x:c>
      <x:c r="C942" s="7" t="n">
        <x:f>IF(AND('요약'!$B$20,A942&lt;='요약'!$B$6),LARGE('계산'!$B$2:$B$2001,'요약'!$B$6-A942+1),"")</x:f>
        <x:v>0.015722143213437883</x:v>
      </x:c>
      <x:c r="D942" s="7" t="n">
        <x:f>IF(ISNUMBER(B942),'요약'!$B$7+'요약'!$B$13*B942,"")</x:f>
        <x:v>0.01546136066367188</x:v>
      </x:c>
    </x:row>
    <x:row r="943">
      <x:c r="A943" t="n">
        <x:f>939</x:f>
        <x:v>939</x:v>
      </x:c>
      <x:c r="B943" s="7" t="n">
        <x:f>IF(AND('요약'!$B$20,A943&lt;='요약'!$B$6),NORM.S.INV((A943-0.5)/'요약'!$B$6),"")</x:f>
        <x:v>1.5423029188383177</x:v>
      </x:c>
      <x:c r="C943" s="7" t="n">
        <x:f>IF(AND('요약'!$B$20,A943&lt;='요약'!$B$6),LARGE('계산'!$B$2:$B$2001,'요약'!$B$6-A943+1),"")</x:f>
        <x:v>0.015728049863102438</x:v>
      </x:c>
      <x:c r="D943" s="7" t="n">
        <x:f>IF(ISNUMBER(B943),'요약'!$B$7+'요약'!$B$13*B943,"")</x:f>
        <x:v>0.015544082556495599</x:v>
      </x:c>
    </x:row>
    <x:row r="944">
      <x:c r="A944" t="n">
        <x:f>940</x:f>
        <x:v>940</x:v>
      </x:c>
      <x:c r="B944" s="7" t="n">
        <x:f>IF(AND('요약'!$B$20,A944&lt;='요약'!$B$6),NORM.S.INV((A944-0.5)/'요약'!$B$6),"")</x:f>
        <x:v>1.5505898754088914</x:v>
      </x:c>
      <x:c r="C944" s="7" t="n">
        <x:f>IF(AND('요약'!$B$20,A944&lt;='요약'!$B$6),LARGE('계산'!$B$2:$B$2001,'요약'!$B$6-A944+1),"")</x:f>
        <x:v>0.015748211637519393</x:v>
      </x:c>
      <x:c r="D944" s="7" t="n">
        <x:f>IF(ISNUMBER(B944),'요약'!$B$7+'요약'!$B$13*B944,"")</x:f>
        <x:v>0.015627861749742972</x:v>
      </x:c>
    </x:row>
    <x:row r="945">
      <x:c r="A945" t="n">
        <x:f>941</x:f>
        <x:v>941</x:v>
      </x:c>
      <x:c r="B945" s="7" t="n">
        <x:f>IF(AND('요약'!$B$20,A945&lt;='요약'!$B$6),NORM.S.INV((A945-0.5)/'요약'!$B$6),"")</x:f>
        <x:v>1.5589847061722557</x:v>
      </x:c>
      <x:c r="C945" s="7" t="n">
        <x:f>IF(AND('요약'!$B$20,A945&lt;='요약'!$B$6),LARGE('계산'!$B$2:$B$2001,'요약'!$B$6-A945+1),"")</x:f>
        <x:v>0.015760443982681803</x:v>
      </x:c>
      <x:c r="D945" s="7" t="n">
        <x:f>IF(ISNUMBER(B945),'요약'!$B$7+'요약'!$B$13*B945,"")</x:f>
        <x:v>0.01571273152585599</x:v>
      </x:c>
    </x:row>
    <x:row r="946">
      <x:c r="A946" t="n">
        <x:f>942</x:f>
        <x:v>942</x:v>
      </x:c>
      <x:c r="B946" s="7" t="n">
        <x:f>IF(AND('요약'!$B$20,A946&lt;='요약'!$B$6),NORM.S.INV((A946-0.5)/'요약'!$B$6),"")</x:f>
        <x:v>1.56749086413344</x:v>
      </x:c>
      <x:c r="C946" s="7" t="n">
        <x:f>IF(AND('요약'!$B$20,A946&lt;='요약'!$B$6),LARGE('계산'!$B$2:$B$2001,'요약'!$B$6-A946+1),"")</x:f>
        <x:v>0.015896729546040437</x:v>
      </x:c>
      <x:c r="D946" s="7" t="n">
        <x:f>IF(ISNUMBER(B946),'요약'!$B$7+'요약'!$B$13*B946,"")</x:f>
        <x:v>0.01579872679390811</x:v>
      </x:c>
    </x:row>
    <x:row r="947">
      <x:c r="A947" t="n">
        <x:f>943</x:f>
        <x:v>943</x:v>
      </x:c>
      <x:c r="B947" s="7" t="n">
        <x:f>IF(AND('요약'!$B$20,A947&lt;='요약'!$B$6),NORM.S.INV((A947-0.5)/'요약'!$B$6),"")</x:f>
        <x:v>1.576111973986659</x:v>
      </x:c>
      <x:c r="C947" s="7" t="n">
        <x:f>IF(AND('요약'!$B$20,A947&lt;='요약'!$B$6),LARGE('계산'!$B$2:$B$2001,'요약'!$B$6-A947+1),"")</x:f>
        <x:v>0.015975320689793716</x:v>
      </x:c>
      <x:c r="D947" s="7" t="n">
        <x:f>IF(ISNUMBER(B947),'요약'!$B$7+'요약'!$B$13*B947,"")</x:f>
        <x:v>0.0158858841987103</x:v>
      </x:c>
    </x:row>
    <x:row r="948">
      <x:c r="A948" t="n">
        <x:f>944</x:f>
        <x:v>944</x:v>
      </x:c>
      <x:c r="B948" s="7" t="n">
        <x:f>IF(AND('요약'!$B$20,A948&lt;='요약'!$B$6),NORM.S.INV((A948-0.5)/'요약'!$B$6),"")</x:f>
        <x:v>1.584851843834083</x:v>
      </x:c>
      <x:c r="C948" s="7" t="n">
        <x:f>IF(AND('요약'!$B$20,A948&lt;='요약'!$B$6),LARGE('계산'!$B$2:$B$2001,'요약'!$B$6-A948+1),"")</x:f>
        <x:v>0.016055835191257483</x:v>
      </x:c>
      <x:c r="D948" s="7" t="n">
        <x:f>IF(ISNUMBER(B948),'요약'!$B$7+'요약'!$B$13*B948,"")</x:f>
        <x:v>0.015974242239285084</x:v>
      </x:c>
    </x:row>
    <x:row r="949">
      <x:c r="A949" t="n">
        <x:f>945</x:f>
        <x:v>945</x:v>
      </x:c>
      <x:c r="B949" s="7" t="n">
        <x:f>IF(AND('요약'!$B$20,A949&lt;='요약'!$B$6),NORM.S.INV((A949-0.5)/'요약'!$B$6),"")</x:f>
        <x:v>1.5937144779287953</x:v>
      </x:c>
      <x:c r="C949" s="7" t="n">
        <x:f>IF(AND('요약'!$B$20,A949&lt;='요약'!$B$6),LARGE('계산'!$B$2:$B$2001,'요약'!$B$6-A949+1),"")</x:f>
        <x:v>0.0160648271475067</x:v>
      </x:c>
      <x:c r="D949" s="7" t="n">
        <x:f>IF(ISNUMBER(B949),'요약'!$B$7+'요약'!$B$13*B949,"")</x:f>
        <x:v>0.016063841397694848</x:v>
      </x:c>
    </x:row>
    <x:row r="950">
      <x:c r="A950" t="n">
        <x:f>946</x:f>
        <x:v>946</x:v>
      </x:c>
      <x:c r="B950" s="7" t="n">
        <x:f>IF(AND('요약'!$B$20,A950&lt;='요약'!$B$6),NORM.S.INV((A950-0.5)/'요약'!$B$6),"")</x:f>
        <x:v>1.6027040905517576</x:v>
      </x:c>
      <x:c r="C950" s="7" t="n">
        <x:f>IF(AND('요약'!$B$20,A950&lt;='요약'!$B$6),LARGE('계산'!$B$2:$B$2001,'요약'!$B$6-A950+1),"")</x:f>
        <x:v>0.016075744640564597</x:v>
      </x:c>
      <x:c r="D950" s="7" t="n">
        <x:f>IF(ISNUMBER(B950),'요약'!$B$7+'요약'!$B$13*B950,"")</x:f>
        <x:v>0.016154724279334717</x:v>
      </x:c>
    </x:row>
    <x:row r="951">
      <x:c r="A951" t="n">
        <x:f>947</x:f>
        <x:v>947</x:v>
      </x:c>
      <x:c r="B951" s="7" t="n">
        <x:f>IF(AND('요약'!$B$20,A951&lt;='요약'!$B$6),NORM.S.INV((A951-0.5)/'요약'!$B$6),"")</x:f>
        <x:v>1.6118251211466301</x:v>
      </x:c>
      <x:c r="C951" s="7" t="n">
        <x:f>IF(AND('요약'!$B$20,A951&lt;='요약'!$B$6),LARGE('계산'!$B$2:$B$2001,'요약'!$B$6-A951+1),"")</x:f>
        <x:v>0.016552272031411516</x:v>
      </x:c>
      <x:c r="D951" s="7" t="n">
        <x:f>IF(ISNUMBER(B951),'요약'!$B$7+'요약'!$B$13*B951,"")</x:f>
        <x:v>0.016246935765942053</x:v>
      </x:c>
    </x:row>
    <x:row r="952">
      <x:c r="A952" t="n">
        <x:f>948</x:f>
        <x:v>948</x:v>
      </x:c>
      <x:c r="B952" s="7" t="n">
        <x:f>IF(AND('요약'!$B$20,A952&lt;='요약'!$B$6),NORM.S.INV((A952-0.5)/'요약'!$B$6),"")</x:f>
        <x:v>1.6210822508524085</x:v>
      </x:c>
      <x:c r="C952" s="7" t="n">
        <x:f>IF(AND('요약'!$B$20,A952&lt;='요약'!$B$6),LARGE('계산'!$B$2:$B$2001,'요약'!$B$6-A952+1),"")</x:f>
        <x:v>0.016583649091192528</x:v>
      </x:c>
      <x:c r="D952" s="7" t="n">
        <x:f>IF(ISNUMBER(B952),'요약'!$B$7+'요약'!$B$13*B952,"")</x:f>
        <x:v>0.016340523182737546</x:v>
      </x:c>
    </x:row>
    <x:row r="953">
      <x:c r="A953" t="n">
        <x:f>949</x:f>
        <x:v>949</x:v>
      </x:c>
      <x:c r="B953" s="7" t="n">
        <x:f>IF(AND('요약'!$B$20,A953&lt;='요약'!$B$6),NORM.S.INV((A953-0.5)/'요약'!$B$6),"")</x:f>
        <x:v>1.6304804205924208</x:v>
      </x:c>
      <x:c r="C953" s="7" t="n">
        <x:f>IF(AND('요약'!$B$20,A953&lt;='요약'!$B$6),LARGE('계산'!$B$2:$B$2001,'요약'!$B$6-A953+1),"")</x:f>
        <x:v>0.016914364065556506</x:v>
      </x:c>
      <x:c r="D953" s="7" t="n">
        <x:f>IF(ISNUMBER(B953),'요약'!$B$7+'요약'!$B$13*B953,"")</x:f>
        <x:v>0.016435536481300736</x:v>
      </x:c>
    </x:row>
    <x:row r="954">
      <x:c r="A954" t="n">
        <x:f>950</x:f>
        <x:v>950</x:v>
      </x:c>
      <x:c r="B954" s="7" t="n">
        <x:f>IF(AND('요약'!$B$20,A954&lt;='요약'!$B$6),NORM.S.INV((A954-0.5)/'요약'!$B$6),"")</x:f>
        <x:v>1.6400248508996713</x:v>
      </x:c>
      <x:c r="C954" s="7" t="n">
        <x:f>IF(AND('요약'!$B$20,A954&lt;='요약'!$B$6),LARGE('계산'!$B$2:$B$2001,'요약'!$B$6-A954+1),"")</x:f>
        <x:v>0.017104728728188877</x:v>
      </x:c>
      <x:c r="D954" s="7" t="n">
        <x:f>IF(ISNUMBER(B954),'요약'!$B$7+'요약'!$B$13*B954,"")</x:f>
        <x:v>0.016532028439999617</x:v>
      </x:c>
    </x:row>
    <x:row r="955">
      <x:c r="A955" t="n">
        <x:f>951</x:f>
        <x:v>951</x:v>
      </x:c>
      <x:c r="B955" s="7" t="n">
        <x:f>IF(AND('요약'!$B$20,A955&lt;='요약'!$B$6),NORM.S.INV((A955-0.5)/'요약'!$B$6),"")</x:f>
        <x:v>1.649721063683362</x:v>
      </x:c>
      <x:c r="C955" s="7" t="n">
        <x:f>IF(AND('요약'!$B$20,A955&lt;='요약'!$B$6),LARGE('계산'!$B$2:$B$2001,'요약'!$B$6-A955+1),"")</x:f>
        <x:v>0.01724046452700105</x:v>
      </x:c>
      <x:c r="D955" s="7" t="n">
        <x:f>IF(ISNUMBER(B955),'요약'!$B$7+'요약'!$B$13*B955,"")</x:f>
        <x:v>0.016630054884045075</x:v>
      </x:c>
    </x:row>
    <x:row r="956">
      <x:c r="A956" t="n">
        <x:f>952</x:f>
        <x:v>952</x:v>
      </x:c>
      <x:c r="B956" s="7" t="n">
        <x:f>IF(AND('요약'!$B$20,A956&lt;='요약'!$B$6),NORM.S.INV((A956-0.5)/'요약'!$B$6),"")</x:f>
        <x:v>1.6595749061702607</x:v>
      </x:c>
      <x:c r="C956" s="7" t="n">
        <x:f>IF(AND('요약'!$B$20,A956&lt;='요약'!$B$6),LARGE('계산'!$B$2:$B$2001,'요약'!$B$6-A956+1),"")</x:f>
        <x:v>0.017255045375373645</x:v>
      </x:c>
      <x:c r="D956" s="7" t="n">
        <x:f>IF(ISNUMBER(B956),'요약'!$B$7+'요약'!$B$13*B956,"")</x:f>
        <x:v>0.016729674927532516</x:v>
      </x:c>
    </x:row>
    <x:row r="957">
      <x:c r="A957" t="n">
        <x:f>953</x:f>
        <x:v>953</x:v>
      </x:c>
      <x:c r="B957" s="7" t="n">
        <x:f>IF(AND('요약'!$B$20,A957&lt;='요약'!$B$6),NORM.S.INV((A957-0.5)/'요약'!$B$6),"")</x:f>
        <x:v>1.6695925772881877</x:v>
      </x:c>
      <x:c r="C957" s="7" t="n">
        <x:f>IF(AND('요약'!$B$20,A957&lt;='요약'!$B$6),LARGE('계산'!$B$2:$B$2001,'요약'!$B$6-A957+1),"")</x:f>
        <x:v>0.017465706924999942</x:v>
      </x:c>
      <x:c r="D957" s="7" t="n">
        <x:f>IF(ISNUMBER(B957),'요약'!$B$7+'요약'!$B$13*B957,"")</x:f>
        <x:v>0.016830951240172747</x:v>
      </x:c>
    </x:row>
    <x:row r="958">
      <x:c r="A958" t="n">
        <x:f>954</x:f>
        <x:v>954</x:v>
      </x:c>
      <x:c r="B958" s="7" t="n">
        <x:f>IF(AND('요약'!$B$20,A958&lt;='요약'!$B$6),NORM.S.INV((A958-0.5)/'요약'!$B$6),"")</x:f>
        <x:v>1.6797806567981288</x:v>
      </x:c>
      <x:c r="C958" s="7" t="n">
        <x:f>IF(AND('요약'!$B$20,A958&lt;='요약'!$B$6),LARGE('계산'!$B$2:$B$2001,'요약'!$B$6-A958+1),"")</x:f>
        <x:v>0.01760376064827434</x:v>
      </x:c>
      <x:c r="D958" s="7" t="n">
        <x:f>IF(ISNUMBER(B958),'요약'!$B$7+'요약'!$B$13*B958,"")</x:f>
        <x:v>0.016933950341810836</x:v>
      </x:c>
    </x:row>
    <x:row r="959">
      <x:c r="A959" t="n">
        <x:f>955</x:f>
        <x:v>955</x:v>
      </x:c>
      <x:c r="B959" s="7" t="n">
        <x:f>IF(AND('요약'!$B$20,A959&lt;='요약'!$B$6),NORM.S.INV((A959-0.5)/'요약'!$B$6),"")</x:f>
        <x:v>1.6901461375274704</x:v>
      </x:c>
      <x:c r="C959" s="7" t="n">
        <x:f>IF(AND('요약'!$B$20,A959&lt;='요약'!$B$6),LARGE('계산'!$B$2:$B$2001,'요약'!$B$6-A959+1),"")</x:f>
        <x:v>0.017613654708654395</x:v>
      </x:c>
      <x:c r="D959" s="7" t="n">
        <x:f>IF(ISNUMBER(B959),'요약'!$B$7+'요약'!$B$13*B959,"")</x:f>
        <x:v>0.01703874292829658</x:v>
      </x:c>
    </x:row>
    <x:row r="960">
      <x:c r="A960" t="n">
        <x:f>956</x:f>
        <x:v>956</x:v>
      </x:c>
      <x:c r="B960" s="7" t="n">
        <x:f>IF(AND('요약'!$B$20,A960&lt;='요약'!$B$6),NORM.S.INV((A960-0.5)/'요약'!$B$6),"")</x:f>
        <x:v>1.7006964611109079</x:v>
      </x:c>
      <x:c r="C960" s="7" t="n">
        <x:f>IF(AND('요약'!$B$20,A960&lt;='요약'!$B$6),LARGE('계산'!$B$2:$B$2001,'요약'!$B$6-A960+1),"")</x:f>
        <x:v>0.017643277248919474</x:v>
      </x:c>
      <x:c r="D960" s="7" t="n">
        <x:f>IF(ISNUMBER(B960),'요약'!$B$7+'요약'!$B$13*B960,"")</x:f>
        <x:v>0.01714540423281672</x:v>
      </x:c>
    </x:row>
    <x:row r="961">
      <x:c r="A961" t="n">
        <x:f>957</x:f>
        <x:v>957</x:v>
      </x:c>
      <x:c r="B961" s="7" t="n">
        <x:f>IF(AND('요약'!$B$20,A961&lt;='요약'!$B$6),NORM.S.INV((A961-0.5)/'요약'!$B$6),"")</x:f>
        <x:v>1.7114395577093582</x:v>
      </x:c>
      <x:c r="C961" s="7" t="n">
        <x:f>IF(AND('요약'!$B$20,A961&lt;='요약'!$B$6),LARGE('계산'!$B$2:$B$2001,'요약'!$B$6-A961+1),"")</x:f>
        <x:v>0.017659339221312218</x:v>
      </x:c>
      <x:c r="D961" s="7" t="n">
        <x:f>IF(ISNUMBER(B961),'요약'!$B$7+'요약'!$B$13*B961,"")</x:f>
        <x:v>0.017254014427443874</x:v>
      </x:c>
    </x:row>
    <x:row r="962">
      <x:c r="A962" t="n">
        <x:f>958</x:f>
        <x:v>958</x:v>
      </x:c>
      <x:c r="B962" s="7" t="n">
        <x:f>IF(AND('요약'!$B$20,A962&lt;='요약'!$B$6),NORM.S.INV((A962-0.5)/'요약'!$B$6),"")</x:f>
        <x:v>1.7223838902526911</x:v>
      </x:c>
      <x:c r="C962" s="7" t="n">
        <x:f>IF(AND('요약'!$B$20,A962&lt;='요약'!$B$6),LARGE('계산'!$B$2:$B$2001,'요약'!$B$6-A962+1),"")</x:f>
        <x:v>0.017683757973240774</x:v>
      </x:c>
      <x:c r="D962" s="7" t="n">
        <x:f>IF(ISNUMBER(B962),'요약'!$B$7+'요약'!$B$13*B962,"")</x:f>
        <x:v>0.017364659070420195</x:v>
      </x:c>
    </x:row>
    <x:row r="963">
      <x:c r="A963" t="n">
        <x:f>959</x:f>
        <x:v>959</x:v>
      </x:c>
      <x:c r="B963" s="7" t="n">
        <x:f>IF(AND('요약'!$B$20,A963&lt;='요약'!$B$6),NORM.S.INV((A963-0.5)/'요약'!$B$6),"")</x:f>
        <x:v>1.7335385038417954</x:v>
      </x:c>
      <x:c r="C963" s="7" t="n">
        <x:f>IF(AND('요약'!$B$20,A963&lt;='요약'!$B$6),LARGE('계산'!$B$2:$B$2001,'요약'!$B$6-A963+1),"")</x:f>
        <x:v>0.017746243099492413</x:v>
      </x:c>
      <x:c r="D963" s="7" t="n">
        <x:f>IF(ISNUMBER(B963),'요약'!$B$7+'요약'!$B$13*B963,"")</x:f>
        <x:v>0.017477429605600718</x:v>
      </x:c>
    </x:row>
    <x:row r="964">
      <x:c r="A964" t="n">
        <x:f>960</x:f>
        <x:v>960</x:v>
      </x:c>
      <x:c r="B964" s="7" t="n">
        <x:f>IF(AND('요약'!$B$20,A964&lt;='요약'!$B$6),NORM.S.INV((A964-0.5)/'요약'!$B$6),"")</x:f>
        <x:v>1.7449130810524898</x:v>
      </x:c>
      <x:c r="C964" s="7" t="n">
        <x:f>IF(AND('요약'!$B$20,A964&lt;='요약'!$B$6),LARGE('계산'!$B$2:$B$2001,'요약'!$B$6-A964+1),"")</x:f>
        <x:v>0.01779316544002327</x:v>
      </x:c>
      <x:c r="D964" s="7" t="n">
        <x:f>IF(ISNUMBER(B964),'요약'!$B$7+'요약'!$B$13*B964,"")</x:f>
        <x:v>0.01759242392156296</x:v>
      </x:c>
    </x:row>
    <x:row r="965">
      <x:c r="A965" t="n">
        <x:f>961</x:f>
        <x:v>961</x:v>
      </x:c>
      <x:c r="B965" s="7" t="n">
        <x:f>IF(AND('요약'!$B$20,A965&lt;='요약'!$B$6),NORM.S.INV((A965-0.5)/'요약'!$B$6),"")</x:f>
        <x:v>1.7565180040119153</x:v>
      </x:c>
      <x:c r="C965" s="7" t="n">
        <x:f>IF(AND('요약'!$B$20,A965&lt;='요약'!$B$6),LARGE('계산'!$B$2:$B$2001,'요약'!$B$6-A965+1),"")</x:f>
        <x:v>0.017896187752975017</x:v>
      </x:c>
      <x:c r="D965" s="7" t="n">
        <x:f>IF(ISNUMBER(B965),'요약'!$B$7+'요약'!$B$13*B965,"")</x:f>
        <x:v>0.01770974697918474</x:v>
      </x:c>
    </x:row>
    <x:row r="966">
      <x:c r="A966" t="n">
        <x:f>962</x:f>
        <x:v>962</x:v>
      </x:c>
      <x:c r="B966" s="7" t="n">
        <x:f>IF(AND('요약'!$B$20,A966&lt;='요약'!$B$6),NORM.S.INV((A966-0.5)/'요약'!$B$6),"")</x:f>
        <x:v>1.7683644242721617</x:v>
      </x:c>
      <x:c r="C966" s="7" t="n">
        <x:f>IF(AND('요약'!$B$20,A966&lt;='요약'!$B$6),LARGE('계산'!$B$2:$B$2001,'요약'!$B$6-A966+1),"")</x:f>
        <x:v>0.017908213222997457</x:v>
      </x:c>
      <x:c r="D966" s="7" t="n">
        <x:f>IF(ISNUMBER(B966),'요약'!$B$7+'요약'!$B$13*B966,"")</x:f>
        <x:v>0.017829511518050192</x:v>
      </x:c>
    </x:row>
    <x:row r="967">
      <x:c r="A967" t="n">
        <x:f>963</x:f>
        <x:v>963</x:v>
      </x:c>
      <x:c r="B967" s="7" t="n">
        <x:f>IF(AND('요약'!$B$20,A967&lt;='요약'!$B$6),NORM.S.INV((A967-0.5)/'요약'!$B$6),"")</x:f>
        <x:v>1.780464341692026</x:v>
      </x:c>
      <x:c r="C967" s="7" t="n">
        <x:f>IF(AND('요약'!$B$20,A967&lt;='요약'!$B$6),LARGE('계산'!$B$2:$B$2001,'요약'!$B$6-A967+1),"")</x:f>
        <x:v>0.01818887277797758</x:v>
      </x:c>
      <x:c r="D967" s="7" t="n">
        <x:f>IF(ISNUMBER(B967),'요약'!$B$7+'요약'!$B$13*B967,"")</x:f>
        <x:v>0.017951838853925914</x:v>
      </x:c>
    </x:row>
    <x:row r="968">
      <x:c r="A968" t="n">
        <x:f>964</x:f>
        <x:v>964</x:v>
      </x:c>
      <x:c r="B968" s="7" t="n">
        <x:f>IF(AND('요약'!$B$20,A968&lt;='요약'!$B$6),NORM.S.INV((A968-0.5)/'요약'!$B$6),"")</x:f>
        <x:v>1.7928306937637521</x:v>
      </x:c>
      <x:c r="C968" s="7" t="n">
        <x:f>IF(AND('요약'!$B$20,A968&lt;='요약'!$B$6),LARGE('계산'!$B$2:$B$2001,'요약'!$B$6-A968+1),"")</x:f>
        <x:v>0.01820381656384575</x:v>
      </x:c>
      <x:c r="D968" s="7" t="n">
        <x:f>IF(ISNUMBER(B968),'요약'!$B$7+'요약'!$B$13*B968,"")</x:f>
        <x:v>0.018076859781833404</x:v>
      </x:c>
    </x:row>
    <x:row r="969">
      <x:c r="A969" t="n">
        <x:f>965</x:f>
        <x:v>965</x:v>
      </x:c>
      <x:c r="B969" s="7" t="n">
        <x:f>IF(AND('요약'!$B$20,A969&lt;='요약'!$B$6),NORM.S.INV((A969-0.5)/'요약'!$B$6),"")</x:f>
        <x:v>1.8054774570971488</x:v>
      </x:c>
      <x:c r="C969" s="7" t="n">
        <x:f>IF(AND('요약'!$B$20,A969&lt;='요약'!$B$6),LARGE('계산'!$B$2:$B$2001,'요약'!$B$6-A969+1),"")</x:f>
        <x:v>0.01825576969398619</x:v>
      </x:c>
      <x:c r="D969" s="7" t="n">
        <x:f>IF(ISNUMBER(B969),'요약'!$B$7+'요약'!$B$13*B969,"")</x:f>
        <x:v>0.01820471560202978</x:v>
      </x:c>
    </x:row>
    <x:row r="970">
      <x:c r="A970" t="n">
        <x:f>966</x:f>
        <x:v>966</x:v>
      </x:c>
      <x:c r="B970" s="7" t="n">
        <x:f>IF(AND('요약'!$B$20,A970&lt;='요약'!$B$6),NORM.S.INV((A970-0.5)/'요약'!$B$6),"")</x:f>
        <x:v>1.8184197631112669</x:v>
      </x:c>
      <x:c r="C970" s="7" t="n">
        <x:f>IF(AND('요약'!$B$20,A970&lt;='요약'!$B$6),LARGE('계산'!$B$2:$B$2001,'요약'!$B$6-A970+1),"")</x:f>
        <x:v>0.018408336725251443</x:v>
      </x:c>
      <x:c r="D970" s="7" t="n">
        <x:f>IF(ISNUMBER(B970),'요약'!$B$7+'요약'!$B$13*B970,"")</x:f>
        <x:v>0.01833555928962357</x:v>
      </x:c>
    </x:row>
    <x:row r="971">
      <x:c r="A971" t="n">
        <x:f>967</x:f>
        <x:v>967</x:v>
      </x:c>
      <x:c r="B971" s="7" t="n">
        <x:f>IF(AND('요약'!$B$20,A971&lt;='요약'!$B$6),NORM.S.INV((A971-0.5)/'요약'!$B$6),"")</x:f>
        <x:v>1.8316740304001817</x:v>
      </x:c>
      <x:c r="C971" s="7" t="n">
        <x:f>IF(AND('요약'!$B$20,A971&lt;='요약'!$B$6),LARGE('계산'!$B$2:$B$2001,'요약'!$B$6-A971+1),"")</x:f>
        <x:v>0.0188627427458827</x:v>
      </x:c>
      <x:c r="D971" s="7" t="n">
        <x:f>IF(ISNUMBER(B971),'요약'!$B$7+'요약'!$B$13*B971,"")</x:f>
        <x:v>0.01846955683276183</x:v>
      </x:c>
    </x:row>
    <x:row r="972">
      <x:c r="A972" t="n">
        <x:f>968</x:f>
        <x:v>968</x:v>
      </x:c>
      <x:c r="B972" s="7" t="n">
        <x:f>IF(AND('요약'!$B$20,A972&lt;='요약'!$B$6),NORM.S.INV((A972-0.5)/'요약'!$B$6),"")</x:f>
        <x:v>1.845258116755502</x:v>
      </x:c>
      <x:c r="C972" s="7" t="n">
        <x:f>IF(AND('요약'!$B$20,A972&lt;='요약'!$B$6),LARGE('계산'!$B$2:$B$2001,'요약'!$B$6-A972+1),"")</x:f>
        <x:v>0.01889212529051476</x:v>
      </x:c>
      <x:c r="D972" s="7" t="n">
        <x:f>IF(ISNUMBER(B972),'요약'!$B$7+'요약'!$B$13*B972,"")</x:f>
        <x:v>0.01860688876954216</x:v>
      </x:c>
    </x:row>
    <x:row r="973">
      <x:c r="A973" t="n">
        <x:f>969</x:f>
        <x:v>969</x:v>
      </x:c>
      <x:c r="B973" s="7" t="n">
        <x:f>IF(AND('요약'!$B$20,A973&lt;='요약'!$B$6),NORM.S.INV((A973-0.5)/'요약'!$B$6),"")</x:f>
        <x:v>1.8591914944718686</x:v>
      </x:c>
      <x:c r="C973" s="7" t="n">
        <x:f>IF(AND('요약'!$B$20,A973&lt;='요약'!$B$6),LARGE('계산'!$B$2:$B$2001,'요약'!$B$6-A973+1),"")</x:f>
        <x:v>0.01903420932923167</x:v>
      </x:c>
      <x:c r="D973" s="7" t="n">
        <x:f>IF(ISNUMBER(B973),'요약'!$B$7+'요약'!$B$13*B973,"")</x:f>
        <x:v>0.018747751960310317</x:v>
      </x:c>
    </x:row>
    <x:row r="974">
      <x:c r="A974" t="n">
        <x:f>970</x:f>
        <x:v>970</x:v>
      </x:c>
      <x:c r="B974" s="7" t="n">
        <x:f>IF(AND('요약'!$B$20,A974&lt;='요약'!$B$6),NORM.S.INV((A974-0.5)/'요약'!$B$6),"")</x:f>
        <x:v>1.8734954533694919</x:v>
      </x:c>
      <x:c r="C974" s="7" t="n">
        <x:f>IF(AND('요약'!$B$20,A974&lt;='요약'!$B$6),LARGE('계산'!$B$2:$B$2001,'요약'!$B$6-A974+1),"")</x:f>
        <x:v>0.019037559925598652</x:v>
      </x:c>
      <x:c r="D974" s="7" t="n">
        <x:f>IF(ISNUMBER(B974),'요약'!$B$7+'요약'!$B$13*B974,"")</x:f>
        <x:v>0.01889236164017057</x:v>
      </x:c>
    </x:row>
    <x:row r="975">
      <x:c r="A975" t="n">
        <x:f>971</x:f>
        <x:v>971</x:v>
      </x:c>
      <x:c r="B975" s="7" t="n">
        <x:f>IF(AND('요약'!$B$20,A975&lt;='요약'!$B$6),NORM.S.INV((A975-0.5)/'요약'!$B$6),"")</x:f>
        <x:v>1.8881933369885064</x:v>
      </x:c>
      <x:c r="C975" s="7" t="n">
        <x:f>IF(AND('요약'!$B$20,A975&lt;='요약'!$B$6),LARGE('계산'!$B$2:$B$2001,'요약'!$B$6-A975+1),"")</x:f>
        <x:v>0.019155507555325222</x:v>
      </x:c>
      <x:c r="D975" s="7" t="n">
        <x:f>IF(ISNUMBER(B975),'요약'!$B$7+'요약'!$B$13*B975,"")</x:f>
        <x:v>0.019040953806855422</x:v>
      </x:c>
    </x:row>
    <x:row r="976">
      <x:c r="A976" t="n">
        <x:f>972</x:f>
        <x:v>972</x:v>
      </x:c>
      <x:c r="B976" s="7" t="n">
        <x:f>IF(AND('요약'!$B$20,A976&lt;='요약'!$B$6),NORM.S.INV((A976-0.5)/'요약'!$B$6),"")</x:f>
        <x:v>1.903310818708998</x:v>
      </x:c>
      <x:c r="C976" s="7" t="n">
        <x:f>IF(AND('요약'!$B$20,A976&lt;='요약'!$B$6),LARGE('계산'!$B$2:$B$2001,'요약'!$B$6-A976+1),"")</x:f>
        <x:v>0.019172292363179994</x:v>
      </x:c>
      <x:c r="D976" s="7" t="n">
        <x:f>IF(ISNUMBER(B976),'요약'!$B$7+'요약'!$B$13*B976,"")</x:f>
        <x:v>0.019193788012234515</x:v>
      </x:c>
    </x:row>
    <x:row r="977">
      <x:c r="A977" t="n">
        <x:f>973</x:f>
        <x:v>973</x:v>
      </x:c>
      <x:c r="B977" s="7" t="n">
        <x:f>IF(AND('요약'!$B$20,A977&lt;='요약'!$B$6),NORM.S.INV((A977-0.5)/'요약'!$B$6),"")</x:f>
        <x:v>1.9188762262165768</x:v>
      </x:c>
      <x:c r="C977" s="7" t="n">
        <x:f>IF(AND('요약'!$B$20,A977&lt;='요약'!$B$6),LARGE('계산'!$B$2:$B$2001,'요약'!$B$6-A977+1),"")</x:f>
        <x:v>0.019643618345008124</x:v>
      </x:c>
      <x:c r="D977" s="7" t="n">
        <x:f>IF(ISNUMBER(B977),'요약'!$B$7+'요약'!$B$13*B977,"")</x:f>
        <x:v>0.019351150642585708</x:v>
      </x:c>
    </x:row>
    <x:row r="978">
      <x:c r="A978" t="n">
        <x:f>974</x:f>
        <x:v>974</x:v>
      </x:c>
      <x:c r="B978" s="7" t="n">
        <x:f>IF(AND('요약'!$B$20,A978&lt;='요약'!$B$6),NORM.S.INV((A978-0.5)/'요약'!$B$6),"")</x:f>
        <x:v>1.9349209248873935</x:v>
      </x:c>
      <x:c r="C978" s="7" t="n">
        <x:f>IF(AND('요약'!$B$20,A978&lt;='요약'!$B$6),LARGE('계산'!$B$2:$B$2001,'요약'!$B$6-A978+1),"")</x:f>
        <x:v>0.01979543813826903</x:v>
      </x:c>
      <x:c r="D978" s="7" t="n">
        <x:f>IF(ISNUMBER(B978),'요약'!$B$7+'요약'!$B$13*B978,"")</x:f>
        <x:v>0.019513358794527935</x:v>
      </x:c>
    </x:row>
    <x:row r="979">
      <x:c r="A979" t="n">
        <x:f>975</x:f>
        <x:v>975</x:v>
      </x:c>
      <x:c r="B979" s="7" t="n">
        <x:f>IF(AND('요약'!$B$20,A979&lt;='요약'!$B$6),NORM.S.INV((A979-0.5)/'요약'!$B$6),"")</x:f>
        <x:v>1.9514797734758602</x:v>
      </x:c>
      <x:c r="C979" s="7" t="n">
        <x:f>IF(AND('요약'!$B$20,A979&lt;='요약'!$B$6),LARGE('계산'!$B$2:$B$2001,'요약'!$B$6-A979+1),"")</x:f>
        <x:v>0.019878282135784336</x:v>
      </x:c>
      <x:c r="D979" s="7" t="n">
        <x:f>IF(ISNUMBER(B979),'요약'!$B$7+'요약'!$B$13*B979,"")</x:f>
        <x:v>0.019680764881917518</x:v>
      </x:c>
    </x:row>
    <x:row r="980">
      <x:c r="A980" t="n">
        <x:f>976</x:f>
        <x:v>976</x:v>
      </x:c>
      <x:c r="B980" s="7" t="n">
        <x:f>IF(AND('요약'!$B$20,A980&lt;='요약'!$B$6),NORM.S.INV((A980-0.5)/'요약'!$B$6),"")</x:f>
        <x:v>1.9685916691865952</x:v>
      </x:c>
      <x:c r="C980" s="7" t="n">
        <x:f>IF(AND('요약'!$B$20,A980&lt;='요약'!$B$6),LARGE('계산'!$B$2:$B$2001,'요약'!$B$6-A980+1),"")</x:f>
        <x:v>0.019974368628818757</x:v>
      </x:c>
      <x:c r="D980" s="7" t="n">
        <x:f>IF(ISNUMBER(B980),'요약'!$B$7+'요약'!$B$13*B980,"")</x:f>
        <x:v>0.019853762146398092</x:v>
      </x:c>
    </x:row>
    <x:row r="981">
      <x:c r="A981" t="n">
        <x:f>977</x:f>
        <x:v>977</x:v>
      </x:c>
      <x:c r="B981" s="7" t="n">
        <x:f>IF(AND('요약'!$B$20,A981&lt;='요약'!$B$6),NORM.S.INV((A981-0.5)/'요약'!$B$6),"")</x:f>
        <x:v>1.9863002041294278</x:v>
      </x:c>
      <x:c r="C981" s="7" t="n">
        <x:f>IF(AND('요약'!$B$20,A981&lt;='요약'!$B$6),LARGE('계산'!$B$2:$B$2001,'요약'!$B$6-A981+1),"")</x:f>
        <x:v>0.02014123105487174</x:v>
      </x:c>
      <x:c r="D981" s="7" t="n">
        <x:f>IF(ISNUMBER(B981),'요약'!$B$7+'요약'!$B$13*B981,"")</x:f>
        <x:v>0.02003279129400719</x:v>
      </x:c>
    </x:row>
    <x:row r="982">
      <x:c r="A982" t="n">
        <x:f>978</x:f>
        <x:v>978</x:v>
      </x:c>
      <x:c r="B982" s="7" t="n">
        <x:f>IF(AND('요약'!$B$20,A982&lt;='요약'!$B$6),NORM.S.INV((A982-0.5)/'요약'!$B$6),"")</x:f>
        <x:v>2.004654461765097</x:v>
      </x:c>
      <x:c r="C982" s="7" t="n">
        <x:f>IF(AND('요약'!$B$20,A982&lt;='요약'!$B$6),LARGE('계산'!$B$2:$B$2001,'요약'!$B$6-A982+1),"")</x:f>
        <x:v>0.020207448015669614</x:v>
      </x:c>
      <x:c r="D982" s="7" t="n">
        <x:f>IF(ISNUMBER(B982),'요약'!$B$7+'요약'!$B$13*B982,"")</x:f>
        <x:v>0.02021834854705605</x:v>
      </x:c>
    </x:row>
    <x:row r="983">
      <x:c r="A983" t="n">
        <x:f>979</x:f>
        <x:v>979</x:v>
      </x:c>
      <x:c r="B983" s="7" t="n">
        <x:f>IF(AND('요약'!$B$20,A983&lt;='요약'!$B$6),NORM.S.INV((A983-0.5)/'요약'!$B$6),"")</x:f>
        <x:v>2.0237099909349676</x:v>
      </x:c>
      <x:c r="C983" s="7" t="n">
        <x:f>IF(AND('요약'!$B$20,A983&lt;='요약'!$B$6),LARGE('계산'!$B$2:$B$2001,'요약'!$B$6-A983+1),"")</x:f>
        <x:v>0.020235316815751764</x:v>
      </x:c>
      <x:c r="D983" s="7" t="n">
        <x:f>IF(ISNUMBER(B983),'요약'!$B$7+'요약'!$B$13*B983,"")</x:f>
        <x:v>0.02041099549134226</x:v>
      </x:c>
    </x:row>
    <x:row r="984">
      <x:c r="A984" t="n">
        <x:f>980</x:f>
        <x:v>980</x:v>
      </x:c>
      <x:c r="B984" s="7" t="n">
        <x:f>IF(AND('요약'!$B$20,A984&lt;='요약'!$B$6),NORM.S.INV((A984-0.5)/'요약'!$B$6),"")</x:f>
        <x:v>2.043530007439857</x:v>
      </x:c>
      <x:c r="C984" s="7" t="n">
        <x:f>IF(AND('요약'!$B$20,A984&lt;='요약'!$B$6),LARGE('계산'!$B$2:$B$2001,'요약'!$B$6-A984+1),"")</x:f>
        <x:v>0.02054539483227573</x:v>
      </x:c>
      <x:c r="D984" s="7" t="n">
        <x:f>IF(ISNUMBER(B984),'요약'!$B$7+'요약'!$B$13*B984,"")</x:f>
        <x:v>0.020611371223830777</x:v>
      </x:c>
    </x:row>
    <x:row r="985">
      <x:c r="A985" t="n">
        <x:f>981</x:f>
        <x:v>981</x:v>
      </x:c>
      <x:c r="B985" s="7" t="n">
        <x:f>IF(AND('요약'!$B$20,A985&lt;='요약'!$B$6),NORM.S.INV((A985-0.5)/'요약'!$B$6),"")</x:f>
        <x:v>2.0641868904004035</x:v>
      </x:c>
      <x:c r="C985" s="7" t="n">
        <x:f>IF(AND('요약'!$B$20,A985&lt;='요약'!$B$6),LARGE('계산'!$B$2:$B$2001,'요약'!$B$6-A985+1),"")</x:f>
        <x:v>0.02061917893689466</x:v>
      </x:c>
      <x:c r="D985" s="7" t="n">
        <x:f>IF(ISNUMBER(B985),'요약'!$B$7+'요약'!$B$13*B985,"")</x:f>
        <x:v>0.02082020748050736</x:v>
      </x:c>
    </x:row>
    <x:row r="986">
      <x:c r="A986" t="n">
        <x:f>982</x:f>
        <x:v>982</x:v>
      </x:c>
      <x:c r="B986" s="7" t="n">
        <x:f>IF(AND('요약'!$B$20,A986&lt;='요약'!$B$6),NORM.S.INV((A986-0.5)/'요약'!$B$6),"")</x:f>
        <x:v>2.0857640650923535</x:v>
      </x:c>
      <x:c r="C986" s="7" t="n">
        <x:f>IF(AND('요약'!$B$20,A986&lt;='요약'!$B$6),LARGE('계산'!$B$2:$B$2001,'요약'!$B$6-A986+1),"")</x:f>
        <x:v>0.020867322128812104</x:v>
      </x:c>
      <x:c r="D986" s="7" t="n">
        <x:f>IF(ISNUMBER(B986),'요약'!$B$7+'요약'!$B$13*B986,"")</x:f>
        <x:v>0.02103834767140305</x:v>
      </x:c>
    </x:row>
    <x:row r="987">
      <x:c r="A987" t="n">
        <x:f>983</x:f>
        <x:v>983</x:v>
      </x:c>
      <x:c r="B987" s="7" t="n">
        <x:f>IF(AND('요약'!$B$20,A987&lt;='요약'!$B$6),NORM.S.INV((A987-0.5)/'요약'!$B$6),"")</x:f>
        <x:v>2.10835839916911</x:v>
      </x:c>
      <x:c r="C987" s="7" t="n">
        <x:f>IF(AND('요약'!$B$20,A987&lt;='요약'!$B$6),LARGE('계산'!$B$2:$B$2001,'요약'!$B$6-A987+1),"")</x:f>
        <x:v>0.021063739546455323</x:v>
      </x:c>
      <x:c r="D987" s="7" t="n">
        <x:f>IF(ISNUMBER(B987),'요약'!$B$7+'요약'!$B$13*B987,"")</x:f>
        <x:v>0.021266771105843865</x:v>
      </x:c>
    </x:row>
    <x:row r="988">
      <x:c r="A988" t="n">
        <x:f>984</x:f>
        <x:v>984</x:v>
      </x:c>
      <x:c r="B988" s="7" t="n">
        <x:f>IF(AND('요약'!$B$20,A988&lt;='요약'!$B$6),NORM.S.INV((A988-0.5)/'요약'!$B$6),"")</x:f>
        <x:v>2.1320832908065004</x:v>
      </x:c>
      <x:c r="C988" s="7" t="n">
        <x:f>IF(AND('요약'!$B$20,A988&lt;='요약'!$B$6),LARGE('계산'!$B$2:$B$2001,'요약'!$B$6-A988+1),"")</x:f>
        <x:v>0.02154574999756476</x:v>
      </x:c>
      <x:c r="D988" s="7" t="n">
        <x:f>IF(ISNUMBER(B988),'요약'!$B$7+'요약'!$B$13*B988,"")</x:f>
        <x:v>0.021506624212872312</x:v>
      </x:c>
    </x:row>
    <x:row r="989">
      <x:c r="A989" t="n">
        <x:f>985</x:f>
        <x:v>985</x:v>
      </x:c>
      <x:c r="B989" s="7" t="n">
        <x:f>IF(AND('요약'!$B$20,A989&lt;='요약'!$B$6),NORM.S.INV((A989-0.5)/'요약'!$B$6),"")</x:f>
        <x:v>2.1570727044790106</x:v>
      </x:c>
      <x:c r="C989" s="7" t="n">
        <x:f>IF(AND('요약'!$B$20,A989&lt;='요약'!$B$6),LARGE('계산'!$B$2:$B$2001,'요약'!$B$6-A989+1),"")</x:f>
        <x:v>0.02218309828282021</x:v>
      </x:c>
      <x:c r="D989" s="7" t="n">
        <x:f>IF(ISNUMBER(B989),'요약'!$B$7+'요약'!$B$13*B989,"")</x:f>
        <x:v>0.021759261342001474</x:v>
      </x:c>
    </x:row>
    <x:row r="990">
      <x:c r="A990" t="n">
        <x:f>986</x:f>
        <x:v>986</x:v>
      </x:c>
      <x:c r="B990" s="7" t="n">
        <x:f>IF(AND('요약'!$B$20,A990&lt;='요약'!$B$6),NORM.S.INV((A990-0.5)/'요약'!$B$6),"")</x:f>
        <x:v>2.1834865280065605</x:v>
      </x:c>
      <x:c r="C990" s="7" t="n">
        <x:f>IF(AND('요약'!$B$20,A990&lt;='요약'!$B$6),LARGE('계산'!$B$2:$B$2001,'요약'!$B$6-A990+1),"")</x:f>
        <x:v>0.022834573356008955</x:v>
      </x:c>
      <x:c r="D990" s="7" t="n">
        <x:f>IF(ISNUMBER(B990),'요약'!$B$7+'요약'!$B$13*B990,"")</x:f>
        <x:v>0.02202629892170529</x:v>
      </x:c>
    </x:row>
    <x:row r="991">
      <x:c r="A991" t="n">
        <x:f>987</x:f>
        <x:v>987</x:v>
      </x:c>
      <x:c r="B991" s="7" t="n">
        <x:f>IF(AND('요약'!$B$20,A991&lt;='요약'!$B$6),NORM.S.INV((A991-0.5)/'요약'!$B$6),"")</x:f>
        <x:v>2.211517809186682</x:v>
      </x:c>
      <x:c r="C991" s="7" t="n">
        <x:f>IF(AND('요약'!$B$20,A991&lt;='요약'!$B$6),LARGE('계산'!$B$2:$B$2001,'요약'!$B$6-A991+1),"")</x:f>
        <x:v>0.023255407133711006</x:v>
      </x:c>
      <x:c r="D991" s="7" t="n">
        <x:f>IF(ISNUMBER(B991),'요약'!$B$7+'요약'!$B$13*B991,"")</x:f>
        <x:v>0.02230968862007779</x:v>
      </x:c>
    </x:row>
    <x:row r="992">
      <x:c r="A992" t="n">
        <x:f>988</x:f>
        <x:v>988</x:v>
      </x:c>
      <x:c r="B992" s="7" t="n">
        <x:f>IF(AND('요약'!$B$20,A992&lt;='요약'!$B$6),NORM.S.INV((A992-0.5)/'요약'!$B$6),"")</x:f>
        <x:v>2.241402727604946</x:v>
      </x:c>
      <x:c r="C992" s="7" t="n">
        <x:f>IF(AND('요약'!$B$20,A992&lt;='요약'!$B$6),LARGE('계산'!$B$2:$B$2001,'요약'!$B$6-A992+1),"")</x:f>
        <x:v>0.023312557417786147</x:v>
      </x:c>
      <x:c r="D992" s="7" t="n">
        <x:f>IF(ISNUMBER(B992),'요약'!$B$7+'요약'!$B$13*B992,"")</x:f>
        <x:v>0.02261181815750487</x:v>
      </x:c>
    </x:row>
    <x:row r="993">
      <x:c r="A993" t="n">
        <x:f>989</x:f>
        <x:v>989</x:v>
      </x:c>
      <x:c r="B993" s="7" t="n">
        <x:f>IF(AND('요약'!$B$20,A993&lt;='요약'!$B$6),NORM.S.INV((A993-0.5)/'요약'!$B$6),"")</x:f>
        <x:v>2.273434650942777</x:v>
      </x:c>
      <x:c r="C993" s="7" t="n">
        <x:f>IF(AND('요약'!$B$20,A993&lt;='요약'!$B$6),LARGE('계산'!$B$2:$B$2001,'요약'!$B$6-A993+1),"")</x:f>
        <x:v>0.023882882135146777</x:v>
      </x:c>
      <x:c r="D993" s="7" t="n">
        <x:f>IF(ISNUMBER(B993),'요약'!$B$7+'요약'!$B$13*B993,"")</x:f>
        <x:v>0.022935653412649623</x:v>
      </x:c>
    </x:row>
    <x:row r="994">
      <x:c r="A994" t="n">
        <x:f>990</x:f>
        <x:v>990</x:v>
      </x:c>
      <x:c r="B994" s="7" t="n">
        <x:f>IF(AND('요약'!$B$20,A994&lt;='요약'!$B$6),NORM.S.INV((A994-0.5)/'요약'!$B$6),"")</x:f>
        <x:v>2.307984474945959</x:v>
      </x:c>
      <x:c r="C994" s="7" t="n">
        <x:f>IF(AND('요약'!$B$20,A994&lt;='요약'!$B$6),LARGE('계산'!$B$2:$B$2001,'요약'!$B$6-A994+1),"")</x:f>
        <x:v>0.02389931486644305</x:v>
      </x:c>
      <x:c r="D994" s="7" t="n">
        <x:f>IF(ISNUMBER(B994),'요약'!$B$7+'요약'!$B$13*B994,"")</x:f>
        <x:v>0.02328494405477796</x:v>
      </x:c>
    </x:row>
    <x:row r="995">
      <x:c r="A995" t="n">
        <x:f>991</x:f>
        <x:v>991</x:v>
      </x:c>
      <x:c r="B995" s="7" t="n">
        <x:f>IF(AND('요약'!$B$20,A995&lt;='요약'!$B$6),NORM.S.INV((A995-0.5)/'요약'!$B$6),"")</x:f>
        <x:v>2.3455309708066765</x:v>
      </x:c>
      <x:c r="C995" s="7" t="n">
        <x:f>IF(AND('요약'!$B$20,A995&lt;='요약'!$B$6),LARGE('계산'!$B$2:$B$2001,'요약'!$B$6-A995+1),"")</x:f>
        <x:v>0.024100127069118613</x:v>
      </x:c>
      <x:c r="D995" s="7" t="n">
        <x:f>IF(ISNUMBER(B995),'요약'!$B$7+'요약'!$B$13*B995,"")</x:f>
        <x:v>0.02366453034869515</x:v>
      </x:c>
    </x:row>
    <x:row r="996">
      <x:c r="A996" t="n">
        <x:f>992</x:f>
        <x:v>992</x:v>
      </x:c>
      <x:c r="B996" s="7" t="n">
        <x:f>IF(AND('요약'!$B$20,A996&lt;='요약'!$B$6),NORM.S.INV((A996-0.5)/'요약'!$B$6),"")</x:f>
        <x:v>2.386707734492254</x:v>
      </x:c>
      <x:c r="C996" s="7" t="n">
        <x:f>IF(AND('요약'!$B$20,A996&lt;='요약'!$B$6),LARGE('계산'!$B$2:$B$2001,'요약'!$B$6-A996+1),"")</x:f>
        <x:v>0.024160049248181194</x:v>
      </x:c>
      <x:c r="D996" s="7" t="n">
        <x:f>IF(ISNUMBER(B996),'요약'!$B$7+'요약'!$B$13*B996,"")</x:f>
        <x:v>0.024080817801481524</x:v>
      </x:c>
    </x:row>
    <x:row r="997">
      <x:c r="A997" t="n">
        <x:f>993</x:f>
        <x:v>993</x:v>
      </x:c>
      <x:c r="B997" s="7" t="n">
        <x:f>IF(AND('요약'!$B$20,A997&lt;='요약'!$B$6),NORM.S.INV((A997-0.5)/'요약'!$B$6),"")</x:f>
        <x:v>2.4323790585844494</x:v>
      </x:c>
      <x:c r="C997" s="7" t="n">
        <x:f>IF(AND('요약'!$B$20,A997&lt;='요약'!$B$6),LARGE('계산'!$B$2:$B$2001,'요약'!$B$6-A997+1),"")</x:f>
        <x:v>0.024268401717457505</x:v>
      </x:c>
      <x:c r="D997" s="7" t="n">
        <x:f>IF(ISNUMBER(B997),'요약'!$B$7+'요약'!$B$13*B997,"")</x:f>
        <x:v>0.024542544209047164</x:v>
      </x:c>
    </x:row>
    <x:row r="998">
      <x:c r="A998" t="n">
        <x:f>994</x:f>
        <x:v>994</x:v>
      </x:c>
      <x:c r="B998" s="7" t="n">
        <x:f>IF(AND('요약'!$B$20,A998&lt;='요약'!$B$6),NORM.S.INV((A998-0.5)/'요약'!$B$6),"")</x:f>
        <x:v>2.483769293250534</x:v>
      </x:c>
      <x:c r="C998" s="7" t="n">
        <x:f>IF(AND('요약'!$B$20,A998&lt;='요약'!$B$6),LARGE('계산'!$B$2:$B$2001,'요약'!$B$6-A998+1),"")</x:f>
        <x:v>0.024742450031842354</x:v>
      </x:c>
      <x:c r="D998" s="7" t="n">
        <x:f>IF(ISNUMBER(B998),'요약'!$B$7+'요약'!$B$13*B998,"")</x:f>
        <x:v>0.025062087465301947</x:v>
      </x:c>
    </x:row>
    <x:row r="999">
      <x:c r="A999" t="n">
        <x:f>995</x:f>
        <x:v>995</x:v>
      </x:c>
      <x:c r="B999" s="7" t="n">
        <x:f>IF(AND('요약'!$B$20,A999&lt;='요약'!$B$6),NORM.S.INV((A999-0.5)/'요약'!$B$6),"")</x:f>
        <x:v>2.542698819399052</x:v>
      </x:c>
      <x:c r="C999" s="7" t="n">
        <x:f>IF(AND('요약'!$B$20,A999&lt;='요약'!$B$6),LARGE('계산'!$B$2:$B$2001,'요약'!$B$6-A999+1),"")</x:f>
        <x:v>0.024822203960244767</x:v>
      </x:c>
      <x:c r="D999" s="7" t="n">
        <x:f>IF(ISNUMBER(B999),'요약'!$B$7+'요약'!$B$13*B999,"")</x:f>
        <x:v>0.025657851195584298</x:v>
      </x:c>
    </x:row>
    <x:row r="1000">
      <x:c r="A1000" t="n">
        <x:f>996</x:f>
        <x:v>996</x:v>
      </x:c>
      <x:c r="B1000" s="7" t="n">
        <x:f>IF(AND('요약'!$B$20,A1000&lt;='요약'!$B$6),NORM.S.INV((A1000-0.5)/'요약'!$B$6),"")</x:f>
        <x:v>2.6120541412292835</x:v>
      </x:c>
      <x:c r="C1000" s="7" t="n">
        <x:f>IF(AND('요약'!$B$20,A1000&lt;='요약'!$B$6),LARGE('계산'!$B$2:$B$2001,'요약'!$B$6-A1000+1),"")</x:f>
        <x:v>0.026215393442177236</x:v>
      </x:c>
      <x:c r="D1000" s="7" t="n">
        <x:f>IF(ISNUMBER(B1000),'요약'!$B$7+'요약'!$B$13*B1000,"")</x:f>
        <x:v>0.026359017282417855</x:v>
      </x:c>
    </x:row>
    <x:row r="1001">
      <x:c r="A1001" t="n">
        <x:f>997</x:f>
        <x:v>997</x:v>
      </x:c>
      <x:c r="B1001" s="7" t="n">
        <x:f>IF(AND('요약'!$B$20,A1001&lt;='요약'!$B$6),NORM.S.INV((A1001-0.5)/'요약'!$B$6),"")</x:f>
        <x:v>2.696844260878131</x:v>
      </x:c>
      <x:c r="C1001" s="7" t="n">
        <x:f>IF(AND('요약'!$B$20,A1001&lt;='요약'!$B$6),LARGE('계산'!$B$2:$B$2001,'요약'!$B$6-A1001+1),"")</x:f>
        <x:v>0.02643177836056207</x:v>
      </x:c>
      <x:c r="D1001" s="7" t="n">
        <x:f>IF(ISNUMBER(B1001),'요약'!$B$7+'요약'!$B$13*B1001,"")</x:f>
        <x:v>0.027216225566186737</x:v>
      </x:c>
    </x:row>
    <x:row r="1002">
      <x:c r="A1002" t="n">
        <x:f>998</x:f>
        <x:v>998</x:v>
      </x:c>
      <x:c r="B1002" s="7" t="n">
        <x:f>IF(AND('요약'!$B$20,A1002&lt;='요약'!$B$6),NORM.S.INV((A1002-0.5)/'요약'!$B$6),"")</x:f>
        <x:v>2.8070337683438096</x:v>
      </x:c>
      <x:c r="C1002" s="7" t="n">
        <x:f>IF(AND('요약'!$B$20,A1002&lt;='요약'!$B$6),LARGE('계산'!$B$2:$B$2001,'요약'!$B$6-A1002+1),"")</x:f>
        <x:v>0.03165601943963309</x:v>
      </x:c>
      <x:c r="D1002" s="7" t="n">
        <x:f>IF(ISNUMBER(B1002),'요약'!$B$7+'요약'!$B$13*B1002,"")</x:f>
        <x:v>0.02833021572182248</x:v>
      </x:c>
    </x:row>
    <x:row r="1003">
      <x:c r="A1003" t="n">
        <x:f>999</x:f>
        <x:v>999</x:v>
      </x:c>
      <x:c r="B1003" s="7" t="n">
        <x:f>IF(AND('요약'!$B$20,A1003&lt;='요약'!$B$6),NORM.S.INV((A1003-0.5)/'요약'!$B$6),"")</x:f>
        <x:v>2.9677379253417926</x:v>
      </x:c>
      <x:c r="C1003" s="7" t="n">
        <x:f>IF(AND('요약'!$B$20,A1003&lt;='요약'!$B$6),LARGE('계산'!$B$2:$B$2001,'요약'!$B$6-A1003+1),"")</x:f>
        <x:v>0.03421539421382388</x:v>
      </x:c>
      <x:c r="D1003" s="7" t="n">
        <x:f>IF(ISNUMBER(B1003),'요약'!$B$7+'요약'!$B$13*B1003,"")</x:f>
        <x:v>0.029954897172742433</x:v>
      </x:c>
    </x:row>
    <x:row r="1004">
      <x:c r="A1004" t="n">
        <x:f>1000</x:f>
        <x:v>1000</x:v>
      </x:c>
      <x:c r="B1004" s="7" t="n">
        <x:f>IF(AND('요약'!$B$20,A1004&lt;='요약'!$B$6),NORM.S.INV((A1004-0.5)/'요약'!$B$6),"")</x:f>
        <x:v>3.2905267314919193</x:v>
      </x:c>
      <x:c r="C1004" s="7" t="n">
        <x:f>IF(AND('요약'!$B$20,A1004&lt;='요약'!$B$6),LARGE('계산'!$B$2:$B$2001,'요약'!$B$6-A1004+1),"")</x:f>
        <x:v>0.038589829702974886</x:v>
      </x:c>
      <x:c r="D1004" s="7" t="n">
        <x:f>IF(ISNUMBER(B1004),'요약'!$B$7+'요약'!$B$13*B1004,"")</x:f>
        <x:v>0.03321821652747007</x:v>
      </x:c>
    </x:row>
    <x:row r="1005">
      <x:c r="A1005" t="n">
        <x:f>1001</x:f>
        <x:v>1001</x:v>
      </x:c>
      <x:c r="B1005" s="7" t="str">
        <x:f>IF(AND('요약'!$B$20,A1005&lt;='요약'!$B$6),NORM.S.INV((A1005-0.5)/'요약'!$B$6),"")</x:f>
      </x:c>
      <x:c r="C1005" s="7" t="str">
        <x:f>IF(AND('요약'!$B$20,A1005&lt;='요약'!$B$6),LARGE('계산'!$B$2:$B$2001,'요약'!$B$6-A1005+1),"")</x:f>
      </x:c>
      <x:c r="D1005" s="7" t="str">
        <x:f>IF(ISNUMBER(B1005),'요약'!$B$7+'요약'!$B$13*B1005,"")</x:f>
      </x:c>
    </x:row>
    <x:row r="1006">
      <x:c r="A1006" t="n">
        <x:f>1002</x:f>
        <x:v>1002</x:v>
      </x:c>
      <x:c r="B1006" s="7" t="str">
        <x:f>IF(AND('요약'!$B$20,A1006&lt;='요약'!$B$6),NORM.S.INV((A1006-0.5)/'요약'!$B$6),"")</x:f>
      </x:c>
      <x:c r="C1006" s="7" t="str">
        <x:f>IF(AND('요약'!$B$20,A1006&lt;='요약'!$B$6),LARGE('계산'!$B$2:$B$2001,'요약'!$B$6-A1006+1),"")</x:f>
      </x:c>
      <x:c r="D1006" s="7" t="str">
        <x:f>IF(ISNUMBER(B1006),'요약'!$B$7+'요약'!$B$13*B1006,"")</x:f>
      </x:c>
    </x:row>
    <x:row r="1007">
      <x:c r="A1007" t="n">
        <x:f>1003</x:f>
        <x:v>1003</x:v>
      </x:c>
      <x:c r="B1007" s="7" t="str">
        <x:f>IF(AND('요약'!$B$20,A1007&lt;='요약'!$B$6),NORM.S.INV((A1007-0.5)/'요약'!$B$6),"")</x:f>
      </x:c>
      <x:c r="C1007" s="7" t="str">
        <x:f>IF(AND('요약'!$B$20,A1007&lt;='요약'!$B$6),LARGE('계산'!$B$2:$B$2001,'요약'!$B$6-A1007+1),"")</x:f>
      </x:c>
      <x:c r="D1007" s="7" t="str">
        <x:f>IF(ISNUMBER(B1007),'요약'!$B$7+'요약'!$B$13*B1007,"")</x:f>
      </x:c>
    </x:row>
    <x:row r="1008">
      <x:c r="A1008" t="n">
        <x:f>1004</x:f>
        <x:v>1004</x:v>
      </x:c>
      <x:c r="B1008" s="7" t="str">
        <x:f>IF(AND('요약'!$B$20,A1008&lt;='요약'!$B$6),NORM.S.INV((A1008-0.5)/'요약'!$B$6),"")</x:f>
      </x:c>
      <x:c r="C1008" s="7" t="str">
        <x:f>IF(AND('요약'!$B$20,A1008&lt;='요약'!$B$6),LARGE('계산'!$B$2:$B$2001,'요약'!$B$6-A1008+1),"")</x:f>
      </x:c>
      <x:c r="D1008" s="7" t="str">
        <x:f>IF(ISNUMBER(B1008),'요약'!$B$7+'요약'!$B$13*B1008,"")</x:f>
      </x:c>
    </x:row>
    <x:row r="1009">
      <x:c r="A1009" t="n">
        <x:f>1005</x:f>
        <x:v>1005</x:v>
      </x:c>
      <x:c r="B1009" s="7" t="str">
        <x:f>IF(AND('요약'!$B$20,A1009&lt;='요약'!$B$6),NORM.S.INV((A1009-0.5)/'요약'!$B$6),"")</x:f>
      </x:c>
      <x:c r="C1009" s="7" t="str">
        <x:f>IF(AND('요약'!$B$20,A1009&lt;='요약'!$B$6),LARGE('계산'!$B$2:$B$2001,'요약'!$B$6-A1009+1),"")</x:f>
      </x:c>
      <x:c r="D1009" s="7" t="str">
        <x:f>IF(ISNUMBER(B1009),'요약'!$B$7+'요약'!$B$13*B1009,"")</x:f>
      </x:c>
    </x:row>
    <x:row r="1010">
      <x:c r="A1010" t="n">
        <x:f>1006</x:f>
        <x:v>1006</x:v>
      </x:c>
      <x:c r="B1010" s="7" t="str">
        <x:f>IF(AND('요약'!$B$20,A1010&lt;='요약'!$B$6),NORM.S.INV((A1010-0.5)/'요약'!$B$6),"")</x:f>
      </x:c>
      <x:c r="C1010" s="7" t="str">
        <x:f>IF(AND('요약'!$B$20,A1010&lt;='요약'!$B$6),LARGE('계산'!$B$2:$B$2001,'요약'!$B$6-A1010+1),"")</x:f>
      </x:c>
      <x:c r="D1010" s="7" t="str">
        <x:f>IF(ISNUMBER(B1010),'요약'!$B$7+'요약'!$B$13*B1010,"")</x:f>
      </x:c>
    </x:row>
    <x:row r="1011">
      <x:c r="A1011" t="n">
        <x:f>1007</x:f>
        <x:v>1007</x:v>
      </x:c>
      <x:c r="B1011" s="7" t="str">
        <x:f>IF(AND('요약'!$B$20,A1011&lt;='요약'!$B$6),NORM.S.INV((A1011-0.5)/'요약'!$B$6),"")</x:f>
      </x:c>
      <x:c r="C1011" s="7" t="str">
        <x:f>IF(AND('요약'!$B$20,A1011&lt;='요약'!$B$6),LARGE('계산'!$B$2:$B$2001,'요약'!$B$6-A1011+1),"")</x:f>
      </x:c>
      <x:c r="D1011" s="7" t="str">
        <x:f>IF(ISNUMBER(B1011),'요약'!$B$7+'요약'!$B$13*B1011,"")</x:f>
      </x:c>
    </x:row>
    <x:row r="1012">
      <x:c r="A1012" t="n">
        <x:f>1008</x:f>
        <x:v>1008</x:v>
      </x:c>
      <x:c r="B1012" s="7" t="str">
        <x:f>IF(AND('요약'!$B$20,A1012&lt;='요약'!$B$6),NORM.S.INV((A1012-0.5)/'요약'!$B$6),"")</x:f>
      </x:c>
      <x:c r="C1012" s="7" t="str">
        <x:f>IF(AND('요약'!$B$20,A1012&lt;='요약'!$B$6),LARGE('계산'!$B$2:$B$2001,'요약'!$B$6-A1012+1),"")</x:f>
      </x:c>
      <x:c r="D1012" s="7" t="str">
        <x:f>IF(ISNUMBER(B1012),'요약'!$B$7+'요약'!$B$13*B1012,"")</x:f>
      </x:c>
    </x:row>
    <x:row r="1013">
      <x:c r="A1013" t="n">
        <x:f>1009</x:f>
        <x:v>1009</x:v>
      </x:c>
      <x:c r="B1013" s="7" t="str">
        <x:f>IF(AND('요약'!$B$20,A1013&lt;='요약'!$B$6),NORM.S.INV((A1013-0.5)/'요약'!$B$6),"")</x:f>
      </x:c>
      <x:c r="C1013" s="7" t="str">
        <x:f>IF(AND('요약'!$B$20,A1013&lt;='요약'!$B$6),LARGE('계산'!$B$2:$B$2001,'요약'!$B$6-A1013+1),"")</x:f>
      </x:c>
      <x:c r="D1013" s="7" t="str">
        <x:f>IF(ISNUMBER(B1013),'요약'!$B$7+'요약'!$B$13*B1013,"")</x:f>
      </x:c>
    </x:row>
    <x:row r="1014">
      <x:c r="A1014" t="n">
        <x:f>1010</x:f>
        <x:v>1010</x:v>
      </x:c>
      <x:c r="B1014" s="7" t="str">
        <x:f>IF(AND('요약'!$B$20,A1014&lt;='요약'!$B$6),NORM.S.INV((A1014-0.5)/'요약'!$B$6),"")</x:f>
      </x:c>
      <x:c r="C1014" s="7" t="str">
        <x:f>IF(AND('요약'!$B$20,A1014&lt;='요약'!$B$6),LARGE('계산'!$B$2:$B$2001,'요약'!$B$6-A1014+1),"")</x:f>
      </x:c>
      <x:c r="D1014" s="7" t="str">
        <x:f>IF(ISNUMBER(B1014),'요약'!$B$7+'요약'!$B$13*B1014,"")</x:f>
      </x:c>
    </x:row>
    <x:row r="1015">
      <x:c r="A1015" t="n">
        <x:f>1011</x:f>
        <x:v>1011</x:v>
      </x:c>
      <x:c r="B1015" s="7" t="str">
        <x:f>IF(AND('요약'!$B$20,A1015&lt;='요약'!$B$6),NORM.S.INV((A1015-0.5)/'요약'!$B$6),"")</x:f>
      </x:c>
      <x:c r="C1015" s="7" t="str">
        <x:f>IF(AND('요약'!$B$20,A1015&lt;='요약'!$B$6),LARGE('계산'!$B$2:$B$2001,'요약'!$B$6-A1015+1),"")</x:f>
      </x:c>
      <x:c r="D1015" s="7" t="str">
        <x:f>IF(ISNUMBER(B1015),'요약'!$B$7+'요약'!$B$13*B1015,"")</x:f>
      </x:c>
    </x:row>
    <x:row r="1016">
      <x:c r="A1016" t="n">
        <x:f>1012</x:f>
        <x:v>1012</x:v>
      </x:c>
      <x:c r="B1016" s="7" t="str">
        <x:f>IF(AND('요약'!$B$20,A1016&lt;='요약'!$B$6),NORM.S.INV((A1016-0.5)/'요약'!$B$6),"")</x:f>
      </x:c>
      <x:c r="C1016" s="7" t="str">
        <x:f>IF(AND('요약'!$B$20,A1016&lt;='요약'!$B$6),LARGE('계산'!$B$2:$B$2001,'요약'!$B$6-A1016+1),"")</x:f>
      </x:c>
      <x:c r="D1016" s="7" t="str">
        <x:f>IF(ISNUMBER(B1016),'요약'!$B$7+'요약'!$B$13*B1016,"")</x:f>
      </x:c>
    </x:row>
    <x:row r="1017">
      <x:c r="A1017" t="n">
        <x:f>1013</x:f>
        <x:v>1013</x:v>
      </x:c>
      <x:c r="B1017" s="7" t="str">
        <x:f>IF(AND('요약'!$B$20,A1017&lt;='요약'!$B$6),NORM.S.INV((A1017-0.5)/'요약'!$B$6),"")</x:f>
      </x:c>
      <x:c r="C1017" s="7" t="str">
        <x:f>IF(AND('요약'!$B$20,A1017&lt;='요약'!$B$6),LARGE('계산'!$B$2:$B$2001,'요약'!$B$6-A1017+1),"")</x:f>
      </x:c>
      <x:c r="D1017" s="7" t="str">
        <x:f>IF(ISNUMBER(B1017),'요약'!$B$7+'요약'!$B$13*B1017,"")</x:f>
      </x:c>
    </x:row>
    <x:row r="1018">
      <x:c r="A1018" t="n">
        <x:f>1014</x:f>
        <x:v>1014</x:v>
      </x:c>
      <x:c r="B1018" s="7" t="str">
        <x:f>IF(AND('요약'!$B$20,A1018&lt;='요약'!$B$6),NORM.S.INV((A1018-0.5)/'요약'!$B$6),"")</x:f>
      </x:c>
      <x:c r="C1018" s="7" t="str">
        <x:f>IF(AND('요약'!$B$20,A1018&lt;='요약'!$B$6),LARGE('계산'!$B$2:$B$2001,'요약'!$B$6-A1018+1),"")</x:f>
      </x:c>
      <x:c r="D1018" s="7" t="str">
        <x:f>IF(ISNUMBER(B1018),'요약'!$B$7+'요약'!$B$13*B1018,"")</x:f>
      </x:c>
    </x:row>
    <x:row r="1019">
      <x:c r="A1019" t="n">
        <x:f>1015</x:f>
        <x:v>1015</x:v>
      </x:c>
      <x:c r="B1019" s="7" t="str">
        <x:f>IF(AND('요약'!$B$20,A1019&lt;='요약'!$B$6),NORM.S.INV((A1019-0.5)/'요약'!$B$6),"")</x:f>
      </x:c>
      <x:c r="C1019" s="7" t="str">
        <x:f>IF(AND('요약'!$B$20,A1019&lt;='요약'!$B$6),LARGE('계산'!$B$2:$B$2001,'요약'!$B$6-A1019+1),"")</x:f>
      </x:c>
      <x:c r="D1019" s="7" t="str">
        <x:f>IF(ISNUMBER(B1019),'요약'!$B$7+'요약'!$B$13*B1019,"")</x:f>
      </x:c>
    </x:row>
    <x:row r="1020">
      <x:c r="A1020" t="n">
        <x:f>1016</x:f>
        <x:v>1016</x:v>
      </x:c>
      <x:c r="B1020" s="7" t="str">
        <x:f>IF(AND('요약'!$B$20,A1020&lt;='요약'!$B$6),NORM.S.INV((A1020-0.5)/'요약'!$B$6),"")</x:f>
      </x:c>
      <x:c r="C1020" s="7" t="str">
        <x:f>IF(AND('요약'!$B$20,A1020&lt;='요약'!$B$6),LARGE('계산'!$B$2:$B$2001,'요약'!$B$6-A1020+1),"")</x:f>
      </x:c>
      <x:c r="D1020" s="7" t="str">
        <x:f>IF(ISNUMBER(B1020),'요약'!$B$7+'요약'!$B$13*B1020,"")</x:f>
      </x:c>
    </x:row>
    <x:row r="1021">
      <x:c r="A1021" t="n">
        <x:f>1017</x:f>
        <x:v>1017</x:v>
      </x:c>
      <x:c r="B1021" s="7" t="str">
        <x:f>IF(AND('요약'!$B$20,A1021&lt;='요약'!$B$6),NORM.S.INV((A1021-0.5)/'요약'!$B$6),"")</x:f>
      </x:c>
      <x:c r="C1021" s="7" t="str">
        <x:f>IF(AND('요약'!$B$20,A1021&lt;='요약'!$B$6),LARGE('계산'!$B$2:$B$2001,'요약'!$B$6-A1021+1),"")</x:f>
      </x:c>
      <x:c r="D1021" s="7" t="str">
        <x:f>IF(ISNUMBER(B1021),'요약'!$B$7+'요약'!$B$13*B1021,"")</x:f>
      </x:c>
    </x:row>
    <x:row r="1022">
      <x:c r="A1022" t="n">
        <x:f>1018</x:f>
        <x:v>1018</x:v>
      </x:c>
      <x:c r="B1022" s="7" t="str">
        <x:f>IF(AND('요약'!$B$20,A1022&lt;='요약'!$B$6),NORM.S.INV((A1022-0.5)/'요약'!$B$6),"")</x:f>
      </x:c>
      <x:c r="C1022" s="7" t="str">
        <x:f>IF(AND('요약'!$B$20,A1022&lt;='요약'!$B$6),LARGE('계산'!$B$2:$B$2001,'요약'!$B$6-A1022+1),"")</x:f>
      </x:c>
      <x:c r="D1022" s="7" t="str">
        <x:f>IF(ISNUMBER(B1022),'요약'!$B$7+'요약'!$B$13*B1022,"")</x:f>
      </x:c>
    </x:row>
    <x:row r="1023">
      <x:c r="A1023" t="n">
        <x:f>1019</x:f>
        <x:v>1019</x:v>
      </x:c>
      <x:c r="B1023" s="7" t="str">
        <x:f>IF(AND('요약'!$B$20,A1023&lt;='요약'!$B$6),NORM.S.INV((A1023-0.5)/'요약'!$B$6),"")</x:f>
      </x:c>
      <x:c r="C1023" s="7" t="str">
        <x:f>IF(AND('요약'!$B$20,A1023&lt;='요약'!$B$6),LARGE('계산'!$B$2:$B$2001,'요약'!$B$6-A1023+1),"")</x:f>
      </x:c>
      <x:c r="D1023" s="7" t="str">
        <x:f>IF(ISNUMBER(B1023),'요약'!$B$7+'요약'!$B$13*B1023,"")</x:f>
      </x:c>
    </x:row>
    <x:row r="1024">
      <x:c r="A1024" t="n">
        <x:f>1020</x:f>
        <x:v>1020</x:v>
      </x:c>
      <x:c r="B1024" s="7" t="str">
        <x:f>IF(AND('요약'!$B$20,A1024&lt;='요약'!$B$6),NORM.S.INV((A1024-0.5)/'요약'!$B$6),"")</x:f>
      </x:c>
      <x:c r="C1024" s="7" t="str">
        <x:f>IF(AND('요약'!$B$20,A1024&lt;='요약'!$B$6),LARGE('계산'!$B$2:$B$2001,'요약'!$B$6-A1024+1),"")</x:f>
      </x:c>
      <x:c r="D1024" s="7" t="str">
        <x:f>IF(ISNUMBER(B1024),'요약'!$B$7+'요약'!$B$13*B1024,"")</x:f>
      </x:c>
    </x:row>
    <x:row r="1025">
      <x:c r="A1025" t="n">
        <x:f>1021</x:f>
        <x:v>1021</x:v>
      </x:c>
      <x:c r="B1025" s="7" t="str">
        <x:f>IF(AND('요약'!$B$20,A1025&lt;='요약'!$B$6),NORM.S.INV((A1025-0.5)/'요약'!$B$6),"")</x:f>
      </x:c>
      <x:c r="C1025" s="7" t="str">
        <x:f>IF(AND('요약'!$B$20,A1025&lt;='요약'!$B$6),LARGE('계산'!$B$2:$B$2001,'요약'!$B$6-A1025+1),"")</x:f>
      </x:c>
      <x:c r="D1025" s="7" t="str">
        <x:f>IF(ISNUMBER(B1025),'요약'!$B$7+'요약'!$B$13*B1025,"")</x:f>
      </x:c>
    </x:row>
    <x:row r="1026">
      <x:c r="A1026" t="n">
        <x:f>1022</x:f>
        <x:v>1022</x:v>
      </x:c>
      <x:c r="B1026" s="7" t="str">
        <x:f>IF(AND('요약'!$B$20,A1026&lt;='요약'!$B$6),NORM.S.INV((A1026-0.5)/'요약'!$B$6),"")</x:f>
      </x:c>
      <x:c r="C1026" s="7" t="str">
        <x:f>IF(AND('요약'!$B$20,A1026&lt;='요약'!$B$6),LARGE('계산'!$B$2:$B$2001,'요약'!$B$6-A1026+1),"")</x:f>
      </x:c>
      <x:c r="D1026" s="7" t="str">
        <x:f>IF(ISNUMBER(B1026),'요약'!$B$7+'요약'!$B$13*B1026,"")</x:f>
      </x:c>
    </x:row>
    <x:row r="1027">
      <x:c r="A1027" t="n">
        <x:f>1023</x:f>
        <x:v>1023</x:v>
      </x:c>
      <x:c r="B1027" s="7" t="str">
        <x:f>IF(AND('요약'!$B$20,A1027&lt;='요약'!$B$6),NORM.S.INV((A1027-0.5)/'요약'!$B$6),"")</x:f>
      </x:c>
      <x:c r="C1027" s="7" t="str">
        <x:f>IF(AND('요약'!$B$20,A1027&lt;='요약'!$B$6),LARGE('계산'!$B$2:$B$2001,'요약'!$B$6-A1027+1),"")</x:f>
      </x:c>
      <x:c r="D1027" s="7" t="str">
        <x:f>IF(ISNUMBER(B1027),'요약'!$B$7+'요약'!$B$13*B1027,"")</x:f>
      </x:c>
    </x:row>
    <x:row r="1028">
      <x:c r="A1028" t="n">
        <x:f>1024</x:f>
        <x:v>1024</x:v>
      </x:c>
      <x:c r="B1028" s="7" t="str">
        <x:f>IF(AND('요약'!$B$20,A1028&lt;='요약'!$B$6),NORM.S.INV((A1028-0.5)/'요약'!$B$6),"")</x:f>
      </x:c>
      <x:c r="C1028" s="7" t="str">
        <x:f>IF(AND('요약'!$B$20,A1028&lt;='요약'!$B$6),LARGE('계산'!$B$2:$B$2001,'요약'!$B$6-A1028+1),"")</x:f>
      </x:c>
      <x:c r="D1028" s="7" t="str">
        <x:f>IF(ISNUMBER(B1028),'요약'!$B$7+'요약'!$B$13*B1028,"")</x:f>
      </x:c>
    </x:row>
    <x:row r="1029">
      <x:c r="A1029" t="n">
        <x:f>1025</x:f>
        <x:v>1025</x:v>
      </x:c>
      <x:c r="B1029" s="7" t="str">
        <x:f>IF(AND('요약'!$B$20,A1029&lt;='요약'!$B$6),NORM.S.INV((A1029-0.5)/'요약'!$B$6),"")</x:f>
      </x:c>
      <x:c r="C1029" s="7" t="str">
        <x:f>IF(AND('요약'!$B$20,A1029&lt;='요약'!$B$6),LARGE('계산'!$B$2:$B$2001,'요약'!$B$6-A1029+1),"")</x:f>
      </x:c>
      <x:c r="D1029" s="7" t="str">
        <x:f>IF(ISNUMBER(B1029),'요약'!$B$7+'요약'!$B$13*B1029,"")</x:f>
      </x:c>
    </x:row>
    <x:row r="1030">
      <x:c r="A1030" t="n">
        <x:f>1026</x:f>
        <x:v>1026</x:v>
      </x:c>
      <x:c r="B1030" s="7" t="str">
        <x:f>IF(AND('요약'!$B$20,A1030&lt;='요약'!$B$6),NORM.S.INV((A1030-0.5)/'요약'!$B$6),"")</x:f>
      </x:c>
      <x:c r="C1030" s="7" t="str">
        <x:f>IF(AND('요약'!$B$20,A1030&lt;='요약'!$B$6),LARGE('계산'!$B$2:$B$2001,'요약'!$B$6-A1030+1),"")</x:f>
      </x:c>
      <x:c r="D1030" s="7" t="str">
        <x:f>IF(ISNUMBER(B1030),'요약'!$B$7+'요약'!$B$13*B1030,"")</x:f>
      </x:c>
    </x:row>
    <x:row r="1031">
      <x:c r="A1031" t="n">
        <x:f>1027</x:f>
        <x:v>1027</x:v>
      </x:c>
      <x:c r="B1031" s="7" t="str">
        <x:f>IF(AND('요약'!$B$20,A1031&lt;='요약'!$B$6),NORM.S.INV((A1031-0.5)/'요약'!$B$6),"")</x:f>
      </x:c>
      <x:c r="C1031" s="7" t="str">
        <x:f>IF(AND('요약'!$B$20,A1031&lt;='요약'!$B$6),LARGE('계산'!$B$2:$B$2001,'요약'!$B$6-A1031+1),"")</x:f>
      </x:c>
      <x:c r="D1031" s="7" t="str">
        <x:f>IF(ISNUMBER(B1031),'요약'!$B$7+'요약'!$B$13*B1031,"")</x:f>
      </x:c>
    </x:row>
    <x:row r="1032">
      <x:c r="A1032" t="n">
        <x:f>1028</x:f>
        <x:v>1028</x:v>
      </x:c>
      <x:c r="B1032" s="7" t="str">
        <x:f>IF(AND('요약'!$B$20,A1032&lt;='요약'!$B$6),NORM.S.INV((A1032-0.5)/'요약'!$B$6),"")</x:f>
      </x:c>
      <x:c r="C1032" s="7" t="str">
        <x:f>IF(AND('요약'!$B$20,A1032&lt;='요약'!$B$6),LARGE('계산'!$B$2:$B$2001,'요약'!$B$6-A1032+1),"")</x:f>
      </x:c>
      <x:c r="D1032" s="7" t="str">
        <x:f>IF(ISNUMBER(B1032),'요약'!$B$7+'요약'!$B$13*B1032,"")</x:f>
      </x:c>
    </x:row>
    <x:row r="1033">
      <x:c r="A1033" t="n">
        <x:f>1029</x:f>
        <x:v>1029</x:v>
      </x:c>
      <x:c r="B1033" s="7" t="str">
        <x:f>IF(AND('요약'!$B$20,A1033&lt;='요약'!$B$6),NORM.S.INV((A1033-0.5)/'요약'!$B$6),"")</x:f>
      </x:c>
      <x:c r="C1033" s="7" t="str">
        <x:f>IF(AND('요약'!$B$20,A1033&lt;='요약'!$B$6),LARGE('계산'!$B$2:$B$2001,'요약'!$B$6-A1033+1),"")</x:f>
      </x:c>
      <x:c r="D1033" s="7" t="str">
        <x:f>IF(ISNUMBER(B1033),'요약'!$B$7+'요약'!$B$13*B1033,"")</x:f>
      </x:c>
    </x:row>
    <x:row r="1034">
      <x:c r="A1034" t="n">
        <x:f>1030</x:f>
        <x:v>1030</x:v>
      </x:c>
      <x:c r="B1034" s="7" t="str">
        <x:f>IF(AND('요약'!$B$20,A1034&lt;='요약'!$B$6),NORM.S.INV((A1034-0.5)/'요약'!$B$6),"")</x:f>
      </x:c>
      <x:c r="C1034" s="7" t="str">
        <x:f>IF(AND('요약'!$B$20,A1034&lt;='요약'!$B$6),LARGE('계산'!$B$2:$B$2001,'요약'!$B$6-A1034+1),"")</x:f>
      </x:c>
      <x:c r="D1034" s="7" t="str">
        <x:f>IF(ISNUMBER(B1034),'요약'!$B$7+'요약'!$B$13*B1034,"")</x:f>
      </x:c>
    </x:row>
    <x:row r="1035">
      <x:c r="A1035" t="n">
        <x:f>1031</x:f>
        <x:v>1031</x:v>
      </x:c>
      <x:c r="B1035" s="7" t="str">
        <x:f>IF(AND('요약'!$B$20,A1035&lt;='요약'!$B$6),NORM.S.INV((A1035-0.5)/'요약'!$B$6),"")</x:f>
      </x:c>
      <x:c r="C1035" s="7" t="str">
        <x:f>IF(AND('요약'!$B$20,A1035&lt;='요약'!$B$6),LARGE('계산'!$B$2:$B$2001,'요약'!$B$6-A1035+1),"")</x:f>
      </x:c>
      <x:c r="D1035" s="7" t="str">
        <x:f>IF(ISNUMBER(B1035),'요약'!$B$7+'요약'!$B$13*B1035,"")</x:f>
      </x:c>
    </x:row>
    <x:row r="1036">
      <x:c r="A1036" t="n">
        <x:f>1032</x:f>
        <x:v>1032</x:v>
      </x:c>
      <x:c r="B1036" s="7" t="str">
        <x:f>IF(AND('요약'!$B$20,A1036&lt;='요약'!$B$6),NORM.S.INV((A1036-0.5)/'요약'!$B$6),"")</x:f>
      </x:c>
      <x:c r="C1036" s="7" t="str">
        <x:f>IF(AND('요약'!$B$20,A1036&lt;='요약'!$B$6),LARGE('계산'!$B$2:$B$2001,'요약'!$B$6-A1036+1),"")</x:f>
      </x:c>
      <x:c r="D1036" s="7" t="str">
        <x:f>IF(ISNUMBER(B1036),'요약'!$B$7+'요약'!$B$13*B1036,"")</x:f>
      </x:c>
    </x:row>
    <x:row r="1037">
      <x:c r="A1037" t="n">
        <x:f>1033</x:f>
        <x:v>1033</x:v>
      </x:c>
      <x:c r="B1037" s="7" t="str">
        <x:f>IF(AND('요약'!$B$20,A1037&lt;='요약'!$B$6),NORM.S.INV((A1037-0.5)/'요약'!$B$6),"")</x:f>
      </x:c>
      <x:c r="C1037" s="7" t="str">
        <x:f>IF(AND('요약'!$B$20,A1037&lt;='요약'!$B$6),LARGE('계산'!$B$2:$B$2001,'요약'!$B$6-A1037+1),"")</x:f>
      </x:c>
      <x:c r="D1037" s="7" t="str">
        <x:f>IF(ISNUMBER(B1037),'요약'!$B$7+'요약'!$B$13*B1037,"")</x:f>
      </x:c>
    </x:row>
    <x:row r="1038">
      <x:c r="A1038" t="n">
        <x:f>1034</x:f>
        <x:v>1034</x:v>
      </x:c>
      <x:c r="B1038" s="7" t="str">
        <x:f>IF(AND('요약'!$B$20,A1038&lt;='요약'!$B$6),NORM.S.INV((A1038-0.5)/'요약'!$B$6),"")</x:f>
      </x:c>
      <x:c r="C1038" s="7" t="str">
        <x:f>IF(AND('요약'!$B$20,A1038&lt;='요약'!$B$6),LARGE('계산'!$B$2:$B$2001,'요약'!$B$6-A1038+1),"")</x:f>
      </x:c>
      <x:c r="D1038" s="7" t="str">
        <x:f>IF(ISNUMBER(B1038),'요약'!$B$7+'요약'!$B$13*B1038,"")</x:f>
      </x:c>
    </x:row>
    <x:row r="1039">
      <x:c r="A1039" t="n">
        <x:f>1035</x:f>
        <x:v>1035</x:v>
      </x:c>
      <x:c r="B1039" s="7" t="str">
        <x:f>IF(AND('요약'!$B$20,A1039&lt;='요약'!$B$6),NORM.S.INV((A1039-0.5)/'요약'!$B$6),"")</x:f>
      </x:c>
      <x:c r="C1039" s="7" t="str">
        <x:f>IF(AND('요약'!$B$20,A1039&lt;='요약'!$B$6),LARGE('계산'!$B$2:$B$2001,'요약'!$B$6-A1039+1),"")</x:f>
      </x:c>
      <x:c r="D1039" s="7" t="str">
        <x:f>IF(ISNUMBER(B1039),'요약'!$B$7+'요약'!$B$13*B1039,"")</x:f>
      </x:c>
    </x:row>
    <x:row r="1040">
      <x:c r="A1040" t="n">
        <x:f>1036</x:f>
        <x:v>1036</x:v>
      </x:c>
      <x:c r="B1040" s="7" t="str">
        <x:f>IF(AND('요약'!$B$20,A1040&lt;='요약'!$B$6),NORM.S.INV((A1040-0.5)/'요약'!$B$6),"")</x:f>
      </x:c>
      <x:c r="C1040" s="7" t="str">
        <x:f>IF(AND('요약'!$B$20,A1040&lt;='요약'!$B$6),LARGE('계산'!$B$2:$B$2001,'요약'!$B$6-A1040+1),"")</x:f>
      </x:c>
      <x:c r="D1040" s="7" t="str">
        <x:f>IF(ISNUMBER(B1040),'요약'!$B$7+'요약'!$B$13*B1040,"")</x:f>
      </x:c>
    </x:row>
    <x:row r="1041">
      <x:c r="A1041" t="n">
        <x:f>1037</x:f>
        <x:v>1037</x:v>
      </x:c>
      <x:c r="B1041" s="7" t="str">
        <x:f>IF(AND('요약'!$B$20,A1041&lt;='요약'!$B$6),NORM.S.INV((A1041-0.5)/'요약'!$B$6),"")</x:f>
      </x:c>
      <x:c r="C1041" s="7" t="str">
        <x:f>IF(AND('요약'!$B$20,A1041&lt;='요약'!$B$6),LARGE('계산'!$B$2:$B$2001,'요약'!$B$6-A1041+1),"")</x:f>
      </x:c>
      <x:c r="D1041" s="7" t="str">
        <x:f>IF(ISNUMBER(B1041),'요약'!$B$7+'요약'!$B$13*B1041,"")</x:f>
      </x:c>
    </x:row>
    <x:row r="1042">
      <x:c r="A1042" t="n">
        <x:f>1038</x:f>
        <x:v>1038</x:v>
      </x:c>
      <x:c r="B1042" s="7" t="str">
        <x:f>IF(AND('요약'!$B$20,A1042&lt;='요약'!$B$6),NORM.S.INV((A1042-0.5)/'요약'!$B$6),"")</x:f>
      </x:c>
      <x:c r="C1042" s="7" t="str">
        <x:f>IF(AND('요약'!$B$20,A1042&lt;='요약'!$B$6),LARGE('계산'!$B$2:$B$2001,'요약'!$B$6-A1042+1),"")</x:f>
      </x:c>
      <x:c r="D1042" s="7" t="str">
        <x:f>IF(ISNUMBER(B1042),'요약'!$B$7+'요약'!$B$13*B1042,"")</x:f>
      </x:c>
    </x:row>
    <x:row r="1043">
      <x:c r="A1043" t="n">
        <x:f>1039</x:f>
        <x:v>1039</x:v>
      </x:c>
      <x:c r="B1043" s="7" t="str">
        <x:f>IF(AND('요약'!$B$20,A1043&lt;='요약'!$B$6),NORM.S.INV((A1043-0.5)/'요약'!$B$6),"")</x:f>
      </x:c>
      <x:c r="C1043" s="7" t="str">
        <x:f>IF(AND('요약'!$B$20,A1043&lt;='요약'!$B$6),LARGE('계산'!$B$2:$B$2001,'요약'!$B$6-A1043+1),"")</x:f>
      </x:c>
      <x:c r="D1043" s="7" t="str">
        <x:f>IF(ISNUMBER(B1043),'요약'!$B$7+'요약'!$B$13*B1043,"")</x:f>
      </x:c>
    </x:row>
    <x:row r="1044">
      <x:c r="A1044" t="n">
        <x:f>1040</x:f>
        <x:v>1040</x:v>
      </x:c>
      <x:c r="B1044" s="7" t="str">
        <x:f>IF(AND('요약'!$B$20,A1044&lt;='요약'!$B$6),NORM.S.INV((A1044-0.5)/'요약'!$B$6),"")</x:f>
      </x:c>
      <x:c r="C1044" s="7" t="str">
        <x:f>IF(AND('요약'!$B$20,A1044&lt;='요약'!$B$6),LARGE('계산'!$B$2:$B$2001,'요약'!$B$6-A1044+1),"")</x:f>
      </x:c>
      <x:c r="D1044" s="7" t="str">
        <x:f>IF(ISNUMBER(B1044),'요약'!$B$7+'요약'!$B$13*B1044,"")</x:f>
      </x:c>
    </x:row>
    <x:row r="1045">
      <x:c r="A1045" t="n">
        <x:f>1041</x:f>
        <x:v>1041</x:v>
      </x:c>
      <x:c r="B1045" s="7" t="str">
        <x:f>IF(AND('요약'!$B$20,A1045&lt;='요약'!$B$6),NORM.S.INV((A1045-0.5)/'요약'!$B$6),"")</x:f>
      </x:c>
      <x:c r="C1045" s="7" t="str">
        <x:f>IF(AND('요약'!$B$20,A1045&lt;='요약'!$B$6),LARGE('계산'!$B$2:$B$2001,'요약'!$B$6-A1045+1),"")</x:f>
      </x:c>
      <x:c r="D1045" s="7" t="str">
        <x:f>IF(ISNUMBER(B1045),'요약'!$B$7+'요약'!$B$13*B1045,"")</x:f>
      </x:c>
    </x:row>
    <x:row r="1046">
      <x:c r="A1046" t="n">
        <x:f>1042</x:f>
        <x:v>1042</x:v>
      </x:c>
      <x:c r="B1046" s="7" t="str">
        <x:f>IF(AND('요약'!$B$20,A1046&lt;='요약'!$B$6),NORM.S.INV((A1046-0.5)/'요약'!$B$6),"")</x:f>
      </x:c>
      <x:c r="C1046" s="7" t="str">
        <x:f>IF(AND('요약'!$B$20,A1046&lt;='요약'!$B$6),LARGE('계산'!$B$2:$B$2001,'요약'!$B$6-A1046+1),"")</x:f>
      </x:c>
      <x:c r="D1046" s="7" t="str">
        <x:f>IF(ISNUMBER(B1046),'요약'!$B$7+'요약'!$B$13*B1046,"")</x:f>
      </x:c>
    </x:row>
    <x:row r="1047">
      <x:c r="A1047" t="n">
        <x:f>1043</x:f>
        <x:v>1043</x:v>
      </x:c>
      <x:c r="B1047" s="7" t="str">
        <x:f>IF(AND('요약'!$B$20,A1047&lt;='요약'!$B$6),NORM.S.INV((A1047-0.5)/'요약'!$B$6),"")</x:f>
      </x:c>
      <x:c r="C1047" s="7" t="str">
        <x:f>IF(AND('요약'!$B$20,A1047&lt;='요약'!$B$6),LARGE('계산'!$B$2:$B$2001,'요약'!$B$6-A1047+1),"")</x:f>
      </x:c>
      <x:c r="D1047" s="7" t="str">
        <x:f>IF(ISNUMBER(B1047),'요약'!$B$7+'요약'!$B$13*B1047,"")</x:f>
      </x:c>
    </x:row>
    <x:row r="1048">
      <x:c r="A1048" t="n">
        <x:f>1044</x:f>
        <x:v>1044</x:v>
      </x:c>
      <x:c r="B1048" s="7" t="str">
        <x:f>IF(AND('요약'!$B$20,A1048&lt;='요약'!$B$6),NORM.S.INV((A1048-0.5)/'요약'!$B$6),"")</x:f>
      </x:c>
      <x:c r="C1048" s="7" t="str">
        <x:f>IF(AND('요약'!$B$20,A1048&lt;='요약'!$B$6),LARGE('계산'!$B$2:$B$2001,'요약'!$B$6-A1048+1),"")</x:f>
      </x:c>
      <x:c r="D1048" s="7" t="str">
        <x:f>IF(ISNUMBER(B1048),'요약'!$B$7+'요약'!$B$13*B1048,"")</x:f>
      </x:c>
    </x:row>
    <x:row r="1049">
      <x:c r="A1049" t="n">
        <x:f>1045</x:f>
        <x:v>1045</x:v>
      </x:c>
      <x:c r="B1049" s="7" t="str">
        <x:f>IF(AND('요약'!$B$20,A1049&lt;='요약'!$B$6),NORM.S.INV((A1049-0.5)/'요약'!$B$6),"")</x:f>
      </x:c>
      <x:c r="C1049" s="7" t="str">
        <x:f>IF(AND('요약'!$B$20,A1049&lt;='요약'!$B$6),LARGE('계산'!$B$2:$B$2001,'요약'!$B$6-A1049+1),"")</x:f>
      </x:c>
      <x:c r="D1049" s="7" t="str">
        <x:f>IF(ISNUMBER(B1049),'요약'!$B$7+'요약'!$B$13*B1049,"")</x:f>
      </x:c>
    </x:row>
    <x:row r="1050">
      <x:c r="A1050" t="n">
        <x:f>1046</x:f>
        <x:v>1046</x:v>
      </x:c>
      <x:c r="B1050" s="7" t="str">
        <x:f>IF(AND('요약'!$B$20,A1050&lt;='요약'!$B$6),NORM.S.INV((A1050-0.5)/'요약'!$B$6),"")</x:f>
      </x:c>
      <x:c r="C1050" s="7" t="str">
        <x:f>IF(AND('요약'!$B$20,A1050&lt;='요약'!$B$6),LARGE('계산'!$B$2:$B$2001,'요약'!$B$6-A1050+1),"")</x:f>
      </x:c>
      <x:c r="D1050" s="7" t="str">
        <x:f>IF(ISNUMBER(B1050),'요약'!$B$7+'요약'!$B$13*B1050,"")</x:f>
      </x:c>
    </x:row>
    <x:row r="1051">
      <x:c r="A1051" t="n">
        <x:f>1047</x:f>
        <x:v>1047</x:v>
      </x:c>
      <x:c r="B1051" s="7" t="str">
        <x:f>IF(AND('요약'!$B$20,A1051&lt;='요약'!$B$6),NORM.S.INV((A1051-0.5)/'요약'!$B$6),"")</x:f>
      </x:c>
      <x:c r="C1051" s="7" t="str">
        <x:f>IF(AND('요약'!$B$20,A1051&lt;='요약'!$B$6),LARGE('계산'!$B$2:$B$2001,'요약'!$B$6-A1051+1),"")</x:f>
      </x:c>
      <x:c r="D1051" s="7" t="str">
        <x:f>IF(ISNUMBER(B1051),'요약'!$B$7+'요약'!$B$13*B1051,"")</x:f>
      </x:c>
    </x:row>
    <x:row r="1052">
      <x:c r="A1052" t="n">
        <x:f>1048</x:f>
        <x:v>1048</x:v>
      </x:c>
      <x:c r="B1052" s="7" t="str">
        <x:f>IF(AND('요약'!$B$20,A1052&lt;='요약'!$B$6),NORM.S.INV((A1052-0.5)/'요약'!$B$6),"")</x:f>
      </x:c>
      <x:c r="C1052" s="7" t="str">
        <x:f>IF(AND('요약'!$B$20,A1052&lt;='요약'!$B$6),LARGE('계산'!$B$2:$B$2001,'요약'!$B$6-A1052+1),"")</x:f>
      </x:c>
      <x:c r="D1052" s="7" t="str">
        <x:f>IF(ISNUMBER(B1052),'요약'!$B$7+'요약'!$B$13*B1052,"")</x:f>
      </x:c>
    </x:row>
    <x:row r="1053">
      <x:c r="A1053" t="n">
        <x:f>1049</x:f>
        <x:v>1049</x:v>
      </x:c>
      <x:c r="B1053" s="7" t="str">
        <x:f>IF(AND('요약'!$B$20,A1053&lt;='요약'!$B$6),NORM.S.INV((A1053-0.5)/'요약'!$B$6),"")</x:f>
      </x:c>
      <x:c r="C1053" s="7" t="str">
        <x:f>IF(AND('요약'!$B$20,A1053&lt;='요약'!$B$6),LARGE('계산'!$B$2:$B$2001,'요약'!$B$6-A1053+1),"")</x:f>
      </x:c>
      <x:c r="D1053" s="7" t="str">
        <x:f>IF(ISNUMBER(B1053),'요약'!$B$7+'요약'!$B$13*B1053,"")</x:f>
      </x:c>
    </x:row>
    <x:row r="1054">
      <x:c r="A1054" t="n">
        <x:f>1050</x:f>
        <x:v>1050</x:v>
      </x:c>
      <x:c r="B1054" s="7" t="str">
        <x:f>IF(AND('요약'!$B$20,A1054&lt;='요약'!$B$6),NORM.S.INV((A1054-0.5)/'요약'!$B$6),"")</x:f>
      </x:c>
      <x:c r="C1054" s="7" t="str">
        <x:f>IF(AND('요약'!$B$20,A1054&lt;='요약'!$B$6),LARGE('계산'!$B$2:$B$2001,'요약'!$B$6-A1054+1),"")</x:f>
      </x:c>
      <x:c r="D1054" s="7" t="str">
        <x:f>IF(ISNUMBER(B1054),'요약'!$B$7+'요약'!$B$13*B1054,"")</x:f>
      </x:c>
    </x:row>
    <x:row r="1055">
      <x:c r="A1055" t="n">
        <x:f>1051</x:f>
        <x:v>1051</x:v>
      </x:c>
      <x:c r="B1055" s="7" t="str">
        <x:f>IF(AND('요약'!$B$20,A1055&lt;='요약'!$B$6),NORM.S.INV((A1055-0.5)/'요약'!$B$6),"")</x:f>
      </x:c>
      <x:c r="C1055" s="7" t="str">
        <x:f>IF(AND('요약'!$B$20,A1055&lt;='요약'!$B$6),LARGE('계산'!$B$2:$B$2001,'요약'!$B$6-A1055+1),"")</x:f>
      </x:c>
      <x:c r="D1055" s="7" t="str">
        <x:f>IF(ISNUMBER(B1055),'요약'!$B$7+'요약'!$B$13*B1055,"")</x:f>
      </x:c>
    </x:row>
    <x:row r="1056">
      <x:c r="A1056" t="n">
        <x:f>1052</x:f>
        <x:v>1052</x:v>
      </x:c>
      <x:c r="B1056" s="7" t="str">
        <x:f>IF(AND('요약'!$B$20,A1056&lt;='요약'!$B$6),NORM.S.INV((A1056-0.5)/'요약'!$B$6),"")</x:f>
      </x:c>
      <x:c r="C1056" s="7" t="str">
        <x:f>IF(AND('요약'!$B$20,A1056&lt;='요약'!$B$6),LARGE('계산'!$B$2:$B$2001,'요약'!$B$6-A1056+1),"")</x:f>
      </x:c>
      <x:c r="D1056" s="7" t="str">
        <x:f>IF(ISNUMBER(B1056),'요약'!$B$7+'요약'!$B$13*B1056,"")</x:f>
      </x:c>
    </x:row>
    <x:row r="1057">
      <x:c r="A1057" t="n">
        <x:f>1053</x:f>
        <x:v>1053</x:v>
      </x:c>
      <x:c r="B1057" s="7" t="str">
        <x:f>IF(AND('요약'!$B$20,A1057&lt;='요약'!$B$6),NORM.S.INV((A1057-0.5)/'요약'!$B$6),"")</x:f>
      </x:c>
      <x:c r="C1057" s="7" t="str">
        <x:f>IF(AND('요약'!$B$20,A1057&lt;='요약'!$B$6),LARGE('계산'!$B$2:$B$2001,'요약'!$B$6-A1057+1),"")</x:f>
      </x:c>
      <x:c r="D1057" s="7" t="str">
        <x:f>IF(ISNUMBER(B1057),'요약'!$B$7+'요약'!$B$13*B1057,"")</x:f>
      </x:c>
    </x:row>
    <x:row r="1058">
      <x:c r="A1058" t="n">
        <x:f>1054</x:f>
        <x:v>1054</x:v>
      </x:c>
      <x:c r="B1058" s="7" t="str">
        <x:f>IF(AND('요약'!$B$20,A1058&lt;='요약'!$B$6),NORM.S.INV((A1058-0.5)/'요약'!$B$6),"")</x:f>
      </x:c>
      <x:c r="C1058" s="7" t="str">
        <x:f>IF(AND('요약'!$B$20,A1058&lt;='요약'!$B$6),LARGE('계산'!$B$2:$B$2001,'요약'!$B$6-A1058+1),"")</x:f>
      </x:c>
      <x:c r="D1058" s="7" t="str">
        <x:f>IF(ISNUMBER(B1058),'요약'!$B$7+'요약'!$B$13*B1058,"")</x:f>
      </x:c>
    </x:row>
    <x:row r="1059">
      <x:c r="A1059" t="n">
        <x:f>1055</x:f>
        <x:v>1055</x:v>
      </x:c>
      <x:c r="B1059" s="7" t="str">
        <x:f>IF(AND('요약'!$B$20,A1059&lt;='요약'!$B$6),NORM.S.INV((A1059-0.5)/'요약'!$B$6),"")</x:f>
      </x:c>
      <x:c r="C1059" s="7" t="str">
        <x:f>IF(AND('요약'!$B$20,A1059&lt;='요약'!$B$6),LARGE('계산'!$B$2:$B$2001,'요약'!$B$6-A1059+1),"")</x:f>
      </x:c>
      <x:c r="D1059" s="7" t="str">
        <x:f>IF(ISNUMBER(B1059),'요약'!$B$7+'요약'!$B$13*B1059,"")</x:f>
      </x:c>
    </x:row>
    <x:row r="1060">
      <x:c r="A1060" t="n">
        <x:f>1056</x:f>
        <x:v>1056</x:v>
      </x:c>
      <x:c r="B1060" s="7" t="str">
        <x:f>IF(AND('요약'!$B$20,A1060&lt;='요약'!$B$6),NORM.S.INV((A1060-0.5)/'요약'!$B$6),"")</x:f>
      </x:c>
      <x:c r="C1060" s="7" t="str">
        <x:f>IF(AND('요약'!$B$20,A1060&lt;='요약'!$B$6),LARGE('계산'!$B$2:$B$2001,'요약'!$B$6-A1060+1),"")</x:f>
      </x:c>
      <x:c r="D1060" s="7" t="str">
        <x:f>IF(ISNUMBER(B1060),'요약'!$B$7+'요약'!$B$13*B1060,"")</x:f>
      </x:c>
    </x:row>
    <x:row r="1061">
      <x:c r="A1061" t="n">
        <x:f>1057</x:f>
        <x:v>1057</x:v>
      </x:c>
      <x:c r="B1061" s="7" t="str">
        <x:f>IF(AND('요약'!$B$20,A1061&lt;='요약'!$B$6),NORM.S.INV((A1061-0.5)/'요약'!$B$6),"")</x:f>
      </x:c>
      <x:c r="C1061" s="7" t="str">
        <x:f>IF(AND('요약'!$B$20,A1061&lt;='요약'!$B$6),LARGE('계산'!$B$2:$B$2001,'요약'!$B$6-A1061+1),"")</x:f>
      </x:c>
      <x:c r="D1061" s="7" t="str">
        <x:f>IF(ISNUMBER(B1061),'요약'!$B$7+'요약'!$B$13*B1061,"")</x:f>
      </x:c>
    </x:row>
    <x:row r="1062">
      <x:c r="A1062" t="n">
        <x:f>1058</x:f>
        <x:v>1058</x:v>
      </x:c>
      <x:c r="B1062" s="7" t="str">
        <x:f>IF(AND('요약'!$B$20,A1062&lt;='요약'!$B$6),NORM.S.INV((A1062-0.5)/'요약'!$B$6),"")</x:f>
      </x:c>
      <x:c r="C1062" s="7" t="str">
        <x:f>IF(AND('요약'!$B$20,A1062&lt;='요약'!$B$6),LARGE('계산'!$B$2:$B$2001,'요약'!$B$6-A1062+1),"")</x:f>
      </x:c>
      <x:c r="D1062" s="7" t="str">
        <x:f>IF(ISNUMBER(B1062),'요약'!$B$7+'요약'!$B$13*B1062,"")</x:f>
      </x:c>
    </x:row>
    <x:row r="1063">
      <x:c r="A1063" t="n">
        <x:f>1059</x:f>
        <x:v>1059</x:v>
      </x:c>
      <x:c r="B1063" s="7" t="str">
        <x:f>IF(AND('요약'!$B$20,A1063&lt;='요약'!$B$6),NORM.S.INV((A1063-0.5)/'요약'!$B$6),"")</x:f>
      </x:c>
      <x:c r="C1063" s="7" t="str">
        <x:f>IF(AND('요약'!$B$20,A1063&lt;='요약'!$B$6),LARGE('계산'!$B$2:$B$2001,'요약'!$B$6-A1063+1),"")</x:f>
      </x:c>
      <x:c r="D1063" s="7" t="str">
        <x:f>IF(ISNUMBER(B1063),'요약'!$B$7+'요약'!$B$13*B1063,"")</x:f>
      </x:c>
    </x:row>
    <x:row r="1064">
      <x:c r="A1064" t="n">
        <x:f>1060</x:f>
        <x:v>1060</x:v>
      </x:c>
      <x:c r="B1064" s="7" t="str">
        <x:f>IF(AND('요약'!$B$20,A1064&lt;='요약'!$B$6),NORM.S.INV((A1064-0.5)/'요약'!$B$6),"")</x:f>
      </x:c>
      <x:c r="C1064" s="7" t="str">
        <x:f>IF(AND('요약'!$B$20,A1064&lt;='요약'!$B$6),LARGE('계산'!$B$2:$B$2001,'요약'!$B$6-A1064+1),"")</x:f>
      </x:c>
      <x:c r="D1064" s="7" t="str">
        <x:f>IF(ISNUMBER(B1064),'요약'!$B$7+'요약'!$B$13*B1064,"")</x:f>
      </x:c>
    </x:row>
    <x:row r="1065">
      <x:c r="A1065" t="n">
        <x:f>1061</x:f>
        <x:v>1061</x:v>
      </x:c>
      <x:c r="B1065" s="7" t="str">
        <x:f>IF(AND('요약'!$B$20,A1065&lt;='요약'!$B$6),NORM.S.INV((A1065-0.5)/'요약'!$B$6),"")</x:f>
      </x:c>
      <x:c r="C1065" s="7" t="str">
        <x:f>IF(AND('요약'!$B$20,A1065&lt;='요약'!$B$6),LARGE('계산'!$B$2:$B$2001,'요약'!$B$6-A1065+1),"")</x:f>
      </x:c>
      <x:c r="D1065" s="7" t="str">
        <x:f>IF(ISNUMBER(B1065),'요약'!$B$7+'요약'!$B$13*B1065,"")</x:f>
      </x:c>
    </x:row>
    <x:row r="1066">
      <x:c r="A1066" t="n">
        <x:f>1062</x:f>
        <x:v>1062</x:v>
      </x:c>
      <x:c r="B1066" s="7" t="str">
        <x:f>IF(AND('요약'!$B$20,A1066&lt;='요약'!$B$6),NORM.S.INV((A1066-0.5)/'요약'!$B$6),"")</x:f>
      </x:c>
      <x:c r="C1066" s="7" t="str">
        <x:f>IF(AND('요약'!$B$20,A1066&lt;='요약'!$B$6),LARGE('계산'!$B$2:$B$2001,'요약'!$B$6-A1066+1),"")</x:f>
      </x:c>
      <x:c r="D1066" s="7" t="str">
        <x:f>IF(ISNUMBER(B1066),'요약'!$B$7+'요약'!$B$13*B1066,"")</x:f>
      </x:c>
    </x:row>
    <x:row r="1067">
      <x:c r="A1067" t="n">
        <x:f>1063</x:f>
        <x:v>1063</x:v>
      </x:c>
      <x:c r="B1067" s="7" t="str">
        <x:f>IF(AND('요약'!$B$20,A1067&lt;='요약'!$B$6),NORM.S.INV((A1067-0.5)/'요약'!$B$6),"")</x:f>
      </x:c>
      <x:c r="C1067" s="7" t="str">
        <x:f>IF(AND('요약'!$B$20,A1067&lt;='요약'!$B$6),LARGE('계산'!$B$2:$B$2001,'요약'!$B$6-A1067+1),"")</x:f>
      </x:c>
      <x:c r="D1067" s="7" t="str">
        <x:f>IF(ISNUMBER(B1067),'요약'!$B$7+'요약'!$B$13*B1067,"")</x:f>
      </x:c>
    </x:row>
    <x:row r="1068">
      <x:c r="A1068" t="n">
        <x:f>1064</x:f>
        <x:v>1064</x:v>
      </x:c>
      <x:c r="B1068" s="7" t="str">
        <x:f>IF(AND('요약'!$B$20,A1068&lt;='요약'!$B$6),NORM.S.INV((A1068-0.5)/'요약'!$B$6),"")</x:f>
      </x:c>
      <x:c r="C1068" s="7" t="str">
        <x:f>IF(AND('요약'!$B$20,A1068&lt;='요약'!$B$6),LARGE('계산'!$B$2:$B$2001,'요약'!$B$6-A1068+1),"")</x:f>
      </x:c>
      <x:c r="D1068" s="7" t="str">
        <x:f>IF(ISNUMBER(B1068),'요약'!$B$7+'요약'!$B$13*B1068,"")</x:f>
      </x:c>
    </x:row>
    <x:row r="1069">
      <x:c r="A1069" t="n">
        <x:f>1065</x:f>
        <x:v>1065</x:v>
      </x:c>
      <x:c r="B1069" s="7" t="str">
        <x:f>IF(AND('요약'!$B$20,A1069&lt;='요약'!$B$6),NORM.S.INV((A1069-0.5)/'요약'!$B$6),"")</x:f>
      </x:c>
      <x:c r="C1069" s="7" t="str">
        <x:f>IF(AND('요약'!$B$20,A1069&lt;='요약'!$B$6),LARGE('계산'!$B$2:$B$2001,'요약'!$B$6-A1069+1),"")</x:f>
      </x:c>
      <x:c r="D1069" s="7" t="str">
        <x:f>IF(ISNUMBER(B1069),'요약'!$B$7+'요약'!$B$13*B1069,"")</x:f>
      </x:c>
    </x:row>
    <x:row r="1070">
      <x:c r="A1070" t="n">
        <x:f>1066</x:f>
        <x:v>1066</x:v>
      </x:c>
      <x:c r="B1070" s="7" t="str">
        <x:f>IF(AND('요약'!$B$20,A1070&lt;='요약'!$B$6),NORM.S.INV((A1070-0.5)/'요약'!$B$6),"")</x:f>
      </x:c>
      <x:c r="C1070" s="7" t="str">
        <x:f>IF(AND('요약'!$B$20,A1070&lt;='요약'!$B$6),LARGE('계산'!$B$2:$B$2001,'요약'!$B$6-A1070+1),"")</x:f>
      </x:c>
      <x:c r="D1070" s="7" t="str">
        <x:f>IF(ISNUMBER(B1070),'요약'!$B$7+'요약'!$B$13*B1070,"")</x:f>
      </x:c>
    </x:row>
    <x:row r="1071">
      <x:c r="A1071" t="n">
        <x:f>1067</x:f>
        <x:v>1067</x:v>
      </x:c>
      <x:c r="B1071" s="7" t="str">
        <x:f>IF(AND('요약'!$B$20,A1071&lt;='요약'!$B$6),NORM.S.INV((A1071-0.5)/'요약'!$B$6),"")</x:f>
      </x:c>
      <x:c r="C1071" s="7" t="str">
        <x:f>IF(AND('요약'!$B$20,A1071&lt;='요약'!$B$6),LARGE('계산'!$B$2:$B$2001,'요약'!$B$6-A1071+1),"")</x:f>
      </x:c>
      <x:c r="D1071" s="7" t="str">
        <x:f>IF(ISNUMBER(B1071),'요약'!$B$7+'요약'!$B$13*B1071,"")</x:f>
      </x:c>
    </x:row>
    <x:row r="1072">
      <x:c r="A1072" t="n">
        <x:f>1068</x:f>
        <x:v>1068</x:v>
      </x:c>
      <x:c r="B1072" s="7" t="str">
        <x:f>IF(AND('요약'!$B$20,A1072&lt;='요약'!$B$6),NORM.S.INV((A1072-0.5)/'요약'!$B$6),"")</x:f>
      </x:c>
      <x:c r="C1072" s="7" t="str">
        <x:f>IF(AND('요약'!$B$20,A1072&lt;='요약'!$B$6),LARGE('계산'!$B$2:$B$2001,'요약'!$B$6-A1072+1),"")</x:f>
      </x:c>
      <x:c r="D1072" s="7" t="str">
        <x:f>IF(ISNUMBER(B1072),'요약'!$B$7+'요약'!$B$13*B1072,"")</x:f>
      </x:c>
    </x:row>
    <x:row r="1073">
      <x:c r="A1073" t="n">
        <x:f>1069</x:f>
        <x:v>1069</x:v>
      </x:c>
      <x:c r="B1073" s="7" t="str">
        <x:f>IF(AND('요약'!$B$20,A1073&lt;='요약'!$B$6),NORM.S.INV((A1073-0.5)/'요약'!$B$6),"")</x:f>
      </x:c>
      <x:c r="C1073" s="7" t="str">
        <x:f>IF(AND('요약'!$B$20,A1073&lt;='요약'!$B$6),LARGE('계산'!$B$2:$B$2001,'요약'!$B$6-A1073+1),"")</x:f>
      </x:c>
      <x:c r="D1073" s="7" t="str">
        <x:f>IF(ISNUMBER(B1073),'요약'!$B$7+'요약'!$B$13*B1073,"")</x:f>
      </x:c>
    </x:row>
    <x:row r="1074">
      <x:c r="A1074" t="n">
        <x:f>1070</x:f>
        <x:v>1070</x:v>
      </x:c>
      <x:c r="B1074" s="7" t="str">
        <x:f>IF(AND('요약'!$B$20,A1074&lt;='요약'!$B$6),NORM.S.INV((A1074-0.5)/'요약'!$B$6),"")</x:f>
      </x:c>
      <x:c r="C1074" s="7" t="str">
        <x:f>IF(AND('요약'!$B$20,A1074&lt;='요약'!$B$6),LARGE('계산'!$B$2:$B$2001,'요약'!$B$6-A1074+1),"")</x:f>
      </x:c>
      <x:c r="D1074" s="7" t="str">
        <x:f>IF(ISNUMBER(B1074),'요약'!$B$7+'요약'!$B$13*B1074,"")</x:f>
      </x:c>
    </x:row>
    <x:row r="1075">
      <x:c r="A1075" t="n">
        <x:f>1071</x:f>
        <x:v>1071</x:v>
      </x:c>
      <x:c r="B1075" s="7" t="str">
        <x:f>IF(AND('요약'!$B$20,A1075&lt;='요약'!$B$6),NORM.S.INV((A1075-0.5)/'요약'!$B$6),"")</x:f>
      </x:c>
      <x:c r="C1075" s="7" t="str">
        <x:f>IF(AND('요약'!$B$20,A1075&lt;='요약'!$B$6),LARGE('계산'!$B$2:$B$2001,'요약'!$B$6-A1075+1),"")</x:f>
      </x:c>
      <x:c r="D1075" s="7" t="str">
        <x:f>IF(ISNUMBER(B1075),'요약'!$B$7+'요약'!$B$13*B1075,"")</x:f>
      </x:c>
    </x:row>
    <x:row r="1076">
      <x:c r="A1076" t="n">
        <x:f>1072</x:f>
        <x:v>1072</x:v>
      </x:c>
      <x:c r="B1076" s="7" t="str">
        <x:f>IF(AND('요약'!$B$20,A1076&lt;='요약'!$B$6),NORM.S.INV((A1076-0.5)/'요약'!$B$6),"")</x:f>
      </x:c>
      <x:c r="C1076" s="7" t="str">
        <x:f>IF(AND('요약'!$B$20,A1076&lt;='요약'!$B$6),LARGE('계산'!$B$2:$B$2001,'요약'!$B$6-A1076+1),"")</x:f>
      </x:c>
      <x:c r="D1076" s="7" t="str">
        <x:f>IF(ISNUMBER(B1076),'요약'!$B$7+'요약'!$B$13*B1076,"")</x:f>
      </x:c>
    </x:row>
    <x:row r="1077">
      <x:c r="A1077" t="n">
        <x:f>1073</x:f>
        <x:v>1073</x:v>
      </x:c>
      <x:c r="B1077" s="7" t="str">
        <x:f>IF(AND('요약'!$B$20,A1077&lt;='요약'!$B$6),NORM.S.INV((A1077-0.5)/'요약'!$B$6),"")</x:f>
      </x:c>
      <x:c r="C1077" s="7" t="str">
        <x:f>IF(AND('요약'!$B$20,A1077&lt;='요약'!$B$6),LARGE('계산'!$B$2:$B$2001,'요약'!$B$6-A1077+1),"")</x:f>
      </x:c>
      <x:c r="D1077" s="7" t="str">
        <x:f>IF(ISNUMBER(B1077),'요약'!$B$7+'요약'!$B$13*B1077,"")</x:f>
      </x:c>
    </x:row>
    <x:row r="1078">
      <x:c r="A1078" t="n">
        <x:f>1074</x:f>
        <x:v>1074</x:v>
      </x:c>
      <x:c r="B1078" s="7" t="str">
        <x:f>IF(AND('요약'!$B$20,A1078&lt;='요약'!$B$6),NORM.S.INV((A1078-0.5)/'요약'!$B$6),"")</x:f>
      </x:c>
      <x:c r="C1078" s="7" t="str">
        <x:f>IF(AND('요약'!$B$20,A1078&lt;='요약'!$B$6),LARGE('계산'!$B$2:$B$2001,'요약'!$B$6-A1078+1),"")</x:f>
      </x:c>
      <x:c r="D1078" s="7" t="str">
        <x:f>IF(ISNUMBER(B1078),'요약'!$B$7+'요약'!$B$13*B1078,"")</x:f>
      </x:c>
    </x:row>
    <x:row r="1079">
      <x:c r="A1079" t="n">
        <x:f>1075</x:f>
        <x:v>1075</x:v>
      </x:c>
      <x:c r="B1079" s="7" t="str">
        <x:f>IF(AND('요약'!$B$20,A1079&lt;='요약'!$B$6),NORM.S.INV((A1079-0.5)/'요약'!$B$6),"")</x:f>
      </x:c>
      <x:c r="C1079" s="7" t="str">
        <x:f>IF(AND('요약'!$B$20,A1079&lt;='요약'!$B$6),LARGE('계산'!$B$2:$B$2001,'요약'!$B$6-A1079+1),"")</x:f>
      </x:c>
      <x:c r="D1079" s="7" t="str">
        <x:f>IF(ISNUMBER(B1079),'요약'!$B$7+'요약'!$B$13*B1079,"")</x:f>
      </x:c>
    </x:row>
    <x:row r="1080">
      <x:c r="A1080" t="n">
        <x:f>1076</x:f>
        <x:v>1076</x:v>
      </x:c>
      <x:c r="B1080" s="7" t="str">
        <x:f>IF(AND('요약'!$B$20,A1080&lt;='요약'!$B$6),NORM.S.INV((A1080-0.5)/'요약'!$B$6),"")</x:f>
      </x:c>
      <x:c r="C1080" s="7" t="str">
        <x:f>IF(AND('요약'!$B$20,A1080&lt;='요약'!$B$6),LARGE('계산'!$B$2:$B$2001,'요약'!$B$6-A1080+1),"")</x:f>
      </x:c>
      <x:c r="D1080" s="7" t="str">
        <x:f>IF(ISNUMBER(B1080),'요약'!$B$7+'요약'!$B$13*B1080,"")</x:f>
      </x:c>
    </x:row>
    <x:row r="1081">
      <x:c r="A1081" t="n">
        <x:f>1077</x:f>
        <x:v>1077</x:v>
      </x:c>
      <x:c r="B1081" s="7" t="str">
        <x:f>IF(AND('요약'!$B$20,A1081&lt;='요약'!$B$6),NORM.S.INV((A1081-0.5)/'요약'!$B$6),"")</x:f>
      </x:c>
      <x:c r="C1081" s="7" t="str">
        <x:f>IF(AND('요약'!$B$20,A1081&lt;='요약'!$B$6),LARGE('계산'!$B$2:$B$2001,'요약'!$B$6-A1081+1),"")</x:f>
      </x:c>
      <x:c r="D1081" s="7" t="str">
        <x:f>IF(ISNUMBER(B1081),'요약'!$B$7+'요약'!$B$13*B1081,"")</x:f>
      </x:c>
    </x:row>
    <x:row r="1082">
      <x:c r="A1082" t="n">
        <x:f>1078</x:f>
        <x:v>1078</x:v>
      </x:c>
      <x:c r="B1082" s="7" t="str">
        <x:f>IF(AND('요약'!$B$20,A1082&lt;='요약'!$B$6),NORM.S.INV((A1082-0.5)/'요약'!$B$6),"")</x:f>
      </x:c>
      <x:c r="C1082" s="7" t="str">
        <x:f>IF(AND('요약'!$B$20,A1082&lt;='요약'!$B$6),LARGE('계산'!$B$2:$B$2001,'요약'!$B$6-A1082+1),"")</x:f>
      </x:c>
      <x:c r="D1082" s="7" t="str">
        <x:f>IF(ISNUMBER(B1082),'요약'!$B$7+'요약'!$B$13*B1082,"")</x:f>
      </x:c>
    </x:row>
    <x:row r="1083">
      <x:c r="A1083" t="n">
        <x:f>1079</x:f>
        <x:v>1079</x:v>
      </x:c>
      <x:c r="B1083" s="7" t="str">
        <x:f>IF(AND('요약'!$B$20,A1083&lt;='요약'!$B$6),NORM.S.INV((A1083-0.5)/'요약'!$B$6),"")</x:f>
      </x:c>
      <x:c r="C1083" s="7" t="str">
        <x:f>IF(AND('요약'!$B$20,A1083&lt;='요약'!$B$6),LARGE('계산'!$B$2:$B$2001,'요약'!$B$6-A1083+1),"")</x:f>
      </x:c>
      <x:c r="D1083" s="7" t="str">
        <x:f>IF(ISNUMBER(B1083),'요약'!$B$7+'요약'!$B$13*B1083,"")</x:f>
      </x:c>
    </x:row>
    <x:row r="1084">
      <x:c r="A1084" t="n">
        <x:f>1080</x:f>
        <x:v>1080</x:v>
      </x:c>
      <x:c r="B1084" s="7" t="str">
        <x:f>IF(AND('요약'!$B$20,A1084&lt;='요약'!$B$6),NORM.S.INV((A1084-0.5)/'요약'!$B$6),"")</x:f>
      </x:c>
      <x:c r="C1084" s="7" t="str">
        <x:f>IF(AND('요약'!$B$20,A1084&lt;='요약'!$B$6),LARGE('계산'!$B$2:$B$2001,'요약'!$B$6-A1084+1),"")</x:f>
      </x:c>
      <x:c r="D1084" s="7" t="str">
        <x:f>IF(ISNUMBER(B1084),'요약'!$B$7+'요약'!$B$13*B1084,"")</x:f>
      </x:c>
    </x:row>
    <x:row r="1085">
      <x:c r="A1085" t="n">
        <x:f>1081</x:f>
        <x:v>1081</x:v>
      </x:c>
      <x:c r="B1085" s="7" t="str">
        <x:f>IF(AND('요약'!$B$20,A1085&lt;='요약'!$B$6),NORM.S.INV((A1085-0.5)/'요약'!$B$6),"")</x:f>
      </x:c>
      <x:c r="C1085" s="7" t="str">
        <x:f>IF(AND('요약'!$B$20,A1085&lt;='요약'!$B$6),LARGE('계산'!$B$2:$B$2001,'요약'!$B$6-A1085+1),"")</x:f>
      </x:c>
      <x:c r="D1085" s="7" t="str">
        <x:f>IF(ISNUMBER(B1085),'요약'!$B$7+'요약'!$B$13*B1085,"")</x:f>
      </x:c>
    </x:row>
    <x:row r="1086">
      <x:c r="A1086" t="n">
        <x:f>1082</x:f>
        <x:v>1082</x:v>
      </x:c>
      <x:c r="B1086" s="7" t="str">
        <x:f>IF(AND('요약'!$B$20,A1086&lt;='요약'!$B$6),NORM.S.INV((A1086-0.5)/'요약'!$B$6),"")</x:f>
      </x:c>
      <x:c r="C1086" s="7" t="str">
        <x:f>IF(AND('요약'!$B$20,A1086&lt;='요약'!$B$6),LARGE('계산'!$B$2:$B$2001,'요약'!$B$6-A1086+1),"")</x:f>
      </x:c>
      <x:c r="D1086" s="7" t="str">
        <x:f>IF(ISNUMBER(B1086),'요약'!$B$7+'요약'!$B$13*B1086,"")</x:f>
      </x:c>
    </x:row>
    <x:row r="1087">
      <x:c r="A1087" t="n">
        <x:f>1083</x:f>
        <x:v>1083</x:v>
      </x:c>
      <x:c r="B1087" s="7" t="str">
        <x:f>IF(AND('요약'!$B$20,A1087&lt;='요약'!$B$6),NORM.S.INV((A1087-0.5)/'요약'!$B$6),"")</x:f>
      </x:c>
      <x:c r="C1087" s="7" t="str">
        <x:f>IF(AND('요약'!$B$20,A1087&lt;='요약'!$B$6),LARGE('계산'!$B$2:$B$2001,'요약'!$B$6-A1087+1),"")</x:f>
      </x:c>
      <x:c r="D1087" s="7" t="str">
        <x:f>IF(ISNUMBER(B1087),'요약'!$B$7+'요약'!$B$13*B1087,"")</x:f>
      </x:c>
    </x:row>
    <x:row r="1088">
      <x:c r="A1088" t="n">
        <x:f>1084</x:f>
        <x:v>1084</x:v>
      </x:c>
      <x:c r="B1088" s="7" t="str">
        <x:f>IF(AND('요약'!$B$20,A1088&lt;='요약'!$B$6),NORM.S.INV((A1088-0.5)/'요약'!$B$6),"")</x:f>
      </x:c>
      <x:c r="C1088" s="7" t="str">
        <x:f>IF(AND('요약'!$B$20,A1088&lt;='요약'!$B$6),LARGE('계산'!$B$2:$B$2001,'요약'!$B$6-A1088+1),"")</x:f>
      </x:c>
      <x:c r="D1088" s="7" t="str">
        <x:f>IF(ISNUMBER(B1088),'요약'!$B$7+'요약'!$B$13*B1088,"")</x:f>
      </x:c>
    </x:row>
    <x:row r="1089">
      <x:c r="A1089" t="n">
        <x:f>1085</x:f>
        <x:v>1085</x:v>
      </x:c>
      <x:c r="B1089" s="7" t="str">
        <x:f>IF(AND('요약'!$B$20,A1089&lt;='요약'!$B$6),NORM.S.INV((A1089-0.5)/'요약'!$B$6),"")</x:f>
      </x:c>
      <x:c r="C1089" s="7" t="str">
        <x:f>IF(AND('요약'!$B$20,A1089&lt;='요약'!$B$6),LARGE('계산'!$B$2:$B$2001,'요약'!$B$6-A1089+1),"")</x:f>
      </x:c>
      <x:c r="D1089" s="7" t="str">
        <x:f>IF(ISNUMBER(B1089),'요약'!$B$7+'요약'!$B$13*B1089,"")</x:f>
      </x:c>
    </x:row>
    <x:row r="1090">
      <x:c r="A1090" t="n">
        <x:f>1086</x:f>
        <x:v>1086</x:v>
      </x:c>
      <x:c r="B1090" s="7" t="str">
        <x:f>IF(AND('요약'!$B$20,A1090&lt;='요약'!$B$6),NORM.S.INV((A1090-0.5)/'요약'!$B$6),"")</x:f>
      </x:c>
      <x:c r="C1090" s="7" t="str">
        <x:f>IF(AND('요약'!$B$20,A1090&lt;='요약'!$B$6),LARGE('계산'!$B$2:$B$2001,'요약'!$B$6-A1090+1),"")</x:f>
      </x:c>
      <x:c r="D1090" s="7" t="str">
        <x:f>IF(ISNUMBER(B1090),'요약'!$B$7+'요약'!$B$13*B1090,"")</x:f>
      </x:c>
    </x:row>
    <x:row r="1091">
      <x:c r="A1091" t="n">
        <x:f>1087</x:f>
        <x:v>1087</x:v>
      </x:c>
      <x:c r="B1091" s="7" t="str">
        <x:f>IF(AND('요약'!$B$20,A1091&lt;='요약'!$B$6),NORM.S.INV((A1091-0.5)/'요약'!$B$6),"")</x:f>
      </x:c>
      <x:c r="C1091" s="7" t="str">
        <x:f>IF(AND('요약'!$B$20,A1091&lt;='요약'!$B$6),LARGE('계산'!$B$2:$B$2001,'요약'!$B$6-A1091+1),"")</x:f>
      </x:c>
      <x:c r="D1091" s="7" t="str">
        <x:f>IF(ISNUMBER(B1091),'요약'!$B$7+'요약'!$B$13*B1091,"")</x:f>
      </x:c>
    </x:row>
    <x:row r="1092">
      <x:c r="A1092" t="n">
        <x:f>1088</x:f>
        <x:v>1088</x:v>
      </x:c>
      <x:c r="B1092" s="7" t="str">
        <x:f>IF(AND('요약'!$B$20,A1092&lt;='요약'!$B$6),NORM.S.INV((A1092-0.5)/'요약'!$B$6),"")</x:f>
      </x:c>
      <x:c r="C1092" s="7" t="str">
        <x:f>IF(AND('요약'!$B$20,A1092&lt;='요약'!$B$6),LARGE('계산'!$B$2:$B$2001,'요약'!$B$6-A1092+1),"")</x:f>
      </x:c>
      <x:c r="D1092" s="7" t="str">
        <x:f>IF(ISNUMBER(B1092),'요약'!$B$7+'요약'!$B$13*B1092,"")</x:f>
      </x:c>
    </x:row>
    <x:row r="1093">
      <x:c r="A1093" t="n">
        <x:f>1089</x:f>
        <x:v>1089</x:v>
      </x:c>
      <x:c r="B1093" s="7" t="str">
        <x:f>IF(AND('요약'!$B$20,A1093&lt;='요약'!$B$6),NORM.S.INV((A1093-0.5)/'요약'!$B$6),"")</x:f>
      </x:c>
      <x:c r="C1093" s="7" t="str">
        <x:f>IF(AND('요약'!$B$20,A1093&lt;='요약'!$B$6),LARGE('계산'!$B$2:$B$2001,'요약'!$B$6-A1093+1),"")</x:f>
      </x:c>
      <x:c r="D1093" s="7" t="str">
        <x:f>IF(ISNUMBER(B1093),'요약'!$B$7+'요약'!$B$13*B1093,"")</x:f>
      </x:c>
    </x:row>
    <x:row r="1094">
      <x:c r="A1094" t="n">
        <x:f>1090</x:f>
        <x:v>1090</x:v>
      </x:c>
      <x:c r="B1094" s="7" t="str">
        <x:f>IF(AND('요약'!$B$20,A1094&lt;='요약'!$B$6),NORM.S.INV((A1094-0.5)/'요약'!$B$6),"")</x:f>
      </x:c>
      <x:c r="C1094" s="7" t="str">
        <x:f>IF(AND('요약'!$B$20,A1094&lt;='요약'!$B$6),LARGE('계산'!$B$2:$B$2001,'요약'!$B$6-A1094+1),"")</x:f>
      </x:c>
      <x:c r="D1094" s="7" t="str">
        <x:f>IF(ISNUMBER(B1094),'요약'!$B$7+'요약'!$B$13*B1094,"")</x:f>
      </x:c>
    </x:row>
    <x:row r="1095">
      <x:c r="A1095" t="n">
        <x:f>1091</x:f>
        <x:v>1091</x:v>
      </x:c>
      <x:c r="B1095" s="7" t="str">
        <x:f>IF(AND('요약'!$B$20,A1095&lt;='요약'!$B$6),NORM.S.INV((A1095-0.5)/'요약'!$B$6),"")</x:f>
      </x:c>
      <x:c r="C1095" s="7" t="str">
        <x:f>IF(AND('요약'!$B$20,A1095&lt;='요약'!$B$6),LARGE('계산'!$B$2:$B$2001,'요약'!$B$6-A1095+1),"")</x:f>
      </x:c>
      <x:c r="D1095" s="7" t="str">
        <x:f>IF(ISNUMBER(B1095),'요약'!$B$7+'요약'!$B$13*B1095,"")</x:f>
      </x:c>
    </x:row>
    <x:row r="1096">
      <x:c r="A1096" t="n">
        <x:f>1092</x:f>
        <x:v>1092</x:v>
      </x:c>
      <x:c r="B1096" s="7" t="str">
        <x:f>IF(AND('요약'!$B$20,A1096&lt;='요약'!$B$6),NORM.S.INV((A1096-0.5)/'요약'!$B$6),"")</x:f>
      </x:c>
      <x:c r="C1096" s="7" t="str">
        <x:f>IF(AND('요약'!$B$20,A1096&lt;='요약'!$B$6),LARGE('계산'!$B$2:$B$2001,'요약'!$B$6-A1096+1),"")</x:f>
      </x:c>
      <x:c r="D1096" s="7" t="str">
        <x:f>IF(ISNUMBER(B1096),'요약'!$B$7+'요약'!$B$13*B1096,"")</x:f>
      </x:c>
    </x:row>
    <x:row r="1097">
      <x:c r="A1097" t="n">
        <x:f>1093</x:f>
        <x:v>1093</x:v>
      </x:c>
      <x:c r="B1097" s="7" t="str">
        <x:f>IF(AND('요약'!$B$20,A1097&lt;='요약'!$B$6),NORM.S.INV((A1097-0.5)/'요약'!$B$6),"")</x:f>
      </x:c>
      <x:c r="C1097" s="7" t="str">
        <x:f>IF(AND('요약'!$B$20,A1097&lt;='요약'!$B$6),LARGE('계산'!$B$2:$B$2001,'요약'!$B$6-A1097+1),"")</x:f>
      </x:c>
      <x:c r="D1097" s="7" t="str">
        <x:f>IF(ISNUMBER(B1097),'요약'!$B$7+'요약'!$B$13*B1097,"")</x:f>
      </x:c>
    </x:row>
    <x:row r="1098">
      <x:c r="A1098" t="n">
        <x:f>1094</x:f>
        <x:v>1094</x:v>
      </x:c>
      <x:c r="B1098" s="7" t="str">
        <x:f>IF(AND('요약'!$B$20,A1098&lt;='요약'!$B$6),NORM.S.INV((A1098-0.5)/'요약'!$B$6),"")</x:f>
      </x:c>
      <x:c r="C1098" s="7" t="str">
        <x:f>IF(AND('요약'!$B$20,A1098&lt;='요약'!$B$6),LARGE('계산'!$B$2:$B$2001,'요약'!$B$6-A1098+1),"")</x:f>
      </x:c>
      <x:c r="D1098" s="7" t="str">
        <x:f>IF(ISNUMBER(B1098),'요약'!$B$7+'요약'!$B$13*B1098,"")</x:f>
      </x:c>
    </x:row>
    <x:row r="1099">
      <x:c r="A1099" t="n">
        <x:f>1095</x:f>
        <x:v>1095</x:v>
      </x:c>
      <x:c r="B1099" s="7" t="str">
        <x:f>IF(AND('요약'!$B$20,A1099&lt;='요약'!$B$6),NORM.S.INV((A1099-0.5)/'요약'!$B$6),"")</x:f>
      </x:c>
      <x:c r="C1099" s="7" t="str">
        <x:f>IF(AND('요약'!$B$20,A1099&lt;='요약'!$B$6),LARGE('계산'!$B$2:$B$2001,'요약'!$B$6-A1099+1),"")</x:f>
      </x:c>
      <x:c r="D1099" s="7" t="str">
        <x:f>IF(ISNUMBER(B1099),'요약'!$B$7+'요약'!$B$13*B1099,"")</x:f>
      </x:c>
    </x:row>
    <x:row r="1100">
      <x:c r="A1100" t="n">
        <x:f>1096</x:f>
        <x:v>1096</x:v>
      </x:c>
      <x:c r="B1100" s="7" t="str">
        <x:f>IF(AND('요약'!$B$20,A1100&lt;='요약'!$B$6),NORM.S.INV((A1100-0.5)/'요약'!$B$6),"")</x:f>
      </x:c>
      <x:c r="C1100" s="7" t="str">
        <x:f>IF(AND('요약'!$B$20,A1100&lt;='요약'!$B$6),LARGE('계산'!$B$2:$B$2001,'요약'!$B$6-A1100+1),"")</x:f>
      </x:c>
      <x:c r="D1100" s="7" t="str">
        <x:f>IF(ISNUMBER(B1100),'요약'!$B$7+'요약'!$B$13*B1100,"")</x:f>
      </x:c>
    </x:row>
    <x:row r="1101">
      <x:c r="A1101" t="n">
        <x:f>1097</x:f>
        <x:v>1097</x:v>
      </x:c>
      <x:c r="B1101" s="7" t="str">
        <x:f>IF(AND('요약'!$B$20,A1101&lt;='요약'!$B$6),NORM.S.INV((A1101-0.5)/'요약'!$B$6),"")</x:f>
      </x:c>
      <x:c r="C1101" s="7" t="str">
        <x:f>IF(AND('요약'!$B$20,A1101&lt;='요약'!$B$6),LARGE('계산'!$B$2:$B$2001,'요약'!$B$6-A1101+1),"")</x:f>
      </x:c>
      <x:c r="D1101" s="7" t="str">
        <x:f>IF(ISNUMBER(B1101),'요약'!$B$7+'요약'!$B$13*B1101,"")</x:f>
      </x:c>
    </x:row>
    <x:row r="1102">
      <x:c r="A1102" t="n">
        <x:f>1098</x:f>
        <x:v>1098</x:v>
      </x:c>
      <x:c r="B1102" s="7" t="str">
        <x:f>IF(AND('요약'!$B$20,A1102&lt;='요약'!$B$6),NORM.S.INV((A1102-0.5)/'요약'!$B$6),"")</x:f>
      </x:c>
      <x:c r="C1102" s="7" t="str">
        <x:f>IF(AND('요약'!$B$20,A1102&lt;='요약'!$B$6),LARGE('계산'!$B$2:$B$2001,'요약'!$B$6-A1102+1),"")</x:f>
      </x:c>
      <x:c r="D1102" s="7" t="str">
        <x:f>IF(ISNUMBER(B1102),'요약'!$B$7+'요약'!$B$13*B1102,"")</x:f>
      </x:c>
    </x:row>
    <x:row r="1103">
      <x:c r="A1103" t="n">
        <x:f>1099</x:f>
        <x:v>1099</x:v>
      </x:c>
      <x:c r="B1103" s="7" t="str">
        <x:f>IF(AND('요약'!$B$20,A1103&lt;='요약'!$B$6),NORM.S.INV((A1103-0.5)/'요약'!$B$6),"")</x:f>
      </x:c>
      <x:c r="C1103" s="7" t="str">
        <x:f>IF(AND('요약'!$B$20,A1103&lt;='요약'!$B$6),LARGE('계산'!$B$2:$B$2001,'요약'!$B$6-A1103+1),"")</x:f>
      </x:c>
      <x:c r="D1103" s="7" t="str">
        <x:f>IF(ISNUMBER(B1103),'요약'!$B$7+'요약'!$B$13*B1103,"")</x:f>
      </x:c>
    </x:row>
    <x:row r="1104">
      <x:c r="A1104" t="n">
        <x:f>1100</x:f>
        <x:v>1100</x:v>
      </x:c>
      <x:c r="B1104" s="7" t="str">
        <x:f>IF(AND('요약'!$B$20,A1104&lt;='요약'!$B$6),NORM.S.INV((A1104-0.5)/'요약'!$B$6),"")</x:f>
      </x:c>
      <x:c r="C1104" s="7" t="str">
        <x:f>IF(AND('요약'!$B$20,A1104&lt;='요약'!$B$6),LARGE('계산'!$B$2:$B$2001,'요약'!$B$6-A1104+1),"")</x:f>
      </x:c>
      <x:c r="D1104" s="7" t="str">
        <x:f>IF(ISNUMBER(B1104),'요약'!$B$7+'요약'!$B$13*B1104,"")</x:f>
      </x:c>
    </x:row>
    <x:row r="1105">
      <x:c r="A1105" t="n">
        <x:f>1101</x:f>
        <x:v>1101</x:v>
      </x:c>
      <x:c r="B1105" s="7" t="str">
        <x:f>IF(AND('요약'!$B$20,A1105&lt;='요약'!$B$6),NORM.S.INV((A1105-0.5)/'요약'!$B$6),"")</x:f>
      </x:c>
      <x:c r="C1105" s="7" t="str">
        <x:f>IF(AND('요약'!$B$20,A1105&lt;='요약'!$B$6),LARGE('계산'!$B$2:$B$2001,'요약'!$B$6-A1105+1),"")</x:f>
      </x:c>
      <x:c r="D1105" s="7" t="str">
        <x:f>IF(ISNUMBER(B1105),'요약'!$B$7+'요약'!$B$13*B1105,"")</x:f>
      </x:c>
    </x:row>
    <x:row r="1106">
      <x:c r="A1106" t="n">
        <x:f>1102</x:f>
        <x:v>1102</x:v>
      </x:c>
      <x:c r="B1106" s="7" t="str">
        <x:f>IF(AND('요약'!$B$20,A1106&lt;='요약'!$B$6),NORM.S.INV((A1106-0.5)/'요약'!$B$6),"")</x:f>
      </x:c>
      <x:c r="C1106" s="7" t="str">
        <x:f>IF(AND('요약'!$B$20,A1106&lt;='요약'!$B$6),LARGE('계산'!$B$2:$B$2001,'요약'!$B$6-A1106+1),"")</x:f>
      </x:c>
      <x:c r="D1106" s="7" t="str">
        <x:f>IF(ISNUMBER(B1106),'요약'!$B$7+'요약'!$B$13*B1106,"")</x:f>
      </x:c>
    </x:row>
    <x:row r="1107">
      <x:c r="A1107" t="n">
        <x:f>1103</x:f>
        <x:v>1103</x:v>
      </x:c>
      <x:c r="B1107" s="7" t="str">
        <x:f>IF(AND('요약'!$B$20,A1107&lt;='요약'!$B$6),NORM.S.INV((A1107-0.5)/'요약'!$B$6),"")</x:f>
      </x:c>
      <x:c r="C1107" s="7" t="str">
        <x:f>IF(AND('요약'!$B$20,A1107&lt;='요약'!$B$6),LARGE('계산'!$B$2:$B$2001,'요약'!$B$6-A1107+1),"")</x:f>
      </x:c>
      <x:c r="D1107" s="7" t="str">
        <x:f>IF(ISNUMBER(B1107),'요약'!$B$7+'요약'!$B$13*B1107,"")</x:f>
      </x:c>
    </x:row>
    <x:row r="1108">
      <x:c r="A1108" t="n">
        <x:f>1104</x:f>
        <x:v>1104</x:v>
      </x:c>
      <x:c r="B1108" s="7" t="str">
        <x:f>IF(AND('요약'!$B$20,A1108&lt;='요약'!$B$6),NORM.S.INV((A1108-0.5)/'요약'!$B$6),"")</x:f>
      </x:c>
      <x:c r="C1108" s="7" t="str">
        <x:f>IF(AND('요약'!$B$20,A1108&lt;='요약'!$B$6),LARGE('계산'!$B$2:$B$2001,'요약'!$B$6-A1108+1),"")</x:f>
      </x:c>
      <x:c r="D1108" s="7" t="str">
        <x:f>IF(ISNUMBER(B1108),'요약'!$B$7+'요약'!$B$13*B1108,"")</x:f>
      </x:c>
    </x:row>
    <x:row r="1109">
      <x:c r="A1109" t="n">
        <x:f>1105</x:f>
        <x:v>1105</x:v>
      </x:c>
      <x:c r="B1109" s="7" t="str">
        <x:f>IF(AND('요약'!$B$20,A1109&lt;='요약'!$B$6),NORM.S.INV((A1109-0.5)/'요약'!$B$6),"")</x:f>
      </x:c>
      <x:c r="C1109" s="7" t="str">
        <x:f>IF(AND('요약'!$B$20,A1109&lt;='요약'!$B$6),LARGE('계산'!$B$2:$B$2001,'요약'!$B$6-A1109+1),"")</x:f>
      </x:c>
      <x:c r="D1109" s="7" t="str">
        <x:f>IF(ISNUMBER(B1109),'요약'!$B$7+'요약'!$B$13*B1109,"")</x:f>
      </x:c>
    </x:row>
    <x:row r="1110">
      <x:c r="A1110" t="n">
        <x:f>1106</x:f>
        <x:v>1106</x:v>
      </x:c>
      <x:c r="B1110" s="7" t="str">
        <x:f>IF(AND('요약'!$B$20,A1110&lt;='요약'!$B$6),NORM.S.INV((A1110-0.5)/'요약'!$B$6),"")</x:f>
      </x:c>
      <x:c r="C1110" s="7" t="str">
        <x:f>IF(AND('요약'!$B$20,A1110&lt;='요약'!$B$6),LARGE('계산'!$B$2:$B$2001,'요약'!$B$6-A1110+1),"")</x:f>
      </x:c>
      <x:c r="D1110" s="7" t="str">
        <x:f>IF(ISNUMBER(B1110),'요약'!$B$7+'요약'!$B$13*B1110,"")</x:f>
      </x:c>
    </x:row>
    <x:row r="1111">
      <x:c r="A1111" t="n">
        <x:f>1107</x:f>
        <x:v>1107</x:v>
      </x:c>
      <x:c r="B1111" s="7" t="str">
        <x:f>IF(AND('요약'!$B$20,A1111&lt;='요약'!$B$6),NORM.S.INV((A1111-0.5)/'요약'!$B$6),"")</x:f>
      </x:c>
      <x:c r="C1111" s="7" t="str">
        <x:f>IF(AND('요약'!$B$20,A1111&lt;='요약'!$B$6),LARGE('계산'!$B$2:$B$2001,'요약'!$B$6-A1111+1),"")</x:f>
      </x:c>
      <x:c r="D1111" s="7" t="str">
        <x:f>IF(ISNUMBER(B1111),'요약'!$B$7+'요약'!$B$13*B1111,"")</x:f>
      </x:c>
    </x:row>
    <x:row r="1112">
      <x:c r="A1112" t="n">
        <x:f>1108</x:f>
        <x:v>1108</x:v>
      </x:c>
      <x:c r="B1112" s="7" t="str">
        <x:f>IF(AND('요약'!$B$20,A1112&lt;='요약'!$B$6),NORM.S.INV((A1112-0.5)/'요약'!$B$6),"")</x:f>
      </x:c>
      <x:c r="C1112" s="7" t="str">
        <x:f>IF(AND('요약'!$B$20,A1112&lt;='요약'!$B$6),LARGE('계산'!$B$2:$B$2001,'요약'!$B$6-A1112+1),"")</x:f>
      </x:c>
      <x:c r="D1112" s="7" t="str">
        <x:f>IF(ISNUMBER(B1112),'요약'!$B$7+'요약'!$B$13*B1112,"")</x:f>
      </x:c>
    </x:row>
    <x:row r="1113">
      <x:c r="A1113" t="n">
        <x:f>1109</x:f>
        <x:v>1109</x:v>
      </x:c>
      <x:c r="B1113" s="7" t="str">
        <x:f>IF(AND('요약'!$B$20,A1113&lt;='요약'!$B$6),NORM.S.INV((A1113-0.5)/'요약'!$B$6),"")</x:f>
      </x:c>
      <x:c r="C1113" s="7" t="str">
        <x:f>IF(AND('요약'!$B$20,A1113&lt;='요약'!$B$6),LARGE('계산'!$B$2:$B$2001,'요약'!$B$6-A1113+1),"")</x:f>
      </x:c>
      <x:c r="D1113" s="7" t="str">
        <x:f>IF(ISNUMBER(B1113),'요약'!$B$7+'요약'!$B$13*B1113,"")</x:f>
      </x:c>
    </x:row>
    <x:row r="1114">
      <x:c r="A1114" t="n">
        <x:f>1110</x:f>
        <x:v>1110</x:v>
      </x:c>
      <x:c r="B1114" s="7" t="str">
        <x:f>IF(AND('요약'!$B$20,A1114&lt;='요약'!$B$6),NORM.S.INV((A1114-0.5)/'요약'!$B$6),"")</x:f>
      </x:c>
      <x:c r="C1114" s="7" t="str">
        <x:f>IF(AND('요약'!$B$20,A1114&lt;='요약'!$B$6),LARGE('계산'!$B$2:$B$2001,'요약'!$B$6-A1114+1),"")</x:f>
      </x:c>
      <x:c r="D1114" s="7" t="str">
        <x:f>IF(ISNUMBER(B1114),'요약'!$B$7+'요약'!$B$13*B1114,"")</x:f>
      </x:c>
    </x:row>
    <x:row r="1115">
      <x:c r="A1115" t="n">
        <x:f>1111</x:f>
        <x:v>1111</x:v>
      </x:c>
      <x:c r="B1115" s="7" t="str">
        <x:f>IF(AND('요약'!$B$20,A1115&lt;='요약'!$B$6),NORM.S.INV((A1115-0.5)/'요약'!$B$6),"")</x:f>
      </x:c>
      <x:c r="C1115" s="7" t="str">
        <x:f>IF(AND('요약'!$B$20,A1115&lt;='요약'!$B$6),LARGE('계산'!$B$2:$B$2001,'요약'!$B$6-A1115+1),"")</x:f>
      </x:c>
      <x:c r="D1115" s="7" t="str">
        <x:f>IF(ISNUMBER(B1115),'요약'!$B$7+'요약'!$B$13*B1115,"")</x:f>
      </x:c>
    </x:row>
    <x:row r="1116">
      <x:c r="A1116" t="n">
        <x:f>1112</x:f>
        <x:v>1112</x:v>
      </x:c>
      <x:c r="B1116" s="7" t="str">
        <x:f>IF(AND('요약'!$B$20,A1116&lt;='요약'!$B$6),NORM.S.INV((A1116-0.5)/'요약'!$B$6),"")</x:f>
      </x:c>
      <x:c r="C1116" s="7" t="str">
        <x:f>IF(AND('요약'!$B$20,A1116&lt;='요약'!$B$6),LARGE('계산'!$B$2:$B$2001,'요약'!$B$6-A1116+1),"")</x:f>
      </x:c>
      <x:c r="D1116" s="7" t="str">
        <x:f>IF(ISNUMBER(B1116),'요약'!$B$7+'요약'!$B$13*B1116,"")</x:f>
      </x:c>
    </x:row>
    <x:row r="1117">
      <x:c r="A1117" t="n">
        <x:f>1113</x:f>
        <x:v>1113</x:v>
      </x:c>
      <x:c r="B1117" s="7" t="str">
        <x:f>IF(AND('요약'!$B$20,A1117&lt;='요약'!$B$6),NORM.S.INV((A1117-0.5)/'요약'!$B$6),"")</x:f>
      </x:c>
      <x:c r="C1117" s="7" t="str">
        <x:f>IF(AND('요약'!$B$20,A1117&lt;='요약'!$B$6),LARGE('계산'!$B$2:$B$2001,'요약'!$B$6-A1117+1),"")</x:f>
      </x:c>
      <x:c r="D1117" s="7" t="str">
        <x:f>IF(ISNUMBER(B1117),'요약'!$B$7+'요약'!$B$13*B1117,"")</x:f>
      </x:c>
    </x:row>
    <x:row r="1118">
      <x:c r="A1118" t="n">
        <x:f>1114</x:f>
        <x:v>1114</x:v>
      </x:c>
      <x:c r="B1118" s="7" t="str">
        <x:f>IF(AND('요약'!$B$20,A1118&lt;='요약'!$B$6),NORM.S.INV((A1118-0.5)/'요약'!$B$6),"")</x:f>
      </x:c>
      <x:c r="C1118" s="7" t="str">
        <x:f>IF(AND('요약'!$B$20,A1118&lt;='요약'!$B$6),LARGE('계산'!$B$2:$B$2001,'요약'!$B$6-A1118+1),"")</x:f>
      </x:c>
      <x:c r="D1118" s="7" t="str">
        <x:f>IF(ISNUMBER(B1118),'요약'!$B$7+'요약'!$B$13*B1118,"")</x:f>
      </x:c>
    </x:row>
    <x:row r="1119">
      <x:c r="A1119" t="n">
        <x:f>1115</x:f>
        <x:v>1115</x:v>
      </x:c>
      <x:c r="B1119" s="7" t="str">
        <x:f>IF(AND('요약'!$B$20,A1119&lt;='요약'!$B$6),NORM.S.INV((A1119-0.5)/'요약'!$B$6),"")</x:f>
      </x:c>
      <x:c r="C1119" s="7" t="str">
        <x:f>IF(AND('요약'!$B$20,A1119&lt;='요약'!$B$6),LARGE('계산'!$B$2:$B$2001,'요약'!$B$6-A1119+1),"")</x:f>
      </x:c>
      <x:c r="D1119" s="7" t="str">
        <x:f>IF(ISNUMBER(B1119),'요약'!$B$7+'요약'!$B$13*B1119,"")</x:f>
      </x:c>
    </x:row>
    <x:row r="1120">
      <x:c r="A1120" t="n">
        <x:f>1116</x:f>
        <x:v>1116</x:v>
      </x:c>
      <x:c r="B1120" s="7" t="str">
        <x:f>IF(AND('요약'!$B$20,A1120&lt;='요약'!$B$6),NORM.S.INV((A1120-0.5)/'요약'!$B$6),"")</x:f>
      </x:c>
      <x:c r="C1120" s="7" t="str">
        <x:f>IF(AND('요약'!$B$20,A1120&lt;='요약'!$B$6),LARGE('계산'!$B$2:$B$2001,'요약'!$B$6-A1120+1),"")</x:f>
      </x:c>
      <x:c r="D1120" s="7" t="str">
        <x:f>IF(ISNUMBER(B1120),'요약'!$B$7+'요약'!$B$13*B1120,"")</x:f>
      </x:c>
    </x:row>
    <x:row r="1121">
      <x:c r="A1121" t="n">
        <x:f>1117</x:f>
        <x:v>1117</x:v>
      </x:c>
      <x:c r="B1121" s="7" t="str">
        <x:f>IF(AND('요약'!$B$20,A1121&lt;='요약'!$B$6),NORM.S.INV((A1121-0.5)/'요약'!$B$6),"")</x:f>
      </x:c>
      <x:c r="C1121" s="7" t="str">
        <x:f>IF(AND('요약'!$B$20,A1121&lt;='요약'!$B$6),LARGE('계산'!$B$2:$B$2001,'요약'!$B$6-A1121+1),"")</x:f>
      </x:c>
      <x:c r="D1121" s="7" t="str">
        <x:f>IF(ISNUMBER(B1121),'요약'!$B$7+'요약'!$B$13*B1121,"")</x:f>
      </x:c>
    </x:row>
    <x:row r="1122">
      <x:c r="A1122" t="n">
        <x:f>1118</x:f>
        <x:v>1118</x:v>
      </x:c>
      <x:c r="B1122" s="7" t="str">
        <x:f>IF(AND('요약'!$B$20,A1122&lt;='요약'!$B$6),NORM.S.INV((A1122-0.5)/'요약'!$B$6),"")</x:f>
      </x:c>
      <x:c r="C1122" s="7" t="str">
        <x:f>IF(AND('요약'!$B$20,A1122&lt;='요약'!$B$6),LARGE('계산'!$B$2:$B$2001,'요약'!$B$6-A1122+1),"")</x:f>
      </x:c>
      <x:c r="D1122" s="7" t="str">
        <x:f>IF(ISNUMBER(B1122),'요약'!$B$7+'요약'!$B$13*B1122,"")</x:f>
      </x:c>
    </x:row>
    <x:row r="1123">
      <x:c r="A1123" t="n">
        <x:f>1119</x:f>
        <x:v>1119</x:v>
      </x:c>
      <x:c r="B1123" s="7" t="str">
        <x:f>IF(AND('요약'!$B$20,A1123&lt;='요약'!$B$6),NORM.S.INV((A1123-0.5)/'요약'!$B$6),"")</x:f>
      </x:c>
      <x:c r="C1123" s="7" t="str">
        <x:f>IF(AND('요약'!$B$20,A1123&lt;='요약'!$B$6),LARGE('계산'!$B$2:$B$2001,'요약'!$B$6-A1123+1),"")</x:f>
      </x:c>
      <x:c r="D1123" s="7" t="str">
        <x:f>IF(ISNUMBER(B1123),'요약'!$B$7+'요약'!$B$13*B1123,"")</x:f>
      </x:c>
    </x:row>
    <x:row r="1124">
      <x:c r="A1124" t="n">
        <x:f>1120</x:f>
        <x:v>1120</x:v>
      </x:c>
      <x:c r="B1124" s="7" t="str">
        <x:f>IF(AND('요약'!$B$20,A1124&lt;='요약'!$B$6),NORM.S.INV((A1124-0.5)/'요약'!$B$6),"")</x:f>
      </x:c>
      <x:c r="C1124" s="7" t="str">
        <x:f>IF(AND('요약'!$B$20,A1124&lt;='요약'!$B$6),LARGE('계산'!$B$2:$B$2001,'요약'!$B$6-A1124+1),"")</x:f>
      </x:c>
      <x:c r="D1124" s="7" t="str">
        <x:f>IF(ISNUMBER(B1124),'요약'!$B$7+'요약'!$B$13*B1124,"")</x:f>
      </x:c>
    </x:row>
    <x:row r="1125">
      <x:c r="A1125" t="n">
        <x:f>1121</x:f>
        <x:v>1121</x:v>
      </x:c>
      <x:c r="B1125" s="7" t="str">
        <x:f>IF(AND('요약'!$B$20,A1125&lt;='요약'!$B$6),NORM.S.INV((A1125-0.5)/'요약'!$B$6),"")</x:f>
      </x:c>
      <x:c r="C1125" s="7" t="str">
        <x:f>IF(AND('요약'!$B$20,A1125&lt;='요약'!$B$6),LARGE('계산'!$B$2:$B$2001,'요약'!$B$6-A1125+1),"")</x:f>
      </x:c>
      <x:c r="D1125" s="7" t="str">
        <x:f>IF(ISNUMBER(B1125),'요약'!$B$7+'요약'!$B$13*B1125,"")</x:f>
      </x:c>
    </x:row>
    <x:row r="1126">
      <x:c r="A1126" t="n">
        <x:f>1122</x:f>
        <x:v>1122</x:v>
      </x:c>
      <x:c r="B1126" s="7" t="str">
        <x:f>IF(AND('요약'!$B$20,A1126&lt;='요약'!$B$6),NORM.S.INV((A1126-0.5)/'요약'!$B$6),"")</x:f>
      </x:c>
      <x:c r="C1126" s="7" t="str">
        <x:f>IF(AND('요약'!$B$20,A1126&lt;='요약'!$B$6),LARGE('계산'!$B$2:$B$2001,'요약'!$B$6-A1126+1),"")</x:f>
      </x:c>
      <x:c r="D1126" s="7" t="str">
        <x:f>IF(ISNUMBER(B1126),'요약'!$B$7+'요약'!$B$13*B1126,"")</x:f>
      </x:c>
    </x:row>
    <x:row r="1127">
      <x:c r="A1127" t="n">
        <x:f>1123</x:f>
        <x:v>1123</x:v>
      </x:c>
      <x:c r="B1127" s="7" t="str">
        <x:f>IF(AND('요약'!$B$20,A1127&lt;='요약'!$B$6),NORM.S.INV((A1127-0.5)/'요약'!$B$6),"")</x:f>
      </x:c>
      <x:c r="C1127" s="7" t="str">
        <x:f>IF(AND('요약'!$B$20,A1127&lt;='요약'!$B$6),LARGE('계산'!$B$2:$B$2001,'요약'!$B$6-A1127+1),"")</x:f>
      </x:c>
      <x:c r="D1127" s="7" t="str">
        <x:f>IF(ISNUMBER(B1127),'요약'!$B$7+'요약'!$B$13*B1127,"")</x:f>
      </x:c>
    </x:row>
    <x:row r="1128">
      <x:c r="A1128" t="n">
        <x:f>1124</x:f>
        <x:v>1124</x:v>
      </x:c>
      <x:c r="B1128" s="7" t="str">
        <x:f>IF(AND('요약'!$B$20,A1128&lt;='요약'!$B$6),NORM.S.INV((A1128-0.5)/'요약'!$B$6),"")</x:f>
      </x:c>
      <x:c r="C1128" s="7" t="str">
        <x:f>IF(AND('요약'!$B$20,A1128&lt;='요약'!$B$6),LARGE('계산'!$B$2:$B$2001,'요약'!$B$6-A1128+1),"")</x:f>
      </x:c>
      <x:c r="D1128" s="7" t="str">
        <x:f>IF(ISNUMBER(B1128),'요약'!$B$7+'요약'!$B$13*B1128,"")</x:f>
      </x:c>
    </x:row>
    <x:row r="1129">
      <x:c r="A1129" t="n">
        <x:f>1125</x:f>
        <x:v>1125</x:v>
      </x:c>
      <x:c r="B1129" s="7" t="str">
        <x:f>IF(AND('요약'!$B$20,A1129&lt;='요약'!$B$6),NORM.S.INV((A1129-0.5)/'요약'!$B$6),"")</x:f>
      </x:c>
      <x:c r="C1129" s="7" t="str">
        <x:f>IF(AND('요약'!$B$20,A1129&lt;='요약'!$B$6),LARGE('계산'!$B$2:$B$2001,'요약'!$B$6-A1129+1),"")</x:f>
      </x:c>
      <x:c r="D1129" s="7" t="str">
        <x:f>IF(ISNUMBER(B1129),'요약'!$B$7+'요약'!$B$13*B1129,"")</x:f>
      </x:c>
    </x:row>
    <x:row r="1130">
      <x:c r="A1130" t="n">
        <x:f>1126</x:f>
        <x:v>1126</x:v>
      </x:c>
      <x:c r="B1130" s="7" t="str">
        <x:f>IF(AND('요약'!$B$20,A1130&lt;='요약'!$B$6),NORM.S.INV((A1130-0.5)/'요약'!$B$6),"")</x:f>
      </x:c>
      <x:c r="C1130" s="7" t="str">
        <x:f>IF(AND('요약'!$B$20,A1130&lt;='요약'!$B$6),LARGE('계산'!$B$2:$B$2001,'요약'!$B$6-A1130+1),"")</x:f>
      </x:c>
      <x:c r="D1130" s="7" t="str">
        <x:f>IF(ISNUMBER(B1130),'요약'!$B$7+'요약'!$B$13*B1130,"")</x:f>
      </x:c>
    </x:row>
    <x:row r="1131">
      <x:c r="A1131" t="n">
        <x:f>1127</x:f>
        <x:v>1127</x:v>
      </x:c>
      <x:c r="B1131" s="7" t="str">
        <x:f>IF(AND('요약'!$B$20,A1131&lt;='요약'!$B$6),NORM.S.INV((A1131-0.5)/'요약'!$B$6),"")</x:f>
      </x:c>
      <x:c r="C1131" s="7" t="str">
        <x:f>IF(AND('요약'!$B$20,A1131&lt;='요약'!$B$6),LARGE('계산'!$B$2:$B$2001,'요약'!$B$6-A1131+1),"")</x:f>
      </x:c>
      <x:c r="D1131" s="7" t="str">
        <x:f>IF(ISNUMBER(B1131),'요약'!$B$7+'요약'!$B$13*B1131,"")</x:f>
      </x:c>
    </x:row>
    <x:row r="1132">
      <x:c r="A1132" t="n">
        <x:f>1128</x:f>
        <x:v>1128</x:v>
      </x:c>
      <x:c r="B1132" s="7" t="str">
        <x:f>IF(AND('요약'!$B$20,A1132&lt;='요약'!$B$6),NORM.S.INV((A1132-0.5)/'요약'!$B$6),"")</x:f>
      </x:c>
      <x:c r="C1132" s="7" t="str">
        <x:f>IF(AND('요약'!$B$20,A1132&lt;='요약'!$B$6),LARGE('계산'!$B$2:$B$2001,'요약'!$B$6-A1132+1),"")</x:f>
      </x:c>
      <x:c r="D1132" s="7" t="str">
        <x:f>IF(ISNUMBER(B1132),'요약'!$B$7+'요약'!$B$13*B1132,"")</x:f>
      </x:c>
    </x:row>
    <x:row r="1133">
      <x:c r="A1133" t="n">
        <x:f>1129</x:f>
        <x:v>1129</x:v>
      </x:c>
      <x:c r="B1133" s="7" t="str">
        <x:f>IF(AND('요약'!$B$20,A1133&lt;='요약'!$B$6),NORM.S.INV((A1133-0.5)/'요약'!$B$6),"")</x:f>
      </x:c>
      <x:c r="C1133" s="7" t="str">
        <x:f>IF(AND('요약'!$B$20,A1133&lt;='요약'!$B$6),LARGE('계산'!$B$2:$B$2001,'요약'!$B$6-A1133+1),"")</x:f>
      </x:c>
      <x:c r="D1133" s="7" t="str">
        <x:f>IF(ISNUMBER(B1133),'요약'!$B$7+'요약'!$B$13*B1133,"")</x:f>
      </x:c>
    </x:row>
    <x:row r="1134">
      <x:c r="A1134" t="n">
        <x:f>1130</x:f>
        <x:v>1130</x:v>
      </x:c>
      <x:c r="B1134" s="7" t="str">
        <x:f>IF(AND('요약'!$B$20,A1134&lt;='요약'!$B$6),NORM.S.INV((A1134-0.5)/'요약'!$B$6),"")</x:f>
      </x:c>
      <x:c r="C1134" s="7" t="str">
        <x:f>IF(AND('요약'!$B$20,A1134&lt;='요약'!$B$6),LARGE('계산'!$B$2:$B$2001,'요약'!$B$6-A1134+1),"")</x:f>
      </x:c>
      <x:c r="D1134" s="7" t="str">
        <x:f>IF(ISNUMBER(B1134),'요약'!$B$7+'요약'!$B$13*B1134,"")</x:f>
      </x:c>
    </x:row>
    <x:row r="1135">
      <x:c r="A1135" t="n">
        <x:f>1131</x:f>
        <x:v>1131</x:v>
      </x:c>
      <x:c r="B1135" s="7" t="str">
        <x:f>IF(AND('요약'!$B$20,A1135&lt;='요약'!$B$6),NORM.S.INV((A1135-0.5)/'요약'!$B$6),"")</x:f>
      </x:c>
      <x:c r="C1135" s="7" t="str">
        <x:f>IF(AND('요약'!$B$20,A1135&lt;='요약'!$B$6),LARGE('계산'!$B$2:$B$2001,'요약'!$B$6-A1135+1),"")</x:f>
      </x:c>
      <x:c r="D1135" s="7" t="str">
        <x:f>IF(ISNUMBER(B1135),'요약'!$B$7+'요약'!$B$13*B1135,"")</x:f>
      </x:c>
    </x:row>
    <x:row r="1136">
      <x:c r="A1136" t="n">
        <x:f>1132</x:f>
        <x:v>1132</x:v>
      </x:c>
      <x:c r="B1136" s="7" t="str">
        <x:f>IF(AND('요약'!$B$20,A1136&lt;='요약'!$B$6),NORM.S.INV((A1136-0.5)/'요약'!$B$6),"")</x:f>
      </x:c>
      <x:c r="C1136" s="7" t="str">
        <x:f>IF(AND('요약'!$B$20,A1136&lt;='요약'!$B$6),LARGE('계산'!$B$2:$B$2001,'요약'!$B$6-A1136+1),"")</x:f>
      </x:c>
      <x:c r="D1136" s="7" t="str">
        <x:f>IF(ISNUMBER(B1136),'요약'!$B$7+'요약'!$B$13*B1136,"")</x:f>
      </x:c>
    </x:row>
    <x:row r="1137">
      <x:c r="A1137" t="n">
        <x:f>1133</x:f>
        <x:v>1133</x:v>
      </x:c>
      <x:c r="B1137" s="7" t="str">
        <x:f>IF(AND('요약'!$B$20,A1137&lt;='요약'!$B$6),NORM.S.INV((A1137-0.5)/'요약'!$B$6),"")</x:f>
      </x:c>
      <x:c r="C1137" s="7" t="str">
        <x:f>IF(AND('요약'!$B$20,A1137&lt;='요약'!$B$6),LARGE('계산'!$B$2:$B$2001,'요약'!$B$6-A1137+1),"")</x:f>
      </x:c>
      <x:c r="D1137" s="7" t="str">
        <x:f>IF(ISNUMBER(B1137),'요약'!$B$7+'요약'!$B$13*B1137,"")</x:f>
      </x:c>
    </x:row>
    <x:row r="1138">
      <x:c r="A1138" t="n">
        <x:f>1134</x:f>
        <x:v>1134</x:v>
      </x:c>
      <x:c r="B1138" s="7" t="str">
        <x:f>IF(AND('요약'!$B$20,A1138&lt;='요약'!$B$6),NORM.S.INV((A1138-0.5)/'요약'!$B$6),"")</x:f>
      </x:c>
      <x:c r="C1138" s="7" t="str">
        <x:f>IF(AND('요약'!$B$20,A1138&lt;='요약'!$B$6),LARGE('계산'!$B$2:$B$2001,'요약'!$B$6-A1138+1),"")</x:f>
      </x:c>
      <x:c r="D1138" s="7" t="str">
        <x:f>IF(ISNUMBER(B1138),'요약'!$B$7+'요약'!$B$13*B1138,"")</x:f>
      </x:c>
    </x:row>
    <x:row r="1139">
      <x:c r="A1139" t="n">
        <x:f>1135</x:f>
        <x:v>1135</x:v>
      </x:c>
      <x:c r="B1139" s="7" t="str">
        <x:f>IF(AND('요약'!$B$20,A1139&lt;='요약'!$B$6),NORM.S.INV((A1139-0.5)/'요약'!$B$6),"")</x:f>
      </x:c>
      <x:c r="C1139" s="7" t="str">
        <x:f>IF(AND('요약'!$B$20,A1139&lt;='요약'!$B$6),LARGE('계산'!$B$2:$B$2001,'요약'!$B$6-A1139+1),"")</x:f>
      </x:c>
      <x:c r="D1139" s="7" t="str">
        <x:f>IF(ISNUMBER(B1139),'요약'!$B$7+'요약'!$B$13*B1139,"")</x:f>
      </x:c>
    </x:row>
    <x:row r="1140">
      <x:c r="A1140" t="n">
        <x:f>1136</x:f>
        <x:v>1136</x:v>
      </x:c>
      <x:c r="B1140" s="7" t="str">
        <x:f>IF(AND('요약'!$B$20,A1140&lt;='요약'!$B$6),NORM.S.INV((A1140-0.5)/'요약'!$B$6),"")</x:f>
      </x:c>
      <x:c r="C1140" s="7" t="str">
        <x:f>IF(AND('요약'!$B$20,A1140&lt;='요약'!$B$6),LARGE('계산'!$B$2:$B$2001,'요약'!$B$6-A1140+1),"")</x:f>
      </x:c>
      <x:c r="D1140" s="7" t="str">
        <x:f>IF(ISNUMBER(B1140),'요약'!$B$7+'요약'!$B$13*B1140,"")</x:f>
      </x:c>
    </x:row>
    <x:row r="1141">
      <x:c r="A1141" t="n">
        <x:f>1137</x:f>
        <x:v>1137</x:v>
      </x:c>
      <x:c r="B1141" s="7" t="str">
        <x:f>IF(AND('요약'!$B$20,A1141&lt;='요약'!$B$6),NORM.S.INV((A1141-0.5)/'요약'!$B$6),"")</x:f>
      </x:c>
      <x:c r="C1141" s="7" t="str">
        <x:f>IF(AND('요약'!$B$20,A1141&lt;='요약'!$B$6),LARGE('계산'!$B$2:$B$2001,'요약'!$B$6-A1141+1),"")</x:f>
      </x:c>
      <x:c r="D1141" s="7" t="str">
        <x:f>IF(ISNUMBER(B1141),'요약'!$B$7+'요약'!$B$13*B1141,"")</x:f>
      </x:c>
    </x:row>
    <x:row r="1142">
      <x:c r="A1142" t="n">
        <x:f>1138</x:f>
        <x:v>1138</x:v>
      </x:c>
      <x:c r="B1142" s="7" t="str">
        <x:f>IF(AND('요약'!$B$20,A1142&lt;='요약'!$B$6),NORM.S.INV((A1142-0.5)/'요약'!$B$6),"")</x:f>
      </x:c>
      <x:c r="C1142" s="7" t="str">
        <x:f>IF(AND('요약'!$B$20,A1142&lt;='요약'!$B$6),LARGE('계산'!$B$2:$B$2001,'요약'!$B$6-A1142+1),"")</x:f>
      </x:c>
      <x:c r="D1142" s="7" t="str">
        <x:f>IF(ISNUMBER(B1142),'요약'!$B$7+'요약'!$B$13*B1142,"")</x:f>
      </x:c>
    </x:row>
    <x:row r="1143">
      <x:c r="A1143" t="n">
        <x:f>1139</x:f>
        <x:v>1139</x:v>
      </x:c>
      <x:c r="B1143" s="7" t="str">
        <x:f>IF(AND('요약'!$B$20,A1143&lt;='요약'!$B$6),NORM.S.INV((A1143-0.5)/'요약'!$B$6),"")</x:f>
      </x:c>
      <x:c r="C1143" s="7" t="str">
        <x:f>IF(AND('요약'!$B$20,A1143&lt;='요약'!$B$6),LARGE('계산'!$B$2:$B$2001,'요약'!$B$6-A1143+1),"")</x:f>
      </x:c>
      <x:c r="D1143" s="7" t="str">
        <x:f>IF(ISNUMBER(B1143),'요약'!$B$7+'요약'!$B$13*B1143,"")</x:f>
      </x:c>
    </x:row>
    <x:row r="1144">
      <x:c r="A1144" t="n">
        <x:f>1140</x:f>
        <x:v>1140</x:v>
      </x:c>
      <x:c r="B1144" s="7" t="str">
        <x:f>IF(AND('요약'!$B$20,A1144&lt;='요약'!$B$6),NORM.S.INV((A1144-0.5)/'요약'!$B$6),"")</x:f>
      </x:c>
      <x:c r="C1144" s="7" t="str">
        <x:f>IF(AND('요약'!$B$20,A1144&lt;='요약'!$B$6),LARGE('계산'!$B$2:$B$2001,'요약'!$B$6-A1144+1),"")</x:f>
      </x:c>
      <x:c r="D1144" s="7" t="str">
        <x:f>IF(ISNUMBER(B1144),'요약'!$B$7+'요약'!$B$13*B1144,"")</x:f>
      </x:c>
    </x:row>
    <x:row r="1145">
      <x:c r="A1145" t="n">
        <x:f>1141</x:f>
        <x:v>1141</x:v>
      </x:c>
      <x:c r="B1145" s="7" t="str">
        <x:f>IF(AND('요약'!$B$20,A1145&lt;='요약'!$B$6),NORM.S.INV((A1145-0.5)/'요약'!$B$6),"")</x:f>
      </x:c>
      <x:c r="C1145" s="7" t="str">
        <x:f>IF(AND('요약'!$B$20,A1145&lt;='요약'!$B$6),LARGE('계산'!$B$2:$B$2001,'요약'!$B$6-A1145+1),"")</x:f>
      </x:c>
      <x:c r="D1145" s="7" t="str">
        <x:f>IF(ISNUMBER(B1145),'요약'!$B$7+'요약'!$B$13*B1145,"")</x:f>
      </x:c>
    </x:row>
    <x:row r="1146">
      <x:c r="A1146" t="n">
        <x:f>1142</x:f>
        <x:v>1142</x:v>
      </x:c>
      <x:c r="B1146" s="7" t="str">
        <x:f>IF(AND('요약'!$B$20,A1146&lt;='요약'!$B$6),NORM.S.INV((A1146-0.5)/'요약'!$B$6),"")</x:f>
      </x:c>
      <x:c r="C1146" s="7" t="str">
        <x:f>IF(AND('요약'!$B$20,A1146&lt;='요약'!$B$6),LARGE('계산'!$B$2:$B$2001,'요약'!$B$6-A1146+1),"")</x:f>
      </x:c>
      <x:c r="D1146" s="7" t="str">
        <x:f>IF(ISNUMBER(B1146),'요약'!$B$7+'요약'!$B$13*B1146,"")</x:f>
      </x:c>
    </x:row>
    <x:row r="1147">
      <x:c r="A1147" t="n">
        <x:f>1143</x:f>
        <x:v>1143</x:v>
      </x:c>
      <x:c r="B1147" s="7" t="str">
        <x:f>IF(AND('요약'!$B$20,A1147&lt;='요약'!$B$6),NORM.S.INV((A1147-0.5)/'요약'!$B$6),"")</x:f>
      </x:c>
      <x:c r="C1147" s="7" t="str">
        <x:f>IF(AND('요약'!$B$20,A1147&lt;='요약'!$B$6),LARGE('계산'!$B$2:$B$2001,'요약'!$B$6-A1147+1),"")</x:f>
      </x:c>
      <x:c r="D1147" s="7" t="str">
        <x:f>IF(ISNUMBER(B1147),'요약'!$B$7+'요약'!$B$13*B1147,"")</x:f>
      </x:c>
    </x:row>
    <x:row r="1148">
      <x:c r="A1148" t="n">
        <x:f>1144</x:f>
        <x:v>1144</x:v>
      </x:c>
      <x:c r="B1148" s="7" t="str">
        <x:f>IF(AND('요약'!$B$20,A1148&lt;='요약'!$B$6),NORM.S.INV((A1148-0.5)/'요약'!$B$6),"")</x:f>
      </x:c>
      <x:c r="C1148" s="7" t="str">
        <x:f>IF(AND('요약'!$B$20,A1148&lt;='요약'!$B$6),LARGE('계산'!$B$2:$B$2001,'요약'!$B$6-A1148+1),"")</x:f>
      </x:c>
      <x:c r="D1148" s="7" t="str">
        <x:f>IF(ISNUMBER(B1148),'요약'!$B$7+'요약'!$B$13*B1148,"")</x:f>
      </x:c>
    </x:row>
    <x:row r="1149">
      <x:c r="A1149" t="n">
        <x:f>1145</x:f>
        <x:v>1145</x:v>
      </x:c>
      <x:c r="B1149" s="7" t="str">
        <x:f>IF(AND('요약'!$B$20,A1149&lt;='요약'!$B$6),NORM.S.INV((A1149-0.5)/'요약'!$B$6),"")</x:f>
      </x:c>
      <x:c r="C1149" s="7" t="str">
        <x:f>IF(AND('요약'!$B$20,A1149&lt;='요약'!$B$6),LARGE('계산'!$B$2:$B$2001,'요약'!$B$6-A1149+1),"")</x:f>
      </x:c>
      <x:c r="D1149" s="7" t="str">
        <x:f>IF(ISNUMBER(B1149),'요약'!$B$7+'요약'!$B$13*B1149,"")</x:f>
      </x:c>
    </x:row>
    <x:row r="1150">
      <x:c r="A1150" t="n">
        <x:f>1146</x:f>
        <x:v>1146</x:v>
      </x:c>
      <x:c r="B1150" s="7" t="str">
        <x:f>IF(AND('요약'!$B$20,A1150&lt;='요약'!$B$6),NORM.S.INV((A1150-0.5)/'요약'!$B$6),"")</x:f>
      </x:c>
      <x:c r="C1150" s="7" t="str">
        <x:f>IF(AND('요약'!$B$20,A1150&lt;='요약'!$B$6),LARGE('계산'!$B$2:$B$2001,'요약'!$B$6-A1150+1),"")</x:f>
      </x:c>
      <x:c r="D1150" s="7" t="str">
        <x:f>IF(ISNUMBER(B1150),'요약'!$B$7+'요약'!$B$13*B1150,"")</x:f>
      </x:c>
    </x:row>
    <x:row r="1151">
      <x:c r="A1151" t="n">
        <x:f>1147</x:f>
        <x:v>1147</x:v>
      </x:c>
      <x:c r="B1151" s="7" t="str">
        <x:f>IF(AND('요약'!$B$20,A1151&lt;='요약'!$B$6),NORM.S.INV((A1151-0.5)/'요약'!$B$6),"")</x:f>
      </x:c>
      <x:c r="C1151" s="7" t="str">
        <x:f>IF(AND('요약'!$B$20,A1151&lt;='요약'!$B$6),LARGE('계산'!$B$2:$B$2001,'요약'!$B$6-A1151+1),"")</x:f>
      </x:c>
      <x:c r="D1151" s="7" t="str">
        <x:f>IF(ISNUMBER(B1151),'요약'!$B$7+'요약'!$B$13*B1151,"")</x:f>
      </x:c>
    </x:row>
    <x:row r="1152">
      <x:c r="A1152" t="n">
        <x:f>1148</x:f>
        <x:v>1148</x:v>
      </x:c>
      <x:c r="B1152" s="7" t="str">
        <x:f>IF(AND('요약'!$B$20,A1152&lt;='요약'!$B$6),NORM.S.INV((A1152-0.5)/'요약'!$B$6),"")</x:f>
      </x:c>
      <x:c r="C1152" s="7" t="str">
        <x:f>IF(AND('요약'!$B$20,A1152&lt;='요약'!$B$6),LARGE('계산'!$B$2:$B$2001,'요약'!$B$6-A1152+1),"")</x:f>
      </x:c>
      <x:c r="D1152" s="7" t="str">
        <x:f>IF(ISNUMBER(B1152),'요약'!$B$7+'요약'!$B$13*B1152,"")</x:f>
      </x:c>
    </x:row>
    <x:row r="1153">
      <x:c r="A1153" t="n">
        <x:f>1149</x:f>
        <x:v>1149</x:v>
      </x:c>
      <x:c r="B1153" s="7" t="str">
        <x:f>IF(AND('요약'!$B$20,A1153&lt;='요약'!$B$6),NORM.S.INV((A1153-0.5)/'요약'!$B$6),"")</x:f>
      </x:c>
      <x:c r="C1153" s="7" t="str">
        <x:f>IF(AND('요약'!$B$20,A1153&lt;='요약'!$B$6),LARGE('계산'!$B$2:$B$2001,'요약'!$B$6-A1153+1),"")</x:f>
      </x:c>
      <x:c r="D1153" s="7" t="str">
        <x:f>IF(ISNUMBER(B1153),'요약'!$B$7+'요약'!$B$13*B1153,"")</x:f>
      </x:c>
    </x:row>
    <x:row r="1154">
      <x:c r="A1154" t="n">
        <x:f>1150</x:f>
        <x:v>1150</x:v>
      </x:c>
      <x:c r="B1154" s="7" t="str">
        <x:f>IF(AND('요약'!$B$20,A1154&lt;='요약'!$B$6),NORM.S.INV((A1154-0.5)/'요약'!$B$6),"")</x:f>
      </x:c>
      <x:c r="C1154" s="7" t="str">
        <x:f>IF(AND('요약'!$B$20,A1154&lt;='요약'!$B$6),LARGE('계산'!$B$2:$B$2001,'요약'!$B$6-A1154+1),"")</x:f>
      </x:c>
      <x:c r="D1154" s="7" t="str">
        <x:f>IF(ISNUMBER(B1154),'요약'!$B$7+'요약'!$B$13*B1154,"")</x:f>
      </x:c>
    </x:row>
    <x:row r="1155">
      <x:c r="A1155" t="n">
        <x:f>1151</x:f>
        <x:v>1151</x:v>
      </x:c>
      <x:c r="B1155" s="7" t="str">
        <x:f>IF(AND('요약'!$B$20,A1155&lt;='요약'!$B$6),NORM.S.INV((A1155-0.5)/'요약'!$B$6),"")</x:f>
      </x:c>
      <x:c r="C1155" s="7" t="str">
        <x:f>IF(AND('요약'!$B$20,A1155&lt;='요약'!$B$6),LARGE('계산'!$B$2:$B$2001,'요약'!$B$6-A1155+1),"")</x:f>
      </x:c>
      <x:c r="D1155" s="7" t="str">
        <x:f>IF(ISNUMBER(B1155),'요약'!$B$7+'요약'!$B$13*B1155,"")</x:f>
      </x:c>
    </x:row>
    <x:row r="1156">
      <x:c r="A1156" t="n">
        <x:f>1152</x:f>
        <x:v>1152</x:v>
      </x:c>
      <x:c r="B1156" s="7" t="str">
        <x:f>IF(AND('요약'!$B$20,A1156&lt;='요약'!$B$6),NORM.S.INV((A1156-0.5)/'요약'!$B$6),"")</x:f>
      </x:c>
      <x:c r="C1156" s="7" t="str">
        <x:f>IF(AND('요약'!$B$20,A1156&lt;='요약'!$B$6),LARGE('계산'!$B$2:$B$2001,'요약'!$B$6-A1156+1),"")</x:f>
      </x:c>
      <x:c r="D1156" s="7" t="str">
        <x:f>IF(ISNUMBER(B1156),'요약'!$B$7+'요약'!$B$13*B1156,"")</x:f>
      </x:c>
    </x:row>
    <x:row r="1157">
      <x:c r="A1157" t="n">
        <x:f>1153</x:f>
        <x:v>1153</x:v>
      </x:c>
      <x:c r="B1157" s="7" t="str">
        <x:f>IF(AND('요약'!$B$20,A1157&lt;='요약'!$B$6),NORM.S.INV((A1157-0.5)/'요약'!$B$6),"")</x:f>
      </x:c>
      <x:c r="C1157" s="7" t="str">
        <x:f>IF(AND('요약'!$B$20,A1157&lt;='요약'!$B$6),LARGE('계산'!$B$2:$B$2001,'요약'!$B$6-A1157+1),"")</x:f>
      </x:c>
      <x:c r="D1157" s="7" t="str">
        <x:f>IF(ISNUMBER(B1157),'요약'!$B$7+'요약'!$B$13*B1157,"")</x:f>
      </x:c>
    </x:row>
    <x:row r="1158">
      <x:c r="A1158" t="n">
        <x:f>1154</x:f>
        <x:v>1154</x:v>
      </x:c>
      <x:c r="B1158" s="7" t="str">
        <x:f>IF(AND('요약'!$B$20,A1158&lt;='요약'!$B$6),NORM.S.INV((A1158-0.5)/'요약'!$B$6),"")</x:f>
      </x:c>
      <x:c r="C1158" s="7" t="str">
        <x:f>IF(AND('요약'!$B$20,A1158&lt;='요약'!$B$6),LARGE('계산'!$B$2:$B$2001,'요약'!$B$6-A1158+1),"")</x:f>
      </x:c>
      <x:c r="D1158" s="7" t="str">
        <x:f>IF(ISNUMBER(B1158),'요약'!$B$7+'요약'!$B$13*B1158,"")</x:f>
      </x:c>
    </x:row>
    <x:row r="1159">
      <x:c r="A1159" t="n">
        <x:f>1155</x:f>
        <x:v>1155</x:v>
      </x:c>
      <x:c r="B1159" s="7" t="str">
        <x:f>IF(AND('요약'!$B$20,A1159&lt;='요약'!$B$6),NORM.S.INV((A1159-0.5)/'요약'!$B$6),"")</x:f>
      </x:c>
      <x:c r="C1159" s="7" t="str">
        <x:f>IF(AND('요약'!$B$20,A1159&lt;='요약'!$B$6),LARGE('계산'!$B$2:$B$2001,'요약'!$B$6-A1159+1),"")</x:f>
      </x:c>
      <x:c r="D1159" s="7" t="str">
        <x:f>IF(ISNUMBER(B1159),'요약'!$B$7+'요약'!$B$13*B1159,"")</x:f>
      </x:c>
    </x:row>
    <x:row r="1160">
      <x:c r="A1160" t="n">
        <x:f>1156</x:f>
        <x:v>1156</x:v>
      </x:c>
      <x:c r="B1160" s="7" t="str">
        <x:f>IF(AND('요약'!$B$20,A1160&lt;='요약'!$B$6),NORM.S.INV((A1160-0.5)/'요약'!$B$6),"")</x:f>
      </x:c>
      <x:c r="C1160" s="7" t="str">
        <x:f>IF(AND('요약'!$B$20,A1160&lt;='요약'!$B$6),LARGE('계산'!$B$2:$B$2001,'요약'!$B$6-A1160+1),"")</x:f>
      </x:c>
      <x:c r="D1160" s="7" t="str">
        <x:f>IF(ISNUMBER(B1160),'요약'!$B$7+'요약'!$B$13*B1160,"")</x:f>
      </x:c>
    </x:row>
    <x:row r="1161">
      <x:c r="A1161" t="n">
        <x:f>1157</x:f>
        <x:v>1157</x:v>
      </x:c>
      <x:c r="B1161" s="7" t="str">
        <x:f>IF(AND('요약'!$B$20,A1161&lt;='요약'!$B$6),NORM.S.INV((A1161-0.5)/'요약'!$B$6),"")</x:f>
      </x:c>
      <x:c r="C1161" s="7" t="str">
        <x:f>IF(AND('요약'!$B$20,A1161&lt;='요약'!$B$6),LARGE('계산'!$B$2:$B$2001,'요약'!$B$6-A1161+1),"")</x:f>
      </x:c>
      <x:c r="D1161" s="7" t="str">
        <x:f>IF(ISNUMBER(B1161),'요약'!$B$7+'요약'!$B$13*B1161,"")</x:f>
      </x:c>
    </x:row>
    <x:row r="1162">
      <x:c r="A1162" t="n">
        <x:f>1158</x:f>
        <x:v>1158</x:v>
      </x:c>
      <x:c r="B1162" s="7" t="str">
        <x:f>IF(AND('요약'!$B$20,A1162&lt;='요약'!$B$6),NORM.S.INV((A1162-0.5)/'요약'!$B$6),"")</x:f>
      </x:c>
      <x:c r="C1162" s="7" t="str">
        <x:f>IF(AND('요약'!$B$20,A1162&lt;='요약'!$B$6),LARGE('계산'!$B$2:$B$2001,'요약'!$B$6-A1162+1),"")</x:f>
      </x:c>
      <x:c r="D1162" s="7" t="str">
        <x:f>IF(ISNUMBER(B1162),'요약'!$B$7+'요약'!$B$13*B1162,"")</x:f>
      </x:c>
    </x:row>
    <x:row r="1163">
      <x:c r="A1163" t="n">
        <x:f>1159</x:f>
        <x:v>1159</x:v>
      </x:c>
      <x:c r="B1163" s="7" t="str">
        <x:f>IF(AND('요약'!$B$20,A1163&lt;='요약'!$B$6),NORM.S.INV((A1163-0.5)/'요약'!$B$6),"")</x:f>
      </x:c>
      <x:c r="C1163" s="7" t="str">
        <x:f>IF(AND('요약'!$B$20,A1163&lt;='요약'!$B$6),LARGE('계산'!$B$2:$B$2001,'요약'!$B$6-A1163+1),"")</x:f>
      </x:c>
      <x:c r="D1163" s="7" t="str">
        <x:f>IF(ISNUMBER(B1163),'요약'!$B$7+'요약'!$B$13*B1163,"")</x:f>
      </x:c>
    </x:row>
    <x:row r="1164">
      <x:c r="A1164" t="n">
        <x:f>1160</x:f>
        <x:v>1160</x:v>
      </x:c>
      <x:c r="B1164" s="7" t="str">
        <x:f>IF(AND('요약'!$B$20,A1164&lt;='요약'!$B$6),NORM.S.INV((A1164-0.5)/'요약'!$B$6),"")</x:f>
      </x:c>
      <x:c r="C1164" s="7" t="str">
        <x:f>IF(AND('요약'!$B$20,A1164&lt;='요약'!$B$6),LARGE('계산'!$B$2:$B$2001,'요약'!$B$6-A1164+1),"")</x:f>
      </x:c>
      <x:c r="D1164" s="7" t="str">
        <x:f>IF(ISNUMBER(B1164),'요약'!$B$7+'요약'!$B$13*B1164,"")</x:f>
      </x:c>
    </x:row>
    <x:row r="1165">
      <x:c r="A1165" t="n">
        <x:f>1161</x:f>
        <x:v>1161</x:v>
      </x:c>
      <x:c r="B1165" s="7" t="str">
        <x:f>IF(AND('요약'!$B$20,A1165&lt;='요약'!$B$6),NORM.S.INV((A1165-0.5)/'요약'!$B$6),"")</x:f>
      </x:c>
      <x:c r="C1165" s="7" t="str">
        <x:f>IF(AND('요약'!$B$20,A1165&lt;='요약'!$B$6),LARGE('계산'!$B$2:$B$2001,'요약'!$B$6-A1165+1),"")</x:f>
      </x:c>
      <x:c r="D1165" s="7" t="str">
        <x:f>IF(ISNUMBER(B1165),'요약'!$B$7+'요약'!$B$13*B1165,"")</x:f>
      </x:c>
    </x:row>
    <x:row r="1166">
      <x:c r="A1166" t="n">
        <x:f>1162</x:f>
        <x:v>1162</x:v>
      </x:c>
      <x:c r="B1166" s="7" t="str">
        <x:f>IF(AND('요약'!$B$20,A1166&lt;='요약'!$B$6),NORM.S.INV((A1166-0.5)/'요약'!$B$6),"")</x:f>
      </x:c>
      <x:c r="C1166" s="7" t="str">
        <x:f>IF(AND('요약'!$B$20,A1166&lt;='요약'!$B$6),LARGE('계산'!$B$2:$B$2001,'요약'!$B$6-A1166+1),"")</x:f>
      </x:c>
      <x:c r="D1166" s="7" t="str">
        <x:f>IF(ISNUMBER(B1166),'요약'!$B$7+'요약'!$B$13*B1166,"")</x:f>
      </x:c>
    </x:row>
    <x:row r="1167">
      <x:c r="A1167" t="n">
        <x:f>1163</x:f>
        <x:v>1163</x:v>
      </x:c>
      <x:c r="B1167" s="7" t="str">
        <x:f>IF(AND('요약'!$B$20,A1167&lt;='요약'!$B$6),NORM.S.INV((A1167-0.5)/'요약'!$B$6),"")</x:f>
      </x:c>
      <x:c r="C1167" s="7" t="str">
        <x:f>IF(AND('요약'!$B$20,A1167&lt;='요약'!$B$6),LARGE('계산'!$B$2:$B$2001,'요약'!$B$6-A1167+1),"")</x:f>
      </x:c>
      <x:c r="D1167" s="7" t="str">
        <x:f>IF(ISNUMBER(B1167),'요약'!$B$7+'요약'!$B$13*B1167,"")</x:f>
      </x:c>
    </x:row>
    <x:row r="1168">
      <x:c r="A1168" t="n">
        <x:f>1164</x:f>
        <x:v>1164</x:v>
      </x:c>
      <x:c r="B1168" s="7" t="str">
        <x:f>IF(AND('요약'!$B$20,A1168&lt;='요약'!$B$6),NORM.S.INV((A1168-0.5)/'요약'!$B$6),"")</x:f>
      </x:c>
      <x:c r="C1168" s="7" t="str">
        <x:f>IF(AND('요약'!$B$20,A1168&lt;='요약'!$B$6),LARGE('계산'!$B$2:$B$2001,'요약'!$B$6-A1168+1),"")</x:f>
      </x:c>
      <x:c r="D1168" s="7" t="str">
        <x:f>IF(ISNUMBER(B1168),'요약'!$B$7+'요약'!$B$13*B1168,"")</x:f>
      </x:c>
    </x:row>
    <x:row r="1169">
      <x:c r="A1169" t="n">
        <x:f>1165</x:f>
        <x:v>1165</x:v>
      </x:c>
      <x:c r="B1169" s="7" t="str">
        <x:f>IF(AND('요약'!$B$20,A1169&lt;='요약'!$B$6),NORM.S.INV((A1169-0.5)/'요약'!$B$6),"")</x:f>
      </x:c>
      <x:c r="C1169" s="7" t="str">
        <x:f>IF(AND('요약'!$B$20,A1169&lt;='요약'!$B$6),LARGE('계산'!$B$2:$B$2001,'요약'!$B$6-A1169+1),"")</x:f>
      </x:c>
      <x:c r="D1169" s="7" t="str">
        <x:f>IF(ISNUMBER(B1169),'요약'!$B$7+'요약'!$B$13*B1169,"")</x:f>
      </x:c>
    </x:row>
    <x:row r="1170">
      <x:c r="A1170" t="n">
        <x:f>1166</x:f>
        <x:v>1166</x:v>
      </x:c>
      <x:c r="B1170" s="7" t="str">
        <x:f>IF(AND('요약'!$B$20,A1170&lt;='요약'!$B$6),NORM.S.INV((A1170-0.5)/'요약'!$B$6),"")</x:f>
      </x:c>
      <x:c r="C1170" s="7" t="str">
        <x:f>IF(AND('요약'!$B$20,A1170&lt;='요약'!$B$6),LARGE('계산'!$B$2:$B$2001,'요약'!$B$6-A1170+1),"")</x:f>
      </x:c>
      <x:c r="D1170" s="7" t="str">
        <x:f>IF(ISNUMBER(B1170),'요약'!$B$7+'요약'!$B$13*B1170,"")</x:f>
      </x:c>
    </x:row>
    <x:row r="1171">
      <x:c r="A1171" t="n">
        <x:f>1167</x:f>
        <x:v>1167</x:v>
      </x:c>
      <x:c r="B1171" s="7" t="str">
        <x:f>IF(AND('요약'!$B$20,A1171&lt;='요약'!$B$6),NORM.S.INV((A1171-0.5)/'요약'!$B$6),"")</x:f>
      </x:c>
      <x:c r="C1171" s="7" t="str">
        <x:f>IF(AND('요약'!$B$20,A1171&lt;='요약'!$B$6),LARGE('계산'!$B$2:$B$2001,'요약'!$B$6-A1171+1),"")</x:f>
      </x:c>
      <x:c r="D1171" s="7" t="str">
        <x:f>IF(ISNUMBER(B1171),'요약'!$B$7+'요약'!$B$13*B1171,"")</x:f>
      </x:c>
    </x:row>
    <x:row r="1172">
      <x:c r="A1172" t="n">
        <x:f>1168</x:f>
        <x:v>1168</x:v>
      </x:c>
      <x:c r="B1172" s="7" t="str">
        <x:f>IF(AND('요약'!$B$20,A1172&lt;='요약'!$B$6),NORM.S.INV((A1172-0.5)/'요약'!$B$6),"")</x:f>
      </x:c>
      <x:c r="C1172" s="7" t="str">
        <x:f>IF(AND('요약'!$B$20,A1172&lt;='요약'!$B$6),LARGE('계산'!$B$2:$B$2001,'요약'!$B$6-A1172+1),"")</x:f>
      </x:c>
      <x:c r="D1172" s="7" t="str">
        <x:f>IF(ISNUMBER(B1172),'요약'!$B$7+'요약'!$B$13*B1172,"")</x:f>
      </x:c>
    </x:row>
    <x:row r="1173">
      <x:c r="A1173" t="n">
        <x:f>1169</x:f>
        <x:v>1169</x:v>
      </x:c>
      <x:c r="B1173" s="7" t="str">
        <x:f>IF(AND('요약'!$B$20,A1173&lt;='요약'!$B$6),NORM.S.INV((A1173-0.5)/'요약'!$B$6),"")</x:f>
      </x:c>
      <x:c r="C1173" s="7" t="str">
        <x:f>IF(AND('요약'!$B$20,A1173&lt;='요약'!$B$6),LARGE('계산'!$B$2:$B$2001,'요약'!$B$6-A1173+1),"")</x:f>
      </x:c>
      <x:c r="D1173" s="7" t="str">
        <x:f>IF(ISNUMBER(B1173),'요약'!$B$7+'요약'!$B$13*B1173,"")</x:f>
      </x:c>
    </x:row>
    <x:row r="1174">
      <x:c r="A1174" t="n">
        <x:f>1170</x:f>
        <x:v>1170</x:v>
      </x:c>
      <x:c r="B1174" s="7" t="str">
        <x:f>IF(AND('요약'!$B$20,A1174&lt;='요약'!$B$6),NORM.S.INV((A1174-0.5)/'요약'!$B$6),"")</x:f>
      </x:c>
      <x:c r="C1174" s="7" t="str">
        <x:f>IF(AND('요약'!$B$20,A1174&lt;='요약'!$B$6),LARGE('계산'!$B$2:$B$2001,'요약'!$B$6-A1174+1),"")</x:f>
      </x:c>
      <x:c r="D1174" s="7" t="str">
        <x:f>IF(ISNUMBER(B1174),'요약'!$B$7+'요약'!$B$13*B1174,"")</x:f>
      </x:c>
    </x:row>
    <x:row r="1175">
      <x:c r="A1175" t="n">
        <x:f>1171</x:f>
        <x:v>1171</x:v>
      </x:c>
      <x:c r="B1175" s="7" t="str">
        <x:f>IF(AND('요약'!$B$20,A1175&lt;='요약'!$B$6),NORM.S.INV((A1175-0.5)/'요약'!$B$6),"")</x:f>
      </x:c>
      <x:c r="C1175" s="7" t="str">
        <x:f>IF(AND('요약'!$B$20,A1175&lt;='요약'!$B$6),LARGE('계산'!$B$2:$B$2001,'요약'!$B$6-A1175+1),"")</x:f>
      </x:c>
      <x:c r="D1175" s="7" t="str">
        <x:f>IF(ISNUMBER(B1175),'요약'!$B$7+'요약'!$B$13*B1175,"")</x:f>
      </x:c>
    </x:row>
    <x:row r="1176">
      <x:c r="A1176" t="n">
        <x:f>1172</x:f>
        <x:v>1172</x:v>
      </x:c>
      <x:c r="B1176" s="7" t="str">
        <x:f>IF(AND('요약'!$B$20,A1176&lt;='요약'!$B$6),NORM.S.INV((A1176-0.5)/'요약'!$B$6),"")</x:f>
      </x:c>
      <x:c r="C1176" s="7" t="str">
        <x:f>IF(AND('요약'!$B$20,A1176&lt;='요약'!$B$6),LARGE('계산'!$B$2:$B$2001,'요약'!$B$6-A1176+1),"")</x:f>
      </x:c>
      <x:c r="D1176" s="7" t="str">
        <x:f>IF(ISNUMBER(B1176),'요약'!$B$7+'요약'!$B$13*B1176,"")</x:f>
      </x:c>
    </x:row>
    <x:row r="1177">
      <x:c r="A1177" t="n">
        <x:f>1173</x:f>
        <x:v>1173</x:v>
      </x:c>
      <x:c r="B1177" s="7" t="str">
        <x:f>IF(AND('요약'!$B$20,A1177&lt;='요약'!$B$6),NORM.S.INV((A1177-0.5)/'요약'!$B$6),"")</x:f>
      </x:c>
      <x:c r="C1177" s="7" t="str">
        <x:f>IF(AND('요약'!$B$20,A1177&lt;='요약'!$B$6),LARGE('계산'!$B$2:$B$2001,'요약'!$B$6-A1177+1),"")</x:f>
      </x:c>
      <x:c r="D1177" s="7" t="str">
        <x:f>IF(ISNUMBER(B1177),'요약'!$B$7+'요약'!$B$13*B1177,"")</x:f>
      </x:c>
    </x:row>
    <x:row r="1178">
      <x:c r="A1178" t="n">
        <x:f>1174</x:f>
        <x:v>1174</x:v>
      </x:c>
      <x:c r="B1178" s="7" t="str">
        <x:f>IF(AND('요약'!$B$20,A1178&lt;='요약'!$B$6),NORM.S.INV((A1178-0.5)/'요약'!$B$6),"")</x:f>
      </x:c>
      <x:c r="C1178" s="7" t="str">
        <x:f>IF(AND('요약'!$B$20,A1178&lt;='요약'!$B$6),LARGE('계산'!$B$2:$B$2001,'요약'!$B$6-A1178+1),"")</x:f>
      </x:c>
      <x:c r="D1178" s="7" t="str">
        <x:f>IF(ISNUMBER(B1178),'요약'!$B$7+'요약'!$B$13*B1178,"")</x:f>
      </x:c>
    </x:row>
    <x:row r="1179">
      <x:c r="A1179" t="n">
        <x:f>1175</x:f>
        <x:v>1175</x:v>
      </x:c>
      <x:c r="B1179" s="7" t="str">
        <x:f>IF(AND('요약'!$B$20,A1179&lt;='요약'!$B$6),NORM.S.INV((A1179-0.5)/'요약'!$B$6),"")</x:f>
      </x:c>
      <x:c r="C1179" s="7" t="str">
        <x:f>IF(AND('요약'!$B$20,A1179&lt;='요약'!$B$6),LARGE('계산'!$B$2:$B$2001,'요약'!$B$6-A1179+1),"")</x:f>
      </x:c>
      <x:c r="D1179" s="7" t="str">
        <x:f>IF(ISNUMBER(B1179),'요약'!$B$7+'요약'!$B$13*B1179,"")</x:f>
      </x:c>
    </x:row>
    <x:row r="1180">
      <x:c r="A1180" t="n">
        <x:f>1176</x:f>
        <x:v>1176</x:v>
      </x:c>
      <x:c r="B1180" s="7" t="str">
        <x:f>IF(AND('요약'!$B$20,A1180&lt;='요약'!$B$6),NORM.S.INV((A1180-0.5)/'요약'!$B$6),"")</x:f>
      </x:c>
      <x:c r="C1180" s="7" t="str">
        <x:f>IF(AND('요약'!$B$20,A1180&lt;='요약'!$B$6),LARGE('계산'!$B$2:$B$2001,'요약'!$B$6-A1180+1),"")</x:f>
      </x:c>
      <x:c r="D1180" s="7" t="str">
        <x:f>IF(ISNUMBER(B1180),'요약'!$B$7+'요약'!$B$13*B1180,"")</x:f>
      </x:c>
    </x:row>
    <x:row r="1181">
      <x:c r="A1181" t="n">
        <x:f>1177</x:f>
        <x:v>1177</x:v>
      </x:c>
      <x:c r="B1181" s="7" t="str">
        <x:f>IF(AND('요약'!$B$20,A1181&lt;='요약'!$B$6),NORM.S.INV((A1181-0.5)/'요약'!$B$6),"")</x:f>
      </x:c>
      <x:c r="C1181" s="7" t="str">
        <x:f>IF(AND('요약'!$B$20,A1181&lt;='요약'!$B$6),LARGE('계산'!$B$2:$B$2001,'요약'!$B$6-A1181+1),"")</x:f>
      </x:c>
      <x:c r="D1181" s="7" t="str">
        <x:f>IF(ISNUMBER(B1181),'요약'!$B$7+'요약'!$B$13*B1181,"")</x:f>
      </x:c>
    </x:row>
    <x:row r="1182">
      <x:c r="A1182" t="n">
        <x:f>1178</x:f>
        <x:v>1178</x:v>
      </x:c>
      <x:c r="B1182" s="7" t="str">
        <x:f>IF(AND('요약'!$B$20,A1182&lt;='요약'!$B$6),NORM.S.INV((A1182-0.5)/'요약'!$B$6),"")</x:f>
      </x:c>
      <x:c r="C1182" s="7" t="str">
        <x:f>IF(AND('요약'!$B$20,A1182&lt;='요약'!$B$6),LARGE('계산'!$B$2:$B$2001,'요약'!$B$6-A1182+1),"")</x:f>
      </x:c>
      <x:c r="D1182" s="7" t="str">
        <x:f>IF(ISNUMBER(B1182),'요약'!$B$7+'요약'!$B$13*B1182,"")</x:f>
      </x:c>
    </x:row>
    <x:row r="1183">
      <x:c r="A1183" t="n">
        <x:f>1179</x:f>
        <x:v>1179</x:v>
      </x:c>
      <x:c r="B1183" s="7" t="str">
        <x:f>IF(AND('요약'!$B$20,A1183&lt;='요약'!$B$6),NORM.S.INV((A1183-0.5)/'요약'!$B$6),"")</x:f>
      </x:c>
      <x:c r="C1183" s="7" t="str">
        <x:f>IF(AND('요약'!$B$20,A1183&lt;='요약'!$B$6),LARGE('계산'!$B$2:$B$2001,'요약'!$B$6-A1183+1),"")</x:f>
      </x:c>
      <x:c r="D1183" s="7" t="str">
        <x:f>IF(ISNUMBER(B1183),'요약'!$B$7+'요약'!$B$13*B1183,"")</x:f>
      </x:c>
    </x:row>
    <x:row r="1184">
      <x:c r="A1184" t="n">
        <x:f>1180</x:f>
        <x:v>1180</x:v>
      </x:c>
      <x:c r="B1184" s="7" t="str">
        <x:f>IF(AND('요약'!$B$20,A1184&lt;='요약'!$B$6),NORM.S.INV((A1184-0.5)/'요약'!$B$6),"")</x:f>
      </x:c>
      <x:c r="C1184" s="7" t="str">
        <x:f>IF(AND('요약'!$B$20,A1184&lt;='요약'!$B$6),LARGE('계산'!$B$2:$B$2001,'요약'!$B$6-A1184+1),"")</x:f>
      </x:c>
      <x:c r="D1184" s="7" t="str">
        <x:f>IF(ISNUMBER(B1184),'요약'!$B$7+'요약'!$B$13*B1184,"")</x:f>
      </x:c>
    </x:row>
    <x:row r="1185">
      <x:c r="A1185" t="n">
        <x:f>1181</x:f>
        <x:v>1181</x:v>
      </x:c>
      <x:c r="B1185" s="7" t="str">
        <x:f>IF(AND('요약'!$B$20,A1185&lt;='요약'!$B$6),NORM.S.INV((A1185-0.5)/'요약'!$B$6),"")</x:f>
      </x:c>
      <x:c r="C1185" s="7" t="str">
        <x:f>IF(AND('요약'!$B$20,A1185&lt;='요약'!$B$6),LARGE('계산'!$B$2:$B$2001,'요약'!$B$6-A1185+1),"")</x:f>
      </x:c>
      <x:c r="D1185" s="7" t="str">
        <x:f>IF(ISNUMBER(B1185),'요약'!$B$7+'요약'!$B$13*B1185,"")</x:f>
      </x:c>
    </x:row>
    <x:row r="1186">
      <x:c r="A1186" t="n">
        <x:f>1182</x:f>
        <x:v>1182</x:v>
      </x:c>
      <x:c r="B1186" s="7" t="str">
        <x:f>IF(AND('요약'!$B$20,A1186&lt;='요약'!$B$6),NORM.S.INV((A1186-0.5)/'요약'!$B$6),"")</x:f>
      </x:c>
      <x:c r="C1186" s="7" t="str">
        <x:f>IF(AND('요약'!$B$20,A1186&lt;='요약'!$B$6),LARGE('계산'!$B$2:$B$2001,'요약'!$B$6-A1186+1),"")</x:f>
      </x:c>
      <x:c r="D1186" s="7" t="str">
        <x:f>IF(ISNUMBER(B1186),'요약'!$B$7+'요약'!$B$13*B1186,"")</x:f>
      </x:c>
    </x:row>
    <x:row r="1187">
      <x:c r="A1187" t="n">
        <x:f>1183</x:f>
        <x:v>1183</x:v>
      </x:c>
      <x:c r="B1187" s="7" t="str">
        <x:f>IF(AND('요약'!$B$20,A1187&lt;='요약'!$B$6),NORM.S.INV((A1187-0.5)/'요약'!$B$6),"")</x:f>
      </x:c>
      <x:c r="C1187" s="7" t="str">
        <x:f>IF(AND('요약'!$B$20,A1187&lt;='요약'!$B$6),LARGE('계산'!$B$2:$B$2001,'요약'!$B$6-A1187+1),"")</x:f>
      </x:c>
      <x:c r="D1187" s="7" t="str">
        <x:f>IF(ISNUMBER(B1187),'요약'!$B$7+'요약'!$B$13*B1187,"")</x:f>
      </x:c>
    </x:row>
    <x:row r="1188">
      <x:c r="A1188" t="n">
        <x:f>1184</x:f>
        <x:v>1184</x:v>
      </x:c>
      <x:c r="B1188" s="7" t="str">
        <x:f>IF(AND('요약'!$B$20,A1188&lt;='요약'!$B$6),NORM.S.INV((A1188-0.5)/'요약'!$B$6),"")</x:f>
      </x:c>
      <x:c r="C1188" s="7" t="str">
        <x:f>IF(AND('요약'!$B$20,A1188&lt;='요약'!$B$6),LARGE('계산'!$B$2:$B$2001,'요약'!$B$6-A1188+1),"")</x:f>
      </x:c>
      <x:c r="D1188" s="7" t="str">
        <x:f>IF(ISNUMBER(B1188),'요약'!$B$7+'요약'!$B$13*B1188,"")</x:f>
      </x:c>
    </x:row>
    <x:row r="1189">
      <x:c r="A1189" t="n">
        <x:f>1185</x:f>
        <x:v>1185</x:v>
      </x:c>
      <x:c r="B1189" s="7" t="str">
        <x:f>IF(AND('요약'!$B$20,A1189&lt;='요약'!$B$6),NORM.S.INV((A1189-0.5)/'요약'!$B$6),"")</x:f>
      </x:c>
      <x:c r="C1189" s="7" t="str">
        <x:f>IF(AND('요약'!$B$20,A1189&lt;='요약'!$B$6),LARGE('계산'!$B$2:$B$2001,'요약'!$B$6-A1189+1),"")</x:f>
      </x:c>
      <x:c r="D1189" s="7" t="str">
        <x:f>IF(ISNUMBER(B1189),'요약'!$B$7+'요약'!$B$13*B1189,"")</x:f>
      </x:c>
    </x:row>
    <x:row r="1190">
      <x:c r="A1190" t="n">
        <x:f>1186</x:f>
        <x:v>1186</x:v>
      </x:c>
      <x:c r="B1190" s="7" t="str">
        <x:f>IF(AND('요약'!$B$20,A1190&lt;='요약'!$B$6),NORM.S.INV((A1190-0.5)/'요약'!$B$6),"")</x:f>
      </x:c>
      <x:c r="C1190" s="7" t="str">
        <x:f>IF(AND('요약'!$B$20,A1190&lt;='요약'!$B$6),LARGE('계산'!$B$2:$B$2001,'요약'!$B$6-A1190+1),"")</x:f>
      </x:c>
      <x:c r="D1190" s="7" t="str">
        <x:f>IF(ISNUMBER(B1190),'요약'!$B$7+'요약'!$B$13*B1190,"")</x:f>
      </x:c>
    </x:row>
    <x:row r="1191">
      <x:c r="A1191" t="n">
        <x:f>1187</x:f>
        <x:v>1187</x:v>
      </x:c>
      <x:c r="B1191" s="7" t="str">
        <x:f>IF(AND('요약'!$B$20,A1191&lt;='요약'!$B$6),NORM.S.INV((A1191-0.5)/'요약'!$B$6),"")</x:f>
      </x:c>
      <x:c r="C1191" s="7" t="str">
        <x:f>IF(AND('요약'!$B$20,A1191&lt;='요약'!$B$6),LARGE('계산'!$B$2:$B$2001,'요약'!$B$6-A1191+1),"")</x:f>
      </x:c>
      <x:c r="D1191" s="7" t="str">
        <x:f>IF(ISNUMBER(B1191),'요약'!$B$7+'요약'!$B$13*B1191,"")</x:f>
      </x:c>
    </x:row>
    <x:row r="1192">
      <x:c r="A1192" t="n">
        <x:f>1188</x:f>
        <x:v>1188</x:v>
      </x:c>
      <x:c r="B1192" s="7" t="str">
        <x:f>IF(AND('요약'!$B$20,A1192&lt;='요약'!$B$6),NORM.S.INV((A1192-0.5)/'요약'!$B$6),"")</x:f>
      </x:c>
      <x:c r="C1192" s="7" t="str">
        <x:f>IF(AND('요약'!$B$20,A1192&lt;='요약'!$B$6),LARGE('계산'!$B$2:$B$2001,'요약'!$B$6-A1192+1),"")</x:f>
      </x:c>
      <x:c r="D1192" s="7" t="str">
        <x:f>IF(ISNUMBER(B1192),'요약'!$B$7+'요약'!$B$13*B1192,"")</x:f>
      </x:c>
    </x:row>
    <x:row r="1193">
      <x:c r="A1193" t="n">
        <x:f>1189</x:f>
        <x:v>1189</x:v>
      </x:c>
      <x:c r="B1193" s="7" t="str">
        <x:f>IF(AND('요약'!$B$20,A1193&lt;='요약'!$B$6),NORM.S.INV((A1193-0.5)/'요약'!$B$6),"")</x:f>
      </x:c>
      <x:c r="C1193" s="7" t="str">
        <x:f>IF(AND('요약'!$B$20,A1193&lt;='요약'!$B$6),LARGE('계산'!$B$2:$B$2001,'요약'!$B$6-A1193+1),"")</x:f>
      </x:c>
      <x:c r="D1193" s="7" t="str">
        <x:f>IF(ISNUMBER(B1193),'요약'!$B$7+'요약'!$B$13*B1193,"")</x:f>
      </x:c>
    </x:row>
    <x:row r="1194">
      <x:c r="A1194" t="n">
        <x:f>1190</x:f>
        <x:v>1190</x:v>
      </x:c>
      <x:c r="B1194" s="7" t="str">
        <x:f>IF(AND('요약'!$B$20,A1194&lt;='요약'!$B$6),NORM.S.INV((A1194-0.5)/'요약'!$B$6),"")</x:f>
      </x:c>
      <x:c r="C1194" s="7" t="str">
        <x:f>IF(AND('요약'!$B$20,A1194&lt;='요약'!$B$6),LARGE('계산'!$B$2:$B$2001,'요약'!$B$6-A1194+1),"")</x:f>
      </x:c>
      <x:c r="D1194" s="7" t="str">
        <x:f>IF(ISNUMBER(B1194),'요약'!$B$7+'요약'!$B$13*B1194,"")</x:f>
      </x:c>
    </x:row>
    <x:row r="1195">
      <x:c r="A1195" t="n">
        <x:f>1191</x:f>
        <x:v>1191</x:v>
      </x:c>
      <x:c r="B1195" s="7" t="str">
        <x:f>IF(AND('요약'!$B$20,A1195&lt;='요약'!$B$6),NORM.S.INV((A1195-0.5)/'요약'!$B$6),"")</x:f>
      </x:c>
      <x:c r="C1195" s="7" t="str">
        <x:f>IF(AND('요약'!$B$20,A1195&lt;='요약'!$B$6),LARGE('계산'!$B$2:$B$2001,'요약'!$B$6-A1195+1),"")</x:f>
      </x:c>
      <x:c r="D1195" s="7" t="str">
        <x:f>IF(ISNUMBER(B1195),'요약'!$B$7+'요약'!$B$13*B1195,"")</x:f>
      </x:c>
    </x:row>
    <x:row r="1196">
      <x:c r="A1196" t="n">
        <x:f>1192</x:f>
        <x:v>1192</x:v>
      </x:c>
      <x:c r="B1196" s="7" t="str">
        <x:f>IF(AND('요약'!$B$20,A1196&lt;='요약'!$B$6),NORM.S.INV((A1196-0.5)/'요약'!$B$6),"")</x:f>
      </x:c>
      <x:c r="C1196" s="7" t="str">
        <x:f>IF(AND('요약'!$B$20,A1196&lt;='요약'!$B$6),LARGE('계산'!$B$2:$B$2001,'요약'!$B$6-A1196+1),"")</x:f>
      </x:c>
      <x:c r="D1196" s="7" t="str">
        <x:f>IF(ISNUMBER(B1196),'요약'!$B$7+'요약'!$B$13*B1196,"")</x:f>
      </x:c>
    </x:row>
    <x:row r="1197">
      <x:c r="A1197" t="n">
        <x:f>1193</x:f>
        <x:v>1193</x:v>
      </x:c>
      <x:c r="B1197" s="7" t="str">
        <x:f>IF(AND('요약'!$B$20,A1197&lt;='요약'!$B$6),NORM.S.INV((A1197-0.5)/'요약'!$B$6),"")</x:f>
      </x:c>
      <x:c r="C1197" s="7" t="str">
        <x:f>IF(AND('요약'!$B$20,A1197&lt;='요약'!$B$6),LARGE('계산'!$B$2:$B$2001,'요약'!$B$6-A1197+1),"")</x:f>
      </x:c>
      <x:c r="D1197" s="7" t="str">
        <x:f>IF(ISNUMBER(B1197),'요약'!$B$7+'요약'!$B$13*B1197,"")</x:f>
      </x:c>
    </x:row>
    <x:row r="1198">
      <x:c r="A1198" t="n">
        <x:f>1194</x:f>
        <x:v>1194</x:v>
      </x:c>
      <x:c r="B1198" s="7" t="str">
        <x:f>IF(AND('요약'!$B$20,A1198&lt;='요약'!$B$6),NORM.S.INV((A1198-0.5)/'요약'!$B$6),"")</x:f>
      </x:c>
      <x:c r="C1198" s="7" t="str">
        <x:f>IF(AND('요약'!$B$20,A1198&lt;='요약'!$B$6),LARGE('계산'!$B$2:$B$2001,'요약'!$B$6-A1198+1),"")</x:f>
      </x:c>
      <x:c r="D1198" s="7" t="str">
        <x:f>IF(ISNUMBER(B1198),'요약'!$B$7+'요약'!$B$13*B1198,"")</x:f>
      </x:c>
    </x:row>
    <x:row r="1199">
      <x:c r="A1199" t="n">
        <x:f>1195</x:f>
        <x:v>1195</x:v>
      </x:c>
      <x:c r="B1199" s="7" t="str">
        <x:f>IF(AND('요약'!$B$20,A1199&lt;='요약'!$B$6),NORM.S.INV((A1199-0.5)/'요약'!$B$6),"")</x:f>
      </x:c>
      <x:c r="C1199" s="7" t="str">
        <x:f>IF(AND('요약'!$B$20,A1199&lt;='요약'!$B$6),LARGE('계산'!$B$2:$B$2001,'요약'!$B$6-A1199+1),"")</x:f>
      </x:c>
      <x:c r="D1199" s="7" t="str">
        <x:f>IF(ISNUMBER(B1199),'요약'!$B$7+'요약'!$B$13*B1199,"")</x:f>
      </x:c>
    </x:row>
    <x:row r="1200">
      <x:c r="A1200" t="n">
        <x:f>1196</x:f>
        <x:v>1196</x:v>
      </x:c>
      <x:c r="B1200" s="7" t="str">
        <x:f>IF(AND('요약'!$B$20,A1200&lt;='요약'!$B$6),NORM.S.INV((A1200-0.5)/'요약'!$B$6),"")</x:f>
      </x:c>
      <x:c r="C1200" s="7" t="str">
        <x:f>IF(AND('요약'!$B$20,A1200&lt;='요약'!$B$6),LARGE('계산'!$B$2:$B$2001,'요약'!$B$6-A1200+1),"")</x:f>
      </x:c>
      <x:c r="D1200" s="7" t="str">
        <x:f>IF(ISNUMBER(B1200),'요약'!$B$7+'요약'!$B$13*B1200,"")</x:f>
      </x:c>
    </x:row>
    <x:row r="1201">
      <x:c r="A1201" t="n">
        <x:f>1197</x:f>
        <x:v>1197</x:v>
      </x:c>
      <x:c r="B1201" s="7" t="str">
        <x:f>IF(AND('요약'!$B$20,A1201&lt;='요약'!$B$6),NORM.S.INV((A1201-0.5)/'요약'!$B$6),"")</x:f>
      </x:c>
      <x:c r="C1201" s="7" t="str">
        <x:f>IF(AND('요약'!$B$20,A1201&lt;='요약'!$B$6),LARGE('계산'!$B$2:$B$2001,'요약'!$B$6-A1201+1),"")</x:f>
      </x:c>
      <x:c r="D1201" s="7" t="str">
        <x:f>IF(ISNUMBER(B1201),'요약'!$B$7+'요약'!$B$13*B1201,"")</x:f>
      </x:c>
    </x:row>
    <x:row r="1202">
      <x:c r="A1202" t="n">
        <x:f>1198</x:f>
        <x:v>1198</x:v>
      </x:c>
      <x:c r="B1202" s="7" t="str">
        <x:f>IF(AND('요약'!$B$20,A1202&lt;='요약'!$B$6),NORM.S.INV((A1202-0.5)/'요약'!$B$6),"")</x:f>
      </x:c>
      <x:c r="C1202" s="7" t="str">
        <x:f>IF(AND('요약'!$B$20,A1202&lt;='요약'!$B$6),LARGE('계산'!$B$2:$B$2001,'요약'!$B$6-A1202+1),"")</x:f>
      </x:c>
      <x:c r="D1202" s="7" t="str">
        <x:f>IF(ISNUMBER(B1202),'요약'!$B$7+'요약'!$B$13*B1202,"")</x:f>
      </x:c>
    </x:row>
    <x:row r="1203">
      <x:c r="A1203" t="n">
        <x:f>1199</x:f>
        <x:v>1199</x:v>
      </x:c>
      <x:c r="B1203" s="7" t="str">
        <x:f>IF(AND('요약'!$B$20,A1203&lt;='요약'!$B$6),NORM.S.INV((A1203-0.5)/'요약'!$B$6),"")</x:f>
      </x:c>
      <x:c r="C1203" s="7" t="str">
        <x:f>IF(AND('요약'!$B$20,A1203&lt;='요약'!$B$6),LARGE('계산'!$B$2:$B$2001,'요약'!$B$6-A1203+1),"")</x:f>
      </x:c>
      <x:c r="D1203" s="7" t="str">
        <x:f>IF(ISNUMBER(B1203),'요약'!$B$7+'요약'!$B$13*B1203,"")</x:f>
      </x:c>
    </x:row>
    <x:row r="1204">
      <x:c r="A1204" t="n">
        <x:f>1200</x:f>
        <x:v>1200</x:v>
      </x:c>
      <x:c r="B1204" s="7" t="str">
        <x:f>IF(AND('요약'!$B$20,A1204&lt;='요약'!$B$6),NORM.S.INV((A1204-0.5)/'요약'!$B$6),"")</x:f>
      </x:c>
      <x:c r="C1204" s="7" t="str">
        <x:f>IF(AND('요약'!$B$20,A1204&lt;='요약'!$B$6),LARGE('계산'!$B$2:$B$2001,'요약'!$B$6-A1204+1),"")</x:f>
      </x:c>
      <x:c r="D1204" s="7" t="str">
        <x:f>IF(ISNUMBER(B1204),'요약'!$B$7+'요약'!$B$13*B1204,"")</x:f>
      </x:c>
    </x:row>
    <x:row r="1205">
      <x:c r="A1205" t="n">
        <x:f>1201</x:f>
        <x:v>1201</x:v>
      </x:c>
      <x:c r="B1205" s="7" t="str">
        <x:f>IF(AND('요약'!$B$20,A1205&lt;='요약'!$B$6),NORM.S.INV((A1205-0.5)/'요약'!$B$6),"")</x:f>
      </x:c>
      <x:c r="C1205" s="7" t="str">
        <x:f>IF(AND('요약'!$B$20,A1205&lt;='요약'!$B$6),LARGE('계산'!$B$2:$B$2001,'요약'!$B$6-A1205+1),"")</x:f>
      </x:c>
      <x:c r="D1205" s="7" t="str">
        <x:f>IF(ISNUMBER(B1205),'요약'!$B$7+'요약'!$B$13*B1205,"")</x:f>
      </x:c>
    </x:row>
    <x:row r="1206">
      <x:c r="A1206" t="n">
        <x:f>1202</x:f>
        <x:v>1202</x:v>
      </x:c>
      <x:c r="B1206" s="7" t="str">
        <x:f>IF(AND('요약'!$B$20,A1206&lt;='요약'!$B$6),NORM.S.INV((A1206-0.5)/'요약'!$B$6),"")</x:f>
      </x:c>
      <x:c r="C1206" s="7" t="str">
        <x:f>IF(AND('요약'!$B$20,A1206&lt;='요약'!$B$6),LARGE('계산'!$B$2:$B$2001,'요약'!$B$6-A1206+1),"")</x:f>
      </x:c>
      <x:c r="D1206" s="7" t="str">
        <x:f>IF(ISNUMBER(B1206),'요약'!$B$7+'요약'!$B$13*B1206,"")</x:f>
      </x:c>
    </x:row>
    <x:row r="1207">
      <x:c r="A1207" t="n">
        <x:f>1203</x:f>
        <x:v>1203</x:v>
      </x:c>
      <x:c r="B1207" s="7" t="str">
        <x:f>IF(AND('요약'!$B$20,A1207&lt;='요약'!$B$6),NORM.S.INV((A1207-0.5)/'요약'!$B$6),"")</x:f>
      </x:c>
      <x:c r="C1207" s="7" t="str">
        <x:f>IF(AND('요약'!$B$20,A1207&lt;='요약'!$B$6),LARGE('계산'!$B$2:$B$2001,'요약'!$B$6-A1207+1),"")</x:f>
      </x:c>
      <x:c r="D1207" s="7" t="str">
        <x:f>IF(ISNUMBER(B1207),'요약'!$B$7+'요약'!$B$13*B1207,"")</x:f>
      </x:c>
    </x:row>
    <x:row r="1208">
      <x:c r="A1208" t="n">
        <x:f>1204</x:f>
        <x:v>1204</x:v>
      </x:c>
      <x:c r="B1208" s="7" t="str">
        <x:f>IF(AND('요약'!$B$20,A1208&lt;='요약'!$B$6),NORM.S.INV((A1208-0.5)/'요약'!$B$6),"")</x:f>
      </x:c>
      <x:c r="C1208" s="7" t="str">
        <x:f>IF(AND('요약'!$B$20,A1208&lt;='요약'!$B$6),LARGE('계산'!$B$2:$B$2001,'요약'!$B$6-A1208+1),"")</x:f>
      </x:c>
      <x:c r="D1208" s="7" t="str">
        <x:f>IF(ISNUMBER(B1208),'요약'!$B$7+'요약'!$B$13*B1208,"")</x:f>
      </x:c>
    </x:row>
    <x:row r="1209">
      <x:c r="A1209" t="n">
        <x:f>1205</x:f>
        <x:v>1205</x:v>
      </x:c>
      <x:c r="B1209" s="7" t="str">
        <x:f>IF(AND('요약'!$B$20,A1209&lt;='요약'!$B$6),NORM.S.INV((A1209-0.5)/'요약'!$B$6),"")</x:f>
      </x:c>
      <x:c r="C1209" s="7" t="str">
        <x:f>IF(AND('요약'!$B$20,A1209&lt;='요약'!$B$6),LARGE('계산'!$B$2:$B$2001,'요약'!$B$6-A1209+1),"")</x:f>
      </x:c>
      <x:c r="D1209" s="7" t="str">
        <x:f>IF(ISNUMBER(B1209),'요약'!$B$7+'요약'!$B$13*B1209,"")</x:f>
      </x:c>
    </x:row>
    <x:row r="1210">
      <x:c r="A1210" t="n">
        <x:f>1206</x:f>
        <x:v>1206</x:v>
      </x:c>
      <x:c r="B1210" s="7" t="str">
        <x:f>IF(AND('요약'!$B$20,A1210&lt;='요약'!$B$6),NORM.S.INV((A1210-0.5)/'요약'!$B$6),"")</x:f>
      </x:c>
      <x:c r="C1210" s="7" t="str">
        <x:f>IF(AND('요약'!$B$20,A1210&lt;='요약'!$B$6),LARGE('계산'!$B$2:$B$2001,'요약'!$B$6-A1210+1),"")</x:f>
      </x:c>
      <x:c r="D1210" s="7" t="str">
        <x:f>IF(ISNUMBER(B1210),'요약'!$B$7+'요약'!$B$13*B1210,"")</x:f>
      </x:c>
    </x:row>
    <x:row r="1211">
      <x:c r="A1211" t="n">
        <x:f>1207</x:f>
        <x:v>1207</x:v>
      </x:c>
      <x:c r="B1211" s="7" t="str">
        <x:f>IF(AND('요약'!$B$20,A1211&lt;='요약'!$B$6),NORM.S.INV((A1211-0.5)/'요약'!$B$6),"")</x:f>
      </x:c>
      <x:c r="C1211" s="7" t="str">
        <x:f>IF(AND('요약'!$B$20,A1211&lt;='요약'!$B$6),LARGE('계산'!$B$2:$B$2001,'요약'!$B$6-A1211+1),"")</x:f>
      </x:c>
      <x:c r="D1211" s="7" t="str">
        <x:f>IF(ISNUMBER(B1211),'요약'!$B$7+'요약'!$B$13*B1211,"")</x:f>
      </x:c>
    </x:row>
    <x:row r="1212">
      <x:c r="A1212" t="n">
        <x:f>1208</x:f>
        <x:v>1208</x:v>
      </x:c>
      <x:c r="B1212" s="7" t="str">
        <x:f>IF(AND('요약'!$B$20,A1212&lt;='요약'!$B$6),NORM.S.INV((A1212-0.5)/'요약'!$B$6),"")</x:f>
      </x:c>
      <x:c r="C1212" s="7" t="str">
        <x:f>IF(AND('요약'!$B$20,A1212&lt;='요약'!$B$6),LARGE('계산'!$B$2:$B$2001,'요약'!$B$6-A1212+1),"")</x:f>
      </x:c>
      <x:c r="D1212" s="7" t="str">
        <x:f>IF(ISNUMBER(B1212),'요약'!$B$7+'요약'!$B$13*B1212,"")</x:f>
      </x:c>
    </x:row>
    <x:row r="1213">
      <x:c r="A1213" t="n">
        <x:f>1209</x:f>
        <x:v>1209</x:v>
      </x:c>
      <x:c r="B1213" s="7" t="str">
        <x:f>IF(AND('요약'!$B$20,A1213&lt;='요약'!$B$6),NORM.S.INV((A1213-0.5)/'요약'!$B$6),"")</x:f>
      </x:c>
      <x:c r="C1213" s="7" t="str">
        <x:f>IF(AND('요약'!$B$20,A1213&lt;='요약'!$B$6),LARGE('계산'!$B$2:$B$2001,'요약'!$B$6-A1213+1),"")</x:f>
      </x:c>
      <x:c r="D1213" s="7" t="str">
        <x:f>IF(ISNUMBER(B1213),'요약'!$B$7+'요약'!$B$13*B1213,"")</x:f>
      </x:c>
    </x:row>
    <x:row r="1214">
      <x:c r="A1214" t="n">
        <x:f>1210</x:f>
        <x:v>1210</x:v>
      </x:c>
      <x:c r="B1214" s="7" t="str">
        <x:f>IF(AND('요약'!$B$20,A1214&lt;='요약'!$B$6),NORM.S.INV((A1214-0.5)/'요약'!$B$6),"")</x:f>
      </x:c>
      <x:c r="C1214" s="7" t="str">
        <x:f>IF(AND('요약'!$B$20,A1214&lt;='요약'!$B$6),LARGE('계산'!$B$2:$B$2001,'요약'!$B$6-A1214+1),"")</x:f>
      </x:c>
      <x:c r="D1214" s="7" t="str">
        <x:f>IF(ISNUMBER(B1214),'요약'!$B$7+'요약'!$B$13*B1214,"")</x:f>
      </x:c>
    </x:row>
    <x:row r="1215">
      <x:c r="A1215" t="n">
        <x:f>1211</x:f>
        <x:v>1211</x:v>
      </x:c>
      <x:c r="B1215" s="7" t="str">
        <x:f>IF(AND('요약'!$B$20,A1215&lt;='요약'!$B$6),NORM.S.INV((A1215-0.5)/'요약'!$B$6),"")</x:f>
      </x:c>
      <x:c r="C1215" s="7" t="str">
        <x:f>IF(AND('요약'!$B$20,A1215&lt;='요약'!$B$6),LARGE('계산'!$B$2:$B$2001,'요약'!$B$6-A1215+1),"")</x:f>
      </x:c>
      <x:c r="D1215" s="7" t="str">
        <x:f>IF(ISNUMBER(B1215),'요약'!$B$7+'요약'!$B$13*B1215,"")</x:f>
      </x:c>
    </x:row>
    <x:row r="1216">
      <x:c r="A1216" t="n">
        <x:f>1212</x:f>
        <x:v>1212</x:v>
      </x:c>
      <x:c r="B1216" s="7" t="str">
        <x:f>IF(AND('요약'!$B$20,A1216&lt;='요약'!$B$6),NORM.S.INV((A1216-0.5)/'요약'!$B$6),"")</x:f>
      </x:c>
      <x:c r="C1216" s="7" t="str">
        <x:f>IF(AND('요약'!$B$20,A1216&lt;='요약'!$B$6),LARGE('계산'!$B$2:$B$2001,'요약'!$B$6-A1216+1),"")</x:f>
      </x:c>
      <x:c r="D1216" s="7" t="str">
        <x:f>IF(ISNUMBER(B1216),'요약'!$B$7+'요약'!$B$13*B1216,"")</x:f>
      </x:c>
    </x:row>
    <x:row r="1217">
      <x:c r="A1217" t="n">
        <x:f>1213</x:f>
        <x:v>1213</x:v>
      </x:c>
      <x:c r="B1217" s="7" t="str">
        <x:f>IF(AND('요약'!$B$20,A1217&lt;='요약'!$B$6),NORM.S.INV((A1217-0.5)/'요약'!$B$6),"")</x:f>
      </x:c>
      <x:c r="C1217" s="7" t="str">
        <x:f>IF(AND('요약'!$B$20,A1217&lt;='요약'!$B$6),LARGE('계산'!$B$2:$B$2001,'요약'!$B$6-A1217+1),"")</x:f>
      </x:c>
      <x:c r="D1217" s="7" t="str">
        <x:f>IF(ISNUMBER(B1217),'요약'!$B$7+'요약'!$B$13*B1217,"")</x:f>
      </x:c>
    </x:row>
    <x:row r="1218">
      <x:c r="A1218" t="n">
        <x:f>1214</x:f>
        <x:v>1214</x:v>
      </x:c>
      <x:c r="B1218" s="7" t="str">
        <x:f>IF(AND('요약'!$B$20,A1218&lt;='요약'!$B$6),NORM.S.INV((A1218-0.5)/'요약'!$B$6),"")</x:f>
      </x:c>
      <x:c r="C1218" s="7" t="str">
        <x:f>IF(AND('요약'!$B$20,A1218&lt;='요약'!$B$6),LARGE('계산'!$B$2:$B$2001,'요약'!$B$6-A1218+1),"")</x:f>
      </x:c>
      <x:c r="D1218" s="7" t="str">
        <x:f>IF(ISNUMBER(B1218),'요약'!$B$7+'요약'!$B$13*B1218,"")</x:f>
      </x:c>
    </x:row>
    <x:row r="1219">
      <x:c r="A1219" t="n">
        <x:f>1215</x:f>
        <x:v>1215</x:v>
      </x:c>
      <x:c r="B1219" s="7" t="str">
        <x:f>IF(AND('요약'!$B$20,A1219&lt;='요약'!$B$6),NORM.S.INV((A1219-0.5)/'요약'!$B$6),"")</x:f>
      </x:c>
      <x:c r="C1219" s="7" t="str">
        <x:f>IF(AND('요약'!$B$20,A1219&lt;='요약'!$B$6),LARGE('계산'!$B$2:$B$2001,'요약'!$B$6-A1219+1),"")</x:f>
      </x:c>
      <x:c r="D1219" s="7" t="str">
        <x:f>IF(ISNUMBER(B1219),'요약'!$B$7+'요약'!$B$13*B1219,"")</x:f>
      </x:c>
    </x:row>
    <x:row r="1220">
      <x:c r="A1220" t="n">
        <x:f>1216</x:f>
        <x:v>1216</x:v>
      </x:c>
      <x:c r="B1220" s="7" t="str">
        <x:f>IF(AND('요약'!$B$20,A1220&lt;='요약'!$B$6),NORM.S.INV((A1220-0.5)/'요약'!$B$6),"")</x:f>
      </x:c>
      <x:c r="C1220" s="7" t="str">
        <x:f>IF(AND('요약'!$B$20,A1220&lt;='요약'!$B$6),LARGE('계산'!$B$2:$B$2001,'요약'!$B$6-A1220+1),"")</x:f>
      </x:c>
      <x:c r="D1220" s="7" t="str">
        <x:f>IF(ISNUMBER(B1220),'요약'!$B$7+'요약'!$B$13*B1220,"")</x:f>
      </x:c>
    </x:row>
    <x:row r="1221">
      <x:c r="A1221" t="n">
        <x:f>1217</x:f>
        <x:v>1217</x:v>
      </x:c>
      <x:c r="B1221" s="7" t="str">
        <x:f>IF(AND('요약'!$B$20,A1221&lt;='요약'!$B$6),NORM.S.INV((A1221-0.5)/'요약'!$B$6),"")</x:f>
      </x:c>
      <x:c r="C1221" s="7" t="str">
        <x:f>IF(AND('요약'!$B$20,A1221&lt;='요약'!$B$6),LARGE('계산'!$B$2:$B$2001,'요약'!$B$6-A1221+1),"")</x:f>
      </x:c>
      <x:c r="D1221" s="7" t="str">
        <x:f>IF(ISNUMBER(B1221),'요약'!$B$7+'요약'!$B$13*B1221,"")</x:f>
      </x:c>
    </x:row>
    <x:row r="1222">
      <x:c r="A1222" t="n">
        <x:f>1218</x:f>
        <x:v>1218</x:v>
      </x:c>
      <x:c r="B1222" s="7" t="str">
        <x:f>IF(AND('요약'!$B$20,A1222&lt;='요약'!$B$6),NORM.S.INV((A1222-0.5)/'요약'!$B$6),"")</x:f>
      </x:c>
      <x:c r="C1222" s="7" t="str">
        <x:f>IF(AND('요약'!$B$20,A1222&lt;='요약'!$B$6),LARGE('계산'!$B$2:$B$2001,'요약'!$B$6-A1222+1),"")</x:f>
      </x:c>
      <x:c r="D1222" s="7" t="str">
        <x:f>IF(ISNUMBER(B1222),'요약'!$B$7+'요약'!$B$13*B1222,"")</x:f>
      </x:c>
    </x:row>
    <x:row r="1223">
      <x:c r="A1223" t="n">
        <x:f>1219</x:f>
        <x:v>1219</x:v>
      </x:c>
      <x:c r="B1223" s="7" t="str">
        <x:f>IF(AND('요약'!$B$20,A1223&lt;='요약'!$B$6),NORM.S.INV((A1223-0.5)/'요약'!$B$6),"")</x:f>
      </x:c>
      <x:c r="C1223" s="7" t="str">
        <x:f>IF(AND('요약'!$B$20,A1223&lt;='요약'!$B$6),LARGE('계산'!$B$2:$B$2001,'요약'!$B$6-A1223+1),"")</x:f>
      </x:c>
      <x:c r="D1223" s="7" t="str">
        <x:f>IF(ISNUMBER(B1223),'요약'!$B$7+'요약'!$B$13*B1223,"")</x:f>
      </x:c>
    </x:row>
    <x:row r="1224">
      <x:c r="A1224" t="n">
        <x:f>1220</x:f>
        <x:v>1220</x:v>
      </x:c>
      <x:c r="B1224" s="7" t="str">
        <x:f>IF(AND('요약'!$B$20,A1224&lt;='요약'!$B$6),NORM.S.INV((A1224-0.5)/'요약'!$B$6),"")</x:f>
      </x:c>
      <x:c r="C1224" s="7" t="str">
        <x:f>IF(AND('요약'!$B$20,A1224&lt;='요약'!$B$6),LARGE('계산'!$B$2:$B$2001,'요약'!$B$6-A1224+1),"")</x:f>
      </x:c>
      <x:c r="D1224" s="7" t="str">
        <x:f>IF(ISNUMBER(B1224),'요약'!$B$7+'요약'!$B$13*B1224,"")</x:f>
      </x:c>
    </x:row>
    <x:row r="1225">
      <x:c r="A1225" t="n">
        <x:f>1221</x:f>
        <x:v>1221</x:v>
      </x:c>
      <x:c r="B1225" s="7" t="str">
        <x:f>IF(AND('요약'!$B$20,A1225&lt;='요약'!$B$6),NORM.S.INV((A1225-0.5)/'요약'!$B$6),"")</x:f>
      </x:c>
      <x:c r="C1225" s="7" t="str">
        <x:f>IF(AND('요약'!$B$20,A1225&lt;='요약'!$B$6),LARGE('계산'!$B$2:$B$2001,'요약'!$B$6-A1225+1),"")</x:f>
      </x:c>
      <x:c r="D1225" s="7" t="str">
        <x:f>IF(ISNUMBER(B1225),'요약'!$B$7+'요약'!$B$13*B1225,"")</x:f>
      </x:c>
    </x:row>
    <x:row r="1226">
      <x:c r="A1226" t="n">
        <x:f>1222</x:f>
        <x:v>1222</x:v>
      </x:c>
      <x:c r="B1226" s="7" t="str">
        <x:f>IF(AND('요약'!$B$20,A1226&lt;='요약'!$B$6),NORM.S.INV((A1226-0.5)/'요약'!$B$6),"")</x:f>
      </x:c>
      <x:c r="C1226" s="7" t="str">
        <x:f>IF(AND('요약'!$B$20,A1226&lt;='요약'!$B$6),LARGE('계산'!$B$2:$B$2001,'요약'!$B$6-A1226+1),"")</x:f>
      </x:c>
      <x:c r="D1226" s="7" t="str">
        <x:f>IF(ISNUMBER(B1226),'요약'!$B$7+'요약'!$B$13*B1226,"")</x:f>
      </x:c>
    </x:row>
    <x:row r="1227">
      <x:c r="A1227" t="n">
        <x:f>1223</x:f>
        <x:v>1223</x:v>
      </x:c>
      <x:c r="B1227" s="7" t="str">
        <x:f>IF(AND('요약'!$B$20,A1227&lt;='요약'!$B$6),NORM.S.INV((A1227-0.5)/'요약'!$B$6),"")</x:f>
      </x:c>
      <x:c r="C1227" s="7" t="str">
        <x:f>IF(AND('요약'!$B$20,A1227&lt;='요약'!$B$6),LARGE('계산'!$B$2:$B$2001,'요약'!$B$6-A1227+1),"")</x:f>
      </x:c>
      <x:c r="D1227" s="7" t="str">
        <x:f>IF(ISNUMBER(B1227),'요약'!$B$7+'요약'!$B$13*B1227,"")</x:f>
      </x:c>
    </x:row>
    <x:row r="1228">
      <x:c r="A1228" t="n">
        <x:f>1224</x:f>
        <x:v>1224</x:v>
      </x:c>
      <x:c r="B1228" s="7" t="str">
        <x:f>IF(AND('요약'!$B$20,A1228&lt;='요약'!$B$6),NORM.S.INV((A1228-0.5)/'요약'!$B$6),"")</x:f>
      </x:c>
      <x:c r="C1228" s="7" t="str">
        <x:f>IF(AND('요약'!$B$20,A1228&lt;='요약'!$B$6),LARGE('계산'!$B$2:$B$2001,'요약'!$B$6-A1228+1),"")</x:f>
      </x:c>
      <x:c r="D1228" s="7" t="str">
        <x:f>IF(ISNUMBER(B1228),'요약'!$B$7+'요약'!$B$13*B1228,"")</x:f>
      </x:c>
    </x:row>
    <x:row r="1229">
      <x:c r="A1229" t="n">
        <x:f>1225</x:f>
        <x:v>1225</x:v>
      </x:c>
      <x:c r="B1229" s="7" t="str">
        <x:f>IF(AND('요약'!$B$20,A1229&lt;='요약'!$B$6),NORM.S.INV((A1229-0.5)/'요약'!$B$6),"")</x:f>
      </x:c>
      <x:c r="C1229" s="7" t="str">
        <x:f>IF(AND('요약'!$B$20,A1229&lt;='요약'!$B$6),LARGE('계산'!$B$2:$B$2001,'요약'!$B$6-A1229+1),"")</x:f>
      </x:c>
      <x:c r="D1229" s="7" t="str">
        <x:f>IF(ISNUMBER(B1229),'요약'!$B$7+'요약'!$B$13*B1229,"")</x:f>
      </x:c>
    </x:row>
    <x:row r="1230">
      <x:c r="A1230" t="n">
        <x:f>1226</x:f>
        <x:v>1226</x:v>
      </x:c>
      <x:c r="B1230" s="7" t="str">
        <x:f>IF(AND('요약'!$B$20,A1230&lt;='요약'!$B$6),NORM.S.INV((A1230-0.5)/'요약'!$B$6),"")</x:f>
      </x:c>
      <x:c r="C1230" s="7" t="str">
        <x:f>IF(AND('요약'!$B$20,A1230&lt;='요약'!$B$6),LARGE('계산'!$B$2:$B$2001,'요약'!$B$6-A1230+1),"")</x:f>
      </x:c>
      <x:c r="D1230" s="7" t="str">
        <x:f>IF(ISNUMBER(B1230),'요약'!$B$7+'요약'!$B$13*B1230,"")</x:f>
      </x:c>
    </x:row>
    <x:row r="1231">
      <x:c r="A1231" t="n">
        <x:f>1227</x:f>
        <x:v>1227</x:v>
      </x:c>
      <x:c r="B1231" s="7" t="str">
        <x:f>IF(AND('요약'!$B$20,A1231&lt;='요약'!$B$6),NORM.S.INV((A1231-0.5)/'요약'!$B$6),"")</x:f>
      </x:c>
      <x:c r="C1231" s="7" t="str">
        <x:f>IF(AND('요약'!$B$20,A1231&lt;='요약'!$B$6),LARGE('계산'!$B$2:$B$2001,'요약'!$B$6-A1231+1),"")</x:f>
      </x:c>
      <x:c r="D1231" s="7" t="str">
        <x:f>IF(ISNUMBER(B1231),'요약'!$B$7+'요약'!$B$13*B1231,"")</x:f>
      </x:c>
    </x:row>
    <x:row r="1232">
      <x:c r="A1232" t="n">
        <x:f>1228</x:f>
        <x:v>1228</x:v>
      </x:c>
      <x:c r="B1232" s="7" t="str">
        <x:f>IF(AND('요약'!$B$20,A1232&lt;='요약'!$B$6),NORM.S.INV((A1232-0.5)/'요약'!$B$6),"")</x:f>
      </x:c>
      <x:c r="C1232" s="7" t="str">
        <x:f>IF(AND('요약'!$B$20,A1232&lt;='요약'!$B$6),LARGE('계산'!$B$2:$B$2001,'요약'!$B$6-A1232+1),"")</x:f>
      </x:c>
      <x:c r="D1232" s="7" t="str">
        <x:f>IF(ISNUMBER(B1232),'요약'!$B$7+'요약'!$B$13*B1232,"")</x:f>
      </x:c>
    </x:row>
    <x:row r="1233">
      <x:c r="A1233" t="n">
        <x:f>1229</x:f>
        <x:v>1229</x:v>
      </x:c>
      <x:c r="B1233" s="7" t="str">
        <x:f>IF(AND('요약'!$B$20,A1233&lt;='요약'!$B$6),NORM.S.INV((A1233-0.5)/'요약'!$B$6),"")</x:f>
      </x:c>
      <x:c r="C1233" s="7" t="str">
        <x:f>IF(AND('요약'!$B$20,A1233&lt;='요약'!$B$6),LARGE('계산'!$B$2:$B$2001,'요약'!$B$6-A1233+1),"")</x:f>
      </x:c>
      <x:c r="D1233" s="7" t="str">
        <x:f>IF(ISNUMBER(B1233),'요약'!$B$7+'요약'!$B$13*B1233,"")</x:f>
      </x:c>
    </x:row>
    <x:row r="1234">
      <x:c r="A1234" t="n">
        <x:f>1230</x:f>
        <x:v>1230</x:v>
      </x:c>
      <x:c r="B1234" s="7" t="str">
        <x:f>IF(AND('요약'!$B$20,A1234&lt;='요약'!$B$6),NORM.S.INV((A1234-0.5)/'요약'!$B$6),"")</x:f>
      </x:c>
      <x:c r="C1234" s="7" t="str">
        <x:f>IF(AND('요약'!$B$20,A1234&lt;='요약'!$B$6),LARGE('계산'!$B$2:$B$2001,'요약'!$B$6-A1234+1),"")</x:f>
      </x:c>
      <x:c r="D1234" s="7" t="str">
        <x:f>IF(ISNUMBER(B1234),'요약'!$B$7+'요약'!$B$13*B1234,"")</x:f>
      </x:c>
    </x:row>
    <x:row r="1235">
      <x:c r="A1235" t="n">
        <x:f>1231</x:f>
        <x:v>1231</x:v>
      </x:c>
      <x:c r="B1235" s="7" t="str">
        <x:f>IF(AND('요약'!$B$20,A1235&lt;='요약'!$B$6),NORM.S.INV((A1235-0.5)/'요약'!$B$6),"")</x:f>
      </x:c>
      <x:c r="C1235" s="7" t="str">
        <x:f>IF(AND('요약'!$B$20,A1235&lt;='요약'!$B$6),LARGE('계산'!$B$2:$B$2001,'요약'!$B$6-A1235+1),"")</x:f>
      </x:c>
      <x:c r="D1235" s="7" t="str">
        <x:f>IF(ISNUMBER(B1235),'요약'!$B$7+'요약'!$B$13*B1235,"")</x:f>
      </x:c>
    </x:row>
    <x:row r="1236">
      <x:c r="A1236" t="n">
        <x:f>1232</x:f>
        <x:v>1232</x:v>
      </x:c>
      <x:c r="B1236" s="7" t="str">
        <x:f>IF(AND('요약'!$B$20,A1236&lt;='요약'!$B$6),NORM.S.INV((A1236-0.5)/'요약'!$B$6),"")</x:f>
      </x:c>
      <x:c r="C1236" s="7" t="str">
        <x:f>IF(AND('요약'!$B$20,A1236&lt;='요약'!$B$6),LARGE('계산'!$B$2:$B$2001,'요약'!$B$6-A1236+1),"")</x:f>
      </x:c>
      <x:c r="D1236" s="7" t="str">
        <x:f>IF(ISNUMBER(B1236),'요약'!$B$7+'요약'!$B$13*B1236,"")</x:f>
      </x:c>
    </x:row>
    <x:row r="1237">
      <x:c r="A1237" t="n">
        <x:f>1233</x:f>
        <x:v>1233</x:v>
      </x:c>
      <x:c r="B1237" s="7" t="str">
        <x:f>IF(AND('요약'!$B$20,A1237&lt;='요약'!$B$6),NORM.S.INV((A1237-0.5)/'요약'!$B$6),"")</x:f>
      </x:c>
      <x:c r="C1237" s="7" t="str">
        <x:f>IF(AND('요약'!$B$20,A1237&lt;='요약'!$B$6),LARGE('계산'!$B$2:$B$2001,'요약'!$B$6-A1237+1),"")</x:f>
      </x:c>
      <x:c r="D1237" s="7" t="str">
        <x:f>IF(ISNUMBER(B1237),'요약'!$B$7+'요약'!$B$13*B1237,"")</x:f>
      </x:c>
    </x:row>
    <x:row r="1238">
      <x:c r="A1238" t="n">
        <x:f>1234</x:f>
        <x:v>1234</x:v>
      </x:c>
      <x:c r="B1238" s="7" t="str">
        <x:f>IF(AND('요약'!$B$20,A1238&lt;='요약'!$B$6),NORM.S.INV((A1238-0.5)/'요약'!$B$6),"")</x:f>
      </x:c>
      <x:c r="C1238" s="7" t="str">
        <x:f>IF(AND('요약'!$B$20,A1238&lt;='요약'!$B$6),LARGE('계산'!$B$2:$B$2001,'요약'!$B$6-A1238+1),"")</x:f>
      </x:c>
      <x:c r="D1238" s="7" t="str">
        <x:f>IF(ISNUMBER(B1238),'요약'!$B$7+'요약'!$B$13*B1238,"")</x:f>
      </x:c>
    </x:row>
    <x:row r="1239">
      <x:c r="A1239" t="n">
        <x:f>1235</x:f>
        <x:v>1235</x:v>
      </x:c>
      <x:c r="B1239" s="7" t="str">
        <x:f>IF(AND('요약'!$B$20,A1239&lt;='요약'!$B$6),NORM.S.INV((A1239-0.5)/'요약'!$B$6),"")</x:f>
      </x:c>
      <x:c r="C1239" s="7" t="str">
        <x:f>IF(AND('요약'!$B$20,A1239&lt;='요약'!$B$6),LARGE('계산'!$B$2:$B$2001,'요약'!$B$6-A1239+1),"")</x:f>
      </x:c>
      <x:c r="D1239" s="7" t="str">
        <x:f>IF(ISNUMBER(B1239),'요약'!$B$7+'요약'!$B$13*B1239,"")</x:f>
      </x:c>
    </x:row>
    <x:row r="1240">
      <x:c r="A1240" t="n">
        <x:f>1236</x:f>
        <x:v>1236</x:v>
      </x:c>
      <x:c r="B1240" s="7" t="str">
        <x:f>IF(AND('요약'!$B$20,A1240&lt;='요약'!$B$6),NORM.S.INV((A1240-0.5)/'요약'!$B$6),"")</x:f>
      </x:c>
      <x:c r="C1240" s="7" t="str">
        <x:f>IF(AND('요약'!$B$20,A1240&lt;='요약'!$B$6),LARGE('계산'!$B$2:$B$2001,'요약'!$B$6-A1240+1),"")</x:f>
      </x:c>
      <x:c r="D1240" s="7" t="str">
        <x:f>IF(ISNUMBER(B1240),'요약'!$B$7+'요약'!$B$13*B1240,"")</x:f>
      </x:c>
    </x:row>
    <x:row r="1241">
      <x:c r="A1241" t="n">
        <x:f>1237</x:f>
        <x:v>1237</x:v>
      </x:c>
      <x:c r="B1241" s="7" t="str">
        <x:f>IF(AND('요약'!$B$20,A1241&lt;='요약'!$B$6),NORM.S.INV((A1241-0.5)/'요약'!$B$6),"")</x:f>
      </x:c>
      <x:c r="C1241" s="7" t="str">
        <x:f>IF(AND('요약'!$B$20,A1241&lt;='요약'!$B$6),LARGE('계산'!$B$2:$B$2001,'요약'!$B$6-A1241+1),"")</x:f>
      </x:c>
      <x:c r="D1241" s="7" t="str">
        <x:f>IF(ISNUMBER(B1241),'요약'!$B$7+'요약'!$B$13*B1241,"")</x:f>
      </x:c>
    </x:row>
    <x:row r="1242">
      <x:c r="A1242" t="n">
        <x:f>1238</x:f>
        <x:v>1238</x:v>
      </x:c>
      <x:c r="B1242" s="7" t="str">
        <x:f>IF(AND('요약'!$B$20,A1242&lt;='요약'!$B$6),NORM.S.INV((A1242-0.5)/'요약'!$B$6),"")</x:f>
      </x:c>
      <x:c r="C1242" s="7" t="str">
        <x:f>IF(AND('요약'!$B$20,A1242&lt;='요약'!$B$6),LARGE('계산'!$B$2:$B$2001,'요약'!$B$6-A1242+1),"")</x:f>
      </x:c>
      <x:c r="D1242" s="7" t="str">
        <x:f>IF(ISNUMBER(B1242),'요약'!$B$7+'요약'!$B$13*B1242,"")</x:f>
      </x:c>
    </x:row>
    <x:row r="1243">
      <x:c r="A1243" t="n">
        <x:f>1239</x:f>
        <x:v>1239</x:v>
      </x:c>
      <x:c r="B1243" s="7" t="str">
        <x:f>IF(AND('요약'!$B$20,A1243&lt;='요약'!$B$6),NORM.S.INV((A1243-0.5)/'요약'!$B$6),"")</x:f>
      </x:c>
      <x:c r="C1243" s="7" t="str">
        <x:f>IF(AND('요약'!$B$20,A1243&lt;='요약'!$B$6),LARGE('계산'!$B$2:$B$2001,'요약'!$B$6-A1243+1),"")</x:f>
      </x:c>
      <x:c r="D1243" s="7" t="str">
        <x:f>IF(ISNUMBER(B1243),'요약'!$B$7+'요약'!$B$13*B1243,"")</x:f>
      </x:c>
    </x:row>
    <x:row r="1244">
      <x:c r="A1244" t="n">
        <x:f>1240</x:f>
        <x:v>1240</x:v>
      </x:c>
      <x:c r="B1244" s="7" t="str">
        <x:f>IF(AND('요약'!$B$20,A1244&lt;='요약'!$B$6),NORM.S.INV((A1244-0.5)/'요약'!$B$6),"")</x:f>
      </x:c>
      <x:c r="C1244" s="7" t="str">
        <x:f>IF(AND('요약'!$B$20,A1244&lt;='요약'!$B$6),LARGE('계산'!$B$2:$B$2001,'요약'!$B$6-A1244+1),"")</x:f>
      </x:c>
      <x:c r="D1244" s="7" t="str">
        <x:f>IF(ISNUMBER(B1244),'요약'!$B$7+'요약'!$B$13*B1244,"")</x:f>
      </x:c>
    </x:row>
    <x:row r="1245">
      <x:c r="A1245" t="n">
        <x:f>1241</x:f>
        <x:v>1241</x:v>
      </x:c>
      <x:c r="B1245" s="7" t="str">
        <x:f>IF(AND('요약'!$B$20,A1245&lt;='요약'!$B$6),NORM.S.INV((A1245-0.5)/'요약'!$B$6),"")</x:f>
      </x:c>
      <x:c r="C1245" s="7" t="str">
        <x:f>IF(AND('요약'!$B$20,A1245&lt;='요약'!$B$6),LARGE('계산'!$B$2:$B$2001,'요약'!$B$6-A1245+1),"")</x:f>
      </x:c>
      <x:c r="D1245" s="7" t="str">
        <x:f>IF(ISNUMBER(B1245),'요약'!$B$7+'요약'!$B$13*B1245,"")</x:f>
      </x:c>
    </x:row>
    <x:row r="1246">
      <x:c r="A1246" t="n">
        <x:f>1242</x:f>
        <x:v>1242</x:v>
      </x:c>
      <x:c r="B1246" s="7" t="str">
        <x:f>IF(AND('요약'!$B$20,A1246&lt;='요약'!$B$6),NORM.S.INV((A1246-0.5)/'요약'!$B$6),"")</x:f>
      </x:c>
      <x:c r="C1246" s="7" t="str">
        <x:f>IF(AND('요약'!$B$20,A1246&lt;='요약'!$B$6),LARGE('계산'!$B$2:$B$2001,'요약'!$B$6-A1246+1),"")</x:f>
      </x:c>
      <x:c r="D1246" s="7" t="str">
        <x:f>IF(ISNUMBER(B1246),'요약'!$B$7+'요약'!$B$13*B1246,"")</x:f>
      </x:c>
    </x:row>
    <x:row r="1247">
      <x:c r="A1247" t="n">
        <x:f>1243</x:f>
        <x:v>1243</x:v>
      </x:c>
      <x:c r="B1247" s="7" t="str">
        <x:f>IF(AND('요약'!$B$20,A1247&lt;='요약'!$B$6),NORM.S.INV((A1247-0.5)/'요약'!$B$6),"")</x:f>
      </x:c>
      <x:c r="C1247" s="7" t="str">
        <x:f>IF(AND('요약'!$B$20,A1247&lt;='요약'!$B$6),LARGE('계산'!$B$2:$B$2001,'요약'!$B$6-A1247+1),"")</x:f>
      </x:c>
      <x:c r="D1247" s="7" t="str">
        <x:f>IF(ISNUMBER(B1247),'요약'!$B$7+'요약'!$B$13*B1247,"")</x:f>
      </x:c>
    </x:row>
    <x:row r="1248">
      <x:c r="A1248" t="n">
        <x:f>1244</x:f>
        <x:v>1244</x:v>
      </x:c>
      <x:c r="B1248" s="7" t="str">
        <x:f>IF(AND('요약'!$B$20,A1248&lt;='요약'!$B$6),NORM.S.INV((A1248-0.5)/'요약'!$B$6),"")</x:f>
      </x:c>
      <x:c r="C1248" s="7" t="str">
        <x:f>IF(AND('요약'!$B$20,A1248&lt;='요약'!$B$6),LARGE('계산'!$B$2:$B$2001,'요약'!$B$6-A1248+1),"")</x:f>
      </x:c>
      <x:c r="D1248" s="7" t="str">
        <x:f>IF(ISNUMBER(B1248),'요약'!$B$7+'요약'!$B$13*B1248,"")</x:f>
      </x:c>
    </x:row>
    <x:row r="1249">
      <x:c r="A1249" t="n">
        <x:f>1245</x:f>
        <x:v>1245</x:v>
      </x:c>
      <x:c r="B1249" s="7" t="str">
        <x:f>IF(AND('요약'!$B$20,A1249&lt;='요약'!$B$6),NORM.S.INV((A1249-0.5)/'요약'!$B$6),"")</x:f>
      </x:c>
      <x:c r="C1249" s="7" t="str">
        <x:f>IF(AND('요약'!$B$20,A1249&lt;='요약'!$B$6),LARGE('계산'!$B$2:$B$2001,'요약'!$B$6-A1249+1),"")</x:f>
      </x:c>
      <x:c r="D1249" s="7" t="str">
        <x:f>IF(ISNUMBER(B1249),'요약'!$B$7+'요약'!$B$13*B1249,"")</x:f>
      </x:c>
    </x:row>
    <x:row r="1250">
      <x:c r="A1250" t="n">
        <x:f>1246</x:f>
        <x:v>1246</x:v>
      </x:c>
      <x:c r="B1250" s="7" t="str">
        <x:f>IF(AND('요약'!$B$20,A1250&lt;='요약'!$B$6),NORM.S.INV((A1250-0.5)/'요약'!$B$6),"")</x:f>
      </x:c>
      <x:c r="C1250" s="7" t="str">
        <x:f>IF(AND('요약'!$B$20,A1250&lt;='요약'!$B$6),LARGE('계산'!$B$2:$B$2001,'요약'!$B$6-A1250+1),"")</x:f>
      </x:c>
      <x:c r="D1250" s="7" t="str">
        <x:f>IF(ISNUMBER(B1250),'요약'!$B$7+'요약'!$B$13*B1250,"")</x:f>
      </x:c>
    </x:row>
    <x:row r="1251">
      <x:c r="A1251" t="n">
        <x:f>1247</x:f>
        <x:v>1247</x:v>
      </x:c>
      <x:c r="B1251" s="7" t="str">
        <x:f>IF(AND('요약'!$B$20,A1251&lt;='요약'!$B$6),NORM.S.INV((A1251-0.5)/'요약'!$B$6),"")</x:f>
      </x:c>
      <x:c r="C1251" s="7" t="str">
        <x:f>IF(AND('요약'!$B$20,A1251&lt;='요약'!$B$6),LARGE('계산'!$B$2:$B$2001,'요약'!$B$6-A1251+1),"")</x:f>
      </x:c>
      <x:c r="D1251" s="7" t="str">
        <x:f>IF(ISNUMBER(B1251),'요약'!$B$7+'요약'!$B$13*B1251,"")</x:f>
      </x:c>
    </x:row>
    <x:row r="1252">
      <x:c r="A1252" t="n">
        <x:f>1248</x:f>
        <x:v>1248</x:v>
      </x:c>
      <x:c r="B1252" s="7" t="str">
        <x:f>IF(AND('요약'!$B$20,A1252&lt;='요약'!$B$6),NORM.S.INV((A1252-0.5)/'요약'!$B$6),"")</x:f>
      </x:c>
      <x:c r="C1252" s="7" t="str">
        <x:f>IF(AND('요약'!$B$20,A1252&lt;='요약'!$B$6),LARGE('계산'!$B$2:$B$2001,'요약'!$B$6-A1252+1),"")</x:f>
      </x:c>
      <x:c r="D1252" s="7" t="str">
        <x:f>IF(ISNUMBER(B1252),'요약'!$B$7+'요약'!$B$13*B1252,"")</x:f>
      </x:c>
    </x:row>
    <x:row r="1253">
      <x:c r="A1253" t="n">
        <x:f>1249</x:f>
        <x:v>1249</x:v>
      </x:c>
      <x:c r="B1253" s="7" t="str">
        <x:f>IF(AND('요약'!$B$20,A1253&lt;='요약'!$B$6),NORM.S.INV((A1253-0.5)/'요약'!$B$6),"")</x:f>
      </x:c>
      <x:c r="C1253" s="7" t="str">
        <x:f>IF(AND('요약'!$B$20,A1253&lt;='요약'!$B$6),LARGE('계산'!$B$2:$B$2001,'요약'!$B$6-A1253+1),"")</x:f>
      </x:c>
      <x:c r="D1253" s="7" t="str">
        <x:f>IF(ISNUMBER(B1253),'요약'!$B$7+'요약'!$B$13*B1253,"")</x:f>
      </x:c>
    </x:row>
    <x:row r="1254">
      <x:c r="A1254" t="n">
        <x:f>1250</x:f>
        <x:v>1250</x:v>
      </x:c>
      <x:c r="B1254" s="7" t="str">
        <x:f>IF(AND('요약'!$B$20,A1254&lt;='요약'!$B$6),NORM.S.INV((A1254-0.5)/'요약'!$B$6),"")</x:f>
      </x:c>
      <x:c r="C1254" s="7" t="str">
        <x:f>IF(AND('요약'!$B$20,A1254&lt;='요약'!$B$6),LARGE('계산'!$B$2:$B$2001,'요약'!$B$6-A1254+1),"")</x:f>
      </x:c>
      <x:c r="D1254" s="7" t="str">
        <x:f>IF(ISNUMBER(B1254),'요약'!$B$7+'요약'!$B$13*B1254,"")</x:f>
      </x:c>
    </x:row>
    <x:row r="1255">
      <x:c r="A1255" t="n">
        <x:f>1251</x:f>
        <x:v>1251</x:v>
      </x:c>
      <x:c r="B1255" s="7" t="str">
        <x:f>IF(AND('요약'!$B$20,A1255&lt;='요약'!$B$6),NORM.S.INV((A1255-0.5)/'요약'!$B$6),"")</x:f>
      </x:c>
      <x:c r="C1255" s="7" t="str">
        <x:f>IF(AND('요약'!$B$20,A1255&lt;='요약'!$B$6),LARGE('계산'!$B$2:$B$2001,'요약'!$B$6-A1255+1),"")</x:f>
      </x:c>
      <x:c r="D1255" s="7" t="str">
        <x:f>IF(ISNUMBER(B1255),'요약'!$B$7+'요약'!$B$13*B1255,"")</x:f>
      </x:c>
    </x:row>
    <x:row r="1256">
      <x:c r="A1256" t="n">
        <x:f>1252</x:f>
        <x:v>1252</x:v>
      </x:c>
      <x:c r="B1256" s="7" t="str">
        <x:f>IF(AND('요약'!$B$20,A1256&lt;='요약'!$B$6),NORM.S.INV((A1256-0.5)/'요약'!$B$6),"")</x:f>
      </x:c>
      <x:c r="C1256" s="7" t="str">
        <x:f>IF(AND('요약'!$B$20,A1256&lt;='요약'!$B$6),LARGE('계산'!$B$2:$B$2001,'요약'!$B$6-A1256+1),"")</x:f>
      </x:c>
      <x:c r="D1256" s="7" t="str">
        <x:f>IF(ISNUMBER(B1256),'요약'!$B$7+'요약'!$B$13*B1256,"")</x:f>
      </x:c>
    </x:row>
    <x:row r="1257">
      <x:c r="A1257" t="n">
        <x:f>1253</x:f>
        <x:v>1253</x:v>
      </x:c>
      <x:c r="B1257" s="7" t="str">
        <x:f>IF(AND('요약'!$B$20,A1257&lt;='요약'!$B$6),NORM.S.INV((A1257-0.5)/'요약'!$B$6),"")</x:f>
      </x:c>
      <x:c r="C1257" s="7" t="str">
        <x:f>IF(AND('요약'!$B$20,A1257&lt;='요약'!$B$6),LARGE('계산'!$B$2:$B$2001,'요약'!$B$6-A1257+1),"")</x:f>
      </x:c>
      <x:c r="D1257" s="7" t="str">
        <x:f>IF(ISNUMBER(B1257),'요약'!$B$7+'요약'!$B$13*B1257,"")</x:f>
      </x:c>
    </x:row>
    <x:row r="1258">
      <x:c r="A1258" t="n">
        <x:f>1254</x:f>
        <x:v>1254</x:v>
      </x:c>
      <x:c r="B1258" s="7" t="str">
        <x:f>IF(AND('요약'!$B$20,A1258&lt;='요약'!$B$6),NORM.S.INV((A1258-0.5)/'요약'!$B$6),"")</x:f>
      </x:c>
      <x:c r="C1258" s="7" t="str">
        <x:f>IF(AND('요약'!$B$20,A1258&lt;='요약'!$B$6),LARGE('계산'!$B$2:$B$2001,'요약'!$B$6-A1258+1),"")</x:f>
      </x:c>
      <x:c r="D1258" s="7" t="str">
        <x:f>IF(ISNUMBER(B1258),'요약'!$B$7+'요약'!$B$13*B1258,"")</x:f>
      </x:c>
    </x:row>
    <x:row r="1259">
      <x:c r="A1259" t="n">
        <x:f>1255</x:f>
        <x:v>1255</x:v>
      </x:c>
      <x:c r="B1259" s="7" t="str">
        <x:f>IF(AND('요약'!$B$20,A1259&lt;='요약'!$B$6),NORM.S.INV((A1259-0.5)/'요약'!$B$6),"")</x:f>
      </x:c>
      <x:c r="C1259" s="7" t="str">
        <x:f>IF(AND('요약'!$B$20,A1259&lt;='요약'!$B$6),LARGE('계산'!$B$2:$B$2001,'요약'!$B$6-A1259+1),"")</x:f>
      </x:c>
      <x:c r="D1259" s="7" t="str">
        <x:f>IF(ISNUMBER(B1259),'요약'!$B$7+'요약'!$B$13*B1259,"")</x:f>
      </x:c>
    </x:row>
    <x:row r="1260">
      <x:c r="A1260" t="n">
        <x:f>1256</x:f>
        <x:v>1256</x:v>
      </x:c>
      <x:c r="B1260" s="7" t="str">
        <x:f>IF(AND('요약'!$B$20,A1260&lt;='요약'!$B$6),NORM.S.INV((A1260-0.5)/'요약'!$B$6),"")</x:f>
      </x:c>
      <x:c r="C1260" s="7" t="str">
        <x:f>IF(AND('요약'!$B$20,A1260&lt;='요약'!$B$6),LARGE('계산'!$B$2:$B$2001,'요약'!$B$6-A1260+1),"")</x:f>
      </x:c>
      <x:c r="D1260" s="7" t="str">
        <x:f>IF(ISNUMBER(B1260),'요약'!$B$7+'요약'!$B$13*B1260,"")</x:f>
      </x:c>
    </x:row>
    <x:row r="1261">
      <x:c r="A1261" t="n">
        <x:f>1257</x:f>
        <x:v>1257</x:v>
      </x:c>
      <x:c r="B1261" s="7" t="str">
        <x:f>IF(AND('요약'!$B$20,A1261&lt;='요약'!$B$6),NORM.S.INV((A1261-0.5)/'요약'!$B$6),"")</x:f>
      </x:c>
      <x:c r="C1261" s="7" t="str">
        <x:f>IF(AND('요약'!$B$20,A1261&lt;='요약'!$B$6),LARGE('계산'!$B$2:$B$2001,'요약'!$B$6-A1261+1),"")</x:f>
      </x:c>
      <x:c r="D1261" s="7" t="str">
        <x:f>IF(ISNUMBER(B1261),'요약'!$B$7+'요약'!$B$13*B1261,"")</x:f>
      </x:c>
    </x:row>
    <x:row r="1262">
      <x:c r="A1262" t="n">
        <x:f>1258</x:f>
        <x:v>1258</x:v>
      </x:c>
      <x:c r="B1262" s="7" t="str">
        <x:f>IF(AND('요약'!$B$20,A1262&lt;='요약'!$B$6),NORM.S.INV((A1262-0.5)/'요약'!$B$6),"")</x:f>
      </x:c>
      <x:c r="C1262" s="7" t="str">
        <x:f>IF(AND('요약'!$B$20,A1262&lt;='요약'!$B$6),LARGE('계산'!$B$2:$B$2001,'요약'!$B$6-A1262+1),"")</x:f>
      </x:c>
      <x:c r="D1262" s="7" t="str">
        <x:f>IF(ISNUMBER(B1262),'요약'!$B$7+'요약'!$B$13*B1262,"")</x:f>
      </x:c>
    </x:row>
    <x:row r="1263">
      <x:c r="A1263" t="n">
        <x:f>1259</x:f>
        <x:v>1259</x:v>
      </x:c>
      <x:c r="B1263" s="7" t="str">
        <x:f>IF(AND('요약'!$B$20,A1263&lt;='요약'!$B$6),NORM.S.INV((A1263-0.5)/'요약'!$B$6),"")</x:f>
      </x:c>
      <x:c r="C1263" s="7" t="str">
        <x:f>IF(AND('요약'!$B$20,A1263&lt;='요약'!$B$6),LARGE('계산'!$B$2:$B$2001,'요약'!$B$6-A1263+1),"")</x:f>
      </x:c>
      <x:c r="D1263" s="7" t="str">
        <x:f>IF(ISNUMBER(B1263),'요약'!$B$7+'요약'!$B$13*B1263,"")</x:f>
      </x:c>
    </x:row>
    <x:row r="1264">
      <x:c r="A1264" t="n">
        <x:f>1260</x:f>
        <x:v>1260</x:v>
      </x:c>
      <x:c r="B1264" s="7" t="str">
        <x:f>IF(AND('요약'!$B$20,A1264&lt;='요약'!$B$6),NORM.S.INV((A1264-0.5)/'요약'!$B$6),"")</x:f>
      </x:c>
      <x:c r="C1264" s="7" t="str">
        <x:f>IF(AND('요약'!$B$20,A1264&lt;='요약'!$B$6),LARGE('계산'!$B$2:$B$2001,'요약'!$B$6-A1264+1),"")</x:f>
      </x:c>
      <x:c r="D1264" s="7" t="str">
        <x:f>IF(ISNUMBER(B1264),'요약'!$B$7+'요약'!$B$13*B1264,"")</x:f>
      </x:c>
    </x:row>
    <x:row r="1265">
      <x:c r="A1265" t="n">
        <x:f>1261</x:f>
        <x:v>1261</x:v>
      </x:c>
      <x:c r="B1265" s="7" t="str">
        <x:f>IF(AND('요약'!$B$20,A1265&lt;='요약'!$B$6),NORM.S.INV((A1265-0.5)/'요약'!$B$6),"")</x:f>
      </x:c>
      <x:c r="C1265" s="7" t="str">
        <x:f>IF(AND('요약'!$B$20,A1265&lt;='요약'!$B$6),LARGE('계산'!$B$2:$B$2001,'요약'!$B$6-A1265+1),"")</x:f>
      </x:c>
      <x:c r="D1265" s="7" t="str">
        <x:f>IF(ISNUMBER(B1265),'요약'!$B$7+'요약'!$B$13*B1265,"")</x:f>
      </x:c>
    </x:row>
    <x:row r="1266">
      <x:c r="A1266" t="n">
        <x:f>1262</x:f>
        <x:v>1262</x:v>
      </x:c>
      <x:c r="B1266" s="7" t="str">
        <x:f>IF(AND('요약'!$B$20,A1266&lt;='요약'!$B$6),NORM.S.INV((A1266-0.5)/'요약'!$B$6),"")</x:f>
      </x:c>
      <x:c r="C1266" s="7" t="str">
        <x:f>IF(AND('요약'!$B$20,A1266&lt;='요약'!$B$6),LARGE('계산'!$B$2:$B$2001,'요약'!$B$6-A1266+1),"")</x:f>
      </x:c>
      <x:c r="D1266" s="7" t="str">
        <x:f>IF(ISNUMBER(B1266),'요약'!$B$7+'요약'!$B$13*B1266,"")</x:f>
      </x:c>
    </x:row>
    <x:row r="1267">
      <x:c r="A1267" t="n">
        <x:f>1263</x:f>
        <x:v>1263</x:v>
      </x:c>
      <x:c r="B1267" s="7" t="str">
        <x:f>IF(AND('요약'!$B$20,A1267&lt;='요약'!$B$6),NORM.S.INV((A1267-0.5)/'요약'!$B$6),"")</x:f>
      </x:c>
      <x:c r="C1267" s="7" t="str">
        <x:f>IF(AND('요약'!$B$20,A1267&lt;='요약'!$B$6),LARGE('계산'!$B$2:$B$2001,'요약'!$B$6-A1267+1),"")</x:f>
      </x:c>
      <x:c r="D1267" s="7" t="str">
        <x:f>IF(ISNUMBER(B1267),'요약'!$B$7+'요약'!$B$13*B1267,"")</x:f>
      </x:c>
    </x:row>
    <x:row r="1268">
      <x:c r="A1268" t="n">
        <x:f>1264</x:f>
        <x:v>1264</x:v>
      </x:c>
      <x:c r="B1268" s="7" t="str">
        <x:f>IF(AND('요약'!$B$20,A1268&lt;='요약'!$B$6),NORM.S.INV((A1268-0.5)/'요약'!$B$6),"")</x:f>
      </x:c>
      <x:c r="C1268" s="7" t="str">
        <x:f>IF(AND('요약'!$B$20,A1268&lt;='요약'!$B$6),LARGE('계산'!$B$2:$B$2001,'요약'!$B$6-A1268+1),"")</x:f>
      </x:c>
      <x:c r="D1268" s="7" t="str">
        <x:f>IF(ISNUMBER(B1268),'요약'!$B$7+'요약'!$B$13*B1268,"")</x:f>
      </x:c>
    </x:row>
    <x:row r="1269">
      <x:c r="A1269" t="n">
        <x:f>1265</x:f>
        <x:v>1265</x:v>
      </x:c>
      <x:c r="B1269" s="7" t="str">
        <x:f>IF(AND('요약'!$B$20,A1269&lt;='요약'!$B$6),NORM.S.INV((A1269-0.5)/'요약'!$B$6),"")</x:f>
      </x:c>
      <x:c r="C1269" s="7" t="str">
        <x:f>IF(AND('요약'!$B$20,A1269&lt;='요약'!$B$6),LARGE('계산'!$B$2:$B$2001,'요약'!$B$6-A1269+1),"")</x:f>
      </x:c>
      <x:c r="D1269" s="7" t="str">
        <x:f>IF(ISNUMBER(B1269),'요약'!$B$7+'요약'!$B$13*B1269,"")</x:f>
      </x:c>
    </x:row>
    <x:row r="1270">
      <x:c r="A1270" t="n">
        <x:f>1266</x:f>
        <x:v>1266</x:v>
      </x:c>
      <x:c r="B1270" s="7" t="str">
        <x:f>IF(AND('요약'!$B$20,A1270&lt;='요약'!$B$6),NORM.S.INV((A1270-0.5)/'요약'!$B$6),"")</x:f>
      </x:c>
      <x:c r="C1270" s="7" t="str">
        <x:f>IF(AND('요약'!$B$20,A1270&lt;='요약'!$B$6),LARGE('계산'!$B$2:$B$2001,'요약'!$B$6-A1270+1),"")</x:f>
      </x:c>
      <x:c r="D1270" s="7" t="str">
        <x:f>IF(ISNUMBER(B1270),'요약'!$B$7+'요약'!$B$13*B1270,"")</x:f>
      </x:c>
    </x:row>
    <x:row r="1271">
      <x:c r="A1271" t="n">
        <x:f>1267</x:f>
        <x:v>1267</x:v>
      </x:c>
      <x:c r="B1271" s="7" t="str">
        <x:f>IF(AND('요약'!$B$20,A1271&lt;='요약'!$B$6),NORM.S.INV((A1271-0.5)/'요약'!$B$6),"")</x:f>
      </x:c>
      <x:c r="C1271" s="7" t="str">
        <x:f>IF(AND('요약'!$B$20,A1271&lt;='요약'!$B$6),LARGE('계산'!$B$2:$B$2001,'요약'!$B$6-A1271+1),"")</x:f>
      </x:c>
      <x:c r="D1271" s="7" t="str">
        <x:f>IF(ISNUMBER(B1271),'요약'!$B$7+'요약'!$B$13*B1271,"")</x:f>
      </x:c>
    </x:row>
    <x:row r="1272">
      <x:c r="A1272" t="n">
        <x:f>1268</x:f>
        <x:v>1268</x:v>
      </x:c>
      <x:c r="B1272" s="7" t="str">
        <x:f>IF(AND('요약'!$B$20,A1272&lt;='요약'!$B$6),NORM.S.INV((A1272-0.5)/'요약'!$B$6),"")</x:f>
      </x:c>
      <x:c r="C1272" s="7" t="str">
        <x:f>IF(AND('요약'!$B$20,A1272&lt;='요약'!$B$6),LARGE('계산'!$B$2:$B$2001,'요약'!$B$6-A1272+1),"")</x:f>
      </x:c>
      <x:c r="D1272" s="7" t="str">
        <x:f>IF(ISNUMBER(B1272),'요약'!$B$7+'요약'!$B$13*B1272,"")</x:f>
      </x:c>
    </x:row>
    <x:row r="1273">
      <x:c r="A1273" t="n">
        <x:f>1269</x:f>
        <x:v>1269</x:v>
      </x:c>
      <x:c r="B1273" s="7" t="str">
        <x:f>IF(AND('요약'!$B$20,A1273&lt;='요약'!$B$6),NORM.S.INV((A1273-0.5)/'요약'!$B$6),"")</x:f>
      </x:c>
      <x:c r="C1273" s="7" t="str">
        <x:f>IF(AND('요약'!$B$20,A1273&lt;='요약'!$B$6),LARGE('계산'!$B$2:$B$2001,'요약'!$B$6-A1273+1),"")</x:f>
      </x:c>
      <x:c r="D1273" s="7" t="str">
        <x:f>IF(ISNUMBER(B1273),'요약'!$B$7+'요약'!$B$13*B1273,"")</x:f>
      </x:c>
    </x:row>
    <x:row r="1274">
      <x:c r="A1274" t="n">
        <x:f>1270</x:f>
        <x:v>1270</x:v>
      </x:c>
      <x:c r="B1274" s="7" t="str">
        <x:f>IF(AND('요약'!$B$20,A1274&lt;='요약'!$B$6),NORM.S.INV((A1274-0.5)/'요약'!$B$6),"")</x:f>
      </x:c>
      <x:c r="C1274" s="7" t="str">
        <x:f>IF(AND('요약'!$B$20,A1274&lt;='요약'!$B$6),LARGE('계산'!$B$2:$B$2001,'요약'!$B$6-A1274+1),"")</x:f>
      </x:c>
      <x:c r="D1274" s="7" t="str">
        <x:f>IF(ISNUMBER(B1274),'요약'!$B$7+'요약'!$B$13*B1274,"")</x:f>
      </x:c>
    </x:row>
    <x:row r="1275">
      <x:c r="A1275" t="n">
        <x:f>1271</x:f>
        <x:v>1271</x:v>
      </x:c>
      <x:c r="B1275" s="7" t="str">
        <x:f>IF(AND('요약'!$B$20,A1275&lt;='요약'!$B$6),NORM.S.INV((A1275-0.5)/'요약'!$B$6),"")</x:f>
      </x:c>
      <x:c r="C1275" s="7" t="str">
        <x:f>IF(AND('요약'!$B$20,A1275&lt;='요약'!$B$6),LARGE('계산'!$B$2:$B$2001,'요약'!$B$6-A1275+1),"")</x:f>
      </x:c>
      <x:c r="D1275" s="7" t="str">
        <x:f>IF(ISNUMBER(B1275),'요약'!$B$7+'요약'!$B$13*B1275,"")</x:f>
      </x:c>
    </x:row>
    <x:row r="1276">
      <x:c r="A1276" t="n">
        <x:f>1272</x:f>
        <x:v>1272</x:v>
      </x:c>
      <x:c r="B1276" s="7" t="str">
        <x:f>IF(AND('요약'!$B$20,A1276&lt;='요약'!$B$6),NORM.S.INV((A1276-0.5)/'요약'!$B$6),"")</x:f>
      </x:c>
      <x:c r="C1276" s="7" t="str">
        <x:f>IF(AND('요약'!$B$20,A1276&lt;='요약'!$B$6),LARGE('계산'!$B$2:$B$2001,'요약'!$B$6-A1276+1),"")</x:f>
      </x:c>
      <x:c r="D1276" s="7" t="str">
        <x:f>IF(ISNUMBER(B1276),'요약'!$B$7+'요약'!$B$13*B1276,"")</x:f>
      </x:c>
    </x:row>
    <x:row r="1277">
      <x:c r="A1277" t="n">
        <x:f>1273</x:f>
        <x:v>1273</x:v>
      </x:c>
      <x:c r="B1277" s="7" t="str">
        <x:f>IF(AND('요약'!$B$20,A1277&lt;='요약'!$B$6),NORM.S.INV((A1277-0.5)/'요약'!$B$6),"")</x:f>
      </x:c>
      <x:c r="C1277" s="7" t="str">
        <x:f>IF(AND('요약'!$B$20,A1277&lt;='요약'!$B$6),LARGE('계산'!$B$2:$B$2001,'요약'!$B$6-A1277+1),"")</x:f>
      </x:c>
      <x:c r="D1277" s="7" t="str">
        <x:f>IF(ISNUMBER(B1277),'요약'!$B$7+'요약'!$B$13*B1277,"")</x:f>
      </x:c>
    </x:row>
    <x:row r="1278">
      <x:c r="A1278" t="n">
        <x:f>1274</x:f>
        <x:v>1274</x:v>
      </x:c>
      <x:c r="B1278" s="7" t="str">
        <x:f>IF(AND('요약'!$B$20,A1278&lt;='요약'!$B$6),NORM.S.INV((A1278-0.5)/'요약'!$B$6),"")</x:f>
      </x:c>
      <x:c r="C1278" s="7" t="str">
        <x:f>IF(AND('요약'!$B$20,A1278&lt;='요약'!$B$6),LARGE('계산'!$B$2:$B$2001,'요약'!$B$6-A1278+1),"")</x:f>
      </x:c>
      <x:c r="D1278" s="7" t="str">
        <x:f>IF(ISNUMBER(B1278),'요약'!$B$7+'요약'!$B$13*B1278,"")</x:f>
      </x:c>
    </x:row>
    <x:row r="1279">
      <x:c r="A1279" t="n">
        <x:f>1275</x:f>
        <x:v>1275</x:v>
      </x:c>
      <x:c r="B1279" s="7" t="str">
        <x:f>IF(AND('요약'!$B$20,A1279&lt;='요약'!$B$6),NORM.S.INV((A1279-0.5)/'요약'!$B$6),"")</x:f>
      </x:c>
      <x:c r="C1279" s="7" t="str">
        <x:f>IF(AND('요약'!$B$20,A1279&lt;='요약'!$B$6),LARGE('계산'!$B$2:$B$2001,'요약'!$B$6-A1279+1),"")</x:f>
      </x:c>
      <x:c r="D1279" s="7" t="str">
        <x:f>IF(ISNUMBER(B1279),'요약'!$B$7+'요약'!$B$13*B1279,"")</x:f>
      </x:c>
    </x:row>
    <x:row r="1280">
      <x:c r="A1280" t="n">
        <x:f>1276</x:f>
        <x:v>1276</x:v>
      </x:c>
      <x:c r="B1280" s="7" t="str">
        <x:f>IF(AND('요약'!$B$20,A1280&lt;='요약'!$B$6),NORM.S.INV((A1280-0.5)/'요약'!$B$6),"")</x:f>
      </x:c>
      <x:c r="C1280" s="7" t="str">
        <x:f>IF(AND('요약'!$B$20,A1280&lt;='요약'!$B$6),LARGE('계산'!$B$2:$B$2001,'요약'!$B$6-A1280+1),"")</x:f>
      </x:c>
      <x:c r="D1280" s="7" t="str">
        <x:f>IF(ISNUMBER(B1280),'요약'!$B$7+'요약'!$B$13*B1280,"")</x:f>
      </x:c>
    </x:row>
    <x:row r="1281">
      <x:c r="A1281" t="n">
        <x:f>1277</x:f>
        <x:v>1277</x:v>
      </x:c>
      <x:c r="B1281" s="7" t="str">
        <x:f>IF(AND('요약'!$B$20,A1281&lt;='요약'!$B$6),NORM.S.INV((A1281-0.5)/'요약'!$B$6),"")</x:f>
      </x:c>
      <x:c r="C1281" s="7" t="str">
        <x:f>IF(AND('요약'!$B$20,A1281&lt;='요약'!$B$6),LARGE('계산'!$B$2:$B$2001,'요약'!$B$6-A1281+1),"")</x:f>
      </x:c>
      <x:c r="D1281" s="7" t="str">
        <x:f>IF(ISNUMBER(B1281),'요약'!$B$7+'요약'!$B$13*B1281,"")</x:f>
      </x:c>
    </x:row>
    <x:row r="1282">
      <x:c r="A1282" t="n">
        <x:f>1278</x:f>
        <x:v>1278</x:v>
      </x:c>
      <x:c r="B1282" s="7" t="str">
        <x:f>IF(AND('요약'!$B$20,A1282&lt;='요약'!$B$6),NORM.S.INV((A1282-0.5)/'요약'!$B$6),"")</x:f>
      </x:c>
      <x:c r="C1282" s="7" t="str">
        <x:f>IF(AND('요약'!$B$20,A1282&lt;='요약'!$B$6),LARGE('계산'!$B$2:$B$2001,'요약'!$B$6-A1282+1),"")</x:f>
      </x:c>
      <x:c r="D1282" s="7" t="str">
        <x:f>IF(ISNUMBER(B1282),'요약'!$B$7+'요약'!$B$13*B1282,"")</x:f>
      </x:c>
    </x:row>
    <x:row r="1283">
      <x:c r="A1283" t="n">
        <x:f>1279</x:f>
        <x:v>1279</x:v>
      </x:c>
      <x:c r="B1283" s="7" t="str">
        <x:f>IF(AND('요약'!$B$20,A1283&lt;='요약'!$B$6),NORM.S.INV((A1283-0.5)/'요약'!$B$6),"")</x:f>
      </x:c>
      <x:c r="C1283" s="7" t="str">
        <x:f>IF(AND('요약'!$B$20,A1283&lt;='요약'!$B$6),LARGE('계산'!$B$2:$B$2001,'요약'!$B$6-A1283+1),"")</x:f>
      </x:c>
      <x:c r="D1283" s="7" t="str">
        <x:f>IF(ISNUMBER(B1283),'요약'!$B$7+'요약'!$B$13*B1283,"")</x:f>
      </x:c>
    </x:row>
    <x:row r="1284">
      <x:c r="A1284" t="n">
        <x:f>1280</x:f>
        <x:v>1280</x:v>
      </x:c>
      <x:c r="B1284" s="7" t="str">
        <x:f>IF(AND('요약'!$B$20,A1284&lt;='요약'!$B$6),NORM.S.INV((A1284-0.5)/'요약'!$B$6),"")</x:f>
      </x:c>
      <x:c r="C1284" s="7" t="str">
        <x:f>IF(AND('요약'!$B$20,A1284&lt;='요약'!$B$6),LARGE('계산'!$B$2:$B$2001,'요약'!$B$6-A1284+1),"")</x:f>
      </x:c>
      <x:c r="D1284" s="7" t="str">
        <x:f>IF(ISNUMBER(B1284),'요약'!$B$7+'요약'!$B$13*B1284,"")</x:f>
      </x:c>
    </x:row>
    <x:row r="1285">
      <x:c r="A1285" t="n">
        <x:f>1281</x:f>
        <x:v>1281</x:v>
      </x:c>
      <x:c r="B1285" s="7" t="str">
        <x:f>IF(AND('요약'!$B$20,A1285&lt;='요약'!$B$6),NORM.S.INV((A1285-0.5)/'요약'!$B$6),"")</x:f>
      </x:c>
      <x:c r="C1285" s="7" t="str">
        <x:f>IF(AND('요약'!$B$20,A1285&lt;='요약'!$B$6),LARGE('계산'!$B$2:$B$2001,'요약'!$B$6-A1285+1),"")</x:f>
      </x:c>
      <x:c r="D1285" s="7" t="str">
        <x:f>IF(ISNUMBER(B1285),'요약'!$B$7+'요약'!$B$13*B1285,"")</x:f>
      </x:c>
    </x:row>
    <x:row r="1286">
      <x:c r="A1286" t="n">
        <x:f>1282</x:f>
        <x:v>1282</x:v>
      </x:c>
      <x:c r="B1286" s="7" t="str">
        <x:f>IF(AND('요약'!$B$20,A1286&lt;='요약'!$B$6),NORM.S.INV((A1286-0.5)/'요약'!$B$6),"")</x:f>
      </x:c>
      <x:c r="C1286" s="7" t="str">
        <x:f>IF(AND('요약'!$B$20,A1286&lt;='요약'!$B$6),LARGE('계산'!$B$2:$B$2001,'요약'!$B$6-A1286+1),"")</x:f>
      </x:c>
      <x:c r="D1286" s="7" t="str">
        <x:f>IF(ISNUMBER(B1286),'요약'!$B$7+'요약'!$B$13*B1286,"")</x:f>
      </x:c>
    </x:row>
    <x:row r="1287">
      <x:c r="A1287" t="n">
        <x:f>1283</x:f>
        <x:v>1283</x:v>
      </x:c>
      <x:c r="B1287" s="7" t="str">
        <x:f>IF(AND('요약'!$B$20,A1287&lt;='요약'!$B$6),NORM.S.INV((A1287-0.5)/'요약'!$B$6),"")</x:f>
      </x:c>
      <x:c r="C1287" s="7" t="str">
        <x:f>IF(AND('요약'!$B$20,A1287&lt;='요약'!$B$6),LARGE('계산'!$B$2:$B$2001,'요약'!$B$6-A1287+1),"")</x:f>
      </x:c>
      <x:c r="D1287" s="7" t="str">
        <x:f>IF(ISNUMBER(B1287),'요약'!$B$7+'요약'!$B$13*B1287,"")</x:f>
      </x:c>
    </x:row>
    <x:row r="1288">
      <x:c r="A1288" t="n">
        <x:f>1284</x:f>
        <x:v>1284</x:v>
      </x:c>
      <x:c r="B1288" s="7" t="str">
        <x:f>IF(AND('요약'!$B$20,A1288&lt;='요약'!$B$6),NORM.S.INV((A1288-0.5)/'요약'!$B$6),"")</x:f>
      </x:c>
      <x:c r="C1288" s="7" t="str">
        <x:f>IF(AND('요약'!$B$20,A1288&lt;='요약'!$B$6),LARGE('계산'!$B$2:$B$2001,'요약'!$B$6-A1288+1),"")</x:f>
      </x:c>
      <x:c r="D1288" s="7" t="str">
        <x:f>IF(ISNUMBER(B1288),'요약'!$B$7+'요약'!$B$13*B1288,"")</x:f>
      </x:c>
    </x:row>
    <x:row r="1289">
      <x:c r="A1289" t="n">
        <x:f>1285</x:f>
        <x:v>1285</x:v>
      </x:c>
      <x:c r="B1289" s="7" t="str">
        <x:f>IF(AND('요약'!$B$20,A1289&lt;='요약'!$B$6),NORM.S.INV((A1289-0.5)/'요약'!$B$6),"")</x:f>
      </x:c>
      <x:c r="C1289" s="7" t="str">
        <x:f>IF(AND('요약'!$B$20,A1289&lt;='요약'!$B$6),LARGE('계산'!$B$2:$B$2001,'요약'!$B$6-A1289+1),"")</x:f>
      </x:c>
      <x:c r="D1289" s="7" t="str">
        <x:f>IF(ISNUMBER(B1289),'요약'!$B$7+'요약'!$B$13*B1289,"")</x:f>
      </x:c>
    </x:row>
    <x:row r="1290">
      <x:c r="A1290" t="n">
        <x:f>1286</x:f>
        <x:v>1286</x:v>
      </x:c>
      <x:c r="B1290" s="7" t="str">
        <x:f>IF(AND('요약'!$B$20,A1290&lt;='요약'!$B$6),NORM.S.INV((A1290-0.5)/'요약'!$B$6),"")</x:f>
      </x:c>
      <x:c r="C1290" s="7" t="str">
        <x:f>IF(AND('요약'!$B$20,A1290&lt;='요약'!$B$6),LARGE('계산'!$B$2:$B$2001,'요약'!$B$6-A1290+1),"")</x:f>
      </x:c>
      <x:c r="D1290" s="7" t="str">
        <x:f>IF(ISNUMBER(B1290),'요약'!$B$7+'요약'!$B$13*B1290,"")</x:f>
      </x:c>
    </x:row>
    <x:row r="1291">
      <x:c r="A1291" t="n">
        <x:f>1287</x:f>
        <x:v>1287</x:v>
      </x:c>
      <x:c r="B1291" s="7" t="str">
        <x:f>IF(AND('요약'!$B$20,A1291&lt;='요약'!$B$6),NORM.S.INV((A1291-0.5)/'요약'!$B$6),"")</x:f>
      </x:c>
      <x:c r="C1291" s="7" t="str">
        <x:f>IF(AND('요약'!$B$20,A1291&lt;='요약'!$B$6),LARGE('계산'!$B$2:$B$2001,'요약'!$B$6-A1291+1),"")</x:f>
      </x:c>
      <x:c r="D1291" s="7" t="str">
        <x:f>IF(ISNUMBER(B1291),'요약'!$B$7+'요약'!$B$13*B1291,"")</x:f>
      </x:c>
    </x:row>
    <x:row r="1292">
      <x:c r="A1292" t="n">
        <x:f>1288</x:f>
        <x:v>1288</x:v>
      </x:c>
      <x:c r="B1292" s="7" t="str">
        <x:f>IF(AND('요약'!$B$20,A1292&lt;='요약'!$B$6),NORM.S.INV((A1292-0.5)/'요약'!$B$6),"")</x:f>
      </x:c>
      <x:c r="C1292" s="7" t="str">
        <x:f>IF(AND('요약'!$B$20,A1292&lt;='요약'!$B$6),LARGE('계산'!$B$2:$B$2001,'요약'!$B$6-A1292+1),"")</x:f>
      </x:c>
      <x:c r="D1292" s="7" t="str">
        <x:f>IF(ISNUMBER(B1292),'요약'!$B$7+'요약'!$B$13*B1292,"")</x:f>
      </x:c>
    </x:row>
    <x:row r="1293">
      <x:c r="A1293" t="n">
        <x:f>1289</x:f>
        <x:v>1289</x:v>
      </x:c>
      <x:c r="B1293" s="7" t="str">
        <x:f>IF(AND('요약'!$B$20,A1293&lt;='요약'!$B$6),NORM.S.INV((A1293-0.5)/'요약'!$B$6),"")</x:f>
      </x:c>
      <x:c r="C1293" s="7" t="str">
        <x:f>IF(AND('요약'!$B$20,A1293&lt;='요약'!$B$6),LARGE('계산'!$B$2:$B$2001,'요약'!$B$6-A1293+1),"")</x:f>
      </x:c>
      <x:c r="D1293" s="7" t="str">
        <x:f>IF(ISNUMBER(B1293),'요약'!$B$7+'요약'!$B$13*B1293,"")</x:f>
      </x:c>
    </x:row>
    <x:row r="1294">
      <x:c r="A1294" t="n">
        <x:f>1290</x:f>
        <x:v>1290</x:v>
      </x:c>
      <x:c r="B1294" s="7" t="str">
        <x:f>IF(AND('요약'!$B$20,A1294&lt;='요약'!$B$6),NORM.S.INV((A1294-0.5)/'요약'!$B$6),"")</x:f>
      </x:c>
      <x:c r="C1294" s="7" t="str">
        <x:f>IF(AND('요약'!$B$20,A1294&lt;='요약'!$B$6),LARGE('계산'!$B$2:$B$2001,'요약'!$B$6-A1294+1),"")</x:f>
      </x:c>
      <x:c r="D1294" s="7" t="str">
        <x:f>IF(ISNUMBER(B1294),'요약'!$B$7+'요약'!$B$13*B1294,"")</x:f>
      </x:c>
    </x:row>
    <x:row r="1295">
      <x:c r="A1295" t="n">
        <x:f>1291</x:f>
        <x:v>1291</x:v>
      </x:c>
      <x:c r="B1295" s="7" t="str">
        <x:f>IF(AND('요약'!$B$20,A1295&lt;='요약'!$B$6),NORM.S.INV((A1295-0.5)/'요약'!$B$6),"")</x:f>
      </x:c>
      <x:c r="C1295" s="7" t="str">
        <x:f>IF(AND('요약'!$B$20,A1295&lt;='요약'!$B$6),LARGE('계산'!$B$2:$B$2001,'요약'!$B$6-A1295+1),"")</x:f>
      </x:c>
      <x:c r="D1295" s="7" t="str">
        <x:f>IF(ISNUMBER(B1295),'요약'!$B$7+'요약'!$B$13*B1295,"")</x:f>
      </x:c>
    </x:row>
    <x:row r="1296">
      <x:c r="A1296" t="n">
        <x:f>1292</x:f>
        <x:v>1292</x:v>
      </x:c>
      <x:c r="B1296" s="7" t="str">
        <x:f>IF(AND('요약'!$B$20,A1296&lt;='요약'!$B$6),NORM.S.INV((A1296-0.5)/'요약'!$B$6),"")</x:f>
      </x:c>
      <x:c r="C1296" s="7" t="str">
        <x:f>IF(AND('요약'!$B$20,A1296&lt;='요약'!$B$6),LARGE('계산'!$B$2:$B$2001,'요약'!$B$6-A1296+1),"")</x:f>
      </x:c>
      <x:c r="D1296" s="7" t="str">
        <x:f>IF(ISNUMBER(B1296),'요약'!$B$7+'요약'!$B$13*B1296,"")</x:f>
      </x:c>
    </x:row>
    <x:row r="1297">
      <x:c r="A1297" t="n">
        <x:f>1293</x:f>
        <x:v>1293</x:v>
      </x:c>
      <x:c r="B1297" s="7" t="str">
        <x:f>IF(AND('요약'!$B$20,A1297&lt;='요약'!$B$6),NORM.S.INV((A1297-0.5)/'요약'!$B$6),"")</x:f>
      </x:c>
      <x:c r="C1297" s="7" t="str">
        <x:f>IF(AND('요약'!$B$20,A1297&lt;='요약'!$B$6),LARGE('계산'!$B$2:$B$2001,'요약'!$B$6-A1297+1),"")</x:f>
      </x:c>
      <x:c r="D1297" s="7" t="str">
        <x:f>IF(ISNUMBER(B1297),'요약'!$B$7+'요약'!$B$13*B1297,"")</x:f>
      </x:c>
    </x:row>
    <x:row r="1298">
      <x:c r="A1298" t="n">
        <x:f>1294</x:f>
        <x:v>1294</x:v>
      </x:c>
      <x:c r="B1298" s="7" t="str">
        <x:f>IF(AND('요약'!$B$20,A1298&lt;='요약'!$B$6),NORM.S.INV((A1298-0.5)/'요약'!$B$6),"")</x:f>
      </x:c>
      <x:c r="C1298" s="7" t="str">
        <x:f>IF(AND('요약'!$B$20,A1298&lt;='요약'!$B$6),LARGE('계산'!$B$2:$B$2001,'요약'!$B$6-A1298+1),"")</x:f>
      </x:c>
      <x:c r="D1298" s="7" t="str">
        <x:f>IF(ISNUMBER(B1298),'요약'!$B$7+'요약'!$B$13*B1298,"")</x:f>
      </x:c>
    </x:row>
    <x:row r="1299">
      <x:c r="A1299" t="n">
        <x:f>1295</x:f>
        <x:v>1295</x:v>
      </x:c>
      <x:c r="B1299" s="7" t="str">
        <x:f>IF(AND('요약'!$B$20,A1299&lt;='요약'!$B$6),NORM.S.INV((A1299-0.5)/'요약'!$B$6),"")</x:f>
      </x:c>
      <x:c r="C1299" s="7" t="str">
        <x:f>IF(AND('요약'!$B$20,A1299&lt;='요약'!$B$6),LARGE('계산'!$B$2:$B$2001,'요약'!$B$6-A1299+1),"")</x:f>
      </x:c>
      <x:c r="D1299" s="7" t="str">
        <x:f>IF(ISNUMBER(B1299),'요약'!$B$7+'요약'!$B$13*B1299,"")</x:f>
      </x:c>
    </x:row>
    <x:row r="1300">
      <x:c r="A1300" t="n">
        <x:f>1296</x:f>
        <x:v>1296</x:v>
      </x:c>
      <x:c r="B1300" s="7" t="str">
        <x:f>IF(AND('요약'!$B$20,A1300&lt;='요약'!$B$6),NORM.S.INV((A1300-0.5)/'요약'!$B$6),"")</x:f>
      </x:c>
      <x:c r="C1300" s="7" t="str">
        <x:f>IF(AND('요약'!$B$20,A1300&lt;='요약'!$B$6),LARGE('계산'!$B$2:$B$2001,'요약'!$B$6-A1300+1),"")</x:f>
      </x:c>
      <x:c r="D1300" s="7" t="str">
        <x:f>IF(ISNUMBER(B1300),'요약'!$B$7+'요약'!$B$13*B1300,"")</x:f>
      </x:c>
    </x:row>
    <x:row r="1301">
      <x:c r="A1301" t="n">
        <x:f>1297</x:f>
        <x:v>1297</x:v>
      </x:c>
      <x:c r="B1301" s="7" t="str">
        <x:f>IF(AND('요약'!$B$20,A1301&lt;='요약'!$B$6),NORM.S.INV((A1301-0.5)/'요약'!$B$6),"")</x:f>
      </x:c>
      <x:c r="C1301" s="7" t="str">
        <x:f>IF(AND('요약'!$B$20,A1301&lt;='요약'!$B$6),LARGE('계산'!$B$2:$B$2001,'요약'!$B$6-A1301+1),"")</x:f>
      </x:c>
      <x:c r="D1301" s="7" t="str">
        <x:f>IF(ISNUMBER(B1301),'요약'!$B$7+'요약'!$B$13*B1301,"")</x:f>
      </x:c>
    </x:row>
    <x:row r="1302">
      <x:c r="A1302" t="n">
        <x:f>1298</x:f>
        <x:v>1298</x:v>
      </x:c>
      <x:c r="B1302" s="7" t="str">
        <x:f>IF(AND('요약'!$B$20,A1302&lt;='요약'!$B$6),NORM.S.INV((A1302-0.5)/'요약'!$B$6),"")</x:f>
      </x:c>
      <x:c r="C1302" s="7" t="str">
        <x:f>IF(AND('요약'!$B$20,A1302&lt;='요약'!$B$6),LARGE('계산'!$B$2:$B$2001,'요약'!$B$6-A1302+1),"")</x:f>
      </x:c>
      <x:c r="D1302" s="7" t="str">
        <x:f>IF(ISNUMBER(B1302),'요약'!$B$7+'요약'!$B$13*B1302,"")</x:f>
      </x:c>
    </x:row>
    <x:row r="1303">
      <x:c r="A1303" t="n">
        <x:f>1299</x:f>
        <x:v>1299</x:v>
      </x:c>
      <x:c r="B1303" s="7" t="str">
        <x:f>IF(AND('요약'!$B$20,A1303&lt;='요약'!$B$6),NORM.S.INV((A1303-0.5)/'요약'!$B$6),"")</x:f>
      </x:c>
      <x:c r="C1303" s="7" t="str">
        <x:f>IF(AND('요약'!$B$20,A1303&lt;='요약'!$B$6),LARGE('계산'!$B$2:$B$2001,'요약'!$B$6-A1303+1),"")</x:f>
      </x:c>
      <x:c r="D1303" s="7" t="str">
        <x:f>IF(ISNUMBER(B1303),'요약'!$B$7+'요약'!$B$13*B1303,"")</x:f>
      </x:c>
    </x:row>
    <x:row r="1304">
      <x:c r="A1304" t="n">
        <x:f>1300</x:f>
        <x:v>1300</x:v>
      </x:c>
      <x:c r="B1304" s="7" t="str">
        <x:f>IF(AND('요약'!$B$20,A1304&lt;='요약'!$B$6),NORM.S.INV((A1304-0.5)/'요약'!$B$6),"")</x:f>
      </x:c>
      <x:c r="C1304" s="7" t="str">
        <x:f>IF(AND('요약'!$B$20,A1304&lt;='요약'!$B$6),LARGE('계산'!$B$2:$B$2001,'요약'!$B$6-A1304+1),"")</x:f>
      </x:c>
      <x:c r="D1304" s="7" t="str">
        <x:f>IF(ISNUMBER(B1304),'요약'!$B$7+'요약'!$B$13*B1304,"")</x:f>
      </x:c>
    </x:row>
    <x:row r="1305">
      <x:c r="A1305" t="n">
        <x:f>1301</x:f>
        <x:v>1301</x:v>
      </x:c>
      <x:c r="B1305" s="7" t="str">
        <x:f>IF(AND('요약'!$B$20,A1305&lt;='요약'!$B$6),NORM.S.INV((A1305-0.5)/'요약'!$B$6),"")</x:f>
      </x:c>
      <x:c r="C1305" s="7" t="str">
        <x:f>IF(AND('요약'!$B$20,A1305&lt;='요약'!$B$6),LARGE('계산'!$B$2:$B$2001,'요약'!$B$6-A1305+1),"")</x:f>
      </x:c>
      <x:c r="D1305" s="7" t="str">
        <x:f>IF(ISNUMBER(B1305),'요약'!$B$7+'요약'!$B$13*B1305,"")</x:f>
      </x:c>
    </x:row>
    <x:row r="1306">
      <x:c r="A1306" t="n">
        <x:f>1302</x:f>
        <x:v>1302</x:v>
      </x:c>
      <x:c r="B1306" s="7" t="str">
        <x:f>IF(AND('요약'!$B$20,A1306&lt;='요약'!$B$6),NORM.S.INV((A1306-0.5)/'요약'!$B$6),"")</x:f>
      </x:c>
      <x:c r="C1306" s="7" t="str">
        <x:f>IF(AND('요약'!$B$20,A1306&lt;='요약'!$B$6),LARGE('계산'!$B$2:$B$2001,'요약'!$B$6-A1306+1),"")</x:f>
      </x:c>
      <x:c r="D1306" s="7" t="str">
        <x:f>IF(ISNUMBER(B1306),'요약'!$B$7+'요약'!$B$13*B1306,"")</x:f>
      </x:c>
    </x:row>
    <x:row r="1307">
      <x:c r="A1307" t="n">
        <x:f>1303</x:f>
        <x:v>1303</x:v>
      </x:c>
      <x:c r="B1307" s="7" t="str">
        <x:f>IF(AND('요약'!$B$20,A1307&lt;='요약'!$B$6),NORM.S.INV((A1307-0.5)/'요약'!$B$6),"")</x:f>
      </x:c>
      <x:c r="C1307" s="7" t="str">
        <x:f>IF(AND('요약'!$B$20,A1307&lt;='요약'!$B$6),LARGE('계산'!$B$2:$B$2001,'요약'!$B$6-A1307+1),"")</x:f>
      </x:c>
      <x:c r="D1307" s="7" t="str">
        <x:f>IF(ISNUMBER(B1307),'요약'!$B$7+'요약'!$B$13*B1307,"")</x:f>
      </x:c>
    </x:row>
    <x:row r="1308">
      <x:c r="A1308" t="n">
        <x:f>1304</x:f>
        <x:v>1304</x:v>
      </x:c>
      <x:c r="B1308" s="7" t="str">
        <x:f>IF(AND('요약'!$B$20,A1308&lt;='요약'!$B$6),NORM.S.INV((A1308-0.5)/'요약'!$B$6),"")</x:f>
      </x:c>
      <x:c r="C1308" s="7" t="str">
        <x:f>IF(AND('요약'!$B$20,A1308&lt;='요약'!$B$6),LARGE('계산'!$B$2:$B$2001,'요약'!$B$6-A1308+1),"")</x:f>
      </x:c>
      <x:c r="D1308" s="7" t="str">
        <x:f>IF(ISNUMBER(B1308),'요약'!$B$7+'요약'!$B$13*B1308,"")</x:f>
      </x:c>
    </x:row>
    <x:row r="1309">
      <x:c r="A1309" t="n">
        <x:f>1305</x:f>
        <x:v>1305</x:v>
      </x:c>
      <x:c r="B1309" s="7" t="str">
        <x:f>IF(AND('요약'!$B$20,A1309&lt;='요약'!$B$6),NORM.S.INV((A1309-0.5)/'요약'!$B$6),"")</x:f>
      </x:c>
      <x:c r="C1309" s="7" t="str">
        <x:f>IF(AND('요약'!$B$20,A1309&lt;='요약'!$B$6),LARGE('계산'!$B$2:$B$2001,'요약'!$B$6-A1309+1),"")</x:f>
      </x:c>
      <x:c r="D1309" s="7" t="str">
        <x:f>IF(ISNUMBER(B1309),'요약'!$B$7+'요약'!$B$13*B1309,"")</x:f>
      </x:c>
    </x:row>
    <x:row r="1310">
      <x:c r="A1310" t="n">
        <x:f>1306</x:f>
        <x:v>1306</x:v>
      </x:c>
      <x:c r="B1310" s="7" t="str">
        <x:f>IF(AND('요약'!$B$20,A1310&lt;='요약'!$B$6),NORM.S.INV((A1310-0.5)/'요약'!$B$6),"")</x:f>
      </x:c>
      <x:c r="C1310" s="7" t="str">
        <x:f>IF(AND('요약'!$B$20,A1310&lt;='요약'!$B$6),LARGE('계산'!$B$2:$B$2001,'요약'!$B$6-A1310+1),"")</x:f>
      </x:c>
      <x:c r="D1310" s="7" t="str">
        <x:f>IF(ISNUMBER(B1310),'요약'!$B$7+'요약'!$B$13*B1310,"")</x:f>
      </x:c>
    </x:row>
    <x:row r="1311">
      <x:c r="A1311" t="n">
        <x:f>1307</x:f>
        <x:v>1307</x:v>
      </x:c>
      <x:c r="B1311" s="7" t="str">
        <x:f>IF(AND('요약'!$B$20,A1311&lt;='요약'!$B$6),NORM.S.INV((A1311-0.5)/'요약'!$B$6),"")</x:f>
      </x:c>
      <x:c r="C1311" s="7" t="str">
        <x:f>IF(AND('요약'!$B$20,A1311&lt;='요약'!$B$6),LARGE('계산'!$B$2:$B$2001,'요약'!$B$6-A1311+1),"")</x:f>
      </x:c>
      <x:c r="D1311" s="7" t="str">
        <x:f>IF(ISNUMBER(B1311),'요약'!$B$7+'요약'!$B$13*B1311,"")</x:f>
      </x:c>
    </x:row>
    <x:row r="1312">
      <x:c r="A1312" t="n">
        <x:f>1308</x:f>
        <x:v>1308</x:v>
      </x:c>
      <x:c r="B1312" s="7" t="str">
        <x:f>IF(AND('요약'!$B$20,A1312&lt;='요약'!$B$6),NORM.S.INV((A1312-0.5)/'요약'!$B$6),"")</x:f>
      </x:c>
      <x:c r="C1312" s="7" t="str">
        <x:f>IF(AND('요약'!$B$20,A1312&lt;='요약'!$B$6),LARGE('계산'!$B$2:$B$2001,'요약'!$B$6-A1312+1),"")</x:f>
      </x:c>
      <x:c r="D1312" s="7" t="str">
        <x:f>IF(ISNUMBER(B1312),'요약'!$B$7+'요약'!$B$13*B1312,"")</x:f>
      </x:c>
    </x:row>
    <x:row r="1313">
      <x:c r="A1313" t="n">
        <x:f>1309</x:f>
        <x:v>1309</x:v>
      </x:c>
      <x:c r="B1313" s="7" t="str">
        <x:f>IF(AND('요약'!$B$20,A1313&lt;='요약'!$B$6),NORM.S.INV((A1313-0.5)/'요약'!$B$6),"")</x:f>
      </x:c>
      <x:c r="C1313" s="7" t="str">
        <x:f>IF(AND('요약'!$B$20,A1313&lt;='요약'!$B$6),LARGE('계산'!$B$2:$B$2001,'요약'!$B$6-A1313+1),"")</x:f>
      </x:c>
      <x:c r="D1313" s="7" t="str">
        <x:f>IF(ISNUMBER(B1313),'요약'!$B$7+'요약'!$B$13*B1313,"")</x:f>
      </x:c>
    </x:row>
    <x:row r="1314">
      <x:c r="A1314" t="n">
        <x:f>1310</x:f>
        <x:v>1310</x:v>
      </x:c>
      <x:c r="B1314" s="7" t="str">
        <x:f>IF(AND('요약'!$B$20,A1314&lt;='요약'!$B$6),NORM.S.INV((A1314-0.5)/'요약'!$B$6),"")</x:f>
      </x:c>
      <x:c r="C1314" s="7" t="str">
        <x:f>IF(AND('요약'!$B$20,A1314&lt;='요약'!$B$6),LARGE('계산'!$B$2:$B$2001,'요약'!$B$6-A1314+1),"")</x:f>
      </x:c>
      <x:c r="D1314" s="7" t="str">
        <x:f>IF(ISNUMBER(B1314),'요약'!$B$7+'요약'!$B$13*B1314,"")</x:f>
      </x:c>
    </x:row>
    <x:row r="1315">
      <x:c r="A1315" t="n">
        <x:f>1311</x:f>
        <x:v>1311</x:v>
      </x:c>
      <x:c r="B1315" s="7" t="str">
        <x:f>IF(AND('요약'!$B$20,A1315&lt;='요약'!$B$6),NORM.S.INV((A1315-0.5)/'요약'!$B$6),"")</x:f>
      </x:c>
      <x:c r="C1315" s="7" t="str">
        <x:f>IF(AND('요약'!$B$20,A1315&lt;='요약'!$B$6),LARGE('계산'!$B$2:$B$2001,'요약'!$B$6-A1315+1),"")</x:f>
      </x:c>
      <x:c r="D1315" s="7" t="str">
        <x:f>IF(ISNUMBER(B1315),'요약'!$B$7+'요약'!$B$13*B1315,"")</x:f>
      </x:c>
    </x:row>
    <x:row r="1316">
      <x:c r="A1316" t="n">
        <x:f>1312</x:f>
        <x:v>1312</x:v>
      </x:c>
      <x:c r="B1316" s="7" t="str">
        <x:f>IF(AND('요약'!$B$20,A1316&lt;='요약'!$B$6),NORM.S.INV((A1316-0.5)/'요약'!$B$6),"")</x:f>
      </x:c>
      <x:c r="C1316" s="7" t="str">
        <x:f>IF(AND('요약'!$B$20,A1316&lt;='요약'!$B$6),LARGE('계산'!$B$2:$B$2001,'요약'!$B$6-A1316+1),"")</x:f>
      </x:c>
      <x:c r="D1316" s="7" t="str">
        <x:f>IF(ISNUMBER(B1316),'요약'!$B$7+'요약'!$B$13*B1316,"")</x:f>
      </x:c>
    </x:row>
    <x:row r="1317">
      <x:c r="A1317" t="n">
        <x:f>1313</x:f>
        <x:v>1313</x:v>
      </x:c>
      <x:c r="B1317" s="7" t="str">
        <x:f>IF(AND('요약'!$B$20,A1317&lt;='요약'!$B$6),NORM.S.INV((A1317-0.5)/'요약'!$B$6),"")</x:f>
      </x:c>
      <x:c r="C1317" s="7" t="str">
        <x:f>IF(AND('요약'!$B$20,A1317&lt;='요약'!$B$6),LARGE('계산'!$B$2:$B$2001,'요약'!$B$6-A1317+1),"")</x:f>
      </x:c>
      <x:c r="D1317" s="7" t="str">
        <x:f>IF(ISNUMBER(B1317),'요약'!$B$7+'요약'!$B$13*B1317,"")</x:f>
      </x:c>
    </x:row>
    <x:row r="1318">
      <x:c r="A1318" t="n">
        <x:f>1314</x:f>
        <x:v>1314</x:v>
      </x:c>
      <x:c r="B1318" s="7" t="str">
        <x:f>IF(AND('요약'!$B$20,A1318&lt;='요약'!$B$6),NORM.S.INV((A1318-0.5)/'요약'!$B$6),"")</x:f>
      </x:c>
      <x:c r="C1318" s="7" t="str">
        <x:f>IF(AND('요약'!$B$20,A1318&lt;='요약'!$B$6),LARGE('계산'!$B$2:$B$2001,'요약'!$B$6-A1318+1),"")</x:f>
      </x:c>
      <x:c r="D1318" s="7" t="str">
        <x:f>IF(ISNUMBER(B1318),'요약'!$B$7+'요약'!$B$13*B1318,"")</x:f>
      </x:c>
    </x:row>
    <x:row r="1319">
      <x:c r="A1319" t="n">
        <x:f>1315</x:f>
        <x:v>1315</x:v>
      </x:c>
      <x:c r="B1319" s="7" t="str">
        <x:f>IF(AND('요약'!$B$20,A1319&lt;='요약'!$B$6),NORM.S.INV((A1319-0.5)/'요약'!$B$6),"")</x:f>
      </x:c>
      <x:c r="C1319" s="7" t="str">
        <x:f>IF(AND('요약'!$B$20,A1319&lt;='요약'!$B$6),LARGE('계산'!$B$2:$B$2001,'요약'!$B$6-A1319+1),"")</x:f>
      </x:c>
      <x:c r="D1319" s="7" t="str">
        <x:f>IF(ISNUMBER(B1319),'요약'!$B$7+'요약'!$B$13*B1319,"")</x:f>
      </x:c>
    </x:row>
    <x:row r="1320">
      <x:c r="A1320" t="n">
        <x:f>1316</x:f>
        <x:v>1316</x:v>
      </x:c>
      <x:c r="B1320" s="7" t="str">
        <x:f>IF(AND('요약'!$B$20,A1320&lt;='요약'!$B$6),NORM.S.INV((A1320-0.5)/'요약'!$B$6),"")</x:f>
      </x:c>
      <x:c r="C1320" s="7" t="str">
        <x:f>IF(AND('요약'!$B$20,A1320&lt;='요약'!$B$6),LARGE('계산'!$B$2:$B$2001,'요약'!$B$6-A1320+1),"")</x:f>
      </x:c>
      <x:c r="D1320" s="7" t="str">
        <x:f>IF(ISNUMBER(B1320),'요약'!$B$7+'요약'!$B$13*B1320,"")</x:f>
      </x:c>
    </x:row>
    <x:row r="1321">
      <x:c r="A1321" t="n">
        <x:f>1317</x:f>
        <x:v>1317</x:v>
      </x:c>
      <x:c r="B1321" s="7" t="str">
        <x:f>IF(AND('요약'!$B$20,A1321&lt;='요약'!$B$6),NORM.S.INV((A1321-0.5)/'요약'!$B$6),"")</x:f>
      </x:c>
      <x:c r="C1321" s="7" t="str">
        <x:f>IF(AND('요약'!$B$20,A1321&lt;='요약'!$B$6),LARGE('계산'!$B$2:$B$2001,'요약'!$B$6-A1321+1),"")</x:f>
      </x:c>
      <x:c r="D1321" s="7" t="str">
        <x:f>IF(ISNUMBER(B1321),'요약'!$B$7+'요약'!$B$13*B1321,"")</x:f>
      </x:c>
    </x:row>
    <x:row r="1322">
      <x:c r="A1322" t="n">
        <x:f>1318</x:f>
        <x:v>1318</x:v>
      </x:c>
      <x:c r="B1322" s="7" t="str">
        <x:f>IF(AND('요약'!$B$20,A1322&lt;='요약'!$B$6),NORM.S.INV((A1322-0.5)/'요약'!$B$6),"")</x:f>
      </x:c>
      <x:c r="C1322" s="7" t="str">
        <x:f>IF(AND('요약'!$B$20,A1322&lt;='요약'!$B$6),LARGE('계산'!$B$2:$B$2001,'요약'!$B$6-A1322+1),"")</x:f>
      </x:c>
      <x:c r="D1322" s="7" t="str">
        <x:f>IF(ISNUMBER(B1322),'요약'!$B$7+'요약'!$B$13*B1322,"")</x:f>
      </x:c>
    </x:row>
    <x:row r="1323">
      <x:c r="A1323" t="n">
        <x:f>1319</x:f>
        <x:v>1319</x:v>
      </x:c>
      <x:c r="B1323" s="7" t="str">
        <x:f>IF(AND('요약'!$B$20,A1323&lt;='요약'!$B$6),NORM.S.INV((A1323-0.5)/'요약'!$B$6),"")</x:f>
      </x:c>
      <x:c r="C1323" s="7" t="str">
        <x:f>IF(AND('요약'!$B$20,A1323&lt;='요약'!$B$6),LARGE('계산'!$B$2:$B$2001,'요약'!$B$6-A1323+1),"")</x:f>
      </x:c>
      <x:c r="D1323" s="7" t="str">
        <x:f>IF(ISNUMBER(B1323),'요약'!$B$7+'요약'!$B$13*B1323,"")</x:f>
      </x:c>
    </x:row>
    <x:row r="1324">
      <x:c r="A1324" t="n">
        <x:f>1320</x:f>
        <x:v>1320</x:v>
      </x:c>
      <x:c r="B1324" s="7" t="str">
        <x:f>IF(AND('요약'!$B$20,A1324&lt;='요약'!$B$6),NORM.S.INV((A1324-0.5)/'요약'!$B$6),"")</x:f>
      </x:c>
      <x:c r="C1324" s="7" t="str">
        <x:f>IF(AND('요약'!$B$20,A1324&lt;='요약'!$B$6),LARGE('계산'!$B$2:$B$2001,'요약'!$B$6-A1324+1),"")</x:f>
      </x:c>
      <x:c r="D1324" s="7" t="str">
        <x:f>IF(ISNUMBER(B1324),'요약'!$B$7+'요약'!$B$13*B1324,"")</x:f>
      </x:c>
    </x:row>
    <x:row r="1325">
      <x:c r="A1325" t="n">
        <x:f>1321</x:f>
        <x:v>1321</x:v>
      </x:c>
      <x:c r="B1325" s="7" t="str">
        <x:f>IF(AND('요약'!$B$20,A1325&lt;='요약'!$B$6),NORM.S.INV((A1325-0.5)/'요약'!$B$6),"")</x:f>
      </x:c>
      <x:c r="C1325" s="7" t="str">
        <x:f>IF(AND('요약'!$B$20,A1325&lt;='요약'!$B$6),LARGE('계산'!$B$2:$B$2001,'요약'!$B$6-A1325+1),"")</x:f>
      </x:c>
      <x:c r="D1325" s="7" t="str">
        <x:f>IF(ISNUMBER(B1325),'요약'!$B$7+'요약'!$B$13*B1325,"")</x:f>
      </x:c>
    </x:row>
    <x:row r="1326">
      <x:c r="A1326" t="n">
        <x:f>1322</x:f>
        <x:v>1322</x:v>
      </x:c>
      <x:c r="B1326" s="7" t="str">
        <x:f>IF(AND('요약'!$B$20,A1326&lt;='요약'!$B$6),NORM.S.INV((A1326-0.5)/'요약'!$B$6),"")</x:f>
      </x:c>
      <x:c r="C1326" s="7" t="str">
        <x:f>IF(AND('요약'!$B$20,A1326&lt;='요약'!$B$6),LARGE('계산'!$B$2:$B$2001,'요약'!$B$6-A1326+1),"")</x:f>
      </x:c>
      <x:c r="D1326" s="7" t="str">
        <x:f>IF(ISNUMBER(B1326),'요약'!$B$7+'요약'!$B$13*B1326,"")</x:f>
      </x:c>
    </x:row>
    <x:row r="1327">
      <x:c r="A1327" t="n">
        <x:f>1323</x:f>
        <x:v>1323</x:v>
      </x:c>
      <x:c r="B1327" s="7" t="str">
        <x:f>IF(AND('요약'!$B$20,A1327&lt;='요약'!$B$6),NORM.S.INV((A1327-0.5)/'요약'!$B$6),"")</x:f>
      </x:c>
      <x:c r="C1327" s="7" t="str">
        <x:f>IF(AND('요약'!$B$20,A1327&lt;='요약'!$B$6),LARGE('계산'!$B$2:$B$2001,'요약'!$B$6-A1327+1),"")</x:f>
      </x:c>
      <x:c r="D1327" s="7" t="str">
        <x:f>IF(ISNUMBER(B1327),'요약'!$B$7+'요약'!$B$13*B1327,"")</x:f>
      </x:c>
    </x:row>
    <x:row r="1328">
      <x:c r="A1328" t="n">
        <x:f>1324</x:f>
        <x:v>1324</x:v>
      </x:c>
      <x:c r="B1328" s="7" t="str">
        <x:f>IF(AND('요약'!$B$20,A1328&lt;='요약'!$B$6),NORM.S.INV((A1328-0.5)/'요약'!$B$6),"")</x:f>
      </x:c>
      <x:c r="C1328" s="7" t="str">
        <x:f>IF(AND('요약'!$B$20,A1328&lt;='요약'!$B$6),LARGE('계산'!$B$2:$B$2001,'요약'!$B$6-A1328+1),"")</x:f>
      </x:c>
      <x:c r="D1328" s="7" t="str">
        <x:f>IF(ISNUMBER(B1328),'요약'!$B$7+'요약'!$B$13*B1328,"")</x:f>
      </x:c>
    </x:row>
    <x:row r="1329">
      <x:c r="A1329" t="n">
        <x:f>1325</x:f>
        <x:v>1325</x:v>
      </x:c>
      <x:c r="B1329" s="7" t="str">
        <x:f>IF(AND('요약'!$B$20,A1329&lt;='요약'!$B$6),NORM.S.INV((A1329-0.5)/'요약'!$B$6),"")</x:f>
      </x:c>
      <x:c r="C1329" s="7" t="str">
        <x:f>IF(AND('요약'!$B$20,A1329&lt;='요약'!$B$6),LARGE('계산'!$B$2:$B$2001,'요약'!$B$6-A1329+1),"")</x:f>
      </x:c>
      <x:c r="D1329" s="7" t="str">
        <x:f>IF(ISNUMBER(B1329),'요약'!$B$7+'요약'!$B$13*B1329,"")</x:f>
      </x:c>
    </x:row>
    <x:row r="1330">
      <x:c r="A1330" t="n">
        <x:f>1326</x:f>
        <x:v>1326</x:v>
      </x:c>
      <x:c r="B1330" s="7" t="str">
        <x:f>IF(AND('요약'!$B$20,A1330&lt;='요약'!$B$6),NORM.S.INV((A1330-0.5)/'요약'!$B$6),"")</x:f>
      </x:c>
      <x:c r="C1330" s="7" t="str">
        <x:f>IF(AND('요약'!$B$20,A1330&lt;='요약'!$B$6),LARGE('계산'!$B$2:$B$2001,'요약'!$B$6-A1330+1),"")</x:f>
      </x:c>
      <x:c r="D1330" s="7" t="str">
        <x:f>IF(ISNUMBER(B1330),'요약'!$B$7+'요약'!$B$13*B1330,"")</x:f>
      </x:c>
    </x:row>
    <x:row r="1331">
      <x:c r="A1331" t="n">
        <x:f>1327</x:f>
        <x:v>1327</x:v>
      </x:c>
      <x:c r="B1331" s="7" t="str">
        <x:f>IF(AND('요약'!$B$20,A1331&lt;='요약'!$B$6),NORM.S.INV((A1331-0.5)/'요약'!$B$6),"")</x:f>
      </x:c>
      <x:c r="C1331" s="7" t="str">
        <x:f>IF(AND('요약'!$B$20,A1331&lt;='요약'!$B$6),LARGE('계산'!$B$2:$B$2001,'요약'!$B$6-A1331+1),"")</x:f>
      </x:c>
      <x:c r="D1331" s="7" t="str">
        <x:f>IF(ISNUMBER(B1331),'요약'!$B$7+'요약'!$B$13*B1331,"")</x:f>
      </x:c>
    </x:row>
    <x:row r="1332">
      <x:c r="A1332" t="n">
        <x:f>1328</x:f>
        <x:v>1328</x:v>
      </x:c>
      <x:c r="B1332" s="7" t="str">
        <x:f>IF(AND('요약'!$B$20,A1332&lt;='요약'!$B$6),NORM.S.INV((A1332-0.5)/'요약'!$B$6),"")</x:f>
      </x:c>
      <x:c r="C1332" s="7" t="str">
        <x:f>IF(AND('요약'!$B$20,A1332&lt;='요약'!$B$6),LARGE('계산'!$B$2:$B$2001,'요약'!$B$6-A1332+1),"")</x:f>
      </x:c>
      <x:c r="D1332" s="7" t="str">
        <x:f>IF(ISNUMBER(B1332),'요약'!$B$7+'요약'!$B$13*B1332,"")</x:f>
      </x:c>
    </x:row>
    <x:row r="1333">
      <x:c r="A1333" t="n">
        <x:f>1329</x:f>
        <x:v>1329</x:v>
      </x:c>
      <x:c r="B1333" s="7" t="str">
        <x:f>IF(AND('요약'!$B$20,A1333&lt;='요약'!$B$6),NORM.S.INV((A1333-0.5)/'요약'!$B$6),"")</x:f>
      </x:c>
      <x:c r="C1333" s="7" t="str">
        <x:f>IF(AND('요약'!$B$20,A1333&lt;='요약'!$B$6),LARGE('계산'!$B$2:$B$2001,'요약'!$B$6-A1333+1),"")</x:f>
      </x:c>
      <x:c r="D1333" s="7" t="str">
        <x:f>IF(ISNUMBER(B1333),'요약'!$B$7+'요약'!$B$13*B1333,"")</x:f>
      </x:c>
    </x:row>
    <x:row r="1334">
      <x:c r="A1334" t="n">
        <x:f>1330</x:f>
        <x:v>1330</x:v>
      </x:c>
      <x:c r="B1334" s="7" t="str">
        <x:f>IF(AND('요약'!$B$20,A1334&lt;='요약'!$B$6),NORM.S.INV((A1334-0.5)/'요약'!$B$6),"")</x:f>
      </x:c>
      <x:c r="C1334" s="7" t="str">
        <x:f>IF(AND('요약'!$B$20,A1334&lt;='요약'!$B$6),LARGE('계산'!$B$2:$B$2001,'요약'!$B$6-A1334+1),"")</x:f>
      </x:c>
      <x:c r="D1334" s="7" t="str">
        <x:f>IF(ISNUMBER(B1334),'요약'!$B$7+'요약'!$B$13*B1334,"")</x:f>
      </x:c>
    </x:row>
    <x:row r="1335">
      <x:c r="A1335" t="n">
        <x:f>1331</x:f>
        <x:v>1331</x:v>
      </x:c>
      <x:c r="B1335" s="7" t="str">
        <x:f>IF(AND('요약'!$B$20,A1335&lt;='요약'!$B$6),NORM.S.INV((A1335-0.5)/'요약'!$B$6),"")</x:f>
      </x:c>
      <x:c r="C1335" s="7" t="str">
        <x:f>IF(AND('요약'!$B$20,A1335&lt;='요약'!$B$6),LARGE('계산'!$B$2:$B$2001,'요약'!$B$6-A1335+1),"")</x:f>
      </x:c>
      <x:c r="D1335" s="7" t="str">
        <x:f>IF(ISNUMBER(B1335),'요약'!$B$7+'요약'!$B$13*B1335,"")</x:f>
      </x:c>
    </x:row>
    <x:row r="1336">
      <x:c r="A1336" t="n">
        <x:f>1332</x:f>
        <x:v>1332</x:v>
      </x:c>
      <x:c r="B1336" s="7" t="str">
        <x:f>IF(AND('요약'!$B$20,A1336&lt;='요약'!$B$6),NORM.S.INV((A1336-0.5)/'요약'!$B$6),"")</x:f>
      </x:c>
      <x:c r="C1336" s="7" t="str">
        <x:f>IF(AND('요약'!$B$20,A1336&lt;='요약'!$B$6),LARGE('계산'!$B$2:$B$2001,'요약'!$B$6-A1336+1),"")</x:f>
      </x:c>
      <x:c r="D1336" s="7" t="str">
        <x:f>IF(ISNUMBER(B1336),'요약'!$B$7+'요약'!$B$13*B1336,"")</x:f>
      </x:c>
    </x:row>
    <x:row r="1337">
      <x:c r="A1337" t="n">
        <x:f>1333</x:f>
        <x:v>1333</x:v>
      </x:c>
      <x:c r="B1337" s="7" t="str">
        <x:f>IF(AND('요약'!$B$20,A1337&lt;='요약'!$B$6),NORM.S.INV((A1337-0.5)/'요약'!$B$6),"")</x:f>
      </x:c>
      <x:c r="C1337" s="7" t="str">
        <x:f>IF(AND('요약'!$B$20,A1337&lt;='요약'!$B$6),LARGE('계산'!$B$2:$B$2001,'요약'!$B$6-A1337+1),"")</x:f>
      </x:c>
      <x:c r="D1337" s="7" t="str">
        <x:f>IF(ISNUMBER(B1337),'요약'!$B$7+'요약'!$B$13*B1337,"")</x:f>
      </x:c>
    </x:row>
    <x:row r="1338">
      <x:c r="A1338" t="n">
        <x:f>1334</x:f>
        <x:v>1334</x:v>
      </x:c>
      <x:c r="B1338" s="7" t="str">
        <x:f>IF(AND('요약'!$B$20,A1338&lt;='요약'!$B$6),NORM.S.INV((A1338-0.5)/'요약'!$B$6),"")</x:f>
      </x:c>
      <x:c r="C1338" s="7" t="str">
        <x:f>IF(AND('요약'!$B$20,A1338&lt;='요약'!$B$6),LARGE('계산'!$B$2:$B$2001,'요약'!$B$6-A1338+1),"")</x:f>
      </x:c>
      <x:c r="D1338" s="7" t="str">
        <x:f>IF(ISNUMBER(B1338),'요약'!$B$7+'요약'!$B$13*B1338,"")</x:f>
      </x:c>
    </x:row>
    <x:row r="1339">
      <x:c r="A1339" t="n">
        <x:f>1335</x:f>
        <x:v>1335</x:v>
      </x:c>
      <x:c r="B1339" s="7" t="str">
        <x:f>IF(AND('요약'!$B$20,A1339&lt;='요약'!$B$6),NORM.S.INV((A1339-0.5)/'요약'!$B$6),"")</x:f>
      </x:c>
      <x:c r="C1339" s="7" t="str">
        <x:f>IF(AND('요약'!$B$20,A1339&lt;='요약'!$B$6),LARGE('계산'!$B$2:$B$2001,'요약'!$B$6-A1339+1),"")</x:f>
      </x:c>
      <x:c r="D1339" s="7" t="str">
        <x:f>IF(ISNUMBER(B1339),'요약'!$B$7+'요약'!$B$13*B1339,"")</x:f>
      </x:c>
    </x:row>
    <x:row r="1340">
      <x:c r="A1340" t="n">
        <x:f>1336</x:f>
        <x:v>1336</x:v>
      </x:c>
      <x:c r="B1340" s="7" t="str">
        <x:f>IF(AND('요약'!$B$20,A1340&lt;='요약'!$B$6),NORM.S.INV((A1340-0.5)/'요약'!$B$6),"")</x:f>
      </x:c>
      <x:c r="C1340" s="7" t="str">
        <x:f>IF(AND('요약'!$B$20,A1340&lt;='요약'!$B$6),LARGE('계산'!$B$2:$B$2001,'요약'!$B$6-A1340+1),"")</x:f>
      </x:c>
      <x:c r="D1340" s="7" t="str">
        <x:f>IF(ISNUMBER(B1340),'요약'!$B$7+'요약'!$B$13*B1340,"")</x:f>
      </x:c>
    </x:row>
    <x:row r="1341">
      <x:c r="A1341" t="n">
        <x:f>1337</x:f>
        <x:v>1337</x:v>
      </x:c>
      <x:c r="B1341" s="7" t="str">
        <x:f>IF(AND('요약'!$B$20,A1341&lt;='요약'!$B$6),NORM.S.INV((A1341-0.5)/'요약'!$B$6),"")</x:f>
      </x:c>
      <x:c r="C1341" s="7" t="str">
        <x:f>IF(AND('요약'!$B$20,A1341&lt;='요약'!$B$6),LARGE('계산'!$B$2:$B$2001,'요약'!$B$6-A1341+1),"")</x:f>
      </x:c>
      <x:c r="D1341" s="7" t="str">
        <x:f>IF(ISNUMBER(B1341),'요약'!$B$7+'요약'!$B$13*B1341,"")</x:f>
      </x:c>
    </x:row>
    <x:row r="1342">
      <x:c r="A1342" t="n">
        <x:f>1338</x:f>
        <x:v>1338</x:v>
      </x:c>
      <x:c r="B1342" s="7" t="str">
        <x:f>IF(AND('요약'!$B$20,A1342&lt;='요약'!$B$6),NORM.S.INV((A1342-0.5)/'요약'!$B$6),"")</x:f>
      </x:c>
      <x:c r="C1342" s="7" t="str">
        <x:f>IF(AND('요약'!$B$20,A1342&lt;='요약'!$B$6),LARGE('계산'!$B$2:$B$2001,'요약'!$B$6-A1342+1),"")</x:f>
      </x:c>
      <x:c r="D1342" s="7" t="str">
        <x:f>IF(ISNUMBER(B1342),'요약'!$B$7+'요약'!$B$13*B1342,"")</x:f>
      </x:c>
    </x:row>
    <x:row r="1343">
      <x:c r="A1343" t="n">
        <x:f>1339</x:f>
        <x:v>1339</x:v>
      </x:c>
      <x:c r="B1343" s="7" t="str">
        <x:f>IF(AND('요약'!$B$20,A1343&lt;='요약'!$B$6),NORM.S.INV((A1343-0.5)/'요약'!$B$6),"")</x:f>
      </x:c>
      <x:c r="C1343" s="7" t="str">
        <x:f>IF(AND('요약'!$B$20,A1343&lt;='요약'!$B$6),LARGE('계산'!$B$2:$B$2001,'요약'!$B$6-A1343+1),"")</x:f>
      </x:c>
      <x:c r="D1343" s="7" t="str">
        <x:f>IF(ISNUMBER(B1343),'요약'!$B$7+'요약'!$B$13*B1343,"")</x:f>
      </x:c>
    </x:row>
    <x:row r="1344">
      <x:c r="A1344" t="n">
        <x:f>1340</x:f>
        <x:v>1340</x:v>
      </x:c>
      <x:c r="B1344" s="7" t="str">
        <x:f>IF(AND('요약'!$B$20,A1344&lt;='요약'!$B$6),NORM.S.INV((A1344-0.5)/'요약'!$B$6),"")</x:f>
      </x:c>
      <x:c r="C1344" s="7" t="str">
        <x:f>IF(AND('요약'!$B$20,A1344&lt;='요약'!$B$6),LARGE('계산'!$B$2:$B$2001,'요약'!$B$6-A1344+1),"")</x:f>
      </x:c>
      <x:c r="D1344" s="7" t="str">
        <x:f>IF(ISNUMBER(B1344),'요약'!$B$7+'요약'!$B$13*B1344,"")</x:f>
      </x:c>
    </x:row>
    <x:row r="1345">
      <x:c r="A1345" t="n">
        <x:f>1341</x:f>
        <x:v>1341</x:v>
      </x:c>
      <x:c r="B1345" s="7" t="str">
        <x:f>IF(AND('요약'!$B$20,A1345&lt;='요약'!$B$6),NORM.S.INV((A1345-0.5)/'요약'!$B$6),"")</x:f>
      </x:c>
      <x:c r="C1345" s="7" t="str">
        <x:f>IF(AND('요약'!$B$20,A1345&lt;='요약'!$B$6),LARGE('계산'!$B$2:$B$2001,'요약'!$B$6-A1345+1),"")</x:f>
      </x:c>
      <x:c r="D1345" s="7" t="str">
        <x:f>IF(ISNUMBER(B1345),'요약'!$B$7+'요약'!$B$13*B1345,"")</x:f>
      </x:c>
    </x:row>
    <x:row r="1346">
      <x:c r="A1346" t="n">
        <x:f>1342</x:f>
        <x:v>1342</x:v>
      </x:c>
      <x:c r="B1346" s="7" t="str">
        <x:f>IF(AND('요약'!$B$20,A1346&lt;='요약'!$B$6),NORM.S.INV((A1346-0.5)/'요약'!$B$6),"")</x:f>
      </x:c>
      <x:c r="C1346" s="7" t="str">
        <x:f>IF(AND('요약'!$B$20,A1346&lt;='요약'!$B$6),LARGE('계산'!$B$2:$B$2001,'요약'!$B$6-A1346+1),"")</x:f>
      </x:c>
      <x:c r="D1346" s="7" t="str">
        <x:f>IF(ISNUMBER(B1346),'요약'!$B$7+'요약'!$B$13*B1346,"")</x:f>
      </x:c>
    </x:row>
    <x:row r="1347">
      <x:c r="A1347" t="n">
        <x:f>1343</x:f>
        <x:v>1343</x:v>
      </x:c>
      <x:c r="B1347" s="7" t="str">
        <x:f>IF(AND('요약'!$B$20,A1347&lt;='요약'!$B$6),NORM.S.INV((A1347-0.5)/'요약'!$B$6),"")</x:f>
      </x:c>
      <x:c r="C1347" s="7" t="str">
        <x:f>IF(AND('요약'!$B$20,A1347&lt;='요약'!$B$6),LARGE('계산'!$B$2:$B$2001,'요약'!$B$6-A1347+1),"")</x:f>
      </x:c>
      <x:c r="D1347" s="7" t="str">
        <x:f>IF(ISNUMBER(B1347),'요약'!$B$7+'요약'!$B$13*B1347,"")</x:f>
      </x:c>
    </x:row>
    <x:row r="1348">
      <x:c r="A1348" t="n">
        <x:f>1344</x:f>
        <x:v>1344</x:v>
      </x:c>
      <x:c r="B1348" s="7" t="str">
        <x:f>IF(AND('요약'!$B$20,A1348&lt;='요약'!$B$6),NORM.S.INV((A1348-0.5)/'요약'!$B$6),"")</x:f>
      </x:c>
      <x:c r="C1348" s="7" t="str">
        <x:f>IF(AND('요약'!$B$20,A1348&lt;='요약'!$B$6),LARGE('계산'!$B$2:$B$2001,'요약'!$B$6-A1348+1),"")</x:f>
      </x:c>
      <x:c r="D1348" s="7" t="str">
        <x:f>IF(ISNUMBER(B1348),'요약'!$B$7+'요약'!$B$13*B1348,"")</x:f>
      </x:c>
    </x:row>
    <x:row r="1349">
      <x:c r="A1349" t="n">
        <x:f>1345</x:f>
        <x:v>1345</x:v>
      </x:c>
      <x:c r="B1349" s="7" t="str">
        <x:f>IF(AND('요약'!$B$20,A1349&lt;='요약'!$B$6),NORM.S.INV((A1349-0.5)/'요약'!$B$6),"")</x:f>
      </x:c>
      <x:c r="C1349" s="7" t="str">
        <x:f>IF(AND('요약'!$B$20,A1349&lt;='요약'!$B$6),LARGE('계산'!$B$2:$B$2001,'요약'!$B$6-A1349+1),"")</x:f>
      </x:c>
      <x:c r="D1349" s="7" t="str">
        <x:f>IF(ISNUMBER(B1349),'요약'!$B$7+'요약'!$B$13*B1349,"")</x:f>
      </x:c>
    </x:row>
    <x:row r="1350">
      <x:c r="A1350" t="n">
        <x:f>1346</x:f>
        <x:v>1346</x:v>
      </x:c>
      <x:c r="B1350" s="7" t="str">
        <x:f>IF(AND('요약'!$B$20,A1350&lt;='요약'!$B$6),NORM.S.INV((A1350-0.5)/'요약'!$B$6),"")</x:f>
      </x:c>
      <x:c r="C1350" s="7" t="str">
        <x:f>IF(AND('요약'!$B$20,A1350&lt;='요약'!$B$6),LARGE('계산'!$B$2:$B$2001,'요약'!$B$6-A1350+1),"")</x:f>
      </x:c>
      <x:c r="D1350" s="7" t="str">
        <x:f>IF(ISNUMBER(B1350),'요약'!$B$7+'요약'!$B$13*B1350,"")</x:f>
      </x:c>
    </x:row>
    <x:row r="1351">
      <x:c r="A1351" t="n">
        <x:f>1347</x:f>
        <x:v>1347</x:v>
      </x:c>
      <x:c r="B1351" s="7" t="str">
        <x:f>IF(AND('요약'!$B$20,A1351&lt;='요약'!$B$6),NORM.S.INV((A1351-0.5)/'요약'!$B$6),"")</x:f>
      </x:c>
      <x:c r="C1351" s="7" t="str">
        <x:f>IF(AND('요약'!$B$20,A1351&lt;='요약'!$B$6),LARGE('계산'!$B$2:$B$2001,'요약'!$B$6-A1351+1),"")</x:f>
      </x:c>
      <x:c r="D1351" s="7" t="str">
        <x:f>IF(ISNUMBER(B1351),'요약'!$B$7+'요약'!$B$13*B1351,"")</x:f>
      </x:c>
    </x:row>
    <x:row r="1352">
      <x:c r="A1352" t="n">
        <x:f>1348</x:f>
        <x:v>1348</x:v>
      </x:c>
      <x:c r="B1352" s="7" t="str">
        <x:f>IF(AND('요약'!$B$20,A1352&lt;='요약'!$B$6),NORM.S.INV((A1352-0.5)/'요약'!$B$6),"")</x:f>
      </x:c>
      <x:c r="C1352" s="7" t="str">
        <x:f>IF(AND('요약'!$B$20,A1352&lt;='요약'!$B$6),LARGE('계산'!$B$2:$B$2001,'요약'!$B$6-A1352+1),"")</x:f>
      </x:c>
      <x:c r="D1352" s="7" t="str">
        <x:f>IF(ISNUMBER(B1352),'요약'!$B$7+'요약'!$B$13*B1352,"")</x:f>
      </x:c>
    </x:row>
    <x:row r="1353">
      <x:c r="A1353" t="n">
        <x:f>1349</x:f>
        <x:v>1349</x:v>
      </x:c>
      <x:c r="B1353" s="7" t="str">
        <x:f>IF(AND('요약'!$B$20,A1353&lt;='요약'!$B$6),NORM.S.INV((A1353-0.5)/'요약'!$B$6),"")</x:f>
      </x:c>
      <x:c r="C1353" s="7" t="str">
        <x:f>IF(AND('요약'!$B$20,A1353&lt;='요약'!$B$6),LARGE('계산'!$B$2:$B$2001,'요약'!$B$6-A1353+1),"")</x:f>
      </x:c>
      <x:c r="D1353" s="7" t="str">
        <x:f>IF(ISNUMBER(B1353),'요약'!$B$7+'요약'!$B$13*B1353,"")</x:f>
      </x:c>
    </x:row>
    <x:row r="1354">
      <x:c r="A1354" t="n">
        <x:f>1350</x:f>
        <x:v>1350</x:v>
      </x:c>
      <x:c r="B1354" s="7" t="str">
        <x:f>IF(AND('요약'!$B$20,A1354&lt;='요약'!$B$6),NORM.S.INV((A1354-0.5)/'요약'!$B$6),"")</x:f>
      </x:c>
      <x:c r="C1354" s="7" t="str">
        <x:f>IF(AND('요약'!$B$20,A1354&lt;='요약'!$B$6),LARGE('계산'!$B$2:$B$2001,'요약'!$B$6-A1354+1),"")</x:f>
      </x:c>
      <x:c r="D1354" s="7" t="str">
        <x:f>IF(ISNUMBER(B1354),'요약'!$B$7+'요약'!$B$13*B1354,"")</x:f>
      </x:c>
    </x:row>
    <x:row r="1355">
      <x:c r="A1355" t="n">
        <x:f>1351</x:f>
        <x:v>1351</x:v>
      </x:c>
      <x:c r="B1355" s="7" t="str">
        <x:f>IF(AND('요약'!$B$20,A1355&lt;='요약'!$B$6),NORM.S.INV((A1355-0.5)/'요약'!$B$6),"")</x:f>
      </x:c>
      <x:c r="C1355" s="7" t="str">
        <x:f>IF(AND('요약'!$B$20,A1355&lt;='요약'!$B$6),LARGE('계산'!$B$2:$B$2001,'요약'!$B$6-A1355+1),"")</x:f>
      </x:c>
      <x:c r="D1355" s="7" t="str">
        <x:f>IF(ISNUMBER(B1355),'요약'!$B$7+'요약'!$B$13*B1355,"")</x:f>
      </x:c>
    </x:row>
    <x:row r="1356">
      <x:c r="A1356" t="n">
        <x:f>1352</x:f>
        <x:v>1352</x:v>
      </x:c>
      <x:c r="B1356" s="7" t="str">
        <x:f>IF(AND('요약'!$B$20,A1356&lt;='요약'!$B$6),NORM.S.INV((A1356-0.5)/'요약'!$B$6),"")</x:f>
      </x:c>
      <x:c r="C1356" s="7" t="str">
        <x:f>IF(AND('요약'!$B$20,A1356&lt;='요약'!$B$6),LARGE('계산'!$B$2:$B$2001,'요약'!$B$6-A1356+1),"")</x:f>
      </x:c>
      <x:c r="D1356" s="7" t="str">
        <x:f>IF(ISNUMBER(B1356),'요약'!$B$7+'요약'!$B$13*B1356,"")</x:f>
      </x:c>
    </x:row>
    <x:row r="1357">
      <x:c r="A1357" t="n">
        <x:f>1353</x:f>
        <x:v>1353</x:v>
      </x:c>
      <x:c r="B1357" s="7" t="str">
        <x:f>IF(AND('요약'!$B$20,A1357&lt;='요약'!$B$6),NORM.S.INV((A1357-0.5)/'요약'!$B$6),"")</x:f>
      </x:c>
      <x:c r="C1357" s="7" t="str">
        <x:f>IF(AND('요약'!$B$20,A1357&lt;='요약'!$B$6),LARGE('계산'!$B$2:$B$2001,'요약'!$B$6-A1357+1),"")</x:f>
      </x:c>
      <x:c r="D1357" s="7" t="str">
        <x:f>IF(ISNUMBER(B1357),'요약'!$B$7+'요약'!$B$13*B1357,"")</x:f>
      </x:c>
    </x:row>
    <x:row r="1358">
      <x:c r="A1358" t="n">
        <x:f>1354</x:f>
        <x:v>1354</x:v>
      </x:c>
      <x:c r="B1358" s="7" t="str">
        <x:f>IF(AND('요약'!$B$20,A1358&lt;='요약'!$B$6),NORM.S.INV((A1358-0.5)/'요약'!$B$6),"")</x:f>
      </x:c>
      <x:c r="C1358" s="7" t="str">
        <x:f>IF(AND('요약'!$B$20,A1358&lt;='요약'!$B$6),LARGE('계산'!$B$2:$B$2001,'요약'!$B$6-A1358+1),"")</x:f>
      </x:c>
      <x:c r="D1358" s="7" t="str">
        <x:f>IF(ISNUMBER(B1358),'요약'!$B$7+'요약'!$B$13*B1358,"")</x:f>
      </x:c>
    </x:row>
    <x:row r="1359">
      <x:c r="A1359" t="n">
        <x:f>1355</x:f>
        <x:v>1355</x:v>
      </x:c>
      <x:c r="B1359" s="7" t="str">
        <x:f>IF(AND('요약'!$B$20,A1359&lt;='요약'!$B$6),NORM.S.INV((A1359-0.5)/'요약'!$B$6),"")</x:f>
      </x:c>
      <x:c r="C1359" s="7" t="str">
        <x:f>IF(AND('요약'!$B$20,A1359&lt;='요약'!$B$6),LARGE('계산'!$B$2:$B$2001,'요약'!$B$6-A1359+1),"")</x:f>
      </x:c>
      <x:c r="D1359" s="7" t="str">
        <x:f>IF(ISNUMBER(B1359),'요약'!$B$7+'요약'!$B$13*B1359,"")</x:f>
      </x:c>
    </x:row>
    <x:row r="1360">
      <x:c r="A1360" t="n">
        <x:f>1356</x:f>
        <x:v>1356</x:v>
      </x:c>
      <x:c r="B1360" s="7" t="str">
        <x:f>IF(AND('요약'!$B$20,A1360&lt;='요약'!$B$6),NORM.S.INV((A1360-0.5)/'요약'!$B$6),"")</x:f>
      </x:c>
      <x:c r="C1360" s="7" t="str">
        <x:f>IF(AND('요약'!$B$20,A1360&lt;='요약'!$B$6),LARGE('계산'!$B$2:$B$2001,'요약'!$B$6-A1360+1),"")</x:f>
      </x:c>
      <x:c r="D1360" s="7" t="str">
        <x:f>IF(ISNUMBER(B1360),'요약'!$B$7+'요약'!$B$13*B1360,"")</x:f>
      </x:c>
    </x:row>
    <x:row r="1361">
      <x:c r="A1361" t="n">
        <x:f>1357</x:f>
        <x:v>1357</x:v>
      </x:c>
      <x:c r="B1361" s="7" t="str">
        <x:f>IF(AND('요약'!$B$20,A1361&lt;='요약'!$B$6),NORM.S.INV((A1361-0.5)/'요약'!$B$6),"")</x:f>
      </x:c>
      <x:c r="C1361" s="7" t="str">
        <x:f>IF(AND('요약'!$B$20,A1361&lt;='요약'!$B$6),LARGE('계산'!$B$2:$B$2001,'요약'!$B$6-A1361+1),"")</x:f>
      </x:c>
      <x:c r="D1361" s="7" t="str">
        <x:f>IF(ISNUMBER(B1361),'요약'!$B$7+'요약'!$B$13*B1361,"")</x:f>
      </x:c>
    </x:row>
    <x:row r="1362">
      <x:c r="A1362" t="n">
        <x:f>1358</x:f>
        <x:v>1358</x:v>
      </x:c>
      <x:c r="B1362" s="7" t="str">
        <x:f>IF(AND('요약'!$B$20,A1362&lt;='요약'!$B$6),NORM.S.INV((A1362-0.5)/'요약'!$B$6),"")</x:f>
      </x:c>
      <x:c r="C1362" s="7" t="str">
        <x:f>IF(AND('요약'!$B$20,A1362&lt;='요약'!$B$6),LARGE('계산'!$B$2:$B$2001,'요약'!$B$6-A1362+1),"")</x:f>
      </x:c>
      <x:c r="D1362" s="7" t="str">
        <x:f>IF(ISNUMBER(B1362),'요약'!$B$7+'요약'!$B$13*B1362,"")</x:f>
      </x:c>
    </x:row>
    <x:row r="1363">
      <x:c r="A1363" t="n">
        <x:f>1359</x:f>
        <x:v>1359</x:v>
      </x:c>
      <x:c r="B1363" s="7" t="str">
        <x:f>IF(AND('요약'!$B$20,A1363&lt;='요약'!$B$6),NORM.S.INV((A1363-0.5)/'요약'!$B$6),"")</x:f>
      </x:c>
      <x:c r="C1363" s="7" t="str">
        <x:f>IF(AND('요약'!$B$20,A1363&lt;='요약'!$B$6),LARGE('계산'!$B$2:$B$2001,'요약'!$B$6-A1363+1),"")</x:f>
      </x:c>
      <x:c r="D1363" s="7" t="str">
        <x:f>IF(ISNUMBER(B1363),'요약'!$B$7+'요약'!$B$13*B1363,"")</x:f>
      </x:c>
    </x:row>
    <x:row r="1364">
      <x:c r="A1364" t="n">
        <x:f>1360</x:f>
        <x:v>1360</x:v>
      </x:c>
      <x:c r="B1364" s="7" t="str">
        <x:f>IF(AND('요약'!$B$20,A1364&lt;='요약'!$B$6),NORM.S.INV((A1364-0.5)/'요약'!$B$6),"")</x:f>
      </x:c>
      <x:c r="C1364" s="7" t="str">
        <x:f>IF(AND('요약'!$B$20,A1364&lt;='요약'!$B$6),LARGE('계산'!$B$2:$B$2001,'요약'!$B$6-A1364+1),"")</x:f>
      </x:c>
      <x:c r="D1364" s="7" t="str">
        <x:f>IF(ISNUMBER(B1364),'요약'!$B$7+'요약'!$B$13*B1364,"")</x:f>
      </x:c>
    </x:row>
    <x:row r="1365">
      <x:c r="A1365" t="n">
        <x:f>1361</x:f>
        <x:v>1361</x:v>
      </x:c>
      <x:c r="B1365" s="7" t="str">
        <x:f>IF(AND('요약'!$B$20,A1365&lt;='요약'!$B$6),NORM.S.INV((A1365-0.5)/'요약'!$B$6),"")</x:f>
      </x:c>
      <x:c r="C1365" s="7" t="str">
        <x:f>IF(AND('요약'!$B$20,A1365&lt;='요약'!$B$6),LARGE('계산'!$B$2:$B$2001,'요약'!$B$6-A1365+1),"")</x:f>
      </x:c>
      <x:c r="D1365" s="7" t="str">
        <x:f>IF(ISNUMBER(B1365),'요약'!$B$7+'요약'!$B$13*B1365,"")</x:f>
      </x:c>
    </x:row>
    <x:row r="1366">
      <x:c r="A1366" t="n">
        <x:f>1362</x:f>
        <x:v>1362</x:v>
      </x:c>
      <x:c r="B1366" s="7" t="str">
        <x:f>IF(AND('요약'!$B$20,A1366&lt;='요약'!$B$6),NORM.S.INV((A1366-0.5)/'요약'!$B$6),"")</x:f>
      </x:c>
      <x:c r="C1366" s="7" t="str">
        <x:f>IF(AND('요약'!$B$20,A1366&lt;='요약'!$B$6),LARGE('계산'!$B$2:$B$2001,'요약'!$B$6-A1366+1),"")</x:f>
      </x:c>
      <x:c r="D1366" s="7" t="str">
        <x:f>IF(ISNUMBER(B1366),'요약'!$B$7+'요약'!$B$13*B1366,"")</x:f>
      </x:c>
    </x:row>
    <x:row r="1367">
      <x:c r="A1367" t="n">
        <x:f>1363</x:f>
        <x:v>1363</x:v>
      </x:c>
      <x:c r="B1367" s="7" t="str">
        <x:f>IF(AND('요약'!$B$20,A1367&lt;='요약'!$B$6),NORM.S.INV((A1367-0.5)/'요약'!$B$6),"")</x:f>
      </x:c>
      <x:c r="C1367" s="7" t="str">
        <x:f>IF(AND('요약'!$B$20,A1367&lt;='요약'!$B$6),LARGE('계산'!$B$2:$B$2001,'요약'!$B$6-A1367+1),"")</x:f>
      </x:c>
      <x:c r="D1367" s="7" t="str">
        <x:f>IF(ISNUMBER(B1367),'요약'!$B$7+'요약'!$B$13*B1367,"")</x:f>
      </x:c>
    </x:row>
    <x:row r="1368">
      <x:c r="A1368" t="n">
        <x:f>1364</x:f>
        <x:v>1364</x:v>
      </x:c>
      <x:c r="B1368" s="7" t="str">
        <x:f>IF(AND('요약'!$B$20,A1368&lt;='요약'!$B$6),NORM.S.INV((A1368-0.5)/'요약'!$B$6),"")</x:f>
      </x:c>
      <x:c r="C1368" s="7" t="str">
        <x:f>IF(AND('요약'!$B$20,A1368&lt;='요약'!$B$6),LARGE('계산'!$B$2:$B$2001,'요약'!$B$6-A1368+1),"")</x:f>
      </x:c>
      <x:c r="D1368" s="7" t="str">
        <x:f>IF(ISNUMBER(B1368),'요약'!$B$7+'요약'!$B$13*B1368,"")</x:f>
      </x:c>
    </x:row>
    <x:row r="1369">
      <x:c r="A1369" t="n">
        <x:f>1365</x:f>
        <x:v>1365</x:v>
      </x:c>
      <x:c r="B1369" s="7" t="str">
        <x:f>IF(AND('요약'!$B$20,A1369&lt;='요약'!$B$6),NORM.S.INV((A1369-0.5)/'요약'!$B$6),"")</x:f>
      </x:c>
      <x:c r="C1369" s="7" t="str">
        <x:f>IF(AND('요약'!$B$20,A1369&lt;='요약'!$B$6),LARGE('계산'!$B$2:$B$2001,'요약'!$B$6-A1369+1),"")</x:f>
      </x:c>
      <x:c r="D1369" s="7" t="str">
        <x:f>IF(ISNUMBER(B1369),'요약'!$B$7+'요약'!$B$13*B1369,"")</x:f>
      </x:c>
    </x:row>
    <x:row r="1370">
      <x:c r="A1370" t="n">
        <x:f>1366</x:f>
        <x:v>1366</x:v>
      </x:c>
      <x:c r="B1370" s="7" t="str">
        <x:f>IF(AND('요약'!$B$20,A1370&lt;='요약'!$B$6),NORM.S.INV((A1370-0.5)/'요약'!$B$6),"")</x:f>
      </x:c>
      <x:c r="C1370" s="7" t="str">
        <x:f>IF(AND('요약'!$B$20,A1370&lt;='요약'!$B$6),LARGE('계산'!$B$2:$B$2001,'요약'!$B$6-A1370+1),"")</x:f>
      </x:c>
      <x:c r="D1370" s="7" t="str">
        <x:f>IF(ISNUMBER(B1370),'요약'!$B$7+'요약'!$B$13*B1370,"")</x:f>
      </x:c>
    </x:row>
    <x:row r="1371">
      <x:c r="A1371" t="n">
        <x:f>1367</x:f>
        <x:v>1367</x:v>
      </x:c>
      <x:c r="B1371" s="7" t="str">
        <x:f>IF(AND('요약'!$B$20,A1371&lt;='요약'!$B$6),NORM.S.INV((A1371-0.5)/'요약'!$B$6),"")</x:f>
      </x:c>
      <x:c r="C1371" s="7" t="str">
        <x:f>IF(AND('요약'!$B$20,A1371&lt;='요약'!$B$6),LARGE('계산'!$B$2:$B$2001,'요약'!$B$6-A1371+1),"")</x:f>
      </x:c>
      <x:c r="D1371" s="7" t="str">
        <x:f>IF(ISNUMBER(B1371),'요약'!$B$7+'요약'!$B$13*B1371,"")</x:f>
      </x:c>
    </x:row>
    <x:row r="1372">
      <x:c r="A1372" t="n">
        <x:f>1368</x:f>
        <x:v>1368</x:v>
      </x:c>
      <x:c r="B1372" s="7" t="str">
        <x:f>IF(AND('요약'!$B$20,A1372&lt;='요약'!$B$6),NORM.S.INV((A1372-0.5)/'요약'!$B$6),"")</x:f>
      </x:c>
      <x:c r="C1372" s="7" t="str">
        <x:f>IF(AND('요약'!$B$20,A1372&lt;='요약'!$B$6),LARGE('계산'!$B$2:$B$2001,'요약'!$B$6-A1372+1),"")</x:f>
      </x:c>
      <x:c r="D1372" s="7" t="str">
        <x:f>IF(ISNUMBER(B1372),'요약'!$B$7+'요약'!$B$13*B1372,"")</x:f>
      </x:c>
    </x:row>
    <x:row r="1373">
      <x:c r="A1373" t="n">
        <x:f>1369</x:f>
        <x:v>1369</x:v>
      </x:c>
      <x:c r="B1373" s="7" t="str">
        <x:f>IF(AND('요약'!$B$20,A1373&lt;='요약'!$B$6),NORM.S.INV((A1373-0.5)/'요약'!$B$6),"")</x:f>
      </x:c>
      <x:c r="C1373" s="7" t="str">
        <x:f>IF(AND('요약'!$B$20,A1373&lt;='요약'!$B$6),LARGE('계산'!$B$2:$B$2001,'요약'!$B$6-A1373+1),"")</x:f>
      </x:c>
      <x:c r="D1373" s="7" t="str">
        <x:f>IF(ISNUMBER(B1373),'요약'!$B$7+'요약'!$B$13*B1373,"")</x:f>
      </x:c>
    </x:row>
    <x:row r="1374">
      <x:c r="A1374" t="n">
        <x:f>1370</x:f>
        <x:v>1370</x:v>
      </x:c>
      <x:c r="B1374" s="7" t="str">
        <x:f>IF(AND('요약'!$B$20,A1374&lt;='요약'!$B$6),NORM.S.INV((A1374-0.5)/'요약'!$B$6),"")</x:f>
      </x:c>
      <x:c r="C1374" s="7" t="str">
        <x:f>IF(AND('요약'!$B$20,A1374&lt;='요약'!$B$6),LARGE('계산'!$B$2:$B$2001,'요약'!$B$6-A1374+1),"")</x:f>
      </x:c>
      <x:c r="D1374" s="7" t="str">
        <x:f>IF(ISNUMBER(B1374),'요약'!$B$7+'요약'!$B$13*B1374,"")</x:f>
      </x:c>
    </x:row>
    <x:row r="1375">
      <x:c r="A1375" t="n">
        <x:f>1371</x:f>
        <x:v>1371</x:v>
      </x:c>
      <x:c r="B1375" s="7" t="str">
        <x:f>IF(AND('요약'!$B$20,A1375&lt;='요약'!$B$6),NORM.S.INV((A1375-0.5)/'요약'!$B$6),"")</x:f>
      </x:c>
      <x:c r="C1375" s="7" t="str">
        <x:f>IF(AND('요약'!$B$20,A1375&lt;='요약'!$B$6),LARGE('계산'!$B$2:$B$2001,'요약'!$B$6-A1375+1),"")</x:f>
      </x:c>
      <x:c r="D1375" s="7" t="str">
        <x:f>IF(ISNUMBER(B1375),'요약'!$B$7+'요약'!$B$13*B1375,"")</x:f>
      </x:c>
    </x:row>
    <x:row r="1376">
      <x:c r="A1376" t="n">
        <x:f>1372</x:f>
        <x:v>1372</x:v>
      </x:c>
      <x:c r="B1376" s="7" t="str">
        <x:f>IF(AND('요약'!$B$20,A1376&lt;='요약'!$B$6),NORM.S.INV((A1376-0.5)/'요약'!$B$6),"")</x:f>
      </x:c>
      <x:c r="C1376" s="7" t="str">
        <x:f>IF(AND('요약'!$B$20,A1376&lt;='요약'!$B$6),LARGE('계산'!$B$2:$B$2001,'요약'!$B$6-A1376+1),"")</x:f>
      </x:c>
      <x:c r="D1376" s="7" t="str">
        <x:f>IF(ISNUMBER(B1376),'요약'!$B$7+'요약'!$B$13*B1376,"")</x:f>
      </x:c>
    </x:row>
    <x:row r="1377">
      <x:c r="A1377" t="n">
        <x:f>1373</x:f>
        <x:v>1373</x:v>
      </x:c>
      <x:c r="B1377" s="7" t="str">
        <x:f>IF(AND('요약'!$B$20,A1377&lt;='요약'!$B$6),NORM.S.INV((A1377-0.5)/'요약'!$B$6),"")</x:f>
      </x:c>
      <x:c r="C1377" s="7" t="str">
        <x:f>IF(AND('요약'!$B$20,A1377&lt;='요약'!$B$6),LARGE('계산'!$B$2:$B$2001,'요약'!$B$6-A1377+1),"")</x:f>
      </x:c>
      <x:c r="D1377" s="7" t="str">
        <x:f>IF(ISNUMBER(B1377),'요약'!$B$7+'요약'!$B$13*B1377,"")</x:f>
      </x:c>
    </x:row>
    <x:row r="1378">
      <x:c r="A1378" t="n">
        <x:f>1374</x:f>
        <x:v>1374</x:v>
      </x:c>
      <x:c r="B1378" s="7" t="str">
        <x:f>IF(AND('요약'!$B$20,A1378&lt;='요약'!$B$6),NORM.S.INV((A1378-0.5)/'요약'!$B$6),"")</x:f>
      </x:c>
      <x:c r="C1378" s="7" t="str">
        <x:f>IF(AND('요약'!$B$20,A1378&lt;='요약'!$B$6),LARGE('계산'!$B$2:$B$2001,'요약'!$B$6-A1378+1),"")</x:f>
      </x:c>
      <x:c r="D1378" s="7" t="str">
        <x:f>IF(ISNUMBER(B1378),'요약'!$B$7+'요약'!$B$13*B1378,"")</x:f>
      </x:c>
    </x:row>
    <x:row r="1379">
      <x:c r="A1379" t="n">
        <x:f>1375</x:f>
        <x:v>1375</x:v>
      </x:c>
      <x:c r="B1379" s="7" t="str">
        <x:f>IF(AND('요약'!$B$20,A1379&lt;='요약'!$B$6),NORM.S.INV((A1379-0.5)/'요약'!$B$6),"")</x:f>
      </x:c>
      <x:c r="C1379" s="7" t="str">
        <x:f>IF(AND('요약'!$B$20,A1379&lt;='요약'!$B$6),LARGE('계산'!$B$2:$B$2001,'요약'!$B$6-A1379+1),"")</x:f>
      </x:c>
      <x:c r="D1379" s="7" t="str">
        <x:f>IF(ISNUMBER(B1379),'요약'!$B$7+'요약'!$B$13*B1379,"")</x:f>
      </x:c>
    </x:row>
    <x:row r="1380">
      <x:c r="A1380" t="n">
        <x:f>1376</x:f>
        <x:v>1376</x:v>
      </x:c>
      <x:c r="B1380" s="7" t="str">
        <x:f>IF(AND('요약'!$B$20,A1380&lt;='요약'!$B$6),NORM.S.INV((A1380-0.5)/'요약'!$B$6),"")</x:f>
      </x:c>
      <x:c r="C1380" s="7" t="str">
        <x:f>IF(AND('요약'!$B$20,A1380&lt;='요약'!$B$6),LARGE('계산'!$B$2:$B$2001,'요약'!$B$6-A1380+1),"")</x:f>
      </x:c>
      <x:c r="D1380" s="7" t="str">
        <x:f>IF(ISNUMBER(B1380),'요약'!$B$7+'요약'!$B$13*B1380,"")</x:f>
      </x:c>
    </x:row>
    <x:row r="1381">
      <x:c r="A1381" t="n">
        <x:f>1377</x:f>
        <x:v>1377</x:v>
      </x:c>
      <x:c r="B1381" s="7" t="str">
        <x:f>IF(AND('요약'!$B$20,A1381&lt;='요약'!$B$6),NORM.S.INV((A1381-0.5)/'요약'!$B$6),"")</x:f>
      </x:c>
      <x:c r="C1381" s="7" t="str">
        <x:f>IF(AND('요약'!$B$20,A1381&lt;='요약'!$B$6),LARGE('계산'!$B$2:$B$2001,'요약'!$B$6-A1381+1),"")</x:f>
      </x:c>
      <x:c r="D1381" s="7" t="str">
        <x:f>IF(ISNUMBER(B1381),'요약'!$B$7+'요약'!$B$13*B1381,"")</x:f>
      </x:c>
    </x:row>
    <x:row r="1382">
      <x:c r="A1382" t="n">
        <x:f>1378</x:f>
        <x:v>1378</x:v>
      </x:c>
      <x:c r="B1382" s="7" t="str">
        <x:f>IF(AND('요약'!$B$20,A1382&lt;='요약'!$B$6),NORM.S.INV((A1382-0.5)/'요약'!$B$6),"")</x:f>
      </x:c>
      <x:c r="C1382" s="7" t="str">
        <x:f>IF(AND('요약'!$B$20,A1382&lt;='요약'!$B$6),LARGE('계산'!$B$2:$B$2001,'요약'!$B$6-A1382+1),"")</x:f>
      </x:c>
      <x:c r="D1382" s="7" t="str">
        <x:f>IF(ISNUMBER(B1382),'요약'!$B$7+'요약'!$B$13*B1382,"")</x:f>
      </x:c>
    </x:row>
    <x:row r="1383">
      <x:c r="A1383" t="n">
        <x:f>1379</x:f>
        <x:v>1379</x:v>
      </x:c>
      <x:c r="B1383" s="7" t="str">
        <x:f>IF(AND('요약'!$B$20,A1383&lt;='요약'!$B$6),NORM.S.INV((A1383-0.5)/'요약'!$B$6),"")</x:f>
      </x:c>
      <x:c r="C1383" s="7" t="str">
        <x:f>IF(AND('요약'!$B$20,A1383&lt;='요약'!$B$6),LARGE('계산'!$B$2:$B$2001,'요약'!$B$6-A1383+1),"")</x:f>
      </x:c>
      <x:c r="D1383" s="7" t="str">
        <x:f>IF(ISNUMBER(B1383),'요약'!$B$7+'요약'!$B$13*B1383,"")</x:f>
      </x:c>
    </x:row>
    <x:row r="1384">
      <x:c r="A1384" t="n">
        <x:f>1380</x:f>
        <x:v>1380</x:v>
      </x:c>
      <x:c r="B1384" s="7" t="str">
        <x:f>IF(AND('요약'!$B$20,A1384&lt;='요약'!$B$6),NORM.S.INV((A1384-0.5)/'요약'!$B$6),"")</x:f>
      </x:c>
      <x:c r="C1384" s="7" t="str">
        <x:f>IF(AND('요약'!$B$20,A1384&lt;='요약'!$B$6),LARGE('계산'!$B$2:$B$2001,'요약'!$B$6-A1384+1),"")</x:f>
      </x:c>
      <x:c r="D1384" s="7" t="str">
        <x:f>IF(ISNUMBER(B1384),'요약'!$B$7+'요약'!$B$13*B1384,"")</x:f>
      </x:c>
    </x:row>
    <x:row r="1385">
      <x:c r="A1385" t="n">
        <x:f>1381</x:f>
        <x:v>1381</x:v>
      </x:c>
      <x:c r="B1385" s="7" t="str">
        <x:f>IF(AND('요약'!$B$20,A1385&lt;='요약'!$B$6),NORM.S.INV((A1385-0.5)/'요약'!$B$6),"")</x:f>
      </x:c>
      <x:c r="C1385" s="7" t="str">
        <x:f>IF(AND('요약'!$B$20,A1385&lt;='요약'!$B$6),LARGE('계산'!$B$2:$B$2001,'요약'!$B$6-A1385+1),"")</x:f>
      </x:c>
      <x:c r="D1385" s="7" t="str">
        <x:f>IF(ISNUMBER(B1385),'요약'!$B$7+'요약'!$B$13*B1385,"")</x:f>
      </x:c>
    </x:row>
    <x:row r="1386">
      <x:c r="A1386" t="n">
        <x:f>1382</x:f>
        <x:v>1382</x:v>
      </x:c>
      <x:c r="B1386" s="7" t="str">
        <x:f>IF(AND('요약'!$B$20,A1386&lt;='요약'!$B$6),NORM.S.INV((A1386-0.5)/'요약'!$B$6),"")</x:f>
      </x:c>
      <x:c r="C1386" s="7" t="str">
        <x:f>IF(AND('요약'!$B$20,A1386&lt;='요약'!$B$6),LARGE('계산'!$B$2:$B$2001,'요약'!$B$6-A1386+1),"")</x:f>
      </x:c>
      <x:c r="D1386" s="7" t="str">
        <x:f>IF(ISNUMBER(B1386),'요약'!$B$7+'요약'!$B$13*B1386,"")</x:f>
      </x:c>
    </x:row>
    <x:row r="1387">
      <x:c r="A1387" t="n">
        <x:f>1383</x:f>
        <x:v>1383</x:v>
      </x:c>
      <x:c r="B1387" s="7" t="str">
        <x:f>IF(AND('요약'!$B$20,A1387&lt;='요약'!$B$6),NORM.S.INV((A1387-0.5)/'요약'!$B$6),"")</x:f>
      </x:c>
      <x:c r="C1387" s="7" t="str">
        <x:f>IF(AND('요약'!$B$20,A1387&lt;='요약'!$B$6),LARGE('계산'!$B$2:$B$2001,'요약'!$B$6-A1387+1),"")</x:f>
      </x:c>
      <x:c r="D1387" s="7" t="str">
        <x:f>IF(ISNUMBER(B1387),'요약'!$B$7+'요약'!$B$13*B1387,"")</x:f>
      </x:c>
    </x:row>
    <x:row r="1388">
      <x:c r="A1388" t="n">
        <x:f>1384</x:f>
        <x:v>1384</x:v>
      </x:c>
      <x:c r="B1388" s="7" t="str">
        <x:f>IF(AND('요약'!$B$20,A1388&lt;='요약'!$B$6),NORM.S.INV((A1388-0.5)/'요약'!$B$6),"")</x:f>
      </x:c>
      <x:c r="C1388" s="7" t="str">
        <x:f>IF(AND('요약'!$B$20,A1388&lt;='요약'!$B$6),LARGE('계산'!$B$2:$B$2001,'요약'!$B$6-A1388+1),"")</x:f>
      </x:c>
      <x:c r="D1388" s="7" t="str">
        <x:f>IF(ISNUMBER(B1388),'요약'!$B$7+'요약'!$B$13*B1388,"")</x:f>
      </x:c>
    </x:row>
    <x:row r="1389">
      <x:c r="A1389" t="n">
        <x:f>1385</x:f>
        <x:v>1385</x:v>
      </x:c>
      <x:c r="B1389" s="7" t="str">
        <x:f>IF(AND('요약'!$B$20,A1389&lt;='요약'!$B$6),NORM.S.INV((A1389-0.5)/'요약'!$B$6),"")</x:f>
      </x:c>
      <x:c r="C1389" s="7" t="str">
        <x:f>IF(AND('요약'!$B$20,A1389&lt;='요약'!$B$6),LARGE('계산'!$B$2:$B$2001,'요약'!$B$6-A1389+1),"")</x:f>
      </x:c>
      <x:c r="D1389" s="7" t="str">
        <x:f>IF(ISNUMBER(B1389),'요약'!$B$7+'요약'!$B$13*B1389,"")</x:f>
      </x:c>
    </x:row>
    <x:row r="1390">
      <x:c r="A1390" t="n">
        <x:f>1386</x:f>
        <x:v>1386</x:v>
      </x:c>
      <x:c r="B1390" s="7" t="str">
        <x:f>IF(AND('요약'!$B$20,A1390&lt;='요약'!$B$6),NORM.S.INV((A1390-0.5)/'요약'!$B$6),"")</x:f>
      </x:c>
      <x:c r="C1390" s="7" t="str">
        <x:f>IF(AND('요약'!$B$20,A1390&lt;='요약'!$B$6),LARGE('계산'!$B$2:$B$2001,'요약'!$B$6-A1390+1),"")</x:f>
      </x:c>
      <x:c r="D1390" s="7" t="str">
        <x:f>IF(ISNUMBER(B1390),'요약'!$B$7+'요약'!$B$13*B1390,"")</x:f>
      </x:c>
    </x:row>
    <x:row r="1391">
      <x:c r="A1391" t="n">
        <x:f>1387</x:f>
        <x:v>1387</x:v>
      </x:c>
      <x:c r="B1391" s="7" t="str">
        <x:f>IF(AND('요약'!$B$20,A1391&lt;='요약'!$B$6),NORM.S.INV((A1391-0.5)/'요약'!$B$6),"")</x:f>
      </x:c>
      <x:c r="C1391" s="7" t="str">
        <x:f>IF(AND('요약'!$B$20,A1391&lt;='요약'!$B$6),LARGE('계산'!$B$2:$B$2001,'요약'!$B$6-A1391+1),"")</x:f>
      </x:c>
      <x:c r="D1391" s="7" t="str">
        <x:f>IF(ISNUMBER(B1391),'요약'!$B$7+'요약'!$B$13*B1391,"")</x:f>
      </x:c>
    </x:row>
    <x:row r="1392">
      <x:c r="A1392" t="n">
        <x:f>1388</x:f>
        <x:v>1388</x:v>
      </x:c>
      <x:c r="B1392" s="7" t="str">
        <x:f>IF(AND('요약'!$B$20,A1392&lt;='요약'!$B$6),NORM.S.INV((A1392-0.5)/'요약'!$B$6),"")</x:f>
      </x:c>
      <x:c r="C1392" s="7" t="str">
        <x:f>IF(AND('요약'!$B$20,A1392&lt;='요약'!$B$6),LARGE('계산'!$B$2:$B$2001,'요약'!$B$6-A1392+1),"")</x:f>
      </x:c>
      <x:c r="D1392" s="7" t="str">
        <x:f>IF(ISNUMBER(B1392),'요약'!$B$7+'요약'!$B$13*B1392,"")</x:f>
      </x:c>
    </x:row>
    <x:row r="1393">
      <x:c r="A1393" t="n">
        <x:f>1389</x:f>
        <x:v>1389</x:v>
      </x:c>
      <x:c r="B1393" s="7" t="str">
        <x:f>IF(AND('요약'!$B$20,A1393&lt;='요약'!$B$6),NORM.S.INV((A1393-0.5)/'요약'!$B$6),"")</x:f>
      </x:c>
      <x:c r="C1393" s="7" t="str">
        <x:f>IF(AND('요약'!$B$20,A1393&lt;='요약'!$B$6),LARGE('계산'!$B$2:$B$2001,'요약'!$B$6-A1393+1),"")</x:f>
      </x:c>
      <x:c r="D1393" s="7" t="str">
        <x:f>IF(ISNUMBER(B1393),'요약'!$B$7+'요약'!$B$13*B1393,"")</x:f>
      </x:c>
    </x:row>
    <x:row r="1394">
      <x:c r="A1394" t="n">
        <x:f>1390</x:f>
        <x:v>1390</x:v>
      </x:c>
      <x:c r="B1394" s="7" t="str">
        <x:f>IF(AND('요약'!$B$20,A1394&lt;='요약'!$B$6),NORM.S.INV((A1394-0.5)/'요약'!$B$6),"")</x:f>
      </x:c>
      <x:c r="C1394" s="7" t="str">
        <x:f>IF(AND('요약'!$B$20,A1394&lt;='요약'!$B$6),LARGE('계산'!$B$2:$B$2001,'요약'!$B$6-A1394+1),"")</x:f>
      </x:c>
      <x:c r="D1394" s="7" t="str">
        <x:f>IF(ISNUMBER(B1394),'요약'!$B$7+'요약'!$B$13*B1394,"")</x:f>
      </x:c>
    </x:row>
    <x:row r="1395">
      <x:c r="A1395" t="n">
        <x:f>1391</x:f>
        <x:v>1391</x:v>
      </x:c>
      <x:c r="B1395" s="7" t="str">
        <x:f>IF(AND('요약'!$B$20,A1395&lt;='요약'!$B$6),NORM.S.INV((A1395-0.5)/'요약'!$B$6),"")</x:f>
      </x:c>
      <x:c r="C1395" s="7" t="str">
        <x:f>IF(AND('요약'!$B$20,A1395&lt;='요약'!$B$6),LARGE('계산'!$B$2:$B$2001,'요약'!$B$6-A1395+1),"")</x:f>
      </x:c>
      <x:c r="D1395" s="7" t="str">
        <x:f>IF(ISNUMBER(B1395),'요약'!$B$7+'요약'!$B$13*B1395,"")</x:f>
      </x:c>
    </x:row>
    <x:row r="1396">
      <x:c r="A1396" t="n">
        <x:f>1392</x:f>
        <x:v>1392</x:v>
      </x:c>
      <x:c r="B1396" s="7" t="str">
        <x:f>IF(AND('요약'!$B$20,A1396&lt;='요약'!$B$6),NORM.S.INV((A1396-0.5)/'요약'!$B$6),"")</x:f>
      </x:c>
      <x:c r="C1396" s="7" t="str">
        <x:f>IF(AND('요약'!$B$20,A1396&lt;='요약'!$B$6),LARGE('계산'!$B$2:$B$2001,'요약'!$B$6-A1396+1),"")</x:f>
      </x:c>
      <x:c r="D1396" s="7" t="str">
        <x:f>IF(ISNUMBER(B1396),'요약'!$B$7+'요약'!$B$13*B1396,"")</x:f>
      </x:c>
    </x:row>
    <x:row r="1397">
      <x:c r="A1397" t="n">
        <x:f>1393</x:f>
        <x:v>1393</x:v>
      </x:c>
      <x:c r="B1397" s="7" t="str">
        <x:f>IF(AND('요약'!$B$20,A1397&lt;='요약'!$B$6),NORM.S.INV((A1397-0.5)/'요약'!$B$6),"")</x:f>
      </x:c>
      <x:c r="C1397" s="7" t="str">
        <x:f>IF(AND('요약'!$B$20,A1397&lt;='요약'!$B$6),LARGE('계산'!$B$2:$B$2001,'요약'!$B$6-A1397+1),"")</x:f>
      </x:c>
      <x:c r="D1397" s="7" t="str">
        <x:f>IF(ISNUMBER(B1397),'요약'!$B$7+'요약'!$B$13*B1397,"")</x:f>
      </x:c>
    </x:row>
    <x:row r="1398">
      <x:c r="A1398" t="n">
        <x:f>1394</x:f>
        <x:v>1394</x:v>
      </x:c>
      <x:c r="B1398" s="7" t="str">
        <x:f>IF(AND('요약'!$B$20,A1398&lt;='요약'!$B$6),NORM.S.INV((A1398-0.5)/'요약'!$B$6),"")</x:f>
      </x:c>
      <x:c r="C1398" s="7" t="str">
        <x:f>IF(AND('요약'!$B$20,A1398&lt;='요약'!$B$6),LARGE('계산'!$B$2:$B$2001,'요약'!$B$6-A1398+1),"")</x:f>
      </x:c>
      <x:c r="D1398" s="7" t="str">
        <x:f>IF(ISNUMBER(B1398),'요약'!$B$7+'요약'!$B$13*B1398,"")</x:f>
      </x:c>
    </x:row>
    <x:row r="1399">
      <x:c r="A1399" t="n">
        <x:f>1395</x:f>
        <x:v>1395</x:v>
      </x:c>
      <x:c r="B1399" s="7" t="str">
        <x:f>IF(AND('요약'!$B$20,A1399&lt;='요약'!$B$6),NORM.S.INV((A1399-0.5)/'요약'!$B$6),"")</x:f>
      </x:c>
      <x:c r="C1399" s="7" t="str">
        <x:f>IF(AND('요약'!$B$20,A1399&lt;='요약'!$B$6),LARGE('계산'!$B$2:$B$2001,'요약'!$B$6-A1399+1),"")</x:f>
      </x:c>
      <x:c r="D1399" s="7" t="str">
        <x:f>IF(ISNUMBER(B1399),'요약'!$B$7+'요약'!$B$13*B1399,"")</x:f>
      </x:c>
    </x:row>
    <x:row r="1400">
      <x:c r="A1400" t="n">
        <x:f>1396</x:f>
        <x:v>1396</x:v>
      </x:c>
      <x:c r="B1400" s="7" t="str">
        <x:f>IF(AND('요약'!$B$20,A1400&lt;='요약'!$B$6),NORM.S.INV((A1400-0.5)/'요약'!$B$6),"")</x:f>
      </x:c>
      <x:c r="C1400" s="7" t="str">
        <x:f>IF(AND('요약'!$B$20,A1400&lt;='요약'!$B$6),LARGE('계산'!$B$2:$B$2001,'요약'!$B$6-A1400+1),"")</x:f>
      </x:c>
      <x:c r="D1400" s="7" t="str">
        <x:f>IF(ISNUMBER(B1400),'요약'!$B$7+'요약'!$B$13*B1400,"")</x:f>
      </x:c>
    </x:row>
    <x:row r="1401">
      <x:c r="A1401" t="n">
        <x:f>1397</x:f>
        <x:v>1397</x:v>
      </x:c>
      <x:c r="B1401" s="7" t="str">
        <x:f>IF(AND('요약'!$B$20,A1401&lt;='요약'!$B$6),NORM.S.INV((A1401-0.5)/'요약'!$B$6),"")</x:f>
      </x:c>
      <x:c r="C1401" s="7" t="str">
        <x:f>IF(AND('요약'!$B$20,A1401&lt;='요약'!$B$6),LARGE('계산'!$B$2:$B$2001,'요약'!$B$6-A1401+1),"")</x:f>
      </x:c>
      <x:c r="D1401" s="7" t="str">
        <x:f>IF(ISNUMBER(B1401),'요약'!$B$7+'요약'!$B$13*B1401,"")</x:f>
      </x:c>
    </x:row>
    <x:row r="1402">
      <x:c r="A1402" t="n">
        <x:f>1398</x:f>
        <x:v>1398</x:v>
      </x:c>
      <x:c r="B1402" s="7" t="str">
        <x:f>IF(AND('요약'!$B$20,A1402&lt;='요약'!$B$6),NORM.S.INV((A1402-0.5)/'요약'!$B$6),"")</x:f>
      </x:c>
      <x:c r="C1402" s="7" t="str">
        <x:f>IF(AND('요약'!$B$20,A1402&lt;='요약'!$B$6),LARGE('계산'!$B$2:$B$2001,'요약'!$B$6-A1402+1),"")</x:f>
      </x:c>
      <x:c r="D1402" s="7" t="str">
        <x:f>IF(ISNUMBER(B1402),'요약'!$B$7+'요약'!$B$13*B1402,"")</x:f>
      </x:c>
    </x:row>
    <x:row r="1403">
      <x:c r="A1403" t="n">
        <x:f>1399</x:f>
        <x:v>1399</x:v>
      </x:c>
      <x:c r="B1403" s="7" t="str">
        <x:f>IF(AND('요약'!$B$20,A1403&lt;='요약'!$B$6),NORM.S.INV((A1403-0.5)/'요약'!$B$6),"")</x:f>
      </x:c>
      <x:c r="C1403" s="7" t="str">
        <x:f>IF(AND('요약'!$B$20,A1403&lt;='요약'!$B$6),LARGE('계산'!$B$2:$B$2001,'요약'!$B$6-A1403+1),"")</x:f>
      </x:c>
      <x:c r="D1403" s="7" t="str">
        <x:f>IF(ISNUMBER(B1403),'요약'!$B$7+'요약'!$B$13*B1403,"")</x:f>
      </x:c>
    </x:row>
    <x:row r="1404">
      <x:c r="A1404" t="n">
        <x:f>1400</x:f>
        <x:v>1400</x:v>
      </x:c>
      <x:c r="B1404" s="7" t="str">
        <x:f>IF(AND('요약'!$B$20,A1404&lt;='요약'!$B$6),NORM.S.INV((A1404-0.5)/'요약'!$B$6),"")</x:f>
      </x:c>
      <x:c r="C1404" s="7" t="str">
        <x:f>IF(AND('요약'!$B$20,A1404&lt;='요약'!$B$6),LARGE('계산'!$B$2:$B$2001,'요약'!$B$6-A1404+1),"")</x:f>
      </x:c>
      <x:c r="D1404" s="7" t="str">
        <x:f>IF(ISNUMBER(B1404),'요약'!$B$7+'요약'!$B$13*B1404,"")</x:f>
      </x:c>
    </x:row>
    <x:row r="1405">
      <x:c r="A1405" t="n">
        <x:f>1401</x:f>
        <x:v>1401</x:v>
      </x:c>
      <x:c r="B1405" s="7" t="str">
        <x:f>IF(AND('요약'!$B$20,A1405&lt;='요약'!$B$6),NORM.S.INV((A1405-0.5)/'요약'!$B$6),"")</x:f>
      </x:c>
      <x:c r="C1405" s="7" t="str">
        <x:f>IF(AND('요약'!$B$20,A1405&lt;='요약'!$B$6),LARGE('계산'!$B$2:$B$2001,'요약'!$B$6-A1405+1),"")</x:f>
      </x:c>
      <x:c r="D1405" s="7" t="str">
        <x:f>IF(ISNUMBER(B1405),'요약'!$B$7+'요약'!$B$13*B1405,"")</x:f>
      </x:c>
    </x:row>
    <x:row r="1406">
      <x:c r="A1406" t="n">
        <x:f>1402</x:f>
        <x:v>1402</x:v>
      </x:c>
      <x:c r="B1406" s="7" t="str">
        <x:f>IF(AND('요약'!$B$20,A1406&lt;='요약'!$B$6),NORM.S.INV((A1406-0.5)/'요약'!$B$6),"")</x:f>
      </x:c>
      <x:c r="C1406" s="7" t="str">
        <x:f>IF(AND('요약'!$B$20,A1406&lt;='요약'!$B$6),LARGE('계산'!$B$2:$B$2001,'요약'!$B$6-A1406+1),"")</x:f>
      </x:c>
      <x:c r="D1406" s="7" t="str">
        <x:f>IF(ISNUMBER(B1406),'요약'!$B$7+'요약'!$B$13*B1406,"")</x:f>
      </x:c>
    </x:row>
    <x:row r="1407">
      <x:c r="A1407" t="n">
        <x:f>1403</x:f>
        <x:v>1403</x:v>
      </x:c>
      <x:c r="B1407" s="7" t="str">
        <x:f>IF(AND('요약'!$B$20,A1407&lt;='요약'!$B$6),NORM.S.INV((A1407-0.5)/'요약'!$B$6),"")</x:f>
      </x:c>
      <x:c r="C1407" s="7" t="str">
        <x:f>IF(AND('요약'!$B$20,A1407&lt;='요약'!$B$6),LARGE('계산'!$B$2:$B$2001,'요약'!$B$6-A1407+1),"")</x:f>
      </x:c>
      <x:c r="D1407" s="7" t="str">
        <x:f>IF(ISNUMBER(B1407),'요약'!$B$7+'요약'!$B$13*B1407,"")</x:f>
      </x:c>
    </x:row>
    <x:row r="1408">
      <x:c r="A1408" t="n">
        <x:f>1404</x:f>
        <x:v>1404</x:v>
      </x:c>
      <x:c r="B1408" s="7" t="str">
        <x:f>IF(AND('요약'!$B$20,A1408&lt;='요약'!$B$6),NORM.S.INV((A1408-0.5)/'요약'!$B$6),"")</x:f>
      </x:c>
      <x:c r="C1408" s="7" t="str">
        <x:f>IF(AND('요약'!$B$20,A1408&lt;='요약'!$B$6),LARGE('계산'!$B$2:$B$2001,'요약'!$B$6-A1408+1),"")</x:f>
      </x:c>
      <x:c r="D1408" s="7" t="str">
        <x:f>IF(ISNUMBER(B1408),'요약'!$B$7+'요약'!$B$13*B1408,"")</x:f>
      </x:c>
    </x:row>
    <x:row r="1409">
      <x:c r="A1409" t="n">
        <x:f>1405</x:f>
        <x:v>1405</x:v>
      </x:c>
      <x:c r="B1409" s="7" t="str">
        <x:f>IF(AND('요약'!$B$20,A1409&lt;='요약'!$B$6),NORM.S.INV((A1409-0.5)/'요약'!$B$6),"")</x:f>
      </x:c>
      <x:c r="C1409" s="7" t="str">
        <x:f>IF(AND('요약'!$B$20,A1409&lt;='요약'!$B$6),LARGE('계산'!$B$2:$B$2001,'요약'!$B$6-A1409+1),"")</x:f>
      </x:c>
      <x:c r="D1409" s="7" t="str">
        <x:f>IF(ISNUMBER(B1409),'요약'!$B$7+'요약'!$B$13*B1409,"")</x:f>
      </x:c>
    </x:row>
    <x:row r="1410">
      <x:c r="A1410" t="n">
        <x:f>1406</x:f>
        <x:v>1406</x:v>
      </x:c>
      <x:c r="B1410" s="7" t="str">
        <x:f>IF(AND('요약'!$B$20,A1410&lt;='요약'!$B$6),NORM.S.INV((A1410-0.5)/'요약'!$B$6),"")</x:f>
      </x:c>
      <x:c r="C1410" s="7" t="str">
        <x:f>IF(AND('요약'!$B$20,A1410&lt;='요약'!$B$6),LARGE('계산'!$B$2:$B$2001,'요약'!$B$6-A1410+1),"")</x:f>
      </x:c>
      <x:c r="D1410" s="7" t="str">
        <x:f>IF(ISNUMBER(B1410),'요약'!$B$7+'요약'!$B$13*B1410,"")</x:f>
      </x:c>
    </x:row>
    <x:row r="1411">
      <x:c r="A1411" t="n">
        <x:f>1407</x:f>
        <x:v>1407</x:v>
      </x:c>
      <x:c r="B1411" s="7" t="str">
        <x:f>IF(AND('요약'!$B$20,A1411&lt;='요약'!$B$6),NORM.S.INV((A1411-0.5)/'요약'!$B$6),"")</x:f>
      </x:c>
      <x:c r="C1411" s="7" t="str">
        <x:f>IF(AND('요약'!$B$20,A1411&lt;='요약'!$B$6),LARGE('계산'!$B$2:$B$2001,'요약'!$B$6-A1411+1),"")</x:f>
      </x:c>
      <x:c r="D1411" s="7" t="str">
        <x:f>IF(ISNUMBER(B1411),'요약'!$B$7+'요약'!$B$13*B1411,"")</x:f>
      </x:c>
    </x:row>
    <x:row r="1412">
      <x:c r="A1412" t="n">
        <x:f>1408</x:f>
        <x:v>1408</x:v>
      </x:c>
      <x:c r="B1412" s="7" t="str">
        <x:f>IF(AND('요약'!$B$20,A1412&lt;='요약'!$B$6),NORM.S.INV((A1412-0.5)/'요약'!$B$6),"")</x:f>
      </x:c>
      <x:c r="C1412" s="7" t="str">
        <x:f>IF(AND('요약'!$B$20,A1412&lt;='요약'!$B$6),LARGE('계산'!$B$2:$B$2001,'요약'!$B$6-A1412+1),"")</x:f>
      </x:c>
      <x:c r="D1412" s="7" t="str">
        <x:f>IF(ISNUMBER(B1412),'요약'!$B$7+'요약'!$B$13*B1412,"")</x:f>
      </x:c>
    </x:row>
    <x:row r="1413">
      <x:c r="A1413" t="n">
        <x:f>1409</x:f>
        <x:v>1409</x:v>
      </x:c>
      <x:c r="B1413" s="7" t="str">
        <x:f>IF(AND('요약'!$B$20,A1413&lt;='요약'!$B$6),NORM.S.INV((A1413-0.5)/'요약'!$B$6),"")</x:f>
      </x:c>
      <x:c r="C1413" s="7" t="str">
        <x:f>IF(AND('요약'!$B$20,A1413&lt;='요약'!$B$6),LARGE('계산'!$B$2:$B$2001,'요약'!$B$6-A1413+1),"")</x:f>
      </x:c>
      <x:c r="D1413" s="7" t="str">
        <x:f>IF(ISNUMBER(B1413),'요약'!$B$7+'요약'!$B$13*B1413,"")</x:f>
      </x:c>
    </x:row>
    <x:row r="1414">
      <x:c r="A1414" t="n">
        <x:f>1410</x:f>
        <x:v>1410</x:v>
      </x:c>
      <x:c r="B1414" s="7" t="str">
        <x:f>IF(AND('요약'!$B$20,A1414&lt;='요약'!$B$6),NORM.S.INV((A1414-0.5)/'요약'!$B$6),"")</x:f>
      </x:c>
      <x:c r="C1414" s="7" t="str">
        <x:f>IF(AND('요약'!$B$20,A1414&lt;='요약'!$B$6),LARGE('계산'!$B$2:$B$2001,'요약'!$B$6-A1414+1),"")</x:f>
      </x:c>
      <x:c r="D1414" s="7" t="str">
        <x:f>IF(ISNUMBER(B1414),'요약'!$B$7+'요약'!$B$13*B1414,"")</x:f>
      </x:c>
    </x:row>
    <x:row r="1415">
      <x:c r="A1415" t="n">
        <x:f>1411</x:f>
        <x:v>1411</x:v>
      </x:c>
      <x:c r="B1415" s="7" t="str">
        <x:f>IF(AND('요약'!$B$20,A1415&lt;='요약'!$B$6),NORM.S.INV((A1415-0.5)/'요약'!$B$6),"")</x:f>
      </x:c>
      <x:c r="C1415" s="7" t="str">
        <x:f>IF(AND('요약'!$B$20,A1415&lt;='요약'!$B$6),LARGE('계산'!$B$2:$B$2001,'요약'!$B$6-A1415+1),"")</x:f>
      </x:c>
      <x:c r="D1415" s="7" t="str">
        <x:f>IF(ISNUMBER(B1415),'요약'!$B$7+'요약'!$B$13*B1415,"")</x:f>
      </x:c>
    </x:row>
    <x:row r="1416">
      <x:c r="A1416" t="n">
        <x:f>1412</x:f>
        <x:v>1412</x:v>
      </x:c>
      <x:c r="B1416" s="7" t="str">
        <x:f>IF(AND('요약'!$B$20,A1416&lt;='요약'!$B$6),NORM.S.INV((A1416-0.5)/'요약'!$B$6),"")</x:f>
      </x:c>
      <x:c r="C1416" s="7" t="str">
        <x:f>IF(AND('요약'!$B$20,A1416&lt;='요약'!$B$6),LARGE('계산'!$B$2:$B$2001,'요약'!$B$6-A1416+1),"")</x:f>
      </x:c>
      <x:c r="D1416" s="7" t="str">
        <x:f>IF(ISNUMBER(B1416),'요약'!$B$7+'요약'!$B$13*B1416,"")</x:f>
      </x:c>
    </x:row>
    <x:row r="1417">
      <x:c r="A1417" t="n">
        <x:f>1413</x:f>
        <x:v>1413</x:v>
      </x:c>
      <x:c r="B1417" s="7" t="str">
        <x:f>IF(AND('요약'!$B$20,A1417&lt;='요약'!$B$6),NORM.S.INV((A1417-0.5)/'요약'!$B$6),"")</x:f>
      </x:c>
      <x:c r="C1417" s="7" t="str">
        <x:f>IF(AND('요약'!$B$20,A1417&lt;='요약'!$B$6),LARGE('계산'!$B$2:$B$2001,'요약'!$B$6-A1417+1),"")</x:f>
      </x:c>
      <x:c r="D1417" s="7" t="str">
        <x:f>IF(ISNUMBER(B1417),'요약'!$B$7+'요약'!$B$13*B1417,"")</x:f>
      </x:c>
    </x:row>
    <x:row r="1418">
      <x:c r="A1418" t="n">
        <x:f>1414</x:f>
        <x:v>1414</x:v>
      </x:c>
      <x:c r="B1418" s="7" t="str">
        <x:f>IF(AND('요약'!$B$20,A1418&lt;='요약'!$B$6),NORM.S.INV((A1418-0.5)/'요약'!$B$6),"")</x:f>
      </x:c>
      <x:c r="C1418" s="7" t="str">
        <x:f>IF(AND('요약'!$B$20,A1418&lt;='요약'!$B$6),LARGE('계산'!$B$2:$B$2001,'요약'!$B$6-A1418+1),"")</x:f>
      </x:c>
      <x:c r="D1418" s="7" t="str">
        <x:f>IF(ISNUMBER(B1418),'요약'!$B$7+'요약'!$B$13*B1418,"")</x:f>
      </x:c>
    </x:row>
    <x:row r="1419">
      <x:c r="A1419" t="n">
        <x:f>1415</x:f>
        <x:v>1415</x:v>
      </x:c>
      <x:c r="B1419" s="7" t="str">
        <x:f>IF(AND('요약'!$B$20,A1419&lt;='요약'!$B$6),NORM.S.INV((A1419-0.5)/'요약'!$B$6),"")</x:f>
      </x:c>
      <x:c r="C1419" s="7" t="str">
        <x:f>IF(AND('요약'!$B$20,A1419&lt;='요약'!$B$6),LARGE('계산'!$B$2:$B$2001,'요약'!$B$6-A1419+1),"")</x:f>
      </x:c>
      <x:c r="D1419" s="7" t="str">
        <x:f>IF(ISNUMBER(B1419),'요약'!$B$7+'요약'!$B$13*B1419,"")</x:f>
      </x:c>
    </x:row>
    <x:row r="1420">
      <x:c r="A1420" t="n">
        <x:f>1416</x:f>
        <x:v>1416</x:v>
      </x:c>
      <x:c r="B1420" s="7" t="str">
        <x:f>IF(AND('요약'!$B$20,A1420&lt;='요약'!$B$6),NORM.S.INV((A1420-0.5)/'요약'!$B$6),"")</x:f>
      </x:c>
      <x:c r="C1420" s="7" t="str">
        <x:f>IF(AND('요약'!$B$20,A1420&lt;='요약'!$B$6),LARGE('계산'!$B$2:$B$2001,'요약'!$B$6-A1420+1),"")</x:f>
      </x:c>
      <x:c r="D1420" s="7" t="str">
        <x:f>IF(ISNUMBER(B1420),'요약'!$B$7+'요약'!$B$13*B1420,"")</x:f>
      </x:c>
    </x:row>
    <x:row r="1421">
      <x:c r="A1421" t="n">
        <x:f>1417</x:f>
        <x:v>1417</x:v>
      </x:c>
      <x:c r="B1421" s="7" t="str">
        <x:f>IF(AND('요약'!$B$20,A1421&lt;='요약'!$B$6),NORM.S.INV((A1421-0.5)/'요약'!$B$6),"")</x:f>
      </x:c>
      <x:c r="C1421" s="7" t="str">
        <x:f>IF(AND('요약'!$B$20,A1421&lt;='요약'!$B$6),LARGE('계산'!$B$2:$B$2001,'요약'!$B$6-A1421+1),"")</x:f>
      </x:c>
      <x:c r="D1421" s="7" t="str">
        <x:f>IF(ISNUMBER(B1421),'요약'!$B$7+'요약'!$B$13*B1421,"")</x:f>
      </x:c>
    </x:row>
    <x:row r="1422">
      <x:c r="A1422" t="n">
        <x:f>1418</x:f>
        <x:v>1418</x:v>
      </x:c>
      <x:c r="B1422" s="7" t="str">
        <x:f>IF(AND('요약'!$B$20,A1422&lt;='요약'!$B$6),NORM.S.INV((A1422-0.5)/'요약'!$B$6),"")</x:f>
      </x:c>
      <x:c r="C1422" s="7" t="str">
        <x:f>IF(AND('요약'!$B$20,A1422&lt;='요약'!$B$6),LARGE('계산'!$B$2:$B$2001,'요약'!$B$6-A1422+1),"")</x:f>
      </x:c>
      <x:c r="D1422" s="7" t="str">
        <x:f>IF(ISNUMBER(B1422),'요약'!$B$7+'요약'!$B$13*B1422,"")</x:f>
      </x:c>
    </x:row>
    <x:row r="1423">
      <x:c r="A1423" t="n">
        <x:f>1419</x:f>
        <x:v>1419</x:v>
      </x:c>
      <x:c r="B1423" s="7" t="str">
        <x:f>IF(AND('요약'!$B$20,A1423&lt;='요약'!$B$6),NORM.S.INV((A1423-0.5)/'요약'!$B$6),"")</x:f>
      </x:c>
      <x:c r="C1423" s="7" t="str">
        <x:f>IF(AND('요약'!$B$20,A1423&lt;='요약'!$B$6),LARGE('계산'!$B$2:$B$2001,'요약'!$B$6-A1423+1),"")</x:f>
      </x:c>
      <x:c r="D1423" s="7" t="str">
        <x:f>IF(ISNUMBER(B1423),'요약'!$B$7+'요약'!$B$13*B1423,"")</x:f>
      </x:c>
    </x:row>
    <x:row r="1424">
      <x:c r="A1424" t="n">
        <x:f>1420</x:f>
        <x:v>1420</x:v>
      </x:c>
      <x:c r="B1424" s="7" t="str">
        <x:f>IF(AND('요약'!$B$20,A1424&lt;='요약'!$B$6),NORM.S.INV((A1424-0.5)/'요약'!$B$6),"")</x:f>
      </x:c>
      <x:c r="C1424" s="7" t="str">
        <x:f>IF(AND('요약'!$B$20,A1424&lt;='요약'!$B$6),LARGE('계산'!$B$2:$B$2001,'요약'!$B$6-A1424+1),"")</x:f>
      </x:c>
      <x:c r="D1424" s="7" t="str">
        <x:f>IF(ISNUMBER(B1424),'요약'!$B$7+'요약'!$B$13*B1424,"")</x:f>
      </x:c>
    </x:row>
    <x:row r="1425">
      <x:c r="A1425" t="n">
        <x:f>1421</x:f>
        <x:v>1421</x:v>
      </x:c>
      <x:c r="B1425" s="7" t="str">
        <x:f>IF(AND('요약'!$B$20,A1425&lt;='요약'!$B$6),NORM.S.INV((A1425-0.5)/'요약'!$B$6),"")</x:f>
      </x:c>
      <x:c r="C1425" s="7" t="str">
        <x:f>IF(AND('요약'!$B$20,A1425&lt;='요약'!$B$6),LARGE('계산'!$B$2:$B$2001,'요약'!$B$6-A1425+1),"")</x:f>
      </x:c>
      <x:c r="D1425" s="7" t="str">
        <x:f>IF(ISNUMBER(B1425),'요약'!$B$7+'요약'!$B$13*B1425,"")</x:f>
      </x:c>
    </x:row>
    <x:row r="1426">
      <x:c r="A1426" t="n">
        <x:f>1422</x:f>
        <x:v>1422</x:v>
      </x:c>
      <x:c r="B1426" s="7" t="str">
        <x:f>IF(AND('요약'!$B$20,A1426&lt;='요약'!$B$6),NORM.S.INV((A1426-0.5)/'요약'!$B$6),"")</x:f>
      </x:c>
      <x:c r="C1426" s="7" t="str">
        <x:f>IF(AND('요약'!$B$20,A1426&lt;='요약'!$B$6),LARGE('계산'!$B$2:$B$2001,'요약'!$B$6-A1426+1),"")</x:f>
      </x:c>
      <x:c r="D1426" s="7" t="str">
        <x:f>IF(ISNUMBER(B1426),'요약'!$B$7+'요약'!$B$13*B1426,"")</x:f>
      </x:c>
    </x:row>
    <x:row r="1427">
      <x:c r="A1427" t="n">
        <x:f>1423</x:f>
        <x:v>1423</x:v>
      </x:c>
      <x:c r="B1427" s="7" t="str">
        <x:f>IF(AND('요약'!$B$20,A1427&lt;='요약'!$B$6),NORM.S.INV((A1427-0.5)/'요약'!$B$6),"")</x:f>
      </x:c>
      <x:c r="C1427" s="7" t="str">
        <x:f>IF(AND('요약'!$B$20,A1427&lt;='요약'!$B$6),LARGE('계산'!$B$2:$B$2001,'요약'!$B$6-A1427+1),"")</x:f>
      </x:c>
      <x:c r="D1427" s="7" t="str">
        <x:f>IF(ISNUMBER(B1427),'요약'!$B$7+'요약'!$B$13*B1427,"")</x:f>
      </x:c>
    </x:row>
    <x:row r="1428">
      <x:c r="A1428" t="n">
        <x:f>1424</x:f>
        <x:v>1424</x:v>
      </x:c>
      <x:c r="B1428" s="7" t="str">
        <x:f>IF(AND('요약'!$B$20,A1428&lt;='요약'!$B$6),NORM.S.INV((A1428-0.5)/'요약'!$B$6),"")</x:f>
      </x:c>
      <x:c r="C1428" s="7" t="str">
        <x:f>IF(AND('요약'!$B$20,A1428&lt;='요약'!$B$6),LARGE('계산'!$B$2:$B$2001,'요약'!$B$6-A1428+1),"")</x:f>
      </x:c>
      <x:c r="D1428" s="7" t="str">
        <x:f>IF(ISNUMBER(B1428),'요약'!$B$7+'요약'!$B$13*B1428,"")</x:f>
      </x:c>
    </x:row>
    <x:row r="1429">
      <x:c r="A1429" t="n">
        <x:f>1425</x:f>
        <x:v>1425</x:v>
      </x:c>
      <x:c r="B1429" s="7" t="str">
        <x:f>IF(AND('요약'!$B$20,A1429&lt;='요약'!$B$6),NORM.S.INV((A1429-0.5)/'요약'!$B$6),"")</x:f>
      </x:c>
      <x:c r="C1429" s="7" t="str">
        <x:f>IF(AND('요약'!$B$20,A1429&lt;='요약'!$B$6),LARGE('계산'!$B$2:$B$2001,'요약'!$B$6-A1429+1),"")</x:f>
      </x:c>
      <x:c r="D1429" s="7" t="str">
        <x:f>IF(ISNUMBER(B1429),'요약'!$B$7+'요약'!$B$13*B1429,"")</x:f>
      </x:c>
    </x:row>
    <x:row r="1430">
      <x:c r="A1430" t="n">
        <x:f>1426</x:f>
        <x:v>1426</x:v>
      </x:c>
      <x:c r="B1430" s="7" t="str">
        <x:f>IF(AND('요약'!$B$20,A1430&lt;='요약'!$B$6),NORM.S.INV((A1430-0.5)/'요약'!$B$6),"")</x:f>
      </x:c>
      <x:c r="C1430" s="7" t="str">
        <x:f>IF(AND('요약'!$B$20,A1430&lt;='요약'!$B$6),LARGE('계산'!$B$2:$B$2001,'요약'!$B$6-A1430+1),"")</x:f>
      </x:c>
      <x:c r="D1430" s="7" t="str">
        <x:f>IF(ISNUMBER(B1430),'요약'!$B$7+'요약'!$B$13*B1430,"")</x:f>
      </x:c>
    </x:row>
    <x:row r="1431">
      <x:c r="A1431" t="n">
        <x:f>1427</x:f>
        <x:v>1427</x:v>
      </x:c>
      <x:c r="B1431" s="7" t="str">
        <x:f>IF(AND('요약'!$B$20,A1431&lt;='요약'!$B$6),NORM.S.INV((A1431-0.5)/'요약'!$B$6),"")</x:f>
      </x:c>
      <x:c r="C1431" s="7" t="str">
        <x:f>IF(AND('요약'!$B$20,A1431&lt;='요약'!$B$6),LARGE('계산'!$B$2:$B$2001,'요약'!$B$6-A1431+1),"")</x:f>
      </x:c>
      <x:c r="D1431" s="7" t="str">
        <x:f>IF(ISNUMBER(B1431),'요약'!$B$7+'요약'!$B$13*B1431,"")</x:f>
      </x:c>
    </x:row>
    <x:row r="1432">
      <x:c r="A1432" t="n">
        <x:f>1428</x:f>
        <x:v>1428</x:v>
      </x:c>
      <x:c r="B1432" s="7" t="str">
        <x:f>IF(AND('요약'!$B$20,A1432&lt;='요약'!$B$6),NORM.S.INV((A1432-0.5)/'요약'!$B$6),"")</x:f>
      </x:c>
      <x:c r="C1432" s="7" t="str">
        <x:f>IF(AND('요약'!$B$20,A1432&lt;='요약'!$B$6),LARGE('계산'!$B$2:$B$2001,'요약'!$B$6-A1432+1),"")</x:f>
      </x:c>
      <x:c r="D1432" s="7" t="str">
        <x:f>IF(ISNUMBER(B1432),'요약'!$B$7+'요약'!$B$13*B1432,"")</x:f>
      </x:c>
    </x:row>
    <x:row r="1433">
      <x:c r="A1433" t="n">
        <x:f>1429</x:f>
        <x:v>1429</x:v>
      </x:c>
      <x:c r="B1433" s="7" t="str">
        <x:f>IF(AND('요약'!$B$20,A1433&lt;='요약'!$B$6),NORM.S.INV((A1433-0.5)/'요약'!$B$6),"")</x:f>
      </x:c>
      <x:c r="C1433" s="7" t="str">
        <x:f>IF(AND('요약'!$B$20,A1433&lt;='요약'!$B$6),LARGE('계산'!$B$2:$B$2001,'요약'!$B$6-A1433+1),"")</x:f>
      </x:c>
      <x:c r="D1433" s="7" t="str">
        <x:f>IF(ISNUMBER(B1433),'요약'!$B$7+'요약'!$B$13*B1433,"")</x:f>
      </x:c>
    </x:row>
    <x:row r="1434">
      <x:c r="A1434" t="n">
        <x:f>1430</x:f>
        <x:v>1430</x:v>
      </x:c>
      <x:c r="B1434" s="7" t="str">
        <x:f>IF(AND('요약'!$B$20,A1434&lt;='요약'!$B$6),NORM.S.INV((A1434-0.5)/'요약'!$B$6),"")</x:f>
      </x:c>
      <x:c r="C1434" s="7" t="str">
        <x:f>IF(AND('요약'!$B$20,A1434&lt;='요약'!$B$6),LARGE('계산'!$B$2:$B$2001,'요약'!$B$6-A1434+1),"")</x:f>
      </x:c>
      <x:c r="D1434" s="7" t="str">
        <x:f>IF(ISNUMBER(B1434),'요약'!$B$7+'요약'!$B$13*B1434,"")</x:f>
      </x:c>
    </x:row>
    <x:row r="1435">
      <x:c r="A1435" t="n">
        <x:f>1431</x:f>
        <x:v>1431</x:v>
      </x:c>
      <x:c r="B1435" s="7" t="str">
        <x:f>IF(AND('요약'!$B$20,A1435&lt;='요약'!$B$6),NORM.S.INV((A1435-0.5)/'요약'!$B$6),"")</x:f>
      </x:c>
      <x:c r="C1435" s="7" t="str">
        <x:f>IF(AND('요약'!$B$20,A1435&lt;='요약'!$B$6),LARGE('계산'!$B$2:$B$2001,'요약'!$B$6-A1435+1),"")</x:f>
      </x:c>
      <x:c r="D1435" s="7" t="str">
        <x:f>IF(ISNUMBER(B1435),'요약'!$B$7+'요약'!$B$13*B1435,"")</x:f>
      </x:c>
    </x:row>
    <x:row r="1436">
      <x:c r="A1436" t="n">
        <x:f>1432</x:f>
        <x:v>1432</x:v>
      </x:c>
      <x:c r="B1436" s="7" t="str">
        <x:f>IF(AND('요약'!$B$20,A1436&lt;='요약'!$B$6),NORM.S.INV((A1436-0.5)/'요약'!$B$6),"")</x:f>
      </x:c>
      <x:c r="C1436" s="7" t="str">
        <x:f>IF(AND('요약'!$B$20,A1436&lt;='요약'!$B$6),LARGE('계산'!$B$2:$B$2001,'요약'!$B$6-A1436+1),"")</x:f>
      </x:c>
      <x:c r="D1436" s="7" t="str">
        <x:f>IF(ISNUMBER(B1436),'요약'!$B$7+'요약'!$B$13*B1436,"")</x:f>
      </x:c>
    </x:row>
    <x:row r="1437">
      <x:c r="A1437" t="n">
        <x:f>1433</x:f>
        <x:v>1433</x:v>
      </x:c>
      <x:c r="B1437" s="7" t="str">
        <x:f>IF(AND('요약'!$B$20,A1437&lt;='요약'!$B$6),NORM.S.INV((A1437-0.5)/'요약'!$B$6),"")</x:f>
      </x:c>
      <x:c r="C1437" s="7" t="str">
        <x:f>IF(AND('요약'!$B$20,A1437&lt;='요약'!$B$6),LARGE('계산'!$B$2:$B$2001,'요약'!$B$6-A1437+1),"")</x:f>
      </x:c>
      <x:c r="D1437" s="7" t="str">
        <x:f>IF(ISNUMBER(B1437),'요약'!$B$7+'요약'!$B$13*B1437,"")</x:f>
      </x:c>
    </x:row>
    <x:row r="1438">
      <x:c r="A1438" t="n">
        <x:f>1434</x:f>
        <x:v>1434</x:v>
      </x:c>
      <x:c r="B1438" s="7" t="str">
        <x:f>IF(AND('요약'!$B$20,A1438&lt;='요약'!$B$6),NORM.S.INV((A1438-0.5)/'요약'!$B$6),"")</x:f>
      </x:c>
      <x:c r="C1438" s="7" t="str">
        <x:f>IF(AND('요약'!$B$20,A1438&lt;='요약'!$B$6),LARGE('계산'!$B$2:$B$2001,'요약'!$B$6-A1438+1),"")</x:f>
      </x:c>
      <x:c r="D1438" s="7" t="str">
        <x:f>IF(ISNUMBER(B1438),'요약'!$B$7+'요약'!$B$13*B1438,"")</x:f>
      </x:c>
    </x:row>
    <x:row r="1439">
      <x:c r="A1439" t="n">
        <x:f>1435</x:f>
        <x:v>1435</x:v>
      </x:c>
      <x:c r="B1439" s="7" t="str">
        <x:f>IF(AND('요약'!$B$20,A1439&lt;='요약'!$B$6),NORM.S.INV((A1439-0.5)/'요약'!$B$6),"")</x:f>
      </x:c>
      <x:c r="C1439" s="7" t="str">
        <x:f>IF(AND('요약'!$B$20,A1439&lt;='요약'!$B$6),LARGE('계산'!$B$2:$B$2001,'요약'!$B$6-A1439+1),"")</x:f>
      </x:c>
      <x:c r="D1439" s="7" t="str">
        <x:f>IF(ISNUMBER(B1439),'요약'!$B$7+'요약'!$B$13*B1439,"")</x:f>
      </x:c>
    </x:row>
    <x:row r="1440">
      <x:c r="A1440" t="n">
        <x:f>1436</x:f>
        <x:v>1436</x:v>
      </x:c>
      <x:c r="B1440" s="7" t="str">
        <x:f>IF(AND('요약'!$B$20,A1440&lt;='요약'!$B$6),NORM.S.INV((A1440-0.5)/'요약'!$B$6),"")</x:f>
      </x:c>
      <x:c r="C1440" s="7" t="str">
        <x:f>IF(AND('요약'!$B$20,A1440&lt;='요약'!$B$6),LARGE('계산'!$B$2:$B$2001,'요약'!$B$6-A1440+1),"")</x:f>
      </x:c>
      <x:c r="D1440" s="7" t="str">
        <x:f>IF(ISNUMBER(B1440),'요약'!$B$7+'요약'!$B$13*B1440,"")</x:f>
      </x:c>
    </x:row>
    <x:row r="1441">
      <x:c r="A1441" t="n">
        <x:f>1437</x:f>
        <x:v>1437</x:v>
      </x:c>
      <x:c r="B1441" s="7" t="str">
        <x:f>IF(AND('요약'!$B$20,A1441&lt;='요약'!$B$6),NORM.S.INV((A1441-0.5)/'요약'!$B$6),"")</x:f>
      </x:c>
      <x:c r="C1441" s="7" t="str">
        <x:f>IF(AND('요약'!$B$20,A1441&lt;='요약'!$B$6),LARGE('계산'!$B$2:$B$2001,'요약'!$B$6-A1441+1),"")</x:f>
      </x:c>
      <x:c r="D1441" s="7" t="str">
        <x:f>IF(ISNUMBER(B1441),'요약'!$B$7+'요약'!$B$13*B1441,"")</x:f>
      </x:c>
    </x:row>
    <x:row r="1442">
      <x:c r="A1442" t="n">
        <x:f>1438</x:f>
        <x:v>1438</x:v>
      </x:c>
      <x:c r="B1442" s="7" t="str">
        <x:f>IF(AND('요약'!$B$20,A1442&lt;='요약'!$B$6),NORM.S.INV((A1442-0.5)/'요약'!$B$6),"")</x:f>
      </x:c>
      <x:c r="C1442" s="7" t="str">
        <x:f>IF(AND('요약'!$B$20,A1442&lt;='요약'!$B$6),LARGE('계산'!$B$2:$B$2001,'요약'!$B$6-A1442+1),"")</x:f>
      </x:c>
      <x:c r="D1442" s="7" t="str">
        <x:f>IF(ISNUMBER(B1442),'요약'!$B$7+'요약'!$B$13*B1442,"")</x:f>
      </x:c>
    </x:row>
    <x:row r="1443">
      <x:c r="A1443" t="n">
        <x:f>1439</x:f>
        <x:v>1439</x:v>
      </x:c>
      <x:c r="B1443" s="7" t="str">
        <x:f>IF(AND('요약'!$B$20,A1443&lt;='요약'!$B$6),NORM.S.INV((A1443-0.5)/'요약'!$B$6),"")</x:f>
      </x:c>
      <x:c r="C1443" s="7" t="str">
        <x:f>IF(AND('요약'!$B$20,A1443&lt;='요약'!$B$6),LARGE('계산'!$B$2:$B$2001,'요약'!$B$6-A1443+1),"")</x:f>
      </x:c>
      <x:c r="D1443" s="7" t="str">
        <x:f>IF(ISNUMBER(B1443),'요약'!$B$7+'요약'!$B$13*B1443,"")</x:f>
      </x:c>
    </x:row>
    <x:row r="1444">
      <x:c r="A1444" t="n">
        <x:f>1440</x:f>
        <x:v>1440</x:v>
      </x:c>
      <x:c r="B1444" s="7" t="str">
        <x:f>IF(AND('요약'!$B$20,A1444&lt;='요약'!$B$6),NORM.S.INV((A1444-0.5)/'요약'!$B$6),"")</x:f>
      </x:c>
      <x:c r="C1444" s="7" t="str">
        <x:f>IF(AND('요약'!$B$20,A1444&lt;='요약'!$B$6),LARGE('계산'!$B$2:$B$2001,'요약'!$B$6-A1444+1),"")</x:f>
      </x:c>
      <x:c r="D1444" s="7" t="str">
        <x:f>IF(ISNUMBER(B1444),'요약'!$B$7+'요약'!$B$13*B1444,"")</x:f>
      </x:c>
    </x:row>
    <x:row r="1445">
      <x:c r="A1445" t="n">
        <x:f>1441</x:f>
        <x:v>1441</x:v>
      </x:c>
      <x:c r="B1445" s="7" t="str">
        <x:f>IF(AND('요약'!$B$20,A1445&lt;='요약'!$B$6),NORM.S.INV((A1445-0.5)/'요약'!$B$6),"")</x:f>
      </x:c>
      <x:c r="C1445" s="7" t="str">
        <x:f>IF(AND('요약'!$B$20,A1445&lt;='요약'!$B$6),LARGE('계산'!$B$2:$B$2001,'요약'!$B$6-A1445+1),"")</x:f>
      </x:c>
      <x:c r="D1445" s="7" t="str">
        <x:f>IF(ISNUMBER(B1445),'요약'!$B$7+'요약'!$B$13*B1445,"")</x:f>
      </x:c>
    </x:row>
    <x:row r="1446">
      <x:c r="A1446" t="n">
        <x:f>1442</x:f>
        <x:v>1442</x:v>
      </x:c>
      <x:c r="B1446" s="7" t="str">
        <x:f>IF(AND('요약'!$B$20,A1446&lt;='요약'!$B$6),NORM.S.INV((A1446-0.5)/'요약'!$B$6),"")</x:f>
      </x:c>
      <x:c r="C1446" s="7" t="str">
        <x:f>IF(AND('요약'!$B$20,A1446&lt;='요약'!$B$6),LARGE('계산'!$B$2:$B$2001,'요약'!$B$6-A1446+1),"")</x:f>
      </x:c>
      <x:c r="D1446" s="7" t="str">
        <x:f>IF(ISNUMBER(B1446),'요약'!$B$7+'요약'!$B$13*B1446,"")</x:f>
      </x:c>
    </x:row>
    <x:row r="1447">
      <x:c r="A1447" t="n">
        <x:f>1443</x:f>
        <x:v>1443</x:v>
      </x:c>
      <x:c r="B1447" s="7" t="str">
        <x:f>IF(AND('요약'!$B$20,A1447&lt;='요약'!$B$6),NORM.S.INV((A1447-0.5)/'요약'!$B$6),"")</x:f>
      </x:c>
      <x:c r="C1447" s="7" t="str">
        <x:f>IF(AND('요약'!$B$20,A1447&lt;='요약'!$B$6),LARGE('계산'!$B$2:$B$2001,'요약'!$B$6-A1447+1),"")</x:f>
      </x:c>
      <x:c r="D1447" s="7" t="str">
        <x:f>IF(ISNUMBER(B1447),'요약'!$B$7+'요약'!$B$13*B1447,"")</x:f>
      </x:c>
    </x:row>
    <x:row r="1448">
      <x:c r="A1448" t="n">
        <x:f>1444</x:f>
        <x:v>1444</x:v>
      </x:c>
      <x:c r="B1448" s="7" t="str">
        <x:f>IF(AND('요약'!$B$20,A1448&lt;='요약'!$B$6),NORM.S.INV((A1448-0.5)/'요약'!$B$6),"")</x:f>
      </x:c>
      <x:c r="C1448" s="7" t="str">
        <x:f>IF(AND('요약'!$B$20,A1448&lt;='요약'!$B$6),LARGE('계산'!$B$2:$B$2001,'요약'!$B$6-A1448+1),"")</x:f>
      </x:c>
      <x:c r="D1448" s="7" t="str">
        <x:f>IF(ISNUMBER(B1448),'요약'!$B$7+'요약'!$B$13*B1448,"")</x:f>
      </x:c>
    </x:row>
    <x:row r="1449">
      <x:c r="A1449" t="n">
        <x:f>1445</x:f>
        <x:v>1445</x:v>
      </x:c>
      <x:c r="B1449" s="7" t="str">
        <x:f>IF(AND('요약'!$B$20,A1449&lt;='요약'!$B$6),NORM.S.INV((A1449-0.5)/'요약'!$B$6),"")</x:f>
      </x:c>
      <x:c r="C1449" s="7" t="str">
        <x:f>IF(AND('요약'!$B$20,A1449&lt;='요약'!$B$6),LARGE('계산'!$B$2:$B$2001,'요약'!$B$6-A1449+1),"")</x:f>
      </x:c>
      <x:c r="D1449" s="7" t="str">
        <x:f>IF(ISNUMBER(B1449),'요약'!$B$7+'요약'!$B$13*B1449,"")</x:f>
      </x:c>
    </x:row>
    <x:row r="1450">
      <x:c r="A1450" t="n">
        <x:f>1446</x:f>
        <x:v>1446</x:v>
      </x:c>
      <x:c r="B1450" s="7" t="str">
        <x:f>IF(AND('요약'!$B$20,A1450&lt;='요약'!$B$6),NORM.S.INV((A1450-0.5)/'요약'!$B$6),"")</x:f>
      </x:c>
      <x:c r="C1450" s="7" t="str">
        <x:f>IF(AND('요약'!$B$20,A1450&lt;='요약'!$B$6),LARGE('계산'!$B$2:$B$2001,'요약'!$B$6-A1450+1),"")</x:f>
      </x:c>
      <x:c r="D1450" s="7" t="str">
        <x:f>IF(ISNUMBER(B1450),'요약'!$B$7+'요약'!$B$13*B1450,"")</x:f>
      </x:c>
    </x:row>
    <x:row r="1451">
      <x:c r="A1451" t="n">
        <x:f>1447</x:f>
        <x:v>1447</x:v>
      </x:c>
      <x:c r="B1451" s="7" t="str">
        <x:f>IF(AND('요약'!$B$20,A1451&lt;='요약'!$B$6),NORM.S.INV((A1451-0.5)/'요약'!$B$6),"")</x:f>
      </x:c>
      <x:c r="C1451" s="7" t="str">
        <x:f>IF(AND('요약'!$B$20,A1451&lt;='요약'!$B$6),LARGE('계산'!$B$2:$B$2001,'요약'!$B$6-A1451+1),"")</x:f>
      </x:c>
      <x:c r="D1451" s="7" t="str">
        <x:f>IF(ISNUMBER(B1451),'요약'!$B$7+'요약'!$B$13*B1451,"")</x:f>
      </x:c>
    </x:row>
    <x:row r="1452">
      <x:c r="A1452" t="n">
        <x:f>1448</x:f>
        <x:v>1448</x:v>
      </x:c>
      <x:c r="B1452" s="7" t="str">
        <x:f>IF(AND('요약'!$B$20,A1452&lt;='요약'!$B$6),NORM.S.INV((A1452-0.5)/'요약'!$B$6),"")</x:f>
      </x:c>
      <x:c r="C1452" s="7" t="str">
        <x:f>IF(AND('요약'!$B$20,A1452&lt;='요약'!$B$6),LARGE('계산'!$B$2:$B$2001,'요약'!$B$6-A1452+1),"")</x:f>
      </x:c>
      <x:c r="D1452" s="7" t="str">
        <x:f>IF(ISNUMBER(B1452),'요약'!$B$7+'요약'!$B$13*B1452,"")</x:f>
      </x:c>
    </x:row>
    <x:row r="1453">
      <x:c r="A1453" t="n">
        <x:f>1449</x:f>
        <x:v>1449</x:v>
      </x:c>
      <x:c r="B1453" s="7" t="str">
        <x:f>IF(AND('요약'!$B$20,A1453&lt;='요약'!$B$6),NORM.S.INV((A1453-0.5)/'요약'!$B$6),"")</x:f>
      </x:c>
      <x:c r="C1453" s="7" t="str">
        <x:f>IF(AND('요약'!$B$20,A1453&lt;='요약'!$B$6),LARGE('계산'!$B$2:$B$2001,'요약'!$B$6-A1453+1),"")</x:f>
      </x:c>
      <x:c r="D1453" s="7" t="str">
        <x:f>IF(ISNUMBER(B1453),'요약'!$B$7+'요약'!$B$13*B1453,"")</x:f>
      </x:c>
    </x:row>
    <x:row r="1454">
      <x:c r="A1454" t="n">
        <x:f>1450</x:f>
        <x:v>1450</x:v>
      </x:c>
      <x:c r="B1454" s="7" t="str">
        <x:f>IF(AND('요약'!$B$20,A1454&lt;='요약'!$B$6),NORM.S.INV((A1454-0.5)/'요약'!$B$6),"")</x:f>
      </x:c>
      <x:c r="C1454" s="7" t="str">
        <x:f>IF(AND('요약'!$B$20,A1454&lt;='요약'!$B$6),LARGE('계산'!$B$2:$B$2001,'요약'!$B$6-A1454+1),"")</x:f>
      </x:c>
      <x:c r="D1454" s="7" t="str">
        <x:f>IF(ISNUMBER(B1454),'요약'!$B$7+'요약'!$B$13*B1454,"")</x:f>
      </x:c>
    </x:row>
    <x:row r="1455">
      <x:c r="A1455" t="n">
        <x:f>1451</x:f>
        <x:v>1451</x:v>
      </x:c>
      <x:c r="B1455" s="7" t="str">
        <x:f>IF(AND('요약'!$B$20,A1455&lt;='요약'!$B$6),NORM.S.INV((A1455-0.5)/'요약'!$B$6),"")</x:f>
      </x:c>
      <x:c r="C1455" s="7" t="str">
        <x:f>IF(AND('요약'!$B$20,A1455&lt;='요약'!$B$6),LARGE('계산'!$B$2:$B$2001,'요약'!$B$6-A1455+1),"")</x:f>
      </x:c>
      <x:c r="D1455" s="7" t="str">
        <x:f>IF(ISNUMBER(B1455),'요약'!$B$7+'요약'!$B$13*B1455,"")</x:f>
      </x:c>
    </x:row>
    <x:row r="1456">
      <x:c r="A1456" t="n">
        <x:f>1452</x:f>
        <x:v>1452</x:v>
      </x:c>
      <x:c r="B1456" s="7" t="str">
        <x:f>IF(AND('요약'!$B$20,A1456&lt;='요약'!$B$6),NORM.S.INV((A1456-0.5)/'요약'!$B$6),"")</x:f>
      </x:c>
      <x:c r="C1456" s="7" t="str">
        <x:f>IF(AND('요약'!$B$20,A1456&lt;='요약'!$B$6),LARGE('계산'!$B$2:$B$2001,'요약'!$B$6-A1456+1),"")</x:f>
      </x:c>
      <x:c r="D1456" s="7" t="str">
        <x:f>IF(ISNUMBER(B1456),'요약'!$B$7+'요약'!$B$13*B1456,"")</x:f>
      </x:c>
    </x:row>
    <x:row r="1457">
      <x:c r="A1457" t="n">
        <x:f>1453</x:f>
        <x:v>1453</x:v>
      </x:c>
      <x:c r="B1457" s="7" t="str">
        <x:f>IF(AND('요약'!$B$20,A1457&lt;='요약'!$B$6),NORM.S.INV((A1457-0.5)/'요약'!$B$6),"")</x:f>
      </x:c>
      <x:c r="C1457" s="7" t="str">
        <x:f>IF(AND('요약'!$B$20,A1457&lt;='요약'!$B$6),LARGE('계산'!$B$2:$B$2001,'요약'!$B$6-A1457+1),"")</x:f>
      </x:c>
      <x:c r="D1457" s="7" t="str">
        <x:f>IF(ISNUMBER(B1457),'요약'!$B$7+'요약'!$B$13*B1457,"")</x:f>
      </x:c>
    </x:row>
    <x:row r="1458">
      <x:c r="A1458" t="n">
        <x:f>1454</x:f>
        <x:v>1454</x:v>
      </x:c>
      <x:c r="B1458" s="7" t="str">
        <x:f>IF(AND('요약'!$B$20,A1458&lt;='요약'!$B$6),NORM.S.INV((A1458-0.5)/'요약'!$B$6),"")</x:f>
      </x:c>
      <x:c r="C1458" s="7" t="str">
        <x:f>IF(AND('요약'!$B$20,A1458&lt;='요약'!$B$6),LARGE('계산'!$B$2:$B$2001,'요약'!$B$6-A1458+1),"")</x:f>
      </x:c>
      <x:c r="D1458" s="7" t="str">
        <x:f>IF(ISNUMBER(B1458),'요약'!$B$7+'요약'!$B$13*B1458,"")</x:f>
      </x:c>
    </x:row>
    <x:row r="1459">
      <x:c r="A1459" t="n">
        <x:f>1455</x:f>
        <x:v>1455</x:v>
      </x:c>
      <x:c r="B1459" s="7" t="str">
        <x:f>IF(AND('요약'!$B$20,A1459&lt;='요약'!$B$6),NORM.S.INV((A1459-0.5)/'요약'!$B$6),"")</x:f>
      </x:c>
      <x:c r="C1459" s="7" t="str">
        <x:f>IF(AND('요약'!$B$20,A1459&lt;='요약'!$B$6),LARGE('계산'!$B$2:$B$2001,'요약'!$B$6-A1459+1),"")</x:f>
      </x:c>
      <x:c r="D1459" s="7" t="str">
        <x:f>IF(ISNUMBER(B1459),'요약'!$B$7+'요약'!$B$13*B1459,"")</x:f>
      </x:c>
    </x:row>
    <x:row r="1460">
      <x:c r="A1460" t="n">
        <x:f>1456</x:f>
        <x:v>1456</x:v>
      </x:c>
      <x:c r="B1460" s="7" t="str">
        <x:f>IF(AND('요약'!$B$20,A1460&lt;='요약'!$B$6),NORM.S.INV((A1460-0.5)/'요약'!$B$6),"")</x:f>
      </x:c>
      <x:c r="C1460" s="7" t="str">
        <x:f>IF(AND('요약'!$B$20,A1460&lt;='요약'!$B$6),LARGE('계산'!$B$2:$B$2001,'요약'!$B$6-A1460+1),"")</x:f>
      </x:c>
      <x:c r="D1460" s="7" t="str">
        <x:f>IF(ISNUMBER(B1460),'요약'!$B$7+'요약'!$B$13*B1460,"")</x:f>
      </x:c>
    </x:row>
    <x:row r="1461">
      <x:c r="A1461" t="n">
        <x:f>1457</x:f>
        <x:v>1457</x:v>
      </x:c>
      <x:c r="B1461" s="7" t="str">
        <x:f>IF(AND('요약'!$B$20,A1461&lt;='요약'!$B$6),NORM.S.INV((A1461-0.5)/'요약'!$B$6),"")</x:f>
      </x:c>
      <x:c r="C1461" s="7" t="str">
        <x:f>IF(AND('요약'!$B$20,A1461&lt;='요약'!$B$6),LARGE('계산'!$B$2:$B$2001,'요약'!$B$6-A1461+1),"")</x:f>
      </x:c>
      <x:c r="D1461" s="7" t="str">
        <x:f>IF(ISNUMBER(B1461),'요약'!$B$7+'요약'!$B$13*B1461,"")</x:f>
      </x:c>
    </x:row>
    <x:row r="1462">
      <x:c r="A1462" t="n">
        <x:f>1458</x:f>
        <x:v>1458</x:v>
      </x:c>
      <x:c r="B1462" s="7" t="str">
        <x:f>IF(AND('요약'!$B$20,A1462&lt;='요약'!$B$6),NORM.S.INV((A1462-0.5)/'요약'!$B$6),"")</x:f>
      </x:c>
      <x:c r="C1462" s="7" t="str">
        <x:f>IF(AND('요약'!$B$20,A1462&lt;='요약'!$B$6),LARGE('계산'!$B$2:$B$2001,'요약'!$B$6-A1462+1),"")</x:f>
      </x:c>
      <x:c r="D1462" s="7" t="str">
        <x:f>IF(ISNUMBER(B1462),'요약'!$B$7+'요약'!$B$13*B1462,"")</x:f>
      </x:c>
    </x:row>
    <x:row r="1463">
      <x:c r="A1463" t="n">
        <x:f>1459</x:f>
        <x:v>1459</x:v>
      </x:c>
      <x:c r="B1463" s="7" t="str">
        <x:f>IF(AND('요약'!$B$20,A1463&lt;='요약'!$B$6),NORM.S.INV((A1463-0.5)/'요약'!$B$6),"")</x:f>
      </x:c>
      <x:c r="C1463" s="7" t="str">
        <x:f>IF(AND('요약'!$B$20,A1463&lt;='요약'!$B$6),LARGE('계산'!$B$2:$B$2001,'요약'!$B$6-A1463+1),"")</x:f>
      </x:c>
      <x:c r="D1463" s="7" t="str">
        <x:f>IF(ISNUMBER(B1463),'요약'!$B$7+'요약'!$B$13*B1463,"")</x:f>
      </x:c>
    </x:row>
    <x:row r="1464">
      <x:c r="A1464" t="n">
        <x:f>1460</x:f>
        <x:v>1460</x:v>
      </x:c>
      <x:c r="B1464" s="7" t="str">
        <x:f>IF(AND('요약'!$B$20,A1464&lt;='요약'!$B$6),NORM.S.INV((A1464-0.5)/'요약'!$B$6),"")</x:f>
      </x:c>
      <x:c r="C1464" s="7" t="str">
        <x:f>IF(AND('요약'!$B$20,A1464&lt;='요약'!$B$6),LARGE('계산'!$B$2:$B$2001,'요약'!$B$6-A1464+1),"")</x:f>
      </x:c>
      <x:c r="D1464" s="7" t="str">
        <x:f>IF(ISNUMBER(B1464),'요약'!$B$7+'요약'!$B$13*B1464,"")</x:f>
      </x:c>
    </x:row>
    <x:row r="1465">
      <x:c r="A1465" t="n">
        <x:f>1461</x:f>
        <x:v>1461</x:v>
      </x:c>
      <x:c r="B1465" s="7" t="str">
        <x:f>IF(AND('요약'!$B$20,A1465&lt;='요약'!$B$6),NORM.S.INV((A1465-0.5)/'요약'!$B$6),"")</x:f>
      </x:c>
      <x:c r="C1465" s="7" t="str">
        <x:f>IF(AND('요약'!$B$20,A1465&lt;='요약'!$B$6),LARGE('계산'!$B$2:$B$2001,'요약'!$B$6-A1465+1),"")</x:f>
      </x:c>
      <x:c r="D1465" s="7" t="str">
        <x:f>IF(ISNUMBER(B1465),'요약'!$B$7+'요약'!$B$13*B1465,"")</x:f>
      </x:c>
    </x:row>
    <x:row r="1466">
      <x:c r="A1466" t="n">
        <x:f>1462</x:f>
        <x:v>1462</x:v>
      </x:c>
      <x:c r="B1466" s="7" t="str">
        <x:f>IF(AND('요약'!$B$20,A1466&lt;='요약'!$B$6),NORM.S.INV((A1466-0.5)/'요약'!$B$6),"")</x:f>
      </x:c>
      <x:c r="C1466" s="7" t="str">
        <x:f>IF(AND('요약'!$B$20,A1466&lt;='요약'!$B$6),LARGE('계산'!$B$2:$B$2001,'요약'!$B$6-A1466+1),"")</x:f>
      </x:c>
      <x:c r="D1466" s="7" t="str">
        <x:f>IF(ISNUMBER(B1466),'요약'!$B$7+'요약'!$B$13*B1466,"")</x:f>
      </x:c>
    </x:row>
    <x:row r="1467">
      <x:c r="A1467" t="n">
        <x:f>1463</x:f>
        <x:v>1463</x:v>
      </x:c>
      <x:c r="B1467" s="7" t="str">
        <x:f>IF(AND('요약'!$B$20,A1467&lt;='요약'!$B$6),NORM.S.INV((A1467-0.5)/'요약'!$B$6),"")</x:f>
      </x:c>
      <x:c r="C1467" s="7" t="str">
        <x:f>IF(AND('요약'!$B$20,A1467&lt;='요약'!$B$6),LARGE('계산'!$B$2:$B$2001,'요약'!$B$6-A1467+1),"")</x:f>
      </x:c>
      <x:c r="D1467" s="7" t="str">
        <x:f>IF(ISNUMBER(B1467),'요약'!$B$7+'요약'!$B$13*B1467,"")</x:f>
      </x:c>
    </x:row>
    <x:row r="1468">
      <x:c r="A1468" t="n">
        <x:f>1464</x:f>
        <x:v>1464</x:v>
      </x:c>
      <x:c r="B1468" s="7" t="str">
        <x:f>IF(AND('요약'!$B$20,A1468&lt;='요약'!$B$6),NORM.S.INV((A1468-0.5)/'요약'!$B$6),"")</x:f>
      </x:c>
      <x:c r="C1468" s="7" t="str">
        <x:f>IF(AND('요약'!$B$20,A1468&lt;='요약'!$B$6),LARGE('계산'!$B$2:$B$2001,'요약'!$B$6-A1468+1),"")</x:f>
      </x:c>
      <x:c r="D1468" s="7" t="str">
        <x:f>IF(ISNUMBER(B1468),'요약'!$B$7+'요약'!$B$13*B1468,"")</x:f>
      </x:c>
    </x:row>
    <x:row r="1469">
      <x:c r="A1469" t="n">
        <x:f>1465</x:f>
        <x:v>1465</x:v>
      </x:c>
      <x:c r="B1469" s="7" t="str">
        <x:f>IF(AND('요약'!$B$20,A1469&lt;='요약'!$B$6),NORM.S.INV((A1469-0.5)/'요약'!$B$6),"")</x:f>
      </x:c>
      <x:c r="C1469" s="7" t="str">
        <x:f>IF(AND('요약'!$B$20,A1469&lt;='요약'!$B$6),LARGE('계산'!$B$2:$B$2001,'요약'!$B$6-A1469+1),"")</x:f>
      </x:c>
      <x:c r="D1469" s="7" t="str">
        <x:f>IF(ISNUMBER(B1469),'요약'!$B$7+'요약'!$B$13*B1469,"")</x:f>
      </x:c>
    </x:row>
    <x:row r="1470">
      <x:c r="A1470" t="n">
        <x:f>1466</x:f>
        <x:v>1466</x:v>
      </x:c>
      <x:c r="B1470" s="7" t="str">
        <x:f>IF(AND('요약'!$B$20,A1470&lt;='요약'!$B$6),NORM.S.INV((A1470-0.5)/'요약'!$B$6),"")</x:f>
      </x:c>
      <x:c r="C1470" s="7" t="str">
        <x:f>IF(AND('요약'!$B$20,A1470&lt;='요약'!$B$6),LARGE('계산'!$B$2:$B$2001,'요약'!$B$6-A1470+1),"")</x:f>
      </x:c>
      <x:c r="D1470" s="7" t="str">
        <x:f>IF(ISNUMBER(B1470),'요약'!$B$7+'요약'!$B$13*B1470,"")</x:f>
      </x:c>
    </x:row>
    <x:row r="1471">
      <x:c r="A1471" t="n">
        <x:f>1467</x:f>
        <x:v>1467</x:v>
      </x:c>
      <x:c r="B1471" s="7" t="str">
        <x:f>IF(AND('요약'!$B$20,A1471&lt;='요약'!$B$6),NORM.S.INV((A1471-0.5)/'요약'!$B$6),"")</x:f>
      </x:c>
      <x:c r="C1471" s="7" t="str">
        <x:f>IF(AND('요약'!$B$20,A1471&lt;='요약'!$B$6),LARGE('계산'!$B$2:$B$2001,'요약'!$B$6-A1471+1),"")</x:f>
      </x:c>
      <x:c r="D1471" s="7" t="str">
        <x:f>IF(ISNUMBER(B1471),'요약'!$B$7+'요약'!$B$13*B1471,"")</x:f>
      </x:c>
    </x:row>
    <x:row r="1472">
      <x:c r="A1472" t="n">
        <x:f>1468</x:f>
        <x:v>1468</x:v>
      </x:c>
      <x:c r="B1472" s="7" t="str">
        <x:f>IF(AND('요약'!$B$20,A1472&lt;='요약'!$B$6),NORM.S.INV((A1472-0.5)/'요약'!$B$6),"")</x:f>
      </x:c>
      <x:c r="C1472" s="7" t="str">
        <x:f>IF(AND('요약'!$B$20,A1472&lt;='요약'!$B$6),LARGE('계산'!$B$2:$B$2001,'요약'!$B$6-A1472+1),"")</x:f>
      </x:c>
      <x:c r="D1472" s="7" t="str">
        <x:f>IF(ISNUMBER(B1472),'요약'!$B$7+'요약'!$B$13*B1472,"")</x:f>
      </x:c>
    </x:row>
    <x:row r="1473">
      <x:c r="A1473" t="n">
        <x:f>1469</x:f>
        <x:v>1469</x:v>
      </x:c>
      <x:c r="B1473" s="7" t="str">
        <x:f>IF(AND('요약'!$B$20,A1473&lt;='요약'!$B$6),NORM.S.INV((A1473-0.5)/'요약'!$B$6),"")</x:f>
      </x:c>
      <x:c r="C1473" s="7" t="str">
        <x:f>IF(AND('요약'!$B$20,A1473&lt;='요약'!$B$6),LARGE('계산'!$B$2:$B$2001,'요약'!$B$6-A1473+1),"")</x:f>
      </x:c>
      <x:c r="D1473" s="7" t="str">
        <x:f>IF(ISNUMBER(B1473),'요약'!$B$7+'요약'!$B$13*B1473,"")</x:f>
      </x:c>
    </x:row>
    <x:row r="1474">
      <x:c r="A1474" t="n">
        <x:f>1470</x:f>
        <x:v>1470</x:v>
      </x:c>
      <x:c r="B1474" s="7" t="str">
        <x:f>IF(AND('요약'!$B$20,A1474&lt;='요약'!$B$6),NORM.S.INV((A1474-0.5)/'요약'!$B$6),"")</x:f>
      </x:c>
      <x:c r="C1474" s="7" t="str">
        <x:f>IF(AND('요약'!$B$20,A1474&lt;='요약'!$B$6),LARGE('계산'!$B$2:$B$2001,'요약'!$B$6-A1474+1),"")</x:f>
      </x:c>
      <x:c r="D1474" s="7" t="str">
        <x:f>IF(ISNUMBER(B1474),'요약'!$B$7+'요약'!$B$13*B1474,"")</x:f>
      </x:c>
    </x:row>
    <x:row r="1475">
      <x:c r="A1475" t="n">
        <x:f>1471</x:f>
        <x:v>1471</x:v>
      </x:c>
      <x:c r="B1475" s="7" t="str">
        <x:f>IF(AND('요약'!$B$20,A1475&lt;='요약'!$B$6),NORM.S.INV((A1475-0.5)/'요약'!$B$6),"")</x:f>
      </x:c>
      <x:c r="C1475" s="7" t="str">
        <x:f>IF(AND('요약'!$B$20,A1475&lt;='요약'!$B$6),LARGE('계산'!$B$2:$B$2001,'요약'!$B$6-A1475+1),"")</x:f>
      </x:c>
      <x:c r="D1475" s="7" t="str">
        <x:f>IF(ISNUMBER(B1475),'요약'!$B$7+'요약'!$B$13*B1475,"")</x:f>
      </x:c>
    </x:row>
    <x:row r="1476">
      <x:c r="A1476" t="n">
        <x:f>1472</x:f>
        <x:v>1472</x:v>
      </x:c>
      <x:c r="B1476" s="7" t="str">
        <x:f>IF(AND('요약'!$B$20,A1476&lt;='요약'!$B$6),NORM.S.INV((A1476-0.5)/'요약'!$B$6),"")</x:f>
      </x:c>
      <x:c r="C1476" s="7" t="str">
        <x:f>IF(AND('요약'!$B$20,A1476&lt;='요약'!$B$6),LARGE('계산'!$B$2:$B$2001,'요약'!$B$6-A1476+1),"")</x:f>
      </x:c>
      <x:c r="D1476" s="7" t="str">
        <x:f>IF(ISNUMBER(B1476),'요약'!$B$7+'요약'!$B$13*B1476,"")</x:f>
      </x:c>
    </x:row>
    <x:row r="1477">
      <x:c r="A1477" t="n">
        <x:f>1473</x:f>
        <x:v>1473</x:v>
      </x:c>
      <x:c r="B1477" s="7" t="str">
        <x:f>IF(AND('요약'!$B$20,A1477&lt;='요약'!$B$6),NORM.S.INV((A1477-0.5)/'요약'!$B$6),"")</x:f>
      </x:c>
      <x:c r="C1477" s="7" t="str">
        <x:f>IF(AND('요약'!$B$20,A1477&lt;='요약'!$B$6),LARGE('계산'!$B$2:$B$2001,'요약'!$B$6-A1477+1),"")</x:f>
      </x:c>
      <x:c r="D1477" s="7" t="str">
        <x:f>IF(ISNUMBER(B1477),'요약'!$B$7+'요약'!$B$13*B1477,"")</x:f>
      </x:c>
    </x:row>
    <x:row r="1478">
      <x:c r="A1478" t="n">
        <x:f>1474</x:f>
        <x:v>1474</x:v>
      </x:c>
      <x:c r="B1478" s="7" t="str">
        <x:f>IF(AND('요약'!$B$20,A1478&lt;='요약'!$B$6),NORM.S.INV((A1478-0.5)/'요약'!$B$6),"")</x:f>
      </x:c>
      <x:c r="C1478" s="7" t="str">
        <x:f>IF(AND('요약'!$B$20,A1478&lt;='요약'!$B$6),LARGE('계산'!$B$2:$B$2001,'요약'!$B$6-A1478+1),"")</x:f>
      </x:c>
      <x:c r="D1478" s="7" t="str">
        <x:f>IF(ISNUMBER(B1478),'요약'!$B$7+'요약'!$B$13*B1478,"")</x:f>
      </x:c>
    </x:row>
    <x:row r="1479">
      <x:c r="A1479" t="n">
        <x:f>1475</x:f>
        <x:v>1475</x:v>
      </x:c>
      <x:c r="B1479" s="7" t="str">
        <x:f>IF(AND('요약'!$B$20,A1479&lt;='요약'!$B$6),NORM.S.INV((A1479-0.5)/'요약'!$B$6),"")</x:f>
      </x:c>
      <x:c r="C1479" s="7" t="str">
        <x:f>IF(AND('요약'!$B$20,A1479&lt;='요약'!$B$6),LARGE('계산'!$B$2:$B$2001,'요약'!$B$6-A1479+1),"")</x:f>
      </x:c>
      <x:c r="D1479" s="7" t="str">
        <x:f>IF(ISNUMBER(B1479),'요약'!$B$7+'요약'!$B$13*B1479,"")</x:f>
      </x:c>
    </x:row>
    <x:row r="1480">
      <x:c r="A1480" t="n">
        <x:f>1476</x:f>
        <x:v>1476</x:v>
      </x:c>
      <x:c r="B1480" s="7" t="str">
        <x:f>IF(AND('요약'!$B$20,A1480&lt;='요약'!$B$6),NORM.S.INV((A1480-0.5)/'요약'!$B$6),"")</x:f>
      </x:c>
      <x:c r="C1480" s="7" t="str">
        <x:f>IF(AND('요약'!$B$20,A1480&lt;='요약'!$B$6),LARGE('계산'!$B$2:$B$2001,'요약'!$B$6-A1480+1),"")</x:f>
      </x:c>
      <x:c r="D1480" s="7" t="str">
        <x:f>IF(ISNUMBER(B1480),'요약'!$B$7+'요약'!$B$13*B1480,"")</x:f>
      </x:c>
    </x:row>
    <x:row r="1481">
      <x:c r="A1481" t="n">
        <x:f>1477</x:f>
        <x:v>1477</x:v>
      </x:c>
      <x:c r="B1481" s="7" t="str">
        <x:f>IF(AND('요약'!$B$20,A1481&lt;='요약'!$B$6),NORM.S.INV((A1481-0.5)/'요약'!$B$6),"")</x:f>
      </x:c>
      <x:c r="C1481" s="7" t="str">
        <x:f>IF(AND('요약'!$B$20,A1481&lt;='요약'!$B$6),LARGE('계산'!$B$2:$B$2001,'요약'!$B$6-A1481+1),"")</x:f>
      </x:c>
      <x:c r="D1481" s="7" t="str">
        <x:f>IF(ISNUMBER(B1481),'요약'!$B$7+'요약'!$B$13*B1481,"")</x:f>
      </x:c>
    </x:row>
    <x:row r="1482">
      <x:c r="A1482" t="n">
        <x:f>1478</x:f>
        <x:v>1478</x:v>
      </x:c>
      <x:c r="B1482" s="7" t="str">
        <x:f>IF(AND('요약'!$B$20,A1482&lt;='요약'!$B$6),NORM.S.INV((A1482-0.5)/'요약'!$B$6),"")</x:f>
      </x:c>
      <x:c r="C1482" s="7" t="str">
        <x:f>IF(AND('요약'!$B$20,A1482&lt;='요약'!$B$6),LARGE('계산'!$B$2:$B$2001,'요약'!$B$6-A1482+1),"")</x:f>
      </x:c>
      <x:c r="D1482" s="7" t="str">
        <x:f>IF(ISNUMBER(B1482),'요약'!$B$7+'요약'!$B$13*B1482,"")</x:f>
      </x:c>
    </x:row>
    <x:row r="1483">
      <x:c r="A1483" t="n">
        <x:f>1479</x:f>
        <x:v>1479</x:v>
      </x:c>
      <x:c r="B1483" s="7" t="str">
        <x:f>IF(AND('요약'!$B$20,A1483&lt;='요약'!$B$6),NORM.S.INV((A1483-0.5)/'요약'!$B$6),"")</x:f>
      </x:c>
      <x:c r="C1483" s="7" t="str">
        <x:f>IF(AND('요약'!$B$20,A1483&lt;='요약'!$B$6),LARGE('계산'!$B$2:$B$2001,'요약'!$B$6-A1483+1),"")</x:f>
      </x:c>
      <x:c r="D1483" s="7" t="str">
        <x:f>IF(ISNUMBER(B1483),'요약'!$B$7+'요약'!$B$13*B1483,"")</x:f>
      </x:c>
    </x:row>
    <x:row r="1484">
      <x:c r="A1484" t="n">
        <x:f>1480</x:f>
        <x:v>1480</x:v>
      </x:c>
      <x:c r="B1484" s="7" t="str">
        <x:f>IF(AND('요약'!$B$20,A1484&lt;='요약'!$B$6),NORM.S.INV((A1484-0.5)/'요약'!$B$6),"")</x:f>
      </x:c>
      <x:c r="C1484" s="7" t="str">
        <x:f>IF(AND('요약'!$B$20,A1484&lt;='요약'!$B$6),LARGE('계산'!$B$2:$B$2001,'요약'!$B$6-A1484+1),"")</x:f>
      </x:c>
      <x:c r="D1484" s="7" t="str">
        <x:f>IF(ISNUMBER(B1484),'요약'!$B$7+'요약'!$B$13*B1484,"")</x:f>
      </x:c>
    </x:row>
    <x:row r="1485">
      <x:c r="A1485" t="n">
        <x:f>1481</x:f>
        <x:v>1481</x:v>
      </x:c>
      <x:c r="B1485" s="7" t="str">
        <x:f>IF(AND('요약'!$B$20,A1485&lt;='요약'!$B$6),NORM.S.INV((A1485-0.5)/'요약'!$B$6),"")</x:f>
      </x:c>
      <x:c r="C1485" s="7" t="str">
        <x:f>IF(AND('요약'!$B$20,A1485&lt;='요약'!$B$6),LARGE('계산'!$B$2:$B$2001,'요약'!$B$6-A1485+1),"")</x:f>
      </x:c>
      <x:c r="D1485" s="7" t="str">
        <x:f>IF(ISNUMBER(B1485),'요약'!$B$7+'요약'!$B$13*B1485,"")</x:f>
      </x:c>
    </x:row>
    <x:row r="1486">
      <x:c r="A1486" t="n">
        <x:f>1482</x:f>
        <x:v>1482</x:v>
      </x:c>
      <x:c r="B1486" s="7" t="str">
        <x:f>IF(AND('요약'!$B$20,A1486&lt;='요약'!$B$6),NORM.S.INV((A1486-0.5)/'요약'!$B$6),"")</x:f>
      </x:c>
      <x:c r="C1486" s="7" t="str">
        <x:f>IF(AND('요약'!$B$20,A1486&lt;='요약'!$B$6),LARGE('계산'!$B$2:$B$2001,'요약'!$B$6-A1486+1),"")</x:f>
      </x:c>
      <x:c r="D1486" s="7" t="str">
        <x:f>IF(ISNUMBER(B1486),'요약'!$B$7+'요약'!$B$13*B1486,"")</x:f>
      </x:c>
    </x:row>
    <x:row r="1487">
      <x:c r="A1487" t="n">
        <x:f>1483</x:f>
        <x:v>1483</x:v>
      </x:c>
      <x:c r="B1487" s="7" t="str">
        <x:f>IF(AND('요약'!$B$20,A1487&lt;='요약'!$B$6),NORM.S.INV((A1487-0.5)/'요약'!$B$6),"")</x:f>
      </x:c>
      <x:c r="C1487" s="7" t="str">
        <x:f>IF(AND('요약'!$B$20,A1487&lt;='요약'!$B$6),LARGE('계산'!$B$2:$B$2001,'요약'!$B$6-A1487+1),"")</x:f>
      </x:c>
      <x:c r="D1487" s="7" t="str">
        <x:f>IF(ISNUMBER(B1487),'요약'!$B$7+'요약'!$B$13*B1487,"")</x:f>
      </x:c>
    </x:row>
    <x:row r="1488">
      <x:c r="A1488" t="n">
        <x:f>1484</x:f>
        <x:v>1484</x:v>
      </x:c>
      <x:c r="B1488" s="7" t="str">
        <x:f>IF(AND('요약'!$B$20,A1488&lt;='요약'!$B$6),NORM.S.INV((A1488-0.5)/'요약'!$B$6),"")</x:f>
      </x:c>
      <x:c r="C1488" s="7" t="str">
        <x:f>IF(AND('요약'!$B$20,A1488&lt;='요약'!$B$6),LARGE('계산'!$B$2:$B$2001,'요약'!$B$6-A1488+1),"")</x:f>
      </x:c>
      <x:c r="D1488" s="7" t="str">
        <x:f>IF(ISNUMBER(B1488),'요약'!$B$7+'요약'!$B$13*B1488,"")</x:f>
      </x:c>
    </x:row>
    <x:row r="1489">
      <x:c r="A1489" t="n">
        <x:f>1485</x:f>
        <x:v>1485</x:v>
      </x:c>
      <x:c r="B1489" s="7" t="str">
        <x:f>IF(AND('요약'!$B$20,A1489&lt;='요약'!$B$6),NORM.S.INV((A1489-0.5)/'요약'!$B$6),"")</x:f>
      </x:c>
      <x:c r="C1489" s="7" t="str">
        <x:f>IF(AND('요약'!$B$20,A1489&lt;='요약'!$B$6),LARGE('계산'!$B$2:$B$2001,'요약'!$B$6-A1489+1),"")</x:f>
      </x:c>
      <x:c r="D1489" s="7" t="str">
        <x:f>IF(ISNUMBER(B1489),'요약'!$B$7+'요약'!$B$13*B1489,"")</x:f>
      </x:c>
    </x:row>
    <x:row r="1490">
      <x:c r="A1490" t="n">
        <x:f>1486</x:f>
        <x:v>1486</x:v>
      </x:c>
      <x:c r="B1490" s="7" t="str">
        <x:f>IF(AND('요약'!$B$20,A1490&lt;='요약'!$B$6),NORM.S.INV((A1490-0.5)/'요약'!$B$6),"")</x:f>
      </x:c>
      <x:c r="C1490" s="7" t="str">
        <x:f>IF(AND('요약'!$B$20,A1490&lt;='요약'!$B$6),LARGE('계산'!$B$2:$B$2001,'요약'!$B$6-A1490+1),"")</x:f>
      </x:c>
      <x:c r="D1490" s="7" t="str">
        <x:f>IF(ISNUMBER(B1490),'요약'!$B$7+'요약'!$B$13*B1490,"")</x:f>
      </x:c>
    </x:row>
    <x:row r="1491">
      <x:c r="A1491" t="n">
        <x:f>1487</x:f>
        <x:v>1487</x:v>
      </x:c>
      <x:c r="B1491" s="7" t="str">
        <x:f>IF(AND('요약'!$B$20,A1491&lt;='요약'!$B$6),NORM.S.INV((A1491-0.5)/'요약'!$B$6),"")</x:f>
      </x:c>
      <x:c r="C1491" s="7" t="str">
        <x:f>IF(AND('요약'!$B$20,A1491&lt;='요약'!$B$6),LARGE('계산'!$B$2:$B$2001,'요약'!$B$6-A1491+1),"")</x:f>
      </x:c>
      <x:c r="D1491" s="7" t="str">
        <x:f>IF(ISNUMBER(B1491),'요약'!$B$7+'요약'!$B$13*B1491,"")</x:f>
      </x:c>
    </x:row>
    <x:row r="1492">
      <x:c r="A1492" t="n">
        <x:f>1488</x:f>
        <x:v>1488</x:v>
      </x:c>
      <x:c r="B1492" s="7" t="str">
        <x:f>IF(AND('요약'!$B$20,A1492&lt;='요약'!$B$6),NORM.S.INV((A1492-0.5)/'요약'!$B$6),"")</x:f>
      </x:c>
      <x:c r="C1492" s="7" t="str">
        <x:f>IF(AND('요약'!$B$20,A1492&lt;='요약'!$B$6),LARGE('계산'!$B$2:$B$2001,'요약'!$B$6-A1492+1),"")</x:f>
      </x:c>
      <x:c r="D1492" s="7" t="str">
        <x:f>IF(ISNUMBER(B1492),'요약'!$B$7+'요약'!$B$13*B1492,"")</x:f>
      </x:c>
    </x:row>
    <x:row r="1493">
      <x:c r="A1493" t="n">
        <x:f>1489</x:f>
        <x:v>1489</x:v>
      </x:c>
      <x:c r="B1493" s="7" t="str">
        <x:f>IF(AND('요약'!$B$20,A1493&lt;='요약'!$B$6),NORM.S.INV((A1493-0.5)/'요약'!$B$6),"")</x:f>
      </x:c>
      <x:c r="C1493" s="7" t="str">
        <x:f>IF(AND('요약'!$B$20,A1493&lt;='요약'!$B$6),LARGE('계산'!$B$2:$B$2001,'요약'!$B$6-A1493+1),"")</x:f>
      </x:c>
      <x:c r="D1493" s="7" t="str">
        <x:f>IF(ISNUMBER(B1493),'요약'!$B$7+'요약'!$B$13*B1493,"")</x:f>
      </x:c>
    </x:row>
    <x:row r="1494">
      <x:c r="A1494" t="n">
        <x:f>1490</x:f>
        <x:v>1490</x:v>
      </x:c>
      <x:c r="B1494" s="7" t="str">
        <x:f>IF(AND('요약'!$B$20,A1494&lt;='요약'!$B$6),NORM.S.INV((A1494-0.5)/'요약'!$B$6),"")</x:f>
      </x:c>
      <x:c r="C1494" s="7" t="str">
        <x:f>IF(AND('요약'!$B$20,A1494&lt;='요약'!$B$6),LARGE('계산'!$B$2:$B$2001,'요약'!$B$6-A1494+1),"")</x:f>
      </x:c>
      <x:c r="D1494" s="7" t="str">
        <x:f>IF(ISNUMBER(B1494),'요약'!$B$7+'요약'!$B$13*B1494,"")</x:f>
      </x:c>
    </x:row>
    <x:row r="1495">
      <x:c r="A1495" t="n">
        <x:f>1491</x:f>
        <x:v>1491</x:v>
      </x:c>
      <x:c r="B1495" s="7" t="str">
        <x:f>IF(AND('요약'!$B$20,A1495&lt;='요약'!$B$6),NORM.S.INV((A1495-0.5)/'요약'!$B$6),"")</x:f>
      </x:c>
      <x:c r="C1495" s="7" t="str">
        <x:f>IF(AND('요약'!$B$20,A1495&lt;='요약'!$B$6),LARGE('계산'!$B$2:$B$2001,'요약'!$B$6-A1495+1),"")</x:f>
      </x:c>
      <x:c r="D1495" s="7" t="str">
        <x:f>IF(ISNUMBER(B1495),'요약'!$B$7+'요약'!$B$13*B1495,"")</x:f>
      </x:c>
    </x:row>
    <x:row r="1496">
      <x:c r="A1496" t="n">
        <x:f>1492</x:f>
        <x:v>1492</x:v>
      </x:c>
      <x:c r="B1496" s="7" t="str">
        <x:f>IF(AND('요약'!$B$20,A1496&lt;='요약'!$B$6),NORM.S.INV((A1496-0.5)/'요약'!$B$6),"")</x:f>
      </x:c>
      <x:c r="C1496" s="7" t="str">
        <x:f>IF(AND('요약'!$B$20,A1496&lt;='요약'!$B$6),LARGE('계산'!$B$2:$B$2001,'요약'!$B$6-A1496+1),"")</x:f>
      </x:c>
      <x:c r="D1496" s="7" t="str">
        <x:f>IF(ISNUMBER(B1496),'요약'!$B$7+'요약'!$B$13*B1496,"")</x:f>
      </x:c>
    </x:row>
    <x:row r="1497">
      <x:c r="A1497" t="n">
        <x:f>1493</x:f>
        <x:v>1493</x:v>
      </x:c>
      <x:c r="B1497" s="7" t="str">
        <x:f>IF(AND('요약'!$B$20,A1497&lt;='요약'!$B$6),NORM.S.INV((A1497-0.5)/'요약'!$B$6),"")</x:f>
      </x:c>
      <x:c r="C1497" s="7" t="str">
        <x:f>IF(AND('요약'!$B$20,A1497&lt;='요약'!$B$6),LARGE('계산'!$B$2:$B$2001,'요약'!$B$6-A1497+1),"")</x:f>
      </x:c>
      <x:c r="D1497" s="7" t="str">
        <x:f>IF(ISNUMBER(B1497),'요약'!$B$7+'요약'!$B$13*B1497,"")</x:f>
      </x:c>
    </x:row>
    <x:row r="1498">
      <x:c r="A1498" t="n">
        <x:f>1494</x:f>
        <x:v>1494</x:v>
      </x:c>
      <x:c r="B1498" s="7" t="str">
        <x:f>IF(AND('요약'!$B$20,A1498&lt;='요약'!$B$6),NORM.S.INV((A1498-0.5)/'요약'!$B$6),"")</x:f>
      </x:c>
      <x:c r="C1498" s="7" t="str">
        <x:f>IF(AND('요약'!$B$20,A1498&lt;='요약'!$B$6),LARGE('계산'!$B$2:$B$2001,'요약'!$B$6-A1498+1),"")</x:f>
      </x:c>
      <x:c r="D1498" s="7" t="str">
        <x:f>IF(ISNUMBER(B1498),'요약'!$B$7+'요약'!$B$13*B1498,"")</x:f>
      </x:c>
    </x:row>
    <x:row r="1499">
      <x:c r="A1499" t="n">
        <x:f>1495</x:f>
        <x:v>1495</x:v>
      </x:c>
      <x:c r="B1499" s="7" t="str">
        <x:f>IF(AND('요약'!$B$20,A1499&lt;='요약'!$B$6),NORM.S.INV((A1499-0.5)/'요약'!$B$6),"")</x:f>
      </x:c>
      <x:c r="C1499" s="7" t="str">
        <x:f>IF(AND('요약'!$B$20,A1499&lt;='요약'!$B$6),LARGE('계산'!$B$2:$B$2001,'요약'!$B$6-A1499+1),"")</x:f>
      </x:c>
      <x:c r="D1499" s="7" t="str">
        <x:f>IF(ISNUMBER(B1499),'요약'!$B$7+'요약'!$B$13*B1499,"")</x:f>
      </x:c>
    </x:row>
    <x:row r="1500">
      <x:c r="A1500" t="n">
        <x:f>1496</x:f>
        <x:v>1496</x:v>
      </x:c>
      <x:c r="B1500" s="7" t="str">
        <x:f>IF(AND('요약'!$B$20,A1500&lt;='요약'!$B$6),NORM.S.INV((A1500-0.5)/'요약'!$B$6),"")</x:f>
      </x:c>
      <x:c r="C1500" s="7" t="str">
        <x:f>IF(AND('요약'!$B$20,A1500&lt;='요약'!$B$6),LARGE('계산'!$B$2:$B$2001,'요약'!$B$6-A1500+1),"")</x:f>
      </x:c>
      <x:c r="D1500" s="7" t="str">
        <x:f>IF(ISNUMBER(B1500),'요약'!$B$7+'요약'!$B$13*B1500,"")</x:f>
      </x:c>
    </x:row>
    <x:row r="1501">
      <x:c r="A1501" t="n">
        <x:f>1497</x:f>
        <x:v>1497</x:v>
      </x:c>
      <x:c r="B1501" s="7" t="str">
        <x:f>IF(AND('요약'!$B$20,A1501&lt;='요약'!$B$6),NORM.S.INV((A1501-0.5)/'요약'!$B$6),"")</x:f>
      </x:c>
      <x:c r="C1501" s="7" t="str">
        <x:f>IF(AND('요약'!$B$20,A1501&lt;='요약'!$B$6),LARGE('계산'!$B$2:$B$2001,'요약'!$B$6-A1501+1),"")</x:f>
      </x:c>
      <x:c r="D1501" s="7" t="str">
        <x:f>IF(ISNUMBER(B1501),'요약'!$B$7+'요약'!$B$13*B1501,"")</x:f>
      </x:c>
    </x:row>
    <x:row r="1502">
      <x:c r="A1502" t="n">
        <x:f>1498</x:f>
        <x:v>1498</x:v>
      </x:c>
      <x:c r="B1502" s="7" t="str">
        <x:f>IF(AND('요약'!$B$20,A1502&lt;='요약'!$B$6),NORM.S.INV((A1502-0.5)/'요약'!$B$6),"")</x:f>
      </x:c>
      <x:c r="C1502" s="7" t="str">
        <x:f>IF(AND('요약'!$B$20,A1502&lt;='요약'!$B$6),LARGE('계산'!$B$2:$B$2001,'요약'!$B$6-A1502+1),"")</x:f>
      </x:c>
      <x:c r="D1502" s="7" t="str">
        <x:f>IF(ISNUMBER(B1502),'요약'!$B$7+'요약'!$B$13*B1502,"")</x:f>
      </x:c>
    </x:row>
    <x:row r="1503">
      <x:c r="A1503" t="n">
        <x:f>1499</x:f>
        <x:v>1499</x:v>
      </x:c>
      <x:c r="B1503" s="7" t="str">
        <x:f>IF(AND('요약'!$B$20,A1503&lt;='요약'!$B$6),NORM.S.INV((A1503-0.5)/'요약'!$B$6),"")</x:f>
      </x:c>
      <x:c r="C1503" s="7" t="str">
        <x:f>IF(AND('요약'!$B$20,A1503&lt;='요약'!$B$6),LARGE('계산'!$B$2:$B$2001,'요약'!$B$6-A1503+1),"")</x:f>
      </x:c>
      <x:c r="D1503" s="7" t="str">
        <x:f>IF(ISNUMBER(B1503),'요약'!$B$7+'요약'!$B$13*B1503,"")</x:f>
      </x:c>
    </x:row>
    <x:row r="1504">
      <x:c r="A1504" t="n">
        <x:f>1500</x:f>
        <x:v>1500</x:v>
      </x:c>
      <x:c r="B1504" s="7" t="str">
        <x:f>IF(AND('요약'!$B$20,A1504&lt;='요약'!$B$6),NORM.S.INV((A1504-0.5)/'요약'!$B$6),"")</x:f>
      </x:c>
      <x:c r="C1504" s="7" t="str">
        <x:f>IF(AND('요약'!$B$20,A1504&lt;='요약'!$B$6),LARGE('계산'!$B$2:$B$2001,'요약'!$B$6-A1504+1),"")</x:f>
      </x:c>
      <x:c r="D1504" s="7" t="str">
        <x:f>IF(ISNUMBER(B1504),'요약'!$B$7+'요약'!$B$13*B1504,"")</x:f>
      </x:c>
    </x:row>
    <x:row r="1505">
      <x:c r="A1505" t="n">
        <x:f>1501</x:f>
        <x:v>1501</x:v>
      </x:c>
      <x:c r="B1505" s="7" t="str">
        <x:f>IF(AND('요약'!$B$20,A1505&lt;='요약'!$B$6),NORM.S.INV((A1505-0.5)/'요약'!$B$6),"")</x:f>
      </x:c>
      <x:c r="C1505" s="7" t="str">
        <x:f>IF(AND('요약'!$B$20,A1505&lt;='요약'!$B$6),LARGE('계산'!$B$2:$B$2001,'요약'!$B$6-A1505+1),"")</x:f>
      </x:c>
      <x:c r="D1505" s="7" t="str">
        <x:f>IF(ISNUMBER(B1505),'요약'!$B$7+'요약'!$B$13*B1505,"")</x:f>
      </x:c>
    </x:row>
    <x:row r="1506">
      <x:c r="A1506" t="n">
        <x:f>1502</x:f>
        <x:v>1502</x:v>
      </x:c>
      <x:c r="B1506" s="7" t="str">
        <x:f>IF(AND('요약'!$B$20,A1506&lt;='요약'!$B$6),NORM.S.INV((A1506-0.5)/'요약'!$B$6),"")</x:f>
      </x:c>
      <x:c r="C1506" s="7" t="str">
        <x:f>IF(AND('요약'!$B$20,A1506&lt;='요약'!$B$6),LARGE('계산'!$B$2:$B$2001,'요약'!$B$6-A1506+1),"")</x:f>
      </x:c>
      <x:c r="D1506" s="7" t="str">
        <x:f>IF(ISNUMBER(B1506),'요약'!$B$7+'요약'!$B$13*B1506,"")</x:f>
      </x:c>
    </x:row>
    <x:row r="1507">
      <x:c r="A1507" t="n">
        <x:f>1503</x:f>
        <x:v>1503</x:v>
      </x:c>
      <x:c r="B1507" s="7" t="str">
        <x:f>IF(AND('요약'!$B$20,A1507&lt;='요약'!$B$6),NORM.S.INV((A1507-0.5)/'요약'!$B$6),"")</x:f>
      </x:c>
      <x:c r="C1507" s="7" t="str">
        <x:f>IF(AND('요약'!$B$20,A1507&lt;='요약'!$B$6),LARGE('계산'!$B$2:$B$2001,'요약'!$B$6-A1507+1),"")</x:f>
      </x:c>
      <x:c r="D1507" s="7" t="str">
        <x:f>IF(ISNUMBER(B1507),'요약'!$B$7+'요약'!$B$13*B1507,"")</x:f>
      </x:c>
    </x:row>
    <x:row r="1508">
      <x:c r="A1508" t="n">
        <x:f>1504</x:f>
        <x:v>1504</x:v>
      </x:c>
      <x:c r="B1508" s="7" t="str">
        <x:f>IF(AND('요약'!$B$20,A1508&lt;='요약'!$B$6),NORM.S.INV((A1508-0.5)/'요약'!$B$6),"")</x:f>
      </x:c>
      <x:c r="C1508" s="7" t="str">
        <x:f>IF(AND('요약'!$B$20,A1508&lt;='요약'!$B$6),LARGE('계산'!$B$2:$B$2001,'요약'!$B$6-A1508+1),"")</x:f>
      </x:c>
      <x:c r="D1508" s="7" t="str">
        <x:f>IF(ISNUMBER(B1508),'요약'!$B$7+'요약'!$B$13*B1508,"")</x:f>
      </x:c>
    </x:row>
    <x:row r="1509">
      <x:c r="A1509" t="n">
        <x:f>1505</x:f>
        <x:v>1505</x:v>
      </x:c>
      <x:c r="B1509" s="7" t="str">
        <x:f>IF(AND('요약'!$B$20,A1509&lt;='요약'!$B$6),NORM.S.INV((A1509-0.5)/'요약'!$B$6),"")</x:f>
      </x:c>
      <x:c r="C1509" s="7" t="str">
        <x:f>IF(AND('요약'!$B$20,A1509&lt;='요약'!$B$6),LARGE('계산'!$B$2:$B$2001,'요약'!$B$6-A1509+1),"")</x:f>
      </x:c>
      <x:c r="D1509" s="7" t="str">
        <x:f>IF(ISNUMBER(B1509),'요약'!$B$7+'요약'!$B$13*B1509,"")</x:f>
      </x:c>
    </x:row>
    <x:row r="1510">
      <x:c r="A1510" t="n">
        <x:f>1506</x:f>
        <x:v>1506</x:v>
      </x:c>
      <x:c r="B1510" s="7" t="str">
        <x:f>IF(AND('요약'!$B$20,A1510&lt;='요약'!$B$6),NORM.S.INV((A1510-0.5)/'요약'!$B$6),"")</x:f>
      </x:c>
      <x:c r="C1510" s="7" t="str">
        <x:f>IF(AND('요약'!$B$20,A1510&lt;='요약'!$B$6),LARGE('계산'!$B$2:$B$2001,'요약'!$B$6-A1510+1),"")</x:f>
      </x:c>
      <x:c r="D1510" s="7" t="str">
        <x:f>IF(ISNUMBER(B1510),'요약'!$B$7+'요약'!$B$13*B1510,"")</x:f>
      </x:c>
    </x:row>
    <x:row r="1511">
      <x:c r="A1511" t="n">
        <x:f>1507</x:f>
        <x:v>1507</x:v>
      </x:c>
      <x:c r="B1511" s="7" t="str">
        <x:f>IF(AND('요약'!$B$20,A1511&lt;='요약'!$B$6),NORM.S.INV((A1511-0.5)/'요약'!$B$6),"")</x:f>
      </x:c>
      <x:c r="C1511" s="7" t="str">
        <x:f>IF(AND('요약'!$B$20,A1511&lt;='요약'!$B$6),LARGE('계산'!$B$2:$B$2001,'요약'!$B$6-A1511+1),"")</x:f>
      </x:c>
      <x:c r="D1511" s="7" t="str">
        <x:f>IF(ISNUMBER(B1511),'요약'!$B$7+'요약'!$B$13*B1511,"")</x:f>
      </x:c>
    </x:row>
    <x:row r="1512">
      <x:c r="A1512" t="n">
        <x:f>1508</x:f>
        <x:v>1508</x:v>
      </x:c>
      <x:c r="B1512" s="7" t="str">
        <x:f>IF(AND('요약'!$B$20,A1512&lt;='요약'!$B$6),NORM.S.INV((A1512-0.5)/'요약'!$B$6),"")</x:f>
      </x:c>
      <x:c r="C1512" s="7" t="str">
        <x:f>IF(AND('요약'!$B$20,A1512&lt;='요약'!$B$6),LARGE('계산'!$B$2:$B$2001,'요약'!$B$6-A1512+1),"")</x:f>
      </x:c>
      <x:c r="D1512" s="7" t="str">
        <x:f>IF(ISNUMBER(B1512),'요약'!$B$7+'요약'!$B$13*B1512,"")</x:f>
      </x:c>
    </x:row>
    <x:row r="1513">
      <x:c r="A1513" t="n">
        <x:f>1509</x:f>
        <x:v>1509</x:v>
      </x:c>
      <x:c r="B1513" s="7" t="str">
        <x:f>IF(AND('요약'!$B$20,A1513&lt;='요약'!$B$6),NORM.S.INV((A1513-0.5)/'요약'!$B$6),"")</x:f>
      </x:c>
      <x:c r="C1513" s="7" t="str">
        <x:f>IF(AND('요약'!$B$20,A1513&lt;='요약'!$B$6),LARGE('계산'!$B$2:$B$2001,'요약'!$B$6-A1513+1),"")</x:f>
      </x:c>
      <x:c r="D1513" s="7" t="str">
        <x:f>IF(ISNUMBER(B1513),'요약'!$B$7+'요약'!$B$13*B1513,"")</x:f>
      </x:c>
    </x:row>
    <x:row r="1514">
      <x:c r="A1514" t="n">
        <x:f>1510</x:f>
        <x:v>1510</x:v>
      </x:c>
      <x:c r="B1514" s="7" t="str">
        <x:f>IF(AND('요약'!$B$20,A1514&lt;='요약'!$B$6),NORM.S.INV((A1514-0.5)/'요약'!$B$6),"")</x:f>
      </x:c>
      <x:c r="C1514" s="7" t="str">
        <x:f>IF(AND('요약'!$B$20,A1514&lt;='요약'!$B$6),LARGE('계산'!$B$2:$B$2001,'요약'!$B$6-A1514+1),"")</x:f>
      </x:c>
      <x:c r="D1514" s="7" t="str">
        <x:f>IF(ISNUMBER(B1514),'요약'!$B$7+'요약'!$B$13*B1514,"")</x:f>
      </x:c>
    </x:row>
    <x:row r="1515">
      <x:c r="A1515" t="n">
        <x:f>1511</x:f>
        <x:v>1511</x:v>
      </x:c>
      <x:c r="B1515" s="7" t="str">
        <x:f>IF(AND('요약'!$B$20,A1515&lt;='요약'!$B$6),NORM.S.INV((A1515-0.5)/'요약'!$B$6),"")</x:f>
      </x:c>
      <x:c r="C1515" s="7" t="str">
        <x:f>IF(AND('요약'!$B$20,A1515&lt;='요약'!$B$6),LARGE('계산'!$B$2:$B$2001,'요약'!$B$6-A1515+1),"")</x:f>
      </x:c>
      <x:c r="D1515" s="7" t="str">
        <x:f>IF(ISNUMBER(B1515),'요약'!$B$7+'요약'!$B$13*B1515,"")</x:f>
      </x:c>
    </x:row>
    <x:row r="1516">
      <x:c r="A1516" t="n">
        <x:f>1512</x:f>
        <x:v>1512</x:v>
      </x:c>
      <x:c r="B1516" s="7" t="str">
        <x:f>IF(AND('요약'!$B$20,A1516&lt;='요약'!$B$6),NORM.S.INV((A1516-0.5)/'요약'!$B$6),"")</x:f>
      </x:c>
      <x:c r="C1516" s="7" t="str">
        <x:f>IF(AND('요약'!$B$20,A1516&lt;='요약'!$B$6),LARGE('계산'!$B$2:$B$2001,'요약'!$B$6-A1516+1),"")</x:f>
      </x:c>
      <x:c r="D1516" s="7" t="str">
        <x:f>IF(ISNUMBER(B1516),'요약'!$B$7+'요약'!$B$13*B1516,"")</x:f>
      </x:c>
    </x:row>
    <x:row r="1517">
      <x:c r="A1517" t="n">
        <x:f>1513</x:f>
        <x:v>1513</x:v>
      </x:c>
      <x:c r="B1517" s="7" t="str">
        <x:f>IF(AND('요약'!$B$20,A1517&lt;='요약'!$B$6),NORM.S.INV((A1517-0.5)/'요약'!$B$6),"")</x:f>
      </x:c>
      <x:c r="C1517" s="7" t="str">
        <x:f>IF(AND('요약'!$B$20,A1517&lt;='요약'!$B$6),LARGE('계산'!$B$2:$B$2001,'요약'!$B$6-A1517+1),"")</x:f>
      </x:c>
      <x:c r="D1517" s="7" t="str">
        <x:f>IF(ISNUMBER(B1517),'요약'!$B$7+'요약'!$B$13*B1517,"")</x:f>
      </x:c>
    </x:row>
    <x:row r="1518">
      <x:c r="A1518" t="n">
        <x:f>1514</x:f>
        <x:v>1514</x:v>
      </x:c>
      <x:c r="B1518" s="7" t="str">
        <x:f>IF(AND('요약'!$B$20,A1518&lt;='요약'!$B$6),NORM.S.INV((A1518-0.5)/'요약'!$B$6),"")</x:f>
      </x:c>
      <x:c r="C1518" s="7" t="str">
        <x:f>IF(AND('요약'!$B$20,A1518&lt;='요약'!$B$6),LARGE('계산'!$B$2:$B$2001,'요약'!$B$6-A1518+1),"")</x:f>
      </x:c>
      <x:c r="D1518" s="7" t="str">
        <x:f>IF(ISNUMBER(B1518),'요약'!$B$7+'요약'!$B$13*B1518,"")</x:f>
      </x:c>
    </x:row>
    <x:row r="1519">
      <x:c r="A1519" t="n">
        <x:f>1515</x:f>
        <x:v>1515</x:v>
      </x:c>
      <x:c r="B1519" s="7" t="str">
        <x:f>IF(AND('요약'!$B$20,A1519&lt;='요약'!$B$6),NORM.S.INV((A1519-0.5)/'요약'!$B$6),"")</x:f>
      </x:c>
      <x:c r="C1519" s="7" t="str">
        <x:f>IF(AND('요약'!$B$20,A1519&lt;='요약'!$B$6),LARGE('계산'!$B$2:$B$2001,'요약'!$B$6-A1519+1),"")</x:f>
      </x:c>
      <x:c r="D1519" s="7" t="str">
        <x:f>IF(ISNUMBER(B1519),'요약'!$B$7+'요약'!$B$13*B1519,"")</x:f>
      </x:c>
    </x:row>
    <x:row r="1520">
      <x:c r="A1520" t="n">
        <x:f>1516</x:f>
        <x:v>1516</x:v>
      </x:c>
      <x:c r="B1520" s="7" t="str">
        <x:f>IF(AND('요약'!$B$20,A1520&lt;='요약'!$B$6),NORM.S.INV((A1520-0.5)/'요약'!$B$6),"")</x:f>
      </x:c>
      <x:c r="C1520" s="7" t="str">
        <x:f>IF(AND('요약'!$B$20,A1520&lt;='요약'!$B$6),LARGE('계산'!$B$2:$B$2001,'요약'!$B$6-A1520+1),"")</x:f>
      </x:c>
      <x:c r="D1520" s="7" t="str">
        <x:f>IF(ISNUMBER(B1520),'요약'!$B$7+'요약'!$B$13*B1520,"")</x:f>
      </x:c>
    </x:row>
    <x:row r="1521">
      <x:c r="A1521" t="n">
        <x:f>1517</x:f>
        <x:v>1517</x:v>
      </x:c>
      <x:c r="B1521" s="7" t="str">
        <x:f>IF(AND('요약'!$B$20,A1521&lt;='요약'!$B$6),NORM.S.INV((A1521-0.5)/'요약'!$B$6),"")</x:f>
      </x:c>
      <x:c r="C1521" s="7" t="str">
        <x:f>IF(AND('요약'!$B$20,A1521&lt;='요약'!$B$6),LARGE('계산'!$B$2:$B$2001,'요약'!$B$6-A1521+1),"")</x:f>
      </x:c>
      <x:c r="D1521" s="7" t="str">
        <x:f>IF(ISNUMBER(B1521),'요약'!$B$7+'요약'!$B$13*B1521,"")</x:f>
      </x:c>
    </x:row>
    <x:row r="1522">
      <x:c r="A1522" t="n">
        <x:f>1518</x:f>
        <x:v>1518</x:v>
      </x:c>
      <x:c r="B1522" s="7" t="str">
        <x:f>IF(AND('요약'!$B$20,A1522&lt;='요약'!$B$6),NORM.S.INV((A1522-0.5)/'요약'!$B$6),"")</x:f>
      </x:c>
      <x:c r="C1522" s="7" t="str">
        <x:f>IF(AND('요약'!$B$20,A1522&lt;='요약'!$B$6),LARGE('계산'!$B$2:$B$2001,'요약'!$B$6-A1522+1),"")</x:f>
      </x:c>
      <x:c r="D1522" s="7" t="str">
        <x:f>IF(ISNUMBER(B1522),'요약'!$B$7+'요약'!$B$13*B1522,"")</x:f>
      </x:c>
    </x:row>
    <x:row r="1523">
      <x:c r="A1523" t="n">
        <x:f>1519</x:f>
        <x:v>1519</x:v>
      </x:c>
      <x:c r="B1523" s="7" t="str">
        <x:f>IF(AND('요약'!$B$20,A1523&lt;='요약'!$B$6),NORM.S.INV((A1523-0.5)/'요약'!$B$6),"")</x:f>
      </x:c>
      <x:c r="C1523" s="7" t="str">
        <x:f>IF(AND('요약'!$B$20,A1523&lt;='요약'!$B$6),LARGE('계산'!$B$2:$B$2001,'요약'!$B$6-A1523+1),"")</x:f>
      </x:c>
      <x:c r="D1523" s="7" t="str">
        <x:f>IF(ISNUMBER(B1523),'요약'!$B$7+'요약'!$B$13*B1523,"")</x:f>
      </x:c>
    </x:row>
    <x:row r="1524">
      <x:c r="A1524" t="n">
        <x:f>1520</x:f>
        <x:v>1520</x:v>
      </x:c>
      <x:c r="B1524" s="7" t="str">
        <x:f>IF(AND('요약'!$B$20,A1524&lt;='요약'!$B$6),NORM.S.INV((A1524-0.5)/'요약'!$B$6),"")</x:f>
      </x:c>
      <x:c r="C1524" s="7" t="str">
        <x:f>IF(AND('요약'!$B$20,A1524&lt;='요약'!$B$6),LARGE('계산'!$B$2:$B$2001,'요약'!$B$6-A1524+1),"")</x:f>
      </x:c>
      <x:c r="D1524" s="7" t="str">
        <x:f>IF(ISNUMBER(B1524),'요약'!$B$7+'요약'!$B$13*B1524,"")</x:f>
      </x:c>
    </x:row>
    <x:row r="1525">
      <x:c r="A1525" t="n">
        <x:f>1521</x:f>
        <x:v>1521</x:v>
      </x:c>
      <x:c r="B1525" s="7" t="str">
        <x:f>IF(AND('요약'!$B$20,A1525&lt;='요약'!$B$6),NORM.S.INV((A1525-0.5)/'요약'!$B$6),"")</x:f>
      </x:c>
      <x:c r="C1525" s="7" t="str">
        <x:f>IF(AND('요약'!$B$20,A1525&lt;='요약'!$B$6),LARGE('계산'!$B$2:$B$2001,'요약'!$B$6-A1525+1),"")</x:f>
      </x:c>
      <x:c r="D1525" s="7" t="str">
        <x:f>IF(ISNUMBER(B1525),'요약'!$B$7+'요약'!$B$13*B1525,"")</x:f>
      </x:c>
    </x:row>
    <x:row r="1526">
      <x:c r="A1526" t="n">
        <x:f>1522</x:f>
        <x:v>1522</x:v>
      </x:c>
      <x:c r="B1526" s="7" t="str">
        <x:f>IF(AND('요약'!$B$20,A1526&lt;='요약'!$B$6),NORM.S.INV((A1526-0.5)/'요약'!$B$6),"")</x:f>
      </x:c>
      <x:c r="C1526" s="7" t="str">
        <x:f>IF(AND('요약'!$B$20,A1526&lt;='요약'!$B$6),LARGE('계산'!$B$2:$B$2001,'요약'!$B$6-A1526+1),"")</x:f>
      </x:c>
      <x:c r="D1526" s="7" t="str">
        <x:f>IF(ISNUMBER(B1526),'요약'!$B$7+'요약'!$B$13*B1526,"")</x:f>
      </x:c>
    </x:row>
    <x:row r="1527">
      <x:c r="A1527" t="n">
        <x:f>1523</x:f>
        <x:v>1523</x:v>
      </x:c>
      <x:c r="B1527" s="7" t="str">
        <x:f>IF(AND('요약'!$B$20,A1527&lt;='요약'!$B$6),NORM.S.INV((A1527-0.5)/'요약'!$B$6),"")</x:f>
      </x:c>
      <x:c r="C1527" s="7" t="str">
        <x:f>IF(AND('요약'!$B$20,A1527&lt;='요약'!$B$6),LARGE('계산'!$B$2:$B$2001,'요약'!$B$6-A1527+1),"")</x:f>
      </x:c>
      <x:c r="D1527" s="7" t="str">
        <x:f>IF(ISNUMBER(B1527),'요약'!$B$7+'요약'!$B$13*B1527,"")</x:f>
      </x:c>
    </x:row>
    <x:row r="1528">
      <x:c r="A1528" t="n">
        <x:f>1524</x:f>
        <x:v>1524</x:v>
      </x:c>
      <x:c r="B1528" s="7" t="str">
        <x:f>IF(AND('요약'!$B$20,A1528&lt;='요약'!$B$6),NORM.S.INV((A1528-0.5)/'요약'!$B$6),"")</x:f>
      </x:c>
      <x:c r="C1528" s="7" t="str">
        <x:f>IF(AND('요약'!$B$20,A1528&lt;='요약'!$B$6),LARGE('계산'!$B$2:$B$2001,'요약'!$B$6-A1528+1),"")</x:f>
      </x:c>
      <x:c r="D1528" s="7" t="str">
        <x:f>IF(ISNUMBER(B1528),'요약'!$B$7+'요약'!$B$13*B1528,"")</x:f>
      </x:c>
    </x:row>
    <x:row r="1529">
      <x:c r="A1529" t="n">
        <x:f>1525</x:f>
        <x:v>1525</x:v>
      </x:c>
      <x:c r="B1529" s="7" t="str">
        <x:f>IF(AND('요약'!$B$20,A1529&lt;='요약'!$B$6),NORM.S.INV((A1529-0.5)/'요약'!$B$6),"")</x:f>
      </x:c>
      <x:c r="C1529" s="7" t="str">
        <x:f>IF(AND('요약'!$B$20,A1529&lt;='요약'!$B$6),LARGE('계산'!$B$2:$B$2001,'요약'!$B$6-A1529+1),"")</x:f>
      </x:c>
      <x:c r="D1529" s="7" t="str">
        <x:f>IF(ISNUMBER(B1529),'요약'!$B$7+'요약'!$B$13*B1529,"")</x:f>
      </x:c>
    </x:row>
    <x:row r="1530">
      <x:c r="A1530" t="n">
        <x:f>1526</x:f>
        <x:v>1526</x:v>
      </x:c>
      <x:c r="B1530" s="7" t="str">
        <x:f>IF(AND('요약'!$B$20,A1530&lt;='요약'!$B$6),NORM.S.INV((A1530-0.5)/'요약'!$B$6),"")</x:f>
      </x:c>
      <x:c r="C1530" s="7" t="str">
        <x:f>IF(AND('요약'!$B$20,A1530&lt;='요약'!$B$6),LARGE('계산'!$B$2:$B$2001,'요약'!$B$6-A1530+1),"")</x:f>
      </x:c>
      <x:c r="D1530" s="7" t="str">
        <x:f>IF(ISNUMBER(B1530),'요약'!$B$7+'요약'!$B$13*B1530,"")</x:f>
      </x:c>
    </x:row>
    <x:row r="1531">
      <x:c r="A1531" t="n">
        <x:f>1527</x:f>
        <x:v>1527</x:v>
      </x:c>
      <x:c r="B1531" s="7" t="str">
        <x:f>IF(AND('요약'!$B$20,A1531&lt;='요약'!$B$6),NORM.S.INV((A1531-0.5)/'요약'!$B$6),"")</x:f>
      </x:c>
      <x:c r="C1531" s="7" t="str">
        <x:f>IF(AND('요약'!$B$20,A1531&lt;='요약'!$B$6),LARGE('계산'!$B$2:$B$2001,'요약'!$B$6-A1531+1),"")</x:f>
      </x:c>
      <x:c r="D1531" s="7" t="str">
        <x:f>IF(ISNUMBER(B1531),'요약'!$B$7+'요약'!$B$13*B1531,"")</x:f>
      </x:c>
    </x:row>
    <x:row r="1532">
      <x:c r="A1532" t="n">
        <x:f>1528</x:f>
        <x:v>1528</x:v>
      </x:c>
      <x:c r="B1532" s="7" t="str">
        <x:f>IF(AND('요약'!$B$20,A1532&lt;='요약'!$B$6),NORM.S.INV((A1532-0.5)/'요약'!$B$6),"")</x:f>
      </x:c>
      <x:c r="C1532" s="7" t="str">
        <x:f>IF(AND('요약'!$B$20,A1532&lt;='요약'!$B$6),LARGE('계산'!$B$2:$B$2001,'요약'!$B$6-A1532+1),"")</x:f>
      </x:c>
      <x:c r="D1532" s="7" t="str">
        <x:f>IF(ISNUMBER(B1532),'요약'!$B$7+'요약'!$B$13*B1532,"")</x:f>
      </x:c>
    </x:row>
    <x:row r="1533">
      <x:c r="A1533" t="n">
        <x:f>1529</x:f>
        <x:v>1529</x:v>
      </x:c>
      <x:c r="B1533" s="7" t="str">
        <x:f>IF(AND('요약'!$B$20,A1533&lt;='요약'!$B$6),NORM.S.INV((A1533-0.5)/'요약'!$B$6),"")</x:f>
      </x:c>
      <x:c r="C1533" s="7" t="str">
        <x:f>IF(AND('요약'!$B$20,A1533&lt;='요약'!$B$6),LARGE('계산'!$B$2:$B$2001,'요약'!$B$6-A1533+1),"")</x:f>
      </x:c>
      <x:c r="D1533" s="7" t="str">
        <x:f>IF(ISNUMBER(B1533),'요약'!$B$7+'요약'!$B$13*B1533,"")</x:f>
      </x:c>
    </x:row>
    <x:row r="1534">
      <x:c r="A1534" t="n">
        <x:f>1530</x:f>
        <x:v>1530</x:v>
      </x:c>
      <x:c r="B1534" s="7" t="str">
        <x:f>IF(AND('요약'!$B$20,A1534&lt;='요약'!$B$6),NORM.S.INV((A1534-0.5)/'요약'!$B$6),"")</x:f>
      </x:c>
      <x:c r="C1534" s="7" t="str">
        <x:f>IF(AND('요약'!$B$20,A1534&lt;='요약'!$B$6),LARGE('계산'!$B$2:$B$2001,'요약'!$B$6-A1534+1),"")</x:f>
      </x:c>
      <x:c r="D1534" s="7" t="str">
        <x:f>IF(ISNUMBER(B1534),'요약'!$B$7+'요약'!$B$13*B1534,"")</x:f>
      </x:c>
    </x:row>
    <x:row r="1535">
      <x:c r="A1535" t="n">
        <x:f>1531</x:f>
        <x:v>1531</x:v>
      </x:c>
      <x:c r="B1535" s="7" t="str">
        <x:f>IF(AND('요약'!$B$20,A1535&lt;='요약'!$B$6),NORM.S.INV((A1535-0.5)/'요약'!$B$6),"")</x:f>
      </x:c>
      <x:c r="C1535" s="7" t="str">
        <x:f>IF(AND('요약'!$B$20,A1535&lt;='요약'!$B$6),LARGE('계산'!$B$2:$B$2001,'요약'!$B$6-A1535+1),"")</x:f>
      </x:c>
      <x:c r="D1535" s="7" t="str">
        <x:f>IF(ISNUMBER(B1535),'요약'!$B$7+'요약'!$B$13*B1535,"")</x:f>
      </x:c>
    </x:row>
    <x:row r="1536">
      <x:c r="A1536" t="n">
        <x:f>1532</x:f>
        <x:v>1532</x:v>
      </x:c>
      <x:c r="B1536" s="7" t="str">
        <x:f>IF(AND('요약'!$B$20,A1536&lt;='요약'!$B$6),NORM.S.INV((A1536-0.5)/'요약'!$B$6),"")</x:f>
      </x:c>
      <x:c r="C1536" s="7" t="str">
        <x:f>IF(AND('요약'!$B$20,A1536&lt;='요약'!$B$6),LARGE('계산'!$B$2:$B$2001,'요약'!$B$6-A1536+1),"")</x:f>
      </x:c>
      <x:c r="D1536" s="7" t="str">
        <x:f>IF(ISNUMBER(B1536),'요약'!$B$7+'요약'!$B$13*B1536,"")</x:f>
      </x:c>
    </x:row>
    <x:row r="1537">
      <x:c r="A1537" t="n">
        <x:f>1533</x:f>
        <x:v>1533</x:v>
      </x:c>
      <x:c r="B1537" s="7" t="str">
        <x:f>IF(AND('요약'!$B$20,A1537&lt;='요약'!$B$6),NORM.S.INV((A1537-0.5)/'요약'!$B$6),"")</x:f>
      </x:c>
      <x:c r="C1537" s="7" t="str">
        <x:f>IF(AND('요약'!$B$20,A1537&lt;='요약'!$B$6),LARGE('계산'!$B$2:$B$2001,'요약'!$B$6-A1537+1),"")</x:f>
      </x:c>
      <x:c r="D1537" s="7" t="str">
        <x:f>IF(ISNUMBER(B1537),'요약'!$B$7+'요약'!$B$13*B1537,"")</x:f>
      </x:c>
    </x:row>
    <x:row r="1538">
      <x:c r="A1538" t="n">
        <x:f>1534</x:f>
        <x:v>1534</x:v>
      </x:c>
      <x:c r="B1538" s="7" t="str">
        <x:f>IF(AND('요약'!$B$20,A1538&lt;='요약'!$B$6),NORM.S.INV((A1538-0.5)/'요약'!$B$6),"")</x:f>
      </x:c>
      <x:c r="C1538" s="7" t="str">
        <x:f>IF(AND('요약'!$B$20,A1538&lt;='요약'!$B$6),LARGE('계산'!$B$2:$B$2001,'요약'!$B$6-A1538+1),"")</x:f>
      </x:c>
      <x:c r="D1538" s="7" t="str">
        <x:f>IF(ISNUMBER(B1538),'요약'!$B$7+'요약'!$B$13*B1538,"")</x:f>
      </x:c>
    </x:row>
    <x:row r="1539">
      <x:c r="A1539" t="n">
        <x:f>1535</x:f>
        <x:v>1535</x:v>
      </x:c>
      <x:c r="B1539" s="7" t="str">
        <x:f>IF(AND('요약'!$B$20,A1539&lt;='요약'!$B$6),NORM.S.INV((A1539-0.5)/'요약'!$B$6),"")</x:f>
      </x:c>
      <x:c r="C1539" s="7" t="str">
        <x:f>IF(AND('요약'!$B$20,A1539&lt;='요약'!$B$6),LARGE('계산'!$B$2:$B$2001,'요약'!$B$6-A1539+1),"")</x:f>
      </x:c>
      <x:c r="D1539" s="7" t="str">
        <x:f>IF(ISNUMBER(B1539),'요약'!$B$7+'요약'!$B$13*B1539,"")</x:f>
      </x:c>
    </x:row>
    <x:row r="1540">
      <x:c r="A1540" t="n">
        <x:f>1536</x:f>
        <x:v>1536</x:v>
      </x:c>
      <x:c r="B1540" s="7" t="str">
        <x:f>IF(AND('요약'!$B$20,A1540&lt;='요약'!$B$6),NORM.S.INV((A1540-0.5)/'요약'!$B$6),"")</x:f>
      </x:c>
      <x:c r="C1540" s="7" t="str">
        <x:f>IF(AND('요약'!$B$20,A1540&lt;='요약'!$B$6),LARGE('계산'!$B$2:$B$2001,'요약'!$B$6-A1540+1),"")</x:f>
      </x:c>
      <x:c r="D1540" s="7" t="str">
        <x:f>IF(ISNUMBER(B1540),'요약'!$B$7+'요약'!$B$13*B1540,"")</x:f>
      </x:c>
    </x:row>
    <x:row r="1541">
      <x:c r="A1541" t="n">
        <x:f>1537</x:f>
        <x:v>1537</x:v>
      </x:c>
      <x:c r="B1541" s="7" t="str">
        <x:f>IF(AND('요약'!$B$20,A1541&lt;='요약'!$B$6),NORM.S.INV((A1541-0.5)/'요약'!$B$6),"")</x:f>
      </x:c>
      <x:c r="C1541" s="7" t="str">
        <x:f>IF(AND('요약'!$B$20,A1541&lt;='요약'!$B$6),LARGE('계산'!$B$2:$B$2001,'요약'!$B$6-A1541+1),"")</x:f>
      </x:c>
      <x:c r="D1541" s="7" t="str">
        <x:f>IF(ISNUMBER(B1541),'요약'!$B$7+'요약'!$B$13*B1541,"")</x:f>
      </x:c>
    </x:row>
    <x:row r="1542">
      <x:c r="A1542" t="n">
        <x:f>1538</x:f>
        <x:v>1538</x:v>
      </x:c>
      <x:c r="B1542" s="7" t="str">
        <x:f>IF(AND('요약'!$B$20,A1542&lt;='요약'!$B$6),NORM.S.INV((A1542-0.5)/'요약'!$B$6),"")</x:f>
      </x:c>
      <x:c r="C1542" s="7" t="str">
        <x:f>IF(AND('요약'!$B$20,A1542&lt;='요약'!$B$6),LARGE('계산'!$B$2:$B$2001,'요약'!$B$6-A1542+1),"")</x:f>
      </x:c>
      <x:c r="D1542" s="7" t="str">
        <x:f>IF(ISNUMBER(B1542),'요약'!$B$7+'요약'!$B$13*B1542,"")</x:f>
      </x:c>
    </x:row>
    <x:row r="1543">
      <x:c r="A1543" t="n">
        <x:f>1539</x:f>
        <x:v>1539</x:v>
      </x:c>
      <x:c r="B1543" s="7" t="str">
        <x:f>IF(AND('요약'!$B$20,A1543&lt;='요약'!$B$6),NORM.S.INV((A1543-0.5)/'요약'!$B$6),"")</x:f>
      </x:c>
      <x:c r="C1543" s="7" t="str">
        <x:f>IF(AND('요약'!$B$20,A1543&lt;='요약'!$B$6),LARGE('계산'!$B$2:$B$2001,'요약'!$B$6-A1543+1),"")</x:f>
      </x:c>
      <x:c r="D1543" s="7" t="str">
        <x:f>IF(ISNUMBER(B1543),'요약'!$B$7+'요약'!$B$13*B1543,"")</x:f>
      </x:c>
    </x:row>
    <x:row r="1544">
      <x:c r="A1544" t="n">
        <x:f>1540</x:f>
        <x:v>1540</x:v>
      </x:c>
      <x:c r="B1544" s="7" t="str">
        <x:f>IF(AND('요약'!$B$20,A1544&lt;='요약'!$B$6),NORM.S.INV((A1544-0.5)/'요약'!$B$6),"")</x:f>
      </x:c>
      <x:c r="C1544" s="7" t="str">
        <x:f>IF(AND('요약'!$B$20,A1544&lt;='요약'!$B$6),LARGE('계산'!$B$2:$B$2001,'요약'!$B$6-A1544+1),"")</x:f>
      </x:c>
      <x:c r="D1544" s="7" t="str">
        <x:f>IF(ISNUMBER(B1544),'요약'!$B$7+'요약'!$B$13*B1544,"")</x:f>
      </x:c>
    </x:row>
    <x:row r="1545">
      <x:c r="A1545" t="n">
        <x:f>1541</x:f>
        <x:v>1541</x:v>
      </x:c>
      <x:c r="B1545" s="7" t="str">
        <x:f>IF(AND('요약'!$B$20,A1545&lt;='요약'!$B$6),NORM.S.INV((A1545-0.5)/'요약'!$B$6),"")</x:f>
      </x:c>
      <x:c r="C1545" s="7" t="str">
        <x:f>IF(AND('요약'!$B$20,A1545&lt;='요약'!$B$6),LARGE('계산'!$B$2:$B$2001,'요약'!$B$6-A1545+1),"")</x:f>
      </x:c>
      <x:c r="D1545" s="7" t="str">
        <x:f>IF(ISNUMBER(B1545),'요약'!$B$7+'요약'!$B$13*B1545,"")</x:f>
      </x:c>
    </x:row>
    <x:row r="1546">
      <x:c r="A1546" t="n">
        <x:f>1542</x:f>
        <x:v>1542</x:v>
      </x:c>
      <x:c r="B1546" s="7" t="str">
        <x:f>IF(AND('요약'!$B$20,A1546&lt;='요약'!$B$6),NORM.S.INV((A1546-0.5)/'요약'!$B$6),"")</x:f>
      </x:c>
      <x:c r="C1546" s="7" t="str">
        <x:f>IF(AND('요약'!$B$20,A1546&lt;='요약'!$B$6),LARGE('계산'!$B$2:$B$2001,'요약'!$B$6-A1546+1),"")</x:f>
      </x:c>
      <x:c r="D1546" s="7" t="str">
        <x:f>IF(ISNUMBER(B1546),'요약'!$B$7+'요약'!$B$13*B1546,"")</x:f>
      </x:c>
    </x:row>
    <x:row r="1547">
      <x:c r="A1547" t="n">
        <x:f>1543</x:f>
        <x:v>1543</x:v>
      </x:c>
      <x:c r="B1547" s="7" t="str">
        <x:f>IF(AND('요약'!$B$20,A1547&lt;='요약'!$B$6),NORM.S.INV((A1547-0.5)/'요약'!$B$6),"")</x:f>
      </x:c>
      <x:c r="C1547" s="7" t="str">
        <x:f>IF(AND('요약'!$B$20,A1547&lt;='요약'!$B$6),LARGE('계산'!$B$2:$B$2001,'요약'!$B$6-A1547+1),"")</x:f>
      </x:c>
      <x:c r="D1547" s="7" t="str">
        <x:f>IF(ISNUMBER(B1547),'요약'!$B$7+'요약'!$B$13*B1547,"")</x:f>
      </x:c>
    </x:row>
    <x:row r="1548">
      <x:c r="A1548" t="n">
        <x:f>1544</x:f>
        <x:v>1544</x:v>
      </x:c>
      <x:c r="B1548" s="7" t="str">
        <x:f>IF(AND('요약'!$B$20,A1548&lt;='요약'!$B$6),NORM.S.INV((A1548-0.5)/'요약'!$B$6),"")</x:f>
      </x:c>
      <x:c r="C1548" s="7" t="str">
        <x:f>IF(AND('요약'!$B$20,A1548&lt;='요약'!$B$6),LARGE('계산'!$B$2:$B$2001,'요약'!$B$6-A1548+1),"")</x:f>
      </x:c>
      <x:c r="D1548" s="7" t="str">
        <x:f>IF(ISNUMBER(B1548),'요약'!$B$7+'요약'!$B$13*B1548,"")</x:f>
      </x:c>
    </x:row>
    <x:row r="1549">
      <x:c r="A1549" t="n">
        <x:f>1545</x:f>
        <x:v>1545</x:v>
      </x:c>
      <x:c r="B1549" s="7" t="str">
        <x:f>IF(AND('요약'!$B$20,A1549&lt;='요약'!$B$6),NORM.S.INV((A1549-0.5)/'요약'!$B$6),"")</x:f>
      </x:c>
      <x:c r="C1549" s="7" t="str">
        <x:f>IF(AND('요약'!$B$20,A1549&lt;='요약'!$B$6),LARGE('계산'!$B$2:$B$2001,'요약'!$B$6-A1549+1),"")</x:f>
      </x:c>
      <x:c r="D1549" s="7" t="str">
        <x:f>IF(ISNUMBER(B1549),'요약'!$B$7+'요약'!$B$13*B1549,"")</x:f>
      </x:c>
    </x:row>
    <x:row r="1550">
      <x:c r="A1550" t="n">
        <x:f>1546</x:f>
        <x:v>1546</x:v>
      </x:c>
      <x:c r="B1550" s="7" t="str">
        <x:f>IF(AND('요약'!$B$20,A1550&lt;='요약'!$B$6),NORM.S.INV((A1550-0.5)/'요약'!$B$6),"")</x:f>
      </x:c>
      <x:c r="C1550" s="7" t="str">
        <x:f>IF(AND('요약'!$B$20,A1550&lt;='요약'!$B$6),LARGE('계산'!$B$2:$B$2001,'요약'!$B$6-A1550+1),"")</x:f>
      </x:c>
      <x:c r="D1550" s="7" t="str">
        <x:f>IF(ISNUMBER(B1550),'요약'!$B$7+'요약'!$B$13*B1550,"")</x:f>
      </x:c>
    </x:row>
    <x:row r="1551">
      <x:c r="A1551" t="n">
        <x:f>1547</x:f>
        <x:v>1547</x:v>
      </x:c>
      <x:c r="B1551" s="7" t="str">
        <x:f>IF(AND('요약'!$B$20,A1551&lt;='요약'!$B$6),NORM.S.INV((A1551-0.5)/'요약'!$B$6),"")</x:f>
      </x:c>
      <x:c r="C1551" s="7" t="str">
        <x:f>IF(AND('요약'!$B$20,A1551&lt;='요약'!$B$6),LARGE('계산'!$B$2:$B$2001,'요약'!$B$6-A1551+1),"")</x:f>
      </x:c>
      <x:c r="D1551" s="7" t="str">
        <x:f>IF(ISNUMBER(B1551),'요약'!$B$7+'요약'!$B$13*B1551,"")</x:f>
      </x:c>
    </x:row>
    <x:row r="1552">
      <x:c r="A1552" t="n">
        <x:f>1548</x:f>
        <x:v>1548</x:v>
      </x:c>
      <x:c r="B1552" s="7" t="str">
        <x:f>IF(AND('요약'!$B$20,A1552&lt;='요약'!$B$6),NORM.S.INV((A1552-0.5)/'요약'!$B$6),"")</x:f>
      </x:c>
      <x:c r="C1552" s="7" t="str">
        <x:f>IF(AND('요약'!$B$20,A1552&lt;='요약'!$B$6),LARGE('계산'!$B$2:$B$2001,'요약'!$B$6-A1552+1),"")</x:f>
      </x:c>
      <x:c r="D1552" s="7" t="str">
        <x:f>IF(ISNUMBER(B1552),'요약'!$B$7+'요약'!$B$13*B1552,"")</x:f>
      </x:c>
    </x:row>
    <x:row r="1553">
      <x:c r="A1553" t="n">
        <x:f>1549</x:f>
        <x:v>1549</x:v>
      </x:c>
      <x:c r="B1553" s="7" t="str">
        <x:f>IF(AND('요약'!$B$20,A1553&lt;='요약'!$B$6),NORM.S.INV((A1553-0.5)/'요약'!$B$6),"")</x:f>
      </x:c>
      <x:c r="C1553" s="7" t="str">
        <x:f>IF(AND('요약'!$B$20,A1553&lt;='요약'!$B$6),LARGE('계산'!$B$2:$B$2001,'요약'!$B$6-A1553+1),"")</x:f>
      </x:c>
      <x:c r="D1553" s="7" t="str">
        <x:f>IF(ISNUMBER(B1553),'요약'!$B$7+'요약'!$B$13*B1553,"")</x:f>
      </x:c>
    </x:row>
    <x:row r="1554">
      <x:c r="A1554" t="n">
        <x:f>1550</x:f>
        <x:v>1550</x:v>
      </x:c>
      <x:c r="B1554" s="7" t="str">
        <x:f>IF(AND('요약'!$B$20,A1554&lt;='요약'!$B$6),NORM.S.INV((A1554-0.5)/'요약'!$B$6),"")</x:f>
      </x:c>
      <x:c r="C1554" s="7" t="str">
        <x:f>IF(AND('요약'!$B$20,A1554&lt;='요약'!$B$6),LARGE('계산'!$B$2:$B$2001,'요약'!$B$6-A1554+1),"")</x:f>
      </x:c>
      <x:c r="D1554" s="7" t="str">
        <x:f>IF(ISNUMBER(B1554),'요약'!$B$7+'요약'!$B$13*B1554,"")</x:f>
      </x:c>
    </x:row>
    <x:row r="1555">
      <x:c r="A1555" t="n">
        <x:f>1551</x:f>
        <x:v>1551</x:v>
      </x:c>
      <x:c r="B1555" s="7" t="str">
        <x:f>IF(AND('요약'!$B$20,A1555&lt;='요약'!$B$6),NORM.S.INV((A1555-0.5)/'요약'!$B$6),"")</x:f>
      </x:c>
      <x:c r="C1555" s="7" t="str">
        <x:f>IF(AND('요약'!$B$20,A1555&lt;='요약'!$B$6),LARGE('계산'!$B$2:$B$2001,'요약'!$B$6-A1555+1),"")</x:f>
      </x:c>
      <x:c r="D1555" s="7" t="str">
        <x:f>IF(ISNUMBER(B1555),'요약'!$B$7+'요약'!$B$13*B1555,"")</x:f>
      </x:c>
    </x:row>
    <x:row r="1556">
      <x:c r="A1556" t="n">
        <x:f>1552</x:f>
        <x:v>1552</x:v>
      </x:c>
      <x:c r="B1556" s="7" t="str">
        <x:f>IF(AND('요약'!$B$20,A1556&lt;='요약'!$B$6),NORM.S.INV((A1556-0.5)/'요약'!$B$6),"")</x:f>
      </x:c>
      <x:c r="C1556" s="7" t="str">
        <x:f>IF(AND('요약'!$B$20,A1556&lt;='요약'!$B$6),LARGE('계산'!$B$2:$B$2001,'요약'!$B$6-A1556+1),"")</x:f>
      </x:c>
      <x:c r="D1556" s="7" t="str">
        <x:f>IF(ISNUMBER(B1556),'요약'!$B$7+'요약'!$B$13*B1556,"")</x:f>
      </x:c>
    </x:row>
    <x:row r="1557">
      <x:c r="A1557" t="n">
        <x:f>1553</x:f>
        <x:v>1553</x:v>
      </x:c>
      <x:c r="B1557" s="7" t="str">
        <x:f>IF(AND('요약'!$B$20,A1557&lt;='요약'!$B$6),NORM.S.INV((A1557-0.5)/'요약'!$B$6),"")</x:f>
      </x:c>
      <x:c r="C1557" s="7" t="str">
        <x:f>IF(AND('요약'!$B$20,A1557&lt;='요약'!$B$6),LARGE('계산'!$B$2:$B$2001,'요약'!$B$6-A1557+1),"")</x:f>
      </x:c>
      <x:c r="D1557" s="7" t="str">
        <x:f>IF(ISNUMBER(B1557),'요약'!$B$7+'요약'!$B$13*B1557,"")</x:f>
      </x:c>
    </x:row>
    <x:row r="1558">
      <x:c r="A1558" t="n">
        <x:f>1554</x:f>
        <x:v>1554</x:v>
      </x:c>
      <x:c r="B1558" s="7" t="str">
        <x:f>IF(AND('요약'!$B$20,A1558&lt;='요약'!$B$6),NORM.S.INV((A1558-0.5)/'요약'!$B$6),"")</x:f>
      </x:c>
      <x:c r="C1558" s="7" t="str">
        <x:f>IF(AND('요약'!$B$20,A1558&lt;='요약'!$B$6),LARGE('계산'!$B$2:$B$2001,'요약'!$B$6-A1558+1),"")</x:f>
      </x:c>
      <x:c r="D1558" s="7" t="str">
        <x:f>IF(ISNUMBER(B1558),'요약'!$B$7+'요약'!$B$13*B1558,"")</x:f>
      </x:c>
    </x:row>
    <x:row r="1559">
      <x:c r="A1559" t="n">
        <x:f>1555</x:f>
        <x:v>1555</x:v>
      </x:c>
      <x:c r="B1559" s="7" t="str">
        <x:f>IF(AND('요약'!$B$20,A1559&lt;='요약'!$B$6),NORM.S.INV((A1559-0.5)/'요약'!$B$6),"")</x:f>
      </x:c>
      <x:c r="C1559" s="7" t="str">
        <x:f>IF(AND('요약'!$B$20,A1559&lt;='요약'!$B$6),LARGE('계산'!$B$2:$B$2001,'요약'!$B$6-A1559+1),"")</x:f>
      </x:c>
      <x:c r="D1559" s="7" t="str">
        <x:f>IF(ISNUMBER(B1559),'요약'!$B$7+'요약'!$B$13*B1559,"")</x:f>
      </x:c>
    </x:row>
    <x:row r="1560">
      <x:c r="A1560" t="n">
        <x:f>1556</x:f>
        <x:v>1556</x:v>
      </x:c>
      <x:c r="B1560" s="7" t="str">
        <x:f>IF(AND('요약'!$B$20,A1560&lt;='요약'!$B$6),NORM.S.INV((A1560-0.5)/'요약'!$B$6),"")</x:f>
      </x:c>
      <x:c r="C1560" s="7" t="str">
        <x:f>IF(AND('요약'!$B$20,A1560&lt;='요약'!$B$6),LARGE('계산'!$B$2:$B$2001,'요약'!$B$6-A1560+1),"")</x:f>
      </x:c>
      <x:c r="D1560" s="7" t="str">
        <x:f>IF(ISNUMBER(B1560),'요약'!$B$7+'요약'!$B$13*B1560,"")</x:f>
      </x:c>
    </x:row>
    <x:row r="1561">
      <x:c r="A1561" t="n">
        <x:f>1557</x:f>
        <x:v>1557</x:v>
      </x:c>
      <x:c r="B1561" s="7" t="str">
        <x:f>IF(AND('요약'!$B$20,A1561&lt;='요약'!$B$6),NORM.S.INV((A1561-0.5)/'요약'!$B$6),"")</x:f>
      </x:c>
      <x:c r="C1561" s="7" t="str">
        <x:f>IF(AND('요약'!$B$20,A1561&lt;='요약'!$B$6),LARGE('계산'!$B$2:$B$2001,'요약'!$B$6-A1561+1),"")</x:f>
      </x:c>
      <x:c r="D1561" s="7" t="str">
        <x:f>IF(ISNUMBER(B1561),'요약'!$B$7+'요약'!$B$13*B1561,"")</x:f>
      </x:c>
    </x:row>
    <x:row r="1562">
      <x:c r="A1562" t="n">
        <x:f>1558</x:f>
        <x:v>1558</x:v>
      </x:c>
      <x:c r="B1562" s="7" t="str">
        <x:f>IF(AND('요약'!$B$20,A1562&lt;='요약'!$B$6),NORM.S.INV((A1562-0.5)/'요약'!$B$6),"")</x:f>
      </x:c>
      <x:c r="C1562" s="7" t="str">
        <x:f>IF(AND('요약'!$B$20,A1562&lt;='요약'!$B$6),LARGE('계산'!$B$2:$B$2001,'요약'!$B$6-A1562+1),"")</x:f>
      </x:c>
      <x:c r="D1562" s="7" t="str">
        <x:f>IF(ISNUMBER(B1562),'요약'!$B$7+'요약'!$B$13*B1562,"")</x:f>
      </x:c>
    </x:row>
    <x:row r="1563">
      <x:c r="A1563" t="n">
        <x:f>1559</x:f>
        <x:v>1559</x:v>
      </x:c>
      <x:c r="B1563" s="7" t="str">
        <x:f>IF(AND('요약'!$B$20,A1563&lt;='요약'!$B$6),NORM.S.INV((A1563-0.5)/'요약'!$B$6),"")</x:f>
      </x:c>
      <x:c r="C1563" s="7" t="str">
        <x:f>IF(AND('요약'!$B$20,A1563&lt;='요약'!$B$6),LARGE('계산'!$B$2:$B$2001,'요약'!$B$6-A1563+1),"")</x:f>
      </x:c>
      <x:c r="D1563" s="7" t="str">
        <x:f>IF(ISNUMBER(B1563),'요약'!$B$7+'요약'!$B$13*B1563,"")</x:f>
      </x:c>
    </x:row>
    <x:row r="1564">
      <x:c r="A1564" t="n">
        <x:f>1560</x:f>
        <x:v>1560</x:v>
      </x:c>
      <x:c r="B1564" s="7" t="str">
        <x:f>IF(AND('요약'!$B$20,A1564&lt;='요약'!$B$6),NORM.S.INV((A1564-0.5)/'요약'!$B$6),"")</x:f>
      </x:c>
      <x:c r="C1564" s="7" t="str">
        <x:f>IF(AND('요약'!$B$20,A1564&lt;='요약'!$B$6),LARGE('계산'!$B$2:$B$2001,'요약'!$B$6-A1564+1),"")</x:f>
      </x:c>
      <x:c r="D1564" s="7" t="str">
        <x:f>IF(ISNUMBER(B1564),'요약'!$B$7+'요약'!$B$13*B1564,"")</x:f>
      </x:c>
    </x:row>
    <x:row r="1565">
      <x:c r="A1565" t="n">
        <x:f>1561</x:f>
        <x:v>1561</x:v>
      </x:c>
      <x:c r="B1565" s="7" t="str">
        <x:f>IF(AND('요약'!$B$20,A1565&lt;='요약'!$B$6),NORM.S.INV((A1565-0.5)/'요약'!$B$6),"")</x:f>
      </x:c>
      <x:c r="C1565" s="7" t="str">
        <x:f>IF(AND('요약'!$B$20,A1565&lt;='요약'!$B$6),LARGE('계산'!$B$2:$B$2001,'요약'!$B$6-A1565+1),"")</x:f>
      </x:c>
      <x:c r="D1565" s="7" t="str">
        <x:f>IF(ISNUMBER(B1565),'요약'!$B$7+'요약'!$B$13*B1565,"")</x:f>
      </x:c>
    </x:row>
    <x:row r="1566">
      <x:c r="A1566" t="n">
        <x:f>1562</x:f>
        <x:v>1562</x:v>
      </x:c>
      <x:c r="B1566" s="7" t="str">
        <x:f>IF(AND('요약'!$B$20,A1566&lt;='요약'!$B$6),NORM.S.INV((A1566-0.5)/'요약'!$B$6),"")</x:f>
      </x:c>
      <x:c r="C1566" s="7" t="str">
        <x:f>IF(AND('요약'!$B$20,A1566&lt;='요약'!$B$6),LARGE('계산'!$B$2:$B$2001,'요약'!$B$6-A1566+1),"")</x:f>
      </x:c>
      <x:c r="D1566" s="7" t="str">
        <x:f>IF(ISNUMBER(B1566),'요약'!$B$7+'요약'!$B$13*B1566,"")</x:f>
      </x:c>
    </x:row>
    <x:row r="1567">
      <x:c r="A1567" t="n">
        <x:f>1563</x:f>
        <x:v>1563</x:v>
      </x:c>
      <x:c r="B1567" s="7" t="str">
        <x:f>IF(AND('요약'!$B$20,A1567&lt;='요약'!$B$6),NORM.S.INV((A1567-0.5)/'요약'!$B$6),"")</x:f>
      </x:c>
      <x:c r="C1567" s="7" t="str">
        <x:f>IF(AND('요약'!$B$20,A1567&lt;='요약'!$B$6),LARGE('계산'!$B$2:$B$2001,'요약'!$B$6-A1567+1),"")</x:f>
      </x:c>
      <x:c r="D1567" s="7" t="str">
        <x:f>IF(ISNUMBER(B1567),'요약'!$B$7+'요약'!$B$13*B1567,"")</x:f>
      </x:c>
    </x:row>
    <x:row r="1568">
      <x:c r="A1568" t="n">
        <x:f>1564</x:f>
        <x:v>1564</x:v>
      </x:c>
      <x:c r="B1568" s="7" t="str">
        <x:f>IF(AND('요약'!$B$20,A1568&lt;='요약'!$B$6),NORM.S.INV((A1568-0.5)/'요약'!$B$6),"")</x:f>
      </x:c>
      <x:c r="C1568" s="7" t="str">
        <x:f>IF(AND('요약'!$B$20,A1568&lt;='요약'!$B$6),LARGE('계산'!$B$2:$B$2001,'요약'!$B$6-A1568+1),"")</x:f>
      </x:c>
      <x:c r="D1568" s="7" t="str">
        <x:f>IF(ISNUMBER(B1568),'요약'!$B$7+'요약'!$B$13*B1568,"")</x:f>
      </x:c>
    </x:row>
    <x:row r="1569">
      <x:c r="A1569" t="n">
        <x:f>1565</x:f>
        <x:v>1565</x:v>
      </x:c>
      <x:c r="B1569" s="7" t="str">
        <x:f>IF(AND('요약'!$B$20,A1569&lt;='요약'!$B$6),NORM.S.INV((A1569-0.5)/'요약'!$B$6),"")</x:f>
      </x:c>
      <x:c r="C1569" s="7" t="str">
        <x:f>IF(AND('요약'!$B$20,A1569&lt;='요약'!$B$6),LARGE('계산'!$B$2:$B$2001,'요약'!$B$6-A1569+1),"")</x:f>
      </x:c>
      <x:c r="D1569" s="7" t="str">
        <x:f>IF(ISNUMBER(B1569),'요약'!$B$7+'요약'!$B$13*B1569,"")</x:f>
      </x:c>
    </x:row>
    <x:row r="1570">
      <x:c r="A1570" t="n">
        <x:f>1566</x:f>
        <x:v>1566</x:v>
      </x:c>
      <x:c r="B1570" s="7" t="str">
        <x:f>IF(AND('요약'!$B$20,A1570&lt;='요약'!$B$6),NORM.S.INV((A1570-0.5)/'요약'!$B$6),"")</x:f>
      </x:c>
      <x:c r="C1570" s="7" t="str">
        <x:f>IF(AND('요약'!$B$20,A1570&lt;='요약'!$B$6),LARGE('계산'!$B$2:$B$2001,'요약'!$B$6-A1570+1),"")</x:f>
      </x:c>
      <x:c r="D1570" s="7" t="str">
        <x:f>IF(ISNUMBER(B1570),'요약'!$B$7+'요약'!$B$13*B1570,"")</x:f>
      </x:c>
    </x:row>
    <x:row r="1571">
      <x:c r="A1571" t="n">
        <x:f>1567</x:f>
        <x:v>1567</x:v>
      </x:c>
      <x:c r="B1571" s="7" t="str">
        <x:f>IF(AND('요약'!$B$20,A1571&lt;='요약'!$B$6),NORM.S.INV((A1571-0.5)/'요약'!$B$6),"")</x:f>
      </x:c>
      <x:c r="C1571" s="7" t="str">
        <x:f>IF(AND('요약'!$B$20,A1571&lt;='요약'!$B$6),LARGE('계산'!$B$2:$B$2001,'요약'!$B$6-A1571+1),"")</x:f>
      </x:c>
      <x:c r="D1571" s="7" t="str">
        <x:f>IF(ISNUMBER(B1571),'요약'!$B$7+'요약'!$B$13*B1571,"")</x:f>
      </x:c>
    </x:row>
    <x:row r="1572">
      <x:c r="A1572" t="n">
        <x:f>1568</x:f>
        <x:v>1568</x:v>
      </x:c>
      <x:c r="B1572" s="7" t="str">
        <x:f>IF(AND('요약'!$B$20,A1572&lt;='요약'!$B$6),NORM.S.INV((A1572-0.5)/'요약'!$B$6),"")</x:f>
      </x:c>
      <x:c r="C1572" s="7" t="str">
        <x:f>IF(AND('요약'!$B$20,A1572&lt;='요약'!$B$6),LARGE('계산'!$B$2:$B$2001,'요약'!$B$6-A1572+1),"")</x:f>
      </x:c>
      <x:c r="D1572" s="7" t="str">
        <x:f>IF(ISNUMBER(B1572),'요약'!$B$7+'요약'!$B$13*B1572,"")</x:f>
      </x:c>
    </x:row>
    <x:row r="1573">
      <x:c r="A1573" t="n">
        <x:f>1569</x:f>
        <x:v>1569</x:v>
      </x:c>
      <x:c r="B1573" s="7" t="str">
        <x:f>IF(AND('요약'!$B$20,A1573&lt;='요약'!$B$6),NORM.S.INV((A1573-0.5)/'요약'!$B$6),"")</x:f>
      </x:c>
      <x:c r="C1573" s="7" t="str">
        <x:f>IF(AND('요약'!$B$20,A1573&lt;='요약'!$B$6),LARGE('계산'!$B$2:$B$2001,'요약'!$B$6-A1573+1),"")</x:f>
      </x:c>
      <x:c r="D1573" s="7" t="str">
        <x:f>IF(ISNUMBER(B1573),'요약'!$B$7+'요약'!$B$13*B1573,"")</x:f>
      </x:c>
    </x:row>
    <x:row r="1574">
      <x:c r="A1574" t="n">
        <x:f>1570</x:f>
        <x:v>1570</x:v>
      </x:c>
      <x:c r="B1574" s="7" t="str">
        <x:f>IF(AND('요약'!$B$20,A1574&lt;='요약'!$B$6),NORM.S.INV((A1574-0.5)/'요약'!$B$6),"")</x:f>
      </x:c>
      <x:c r="C1574" s="7" t="str">
        <x:f>IF(AND('요약'!$B$20,A1574&lt;='요약'!$B$6),LARGE('계산'!$B$2:$B$2001,'요약'!$B$6-A1574+1),"")</x:f>
      </x:c>
      <x:c r="D1574" s="7" t="str">
        <x:f>IF(ISNUMBER(B1574),'요약'!$B$7+'요약'!$B$13*B1574,"")</x:f>
      </x:c>
    </x:row>
    <x:row r="1575">
      <x:c r="A1575" t="n">
        <x:f>1571</x:f>
        <x:v>1571</x:v>
      </x:c>
      <x:c r="B1575" s="7" t="str">
        <x:f>IF(AND('요약'!$B$20,A1575&lt;='요약'!$B$6),NORM.S.INV((A1575-0.5)/'요약'!$B$6),"")</x:f>
      </x:c>
      <x:c r="C1575" s="7" t="str">
        <x:f>IF(AND('요약'!$B$20,A1575&lt;='요약'!$B$6),LARGE('계산'!$B$2:$B$2001,'요약'!$B$6-A1575+1),"")</x:f>
      </x:c>
      <x:c r="D1575" s="7" t="str">
        <x:f>IF(ISNUMBER(B1575),'요약'!$B$7+'요약'!$B$13*B1575,"")</x:f>
      </x:c>
    </x:row>
    <x:row r="1576">
      <x:c r="A1576" t="n">
        <x:f>1572</x:f>
        <x:v>1572</x:v>
      </x:c>
      <x:c r="B1576" s="7" t="str">
        <x:f>IF(AND('요약'!$B$20,A1576&lt;='요약'!$B$6),NORM.S.INV((A1576-0.5)/'요약'!$B$6),"")</x:f>
      </x:c>
      <x:c r="C1576" s="7" t="str">
        <x:f>IF(AND('요약'!$B$20,A1576&lt;='요약'!$B$6),LARGE('계산'!$B$2:$B$2001,'요약'!$B$6-A1576+1),"")</x:f>
      </x:c>
      <x:c r="D1576" s="7" t="str">
        <x:f>IF(ISNUMBER(B1576),'요약'!$B$7+'요약'!$B$13*B1576,"")</x:f>
      </x:c>
    </x:row>
    <x:row r="1577">
      <x:c r="A1577" t="n">
        <x:f>1573</x:f>
        <x:v>1573</x:v>
      </x:c>
      <x:c r="B1577" s="7" t="str">
        <x:f>IF(AND('요약'!$B$20,A1577&lt;='요약'!$B$6),NORM.S.INV((A1577-0.5)/'요약'!$B$6),"")</x:f>
      </x:c>
      <x:c r="C1577" s="7" t="str">
        <x:f>IF(AND('요약'!$B$20,A1577&lt;='요약'!$B$6),LARGE('계산'!$B$2:$B$2001,'요약'!$B$6-A1577+1),"")</x:f>
      </x:c>
      <x:c r="D1577" s="7" t="str">
        <x:f>IF(ISNUMBER(B1577),'요약'!$B$7+'요약'!$B$13*B1577,"")</x:f>
      </x:c>
    </x:row>
    <x:row r="1578">
      <x:c r="A1578" t="n">
        <x:f>1574</x:f>
        <x:v>1574</x:v>
      </x:c>
      <x:c r="B1578" s="7" t="str">
        <x:f>IF(AND('요약'!$B$20,A1578&lt;='요약'!$B$6),NORM.S.INV((A1578-0.5)/'요약'!$B$6),"")</x:f>
      </x:c>
      <x:c r="C1578" s="7" t="str">
        <x:f>IF(AND('요약'!$B$20,A1578&lt;='요약'!$B$6),LARGE('계산'!$B$2:$B$2001,'요약'!$B$6-A1578+1),"")</x:f>
      </x:c>
      <x:c r="D1578" s="7" t="str">
        <x:f>IF(ISNUMBER(B1578),'요약'!$B$7+'요약'!$B$13*B1578,"")</x:f>
      </x:c>
    </x:row>
    <x:row r="1579">
      <x:c r="A1579" t="n">
        <x:f>1575</x:f>
        <x:v>1575</x:v>
      </x:c>
      <x:c r="B1579" s="7" t="str">
        <x:f>IF(AND('요약'!$B$20,A1579&lt;='요약'!$B$6),NORM.S.INV((A1579-0.5)/'요약'!$B$6),"")</x:f>
      </x:c>
      <x:c r="C1579" s="7" t="str">
        <x:f>IF(AND('요약'!$B$20,A1579&lt;='요약'!$B$6),LARGE('계산'!$B$2:$B$2001,'요약'!$B$6-A1579+1),"")</x:f>
      </x:c>
      <x:c r="D1579" s="7" t="str">
        <x:f>IF(ISNUMBER(B1579),'요약'!$B$7+'요약'!$B$13*B1579,"")</x:f>
      </x:c>
    </x:row>
    <x:row r="1580">
      <x:c r="A1580" t="n">
        <x:f>1576</x:f>
        <x:v>1576</x:v>
      </x:c>
      <x:c r="B1580" s="7" t="str">
        <x:f>IF(AND('요약'!$B$20,A1580&lt;='요약'!$B$6),NORM.S.INV((A1580-0.5)/'요약'!$B$6),"")</x:f>
      </x:c>
      <x:c r="C1580" s="7" t="str">
        <x:f>IF(AND('요약'!$B$20,A1580&lt;='요약'!$B$6),LARGE('계산'!$B$2:$B$2001,'요약'!$B$6-A1580+1),"")</x:f>
      </x:c>
      <x:c r="D1580" s="7" t="str">
        <x:f>IF(ISNUMBER(B1580),'요약'!$B$7+'요약'!$B$13*B1580,"")</x:f>
      </x:c>
    </x:row>
    <x:row r="1581">
      <x:c r="A1581" t="n">
        <x:f>1577</x:f>
        <x:v>1577</x:v>
      </x:c>
      <x:c r="B1581" s="7" t="str">
        <x:f>IF(AND('요약'!$B$20,A1581&lt;='요약'!$B$6),NORM.S.INV((A1581-0.5)/'요약'!$B$6),"")</x:f>
      </x:c>
      <x:c r="C1581" s="7" t="str">
        <x:f>IF(AND('요약'!$B$20,A1581&lt;='요약'!$B$6),LARGE('계산'!$B$2:$B$2001,'요약'!$B$6-A1581+1),"")</x:f>
      </x:c>
      <x:c r="D1581" s="7" t="str">
        <x:f>IF(ISNUMBER(B1581),'요약'!$B$7+'요약'!$B$13*B1581,"")</x:f>
      </x:c>
    </x:row>
    <x:row r="1582">
      <x:c r="A1582" t="n">
        <x:f>1578</x:f>
        <x:v>1578</x:v>
      </x:c>
      <x:c r="B1582" s="7" t="str">
        <x:f>IF(AND('요약'!$B$20,A1582&lt;='요약'!$B$6),NORM.S.INV((A1582-0.5)/'요약'!$B$6),"")</x:f>
      </x:c>
      <x:c r="C1582" s="7" t="str">
        <x:f>IF(AND('요약'!$B$20,A1582&lt;='요약'!$B$6),LARGE('계산'!$B$2:$B$2001,'요약'!$B$6-A1582+1),"")</x:f>
      </x:c>
      <x:c r="D1582" s="7" t="str">
        <x:f>IF(ISNUMBER(B1582),'요약'!$B$7+'요약'!$B$13*B1582,"")</x:f>
      </x:c>
    </x:row>
    <x:row r="1583">
      <x:c r="A1583" t="n">
        <x:f>1579</x:f>
        <x:v>1579</x:v>
      </x:c>
      <x:c r="B1583" s="7" t="str">
        <x:f>IF(AND('요약'!$B$20,A1583&lt;='요약'!$B$6),NORM.S.INV((A1583-0.5)/'요약'!$B$6),"")</x:f>
      </x:c>
      <x:c r="C1583" s="7" t="str">
        <x:f>IF(AND('요약'!$B$20,A1583&lt;='요약'!$B$6),LARGE('계산'!$B$2:$B$2001,'요약'!$B$6-A1583+1),"")</x:f>
      </x:c>
      <x:c r="D1583" s="7" t="str">
        <x:f>IF(ISNUMBER(B1583),'요약'!$B$7+'요약'!$B$13*B1583,"")</x:f>
      </x:c>
    </x:row>
    <x:row r="1584">
      <x:c r="A1584" t="n">
        <x:f>1580</x:f>
        <x:v>1580</x:v>
      </x:c>
      <x:c r="B1584" s="7" t="str">
        <x:f>IF(AND('요약'!$B$20,A1584&lt;='요약'!$B$6),NORM.S.INV((A1584-0.5)/'요약'!$B$6),"")</x:f>
      </x:c>
      <x:c r="C1584" s="7" t="str">
        <x:f>IF(AND('요약'!$B$20,A1584&lt;='요약'!$B$6),LARGE('계산'!$B$2:$B$2001,'요약'!$B$6-A1584+1),"")</x:f>
      </x:c>
      <x:c r="D1584" s="7" t="str">
        <x:f>IF(ISNUMBER(B1584),'요약'!$B$7+'요약'!$B$13*B1584,"")</x:f>
      </x:c>
    </x:row>
    <x:row r="1585">
      <x:c r="A1585" t="n">
        <x:f>1581</x:f>
        <x:v>1581</x:v>
      </x:c>
      <x:c r="B1585" s="7" t="str">
        <x:f>IF(AND('요약'!$B$20,A1585&lt;='요약'!$B$6),NORM.S.INV((A1585-0.5)/'요약'!$B$6),"")</x:f>
      </x:c>
      <x:c r="C1585" s="7" t="str">
        <x:f>IF(AND('요약'!$B$20,A1585&lt;='요약'!$B$6),LARGE('계산'!$B$2:$B$2001,'요약'!$B$6-A1585+1),"")</x:f>
      </x:c>
      <x:c r="D1585" s="7" t="str">
        <x:f>IF(ISNUMBER(B1585),'요약'!$B$7+'요약'!$B$13*B1585,"")</x:f>
      </x:c>
    </x:row>
    <x:row r="1586">
      <x:c r="A1586" t="n">
        <x:f>1582</x:f>
        <x:v>1582</x:v>
      </x:c>
      <x:c r="B1586" s="7" t="str">
        <x:f>IF(AND('요약'!$B$20,A1586&lt;='요약'!$B$6),NORM.S.INV((A1586-0.5)/'요약'!$B$6),"")</x:f>
      </x:c>
      <x:c r="C1586" s="7" t="str">
        <x:f>IF(AND('요약'!$B$20,A1586&lt;='요약'!$B$6),LARGE('계산'!$B$2:$B$2001,'요약'!$B$6-A1586+1),"")</x:f>
      </x:c>
      <x:c r="D1586" s="7" t="str">
        <x:f>IF(ISNUMBER(B1586),'요약'!$B$7+'요약'!$B$13*B1586,"")</x:f>
      </x:c>
    </x:row>
    <x:row r="1587">
      <x:c r="A1587" t="n">
        <x:f>1583</x:f>
        <x:v>1583</x:v>
      </x:c>
      <x:c r="B1587" s="7" t="str">
        <x:f>IF(AND('요약'!$B$20,A1587&lt;='요약'!$B$6),NORM.S.INV((A1587-0.5)/'요약'!$B$6),"")</x:f>
      </x:c>
      <x:c r="C1587" s="7" t="str">
        <x:f>IF(AND('요약'!$B$20,A1587&lt;='요약'!$B$6),LARGE('계산'!$B$2:$B$2001,'요약'!$B$6-A1587+1),"")</x:f>
      </x:c>
      <x:c r="D1587" s="7" t="str">
        <x:f>IF(ISNUMBER(B1587),'요약'!$B$7+'요약'!$B$13*B1587,"")</x:f>
      </x:c>
    </x:row>
    <x:row r="1588">
      <x:c r="A1588" t="n">
        <x:f>1584</x:f>
        <x:v>1584</x:v>
      </x:c>
      <x:c r="B1588" s="7" t="str">
        <x:f>IF(AND('요약'!$B$20,A1588&lt;='요약'!$B$6),NORM.S.INV((A1588-0.5)/'요약'!$B$6),"")</x:f>
      </x:c>
      <x:c r="C1588" s="7" t="str">
        <x:f>IF(AND('요약'!$B$20,A1588&lt;='요약'!$B$6),LARGE('계산'!$B$2:$B$2001,'요약'!$B$6-A1588+1),"")</x:f>
      </x:c>
      <x:c r="D1588" s="7" t="str">
        <x:f>IF(ISNUMBER(B1588),'요약'!$B$7+'요약'!$B$13*B1588,"")</x:f>
      </x:c>
    </x:row>
    <x:row r="1589">
      <x:c r="A1589" t="n">
        <x:f>1585</x:f>
        <x:v>1585</x:v>
      </x:c>
      <x:c r="B1589" s="7" t="str">
        <x:f>IF(AND('요약'!$B$20,A1589&lt;='요약'!$B$6),NORM.S.INV((A1589-0.5)/'요약'!$B$6),"")</x:f>
      </x:c>
      <x:c r="C1589" s="7" t="str">
        <x:f>IF(AND('요약'!$B$20,A1589&lt;='요약'!$B$6),LARGE('계산'!$B$2:$B$2001,'요약'!$B$6-A1589+1),"")</x:f>
      </x:c>
      <x:c r="D1589" s="7" t="str">
        <x:f>IF(ISNUMBER(B1589),'요약'!$B$7+'요약'!$B$13*B1589,"")</x:f>
      </x:c>
    </x:row>
    <x:row r="1590">
      <x:c r="A1590" t="n">
        <x:f>1586</x:f>
        <x:v>1586</x:v>
      </x:c>
      <x:c r="B1590" s="7" t="str">
        <x:f>IF(AND('요약'!$B$20,A1590&lt;='요약'!$B$6),NORM.S.INV((A1590-0.5)/'요약'!$B$6),"")</x:f>
      </x:c>
      <x:c r="C1590" s="7" t="str">
        <x:f>IF(AND('요약'!$B$20,A1590&lt;='요약'!$B$6),LARGE('계산'!$B$2:$B$2001,'요약'!$B$6-A1590+1),"")</x:f>
      </x:c>
      <x:c r="D1590" s="7" t="str">
        <x:f>IF(ISNUMBER(B1590),'요약'!$B$7+'요약'!$B$13*B1590,"")</x:f>
      </x:c>
    </x:row>
    <x:row r="1591">
      <x:c r="A1591" t="n">
        <x:f>1587</x:f>
        <x:v>1587</x:v>
      </x:c>
      <x:c r="B1591" s="7" t="str">
        <x:f>IF(AND('요약'!$B$20,A1591&lt;='요약'!$B$6),NORM.S.INV((A1591-0.5)/'요약'!$B$6),"")</x:f>
      </x:c>
      <x:c r="C1591" s="7" t="str">
        <x:f>IF(AND('요약'!$B$20,A1591&lt;='요약'!$B$6),LARGE('계산'!$B$2:$B$2001,'요약'!$B$6-A1591+1),"")</x:f>
      </x:c>
      <x:c r="D1591" s="7" t="str">
        <x:f>IF(ISNUMBER(B1591),'요약'!$B$7+'요약'!$B$13*B1591,"")</x:f>
      </x:c>
    </x:row>
    <x:row r="1592">
      <x:c r="A1592" t="n">
        <x:f>1588</x:f>
        <x:v>1588</x:v>
      </x:c>
      <x:c r="B1592" s="7" t="str">
        <x:f>IF(AND('요약'!$B$20,A1592&lt;='요약'!$B$6),NORM.S.INV((A1592-0.5)/'요약'!$B$6),"")</x:f>
      </x:c>
      <x:c r="C1592" s="7" t="str">
        <x:f>IF(AND('요약'!$B$20,A1592&lt;='요약'!$B$6),LARGE('계산'!$B$2:$B$2001,'요약'!$B$6-A1592+1),"")</x:f>
      </x:c>
      <x:c r="D1592" s="7" t="str">
        <x:f>IF(ISNUMBER(B1592),'요약'!$B$7+'요약'!$B$13*B1592,"")</x:f>
      </x:c>
    </x:row>
    <x:row r="1593">
      <x:c r="A1593" t="n">
        <x:f>1589</x:f>
        <x:v>1589</x:v>
      </x:c>
      <x:c r="B1593" s="7" t="str">
        <x:f>IF(AND('요약'!$B$20,A1593&lt;='요약'!$B$6),NORM.S.INV((A1593-0.5)/'요약'!$B$6),"")</x:f>
      </x:c>
      <x:c r="C1593" s="7" t="str">
        <x:f>IF(AND('요약'!$B$20,A1593&lt;='요약'!$B$6),LARGE('계산'!$B$2:$B$2001,'요약'!$B$6-A1593+1),"")</x:f>
      </x:c>
      <x:c r="D1593" s="7" t="str">
        <x:f>IF(ISNUMBER(B1593),'요약'!$B$7+'요약'!$B$13*B1593,"")</x:f>
      </x:c>
    </x:row>
    <x:row r="1594">
      <x:c r="A1594" t="n">
        <x:f>1590</x:f>
        <x:v>1590</x:v>
      </x:c>
      <x:c r="B1594" s="7" t="str">
        <x:f>IF(AND('요약'!$B$20,A1594&lt;='요약'!$B$6),NORM.S.INV((A1594-0.5)/'요약'!$B$6),"")</x:f>
      </x:c>
      <x:c r="C1594" s="7" t="str">
        <x:f>IF(AND('요약'!$B$20,A1594&lt;='요약'!$B$6),LARGE('계산'!$B$2:$B$2001,'요약'!$B$6-A1594+1),"")</x:f>
      </x:c>
      <x:c r="D1594" s="7" t="str">
        <x:f>IF(ISNUMBER(B1594),'요약'!$B$7+'요약'!$B$13*B1594,"")</x:f>
      </x:c>
    </x:row>
    <x:row r="1595">
      <x:c r="A1595" t="n">
        <x:f>1591</x:f>
        <x:v>1591</x:v>
      </x:c>
      <x:c r="B1595" s="7" t="str">
        <x:f>IF(AND('요약'!$B$20,A1595&lt;='요약'!$B$6),NORM.S.INV((A1595-0.5)/'요약'!$B$6),"")</x:f>
      </x:c>
      <x:c r="C1595" s="7" t="str">
        <x:f>IF(AND('요약'!$B$20,A1595&lt;='요약'!$B$6),LARGE('계산'!$B$2:$B$2001,'요약'!$B$6-A1595+1),"")</x:f>
      </x:c>
      <x:c r="D1595" s="7" t="str">
        <x:f>IF(ISNUMBER(B1595),'요약'!$B$7+'요약'!$B$13*B1595,"")</x:f>
      </x:c>
    </x:row>
    <x:row r="1596">
      <x:c r="A1596" t="n">
        <x:f>1592</x:f>
        <x:v>1592</x:v>
      </x:c>
      <x:c r="B1596" s="7" t="str">
        <x:f>IF(AND('요약'!$B$20,A1596&lt;='요약'!$B$6),NORM.S.INV((A1596-0.5)/'요약'!$B$6),"")</x:f>
      </x:c>
      <x:c r="C1596" s="7" t="str">
        <x:f>IF(AND('요약'!$B$20,A1596&lt;='요약'!$B$6),LARGE('계산'!$B$2:$B$2001,'요약'!$B$6-A1596+1),"")</x:f>
      </x:c>
      <x:c r="D1596" s="7" t="str">
        <x:f>IF(ISNUMBER(B1596),'요약'!$B$7+'요약'!$B$13*B1596,"")</x:f>
      </x:c>
    </x:row>
    <x:row r="1597">
      <x:c r="A1597" t="n">
        <x:f>1593</x:f>
        <x:v>1593</x:v>
      </x:c>
      <x:c r="B1597" s="7" t="str">
        <x:f>IF(AND('요약'!$B$20,A1597&lt;='요약'!$B$6),NORM.S.INV((A1597-0.5)/'요약'!$B$6),"")</x:f>
      </x:c>
      <x:c r="C1597" s="7" t="str">
        <x:f>IF(AND('요약'!$B$20,A1597&lt;='요약'!$B$6),LARGE('계산'!$B$2:$B$2001,'요약'!$B$6-A1597+1),"")</x:f>
      </x:c>
      <x:c r="D1597" s="7" t="str">
        <x:f>IF(ISNUMBER(B1597),'요약'!$B$7+'요약'!$B$13*B1597,"")</x:f>
      </x:c>
    </x:row>
    <x:row r="1598">
      <x:c r="A1598" t="n">
        <x:f>1594</x:f>
        <x:v>1594</x:v>
      </x:c>
      <x:c r="B1598" s="7" t="str">
        <x:f>IF(AND('요약'!$B$20,A1598&lt;='요약'!$B$6),NORM.S.INV((A1598-0.5)/'요약'!$B$6),"")</x:f>
      </x:c>
      <x:c r="C1598" s="7" t="str">
        <x:f>IF(AND('요약'!$B$20,A1598&lt;='요약'!$B$6),LARGE('계산'!$B$2:$B$2001,'요약'!$B$6-A1598+1),"")</x:f>
      </x:c>
      <x:c r="D1598" s="7" t="str">
        <x:f>IF(ISNUMBER(B1598),'요약'!$B$7+'요약'!$B$13*B1598,"")</x:f>
      </x:c>
    </x:row>
    <x:row r="1599">
      <x:c r="A1599" t="n">
        <x:f>1595</x:f>
        <x:v>1595</x:v>
      </x:c>
      <x:c r="B1599" s="7" t="str">
        <x:f>IF(AND('요약'!$B$20,A1599&lt;='요약'!$B$6),NORM.S.INV((A1599-0.5)/'요약'!$B$6),"")</x:f>
      </x:c>
      <x:c r="C1599" s="7" t="str">
        <x:f>IF(AND('요약'!$B$20,A1599&lt;='요약'!$B$6),LARGE('계산'!$B$2:$B$2001,'요약'!$B$6-A1599+1),"")</x:f>
      </x:c>
      <x:c r="D1599" s="7" t="str">
        <x:f>IF(ISNUMBER(B1599),'요약'!$B$7+'요약'!$B$13*B1599,"")</x:f>
      </x:c>
    </x:row>
    <x:row r="1600">
      <x:c r="A1600" t="n">
        <x:f>1596</x:f>
        <x:v>1596</x:v>
      </x:c>
      <x:c r="B1600" s="7" t="str">
        <x:f>IF(AND('요약'!$B$20,A1600&lt;='요약'!$B$6),NORM.S.INV((A1600-0.5)/'요약'!$B$6),"")</x:f>
      </x:c>
      <x:c r="C1600" s="7" t="str">
        <x:f>IF(AND('요약'!$B$20,A1600&lt;='요약'!$B$6),LARGE('계산'!$B$2:$B$2001,'요약'!$B$6-A1600+1),"")</x:f>
      </x:c>
      <x:c r="D1600" s="7" t="str">
        <x:f>IF(ISNUMBER(B1600),'요약'!$B$7+'요약'!$B$13*B1600,"")</x:f>
      </x:c>
    </x:row>
    <x:row r="1601">
      <x:c r="A1601" t="n">
        <x:f>1597</x:f>
        <x:v>1597</x:v>
      </x:c>
      <x:c r="B1601" s="7" t="str">
        <x:f>IF(AND('요약'!$B$20,A1601&lt;='요약'!$B$6),NORM.S.INV((A1601-0.5)/'요약'!$B$6),"")</x:f>
      </x:c>
      <x:c r="C1601" s="7" t="str">
        <x:f>IF(AND('요약'!$B$20,A1601&lt;='요약'!$B$6),LARGE('계산'!$B$2:$B$2001,'요약'!$B$6-A1601+1),"")</x:f>
      </x:c>
      <x:c r="D1601" s="7" t="str">
        <x:f>IF(ISNUMBER(B1601),'요약'!$B$7+'요약'!$B$13*B1601,"")</x:f>
      </x:c>
    </x:row>
    <x:row r="1602">
      <x:c r="A1602" t="n">
        <x:f>1598</x:f>
        <x:v>1598</x:v>
      </x:c>
      <x:c r="B1602" s="7" t="str">
        <x:f>IF(AND('요약'!$B$20,A1602&lt;='요약'!$B$6),NORM.S.INV((A1602-0.5)/'요약'!$B$6),"")</x:f>
      </x:c>
      <x:c r="C1602" s="7" t="str">
        <x:f>IF(AND('요약'!$B$20,A1602&lt;='요약'!$B$6),LARGE('계산'!$B$2:$B$2001,'요약'!$B$6-A1602+1),"")</x:f>
      </x:c>
      <x:c r="D1602" s="7" t="str">
        <x:f>IF(ISNUMBER(B1602),'요약'!$B$7+'요약'!$B$13*B1602,"")</x:f>
      </x:c>
    </x:row>
    <x:row r="1603">
      <x:c r="A1603" t="n">
        <x:f>1599</x:f>
        <x:v>1599</x:v>
      </x:c>
      <x:c r="B1603" s="7" t="str">
        <x:f>IF(AND('요약'!$B$20,A1603&lt;='요약'!$B$6),NORM.S.INV((A1603-0.5)/'요약'!$B$6),"")</x:f>
      </x:c>
      <x:c r="C1603" s="7" t="str">
        <x:f>IF(AND('요약'!$B$20,A1603&lt;='요약'!$B$6),LARGE('계산'!$B$2:$B$2001,'요약'!$B$6-A1603+1),"")</x:f>
      </x:c>
      <x:c r="D1603" s="7" t="str">
        <x:f>IF(ISNUMBER(B1603),'요약'!$B$7+'요약'!$B$13*B1603,"")</x:f>
      </x:c>
    </x:row>
    <x:row r="1604">
      <x:c r="A1604" t="n">
        <x:f>1600</x:f>
        <x:v>1600</x:v>
      </x:c>
      <x:c r="B1604" s="7" t="str">
        <x:f>IF(AND('요약'!$B$20,A1604&lt;='요약'!$B$6),NORM.S.INV((A1604-0.5)/'요약'!$B$6),"")</x:f>
      </x:c>
      <x:c r="C1604" s="7" t="str">
        <x:f>IF(AND('요약'!$B$20,A1604&lt;='요약'!$B$6),LARGE('계산'!$B$2:$B$2001,'요약'!$B$6-A1604+1),"")</x:f>
      </x:c>
      <x:c r="D1604" s="7" t="str">
        <x:f>IF(ISNUMBER(B1604),'요약'!$B$7+'요약'!$B$13*B1604,"")</x:f>
      </x:c>
    </x:row>
    <x:row r="1605">
      <x:c r="A1605" t="n">
        <x:f>1601</x:f>
        <x:v>1601</x:v>
      </x:c>
      <x:c r="B1605" s="7" t="str">
        <x:f>IF(AND('요약'!$B$20,A1605&lt;='요약'!$B$6),NORM.S.INV((A1605-0.5)/'요약'!$B$6),"")</x:f>
      </x:c>
      <x:c r="C1605" s="7" t="str">
        <x:f>IF(AND('요약'!$B$20,A1605&lt;='요약'!$B$6),LARGE('계산'!$B$2:$B$2001,'요약'!$B$6-A1605+1),"")</x:f>
      </x:c>
      <x:c r="D1605" s="7" t="str">
        <x:f>IF(ISNUMBER(B1605),'요약'!$B$7+'요약'!$B$13*B1605,"")</x:f>
      </x:c>
    </x:row>
    <x:row r="1606">
      <x:c r="A1606" t="n">
        <x:f>1602</x:f>
        <x:v>1602</x:v>
      </x:c>
      <x:c r="B1606" s="7" t="str">
        <x:f>IF(AND('요약'!$B$20,A1606&lt;='요약'!$B$6),NORM.S.INV((A1606-0.5)/'요약'!$B$6),"")</x:f>
      </x:c>
      <x:c r="C1606" s="7" t="str">
        <x:f>IF(AND('요약'!$B$20,A1606&lt;='요약'!$B$6),LARGE('계산'!$B$2:$B$2001,'요약'!$B$6-A1606+1),"")</x:f>
      </x:c>
      <x:c r="D1606" s="7" t="str">
        <x:f>IF(ISNUMBER(B1606),'요약'!$B$7+'요약'!$B$13*B1606,"")</x:f>
      </x:c>
    </x:row>
    <x:row r="1607">
      <x:c r="A1607" t="n">
        <x:f>1603</x:f>
        <x:v>1603</x:v>
      </x:c>
      <x:c r="B1607" s="7" t="str">
        <x:f>IF(AND('요약'!$B$20,A1607&lt;='요약'!$B$6),NORM.S.INV((A1607-0.5)/'요약'!$B$6),"")</x:f>
      </x:c>
      <x:c r="C1607" s="7" t="str">
        <x:f>IF(AND('요약'!$B$20,A1607&lt;='요약'!$B$6),LARGE('계산'!$B$2:$B$2001,'요약'!$B$6-A1607+1),"")</x:f>
      </x:c>
      <x:c r="D1607" s="7" t="str">
        <x:f>IF(ISNUMBER(B1607),'요약'!$B$7+'요약'!$B$13*B1607,"")</x:f>
      </x:c>
    </x:row>
    <x:row r="1608">
      <x:c r="A1608" t="n">
        <x:f>1604</x:f>
        <x:v>1604</x:v>
      </x:c>
      <x:c r="B1608" s="7" t="str">
        <x:f>IF(AND('요약'!$B$20,A1608&lt;='요약'!$B$6),NORM.S.INV((A1608-0.5)/'요약'!$B$6),"")</x:f>
      </x:c>
      <x:c r="C1608" s="7" t="str">
        <x:f>IF(AND('요약'!$B$20,A1608&lt;='요약'!$B$6),LARGE('계산'!$B$2:$B$2001,'요약'!$B$6-A1608+1),"")</x:f>
      </x:c>
      <x:c r="D1608" s="7" t="str">
        <x:f>IF(ISNUMBER(B1608),'요약'!$B$7+'요약'!$B$13*B1608,"")</x:f>
      </x:c>
    </x:row>
    <x:row r="1609">
      <x:c r="A1609" t="n">
        <x:f>1605</x:f>
        <x:v>1605</x:v>
      </x:c>
      <x:c r="B1609" s="7" t="str">
        <x:f>IF(AND('요약'!$B$20,A1609&lt;='요약'!$B$6),NORM.S.INV((A1609-0.5)/'요약'!$B$6),"")</x:f>
      </x:c>
      <x:c r="C1609" s="7" t="str">
        <x:f>IF(AND('요약'!$B$20,A1609&lt;='요약'!$B$6),LARGE('계산'!$B$2:$B$2001,'요약'!$B$6-A1609+1),"")</x:f>
      </x:c>
      <x:c r="D1609" s="7" t="str">
        <x:f>IF(ISNUMBER(B1609),'요약'!$B$7+'요약'!$B$13*B1609,"")</x:f>
      </x:c>
    </x:row>
    <x:row r="1610">
      <x:c r="A1610" t="n">
        <x:f>1606</x:f>
        <x:v>1606</x:v>
      </x:c>
      <x:c r="B1610" s="7" t="str">
        <x:f>IF(AND('요약'!$B$20,A1610&lt;='요약'!$B$6),NORM.S.INV((A1610-0.5)/'요약'!$B$6),"")</x:f>
      </x:c>
      <x:c r="C1610" s="7" t="str">
        <x:f>IF(AND('요약'!$B$20,A1610&lt;='요약'!$B$6),LARGE('계산'!$B$2:$B$2001,'요약'!$B$6-A1610+1),"")</x:f>
      </x:c>
      <x:c r="D1610" s="7" t="str">
        <x:f>IF(ISNUMBER(B1610),'요약'!$B$7+'요약'!$B$13*B1610,"")</x:f>
      </x:c>
    </x:row>
    <x:row r="1611">
      <x:c r="A1611" t="n">
        <x:f>1607</x:f>
        <x:v>1607</x:v>
      </x:c>
      <x:c r="B1611" s="7" t="str">
        <x:f>IF(AND('요약'!$B$20,A1611&lt;='요약'!$B$6),NORM.S.INV((A1611-0.5)/'요약'!$B$6),"")</x:f>
      </x:c>
      <x:c r="C1611" s="7" t="str">
        <x:f>IF(AND('요약'!$B$20,A1611&lt;='요약'!$B$6),LARGE('계산'!$B$2:$B$2001,'요약'!$B$6-A1611+1),"")</x:f>
      </x:c>
      <x:c r="D1611" s="7" t="str">
        <x:f>IF(ISNUMBER(B1611),'요약'!$B$7+'요약'!$B$13*B1611,"")</x:f>
      </x:c>
    </x:row>
    <x:row r="1612">
      <x:c r="A1612" t="n">
        <x:f>1608</x:f>
        <x:v>1608</x:v>
      </x:c>
      <x:c r="B1612" s="7" t="str">
        <x:f>IF(AND('요약'!$B$20,A1612&lt;='요약'!$B$6),NORM.S.INV((A1612-0.5)/'요약'!$B$6),"")</x:f>
      </x:c>
      <x:c r="C1612" s="7" t="str">
        <x:f>IF(AND('요약'!$B$20,A1612&lt;='요약'!$B$6),LARGE('계산'!$B$2:$B$2001,'요약'!$B$6-A1612+1),"")</x:f>
      </x:c>
      <x:c r="D1612" s="7" t="str">
        <x:f>IF(ISNUMBER(B1612),'요약'!$B$7+'요약'!$B$13*B1612,"")</x:f>
      </x:c>
    </x:row>
    <x:row r="1613">
      <x:c r="A1613" t="n">
        <x:f>1609</x:f>
        <x:v>1609</x:v>
      </x:c>
      <x:c r="B1613" s="7" t="str">
        <x:f>IF(AND('요약'!$B$20,A1613&lt;='요약'!$B$6),NORM.S.INV((A1613-0.5)/'요약'!$B$6),"")</x:f>
      </x:c>
      <x:c r="C1613" s="7" t="str">
        <x:f>IF(AND('요약'!$B$20,A1613&lt;='요약'!$B$6),LARGE('계산'!$B$2:$B$2001,'요약'!$B$6-A1613+1),"")</x:f>
      </x:c>
      <x:c r="D1613" s="7" t="str">
        <x:f>IF(ISNUMBER(B1613),'요약'!$B$7+'요약'!$B$13*B1613,"")</x:f>
      </x:c>
    </x:row>
    <x:row r="1614">
      <x:c r="A1614" t="n">
        <x:f>1610</x:f>
        <x:v>1610</x:v>
      </x:c>
      <x:c r="B1614" s="7" t="str">
        <x:f>IF(AND('요약'!$B$20,A1614&lt;='요약'!$B$6),NORM.S.INV((A1614-0.5)/'요약'!$B$6),"")</x:f>
      </x:c>
      <x:c r="C1614" s="7" t="str">
        <x:f>IF(AND('요약'!$B$20,A1614&lt;='요약'!$B$6),LARGE('계산'!$B$2:$B$2001,'요약'!$B$6-A1614+1),"")</x:f>
      </x:c>
      <x:c r="D1614" s="7" t="str">
        <x:f>IF(ISNUMBER(B1614),'요약'!$B$7+'요약'!$B$13*B1614,"")</x:f>
      </x:c>
    </x:row>
    <x:row r="1615">
      <x:c r="A1615" t="n">
        <x:f>1611</x:f>
        <x:v>1611</x:v>
      </x:c>
      <x:c r="B1615" s="7" t="str">
        <x:f>IF(AND('요약'!$B$20,A1615&lt;='요약'!$B$6),NORM.S.INV((A1615-0.5)/'요약'!$B$6),"")</x:f>
      </x:c>
      <x:c r="C1615" s="7" t="str">
        <x:f>IF(AND('요약'!$B$20,A1615&lt;='요약'!$B$6),LARGE('계산'!$B$2:$B$2001,'요약'!$B$6-A1615+1),"")</x:f>
      </x:c>
      <x:c r="D1615" s="7" t="str">
        <x:f>IF(ISNUMBER(B1615),'요약'!$B$7+'요약'!$B$13*B1615,"")</x:f>
      </x:c>
    </x:row>
    <x:row r="1616">
      <x:c r="A1616" t="n">
        <x:f>1612</x:f>
        <x:v>1612</x:v>
      </x:c>
      <x:c r="B1616" s="7" t="str">
        <x:f>IF(AND('요약'!$B$20,A1616&lt;='요약'!$B$6),NORM.S.INV((A1616-0.5)/'요약'!$B$6),"")</x:f>
      </x:c>
      <x:c r="C1616" s="7" t="str">
        <x:f>IF(AND('요약'!$B$20,A1616&lt;='요약'!$B$6),LARGE('계산'!$B$2:$B$2001,'요약'!$B$6-A1616+1),"")</x:f>
      </x:c>
      <x:c r="D1616" s="7" t="str">
        <x:f>IF(ISNUMBER(B1616),'요약'!$B$7+'요약'!$B$13*B1616,"")</x:f>
      </x:c>
    </x:row>
    <x:row r="1617">
      <x:c r="A1617" t="n">
        <x:f>1613</x:f>
        <x:v>1613</x:v>
      </x:c>
      <x:c r="B1617" s="7" t="str">
        <x:f>IF(AND('요약'!$B$20,A1617&lt;='요약'!$B$6),NORM.S.INV((A1617-0.5)/'요약'!$B$6),"")</x:f>
      </x:c>
      <x:c r="C1617" s="7" t="str">
        <x:f>IF(AND('요약'!$B$20,A1617&lt;='요약'!$B$6),LARGE('계산'!$B$2:$B$2001,'요약'!$B$6-A1617+1),"")</x:f>
      </x:c>
      <x:c r="D1617" s="7" t="str">
        <x:f>IF(ISNUMBER(B1617),'요약'!$B$7+'요약'!$B$13*B1617,"")</x:f>
      </x:c>
    </x:row>
    <x:row r="1618">
      <x:c r="A1618" t="n">
        <x:f>1614</x:f>
        <x:v>1614</x:v>
      </x:c>
      <x:c r="B1618" s="7" t="str">
        <x:f>IF(AND('요약'!$B$20,A1618&lt;='요약'!$B$6),NORM.S.INV((A1618-0.5)/'요약'!$B$6),"")</x:f>
      </x:c>
      <x:c r="C1618" s="7" t="str">
        <x:f>IF(AND('요약'!$B$20,A1618&lt;='요약'!$B$6),LARGE('계산'!$B$2:$B$2001,'요약'!$B$6-A1618+1),"")</x:f>
      </x:c>
      <x:c r="D1618" s="7" t="str">
        <x:f>IF(ISNUMBER(B1618),'요약'!$B$7+'요약'!$B$13*B1618,"")</x:f>
      </x:c>
    </x:row>
    <x:row r="1619">
      <x:c r="A1619" t="n">
        <x:f>1615</x:f>
        <x:v>1615</x:v>
      </x:c>
      <x:c r="B1619" s="7" t="str">
        <x:f>IF(AND('요약'!$B$20,A1619&lt;='요약'!$B$6),NORM.S.INV((A1619-0.5)/'요약'!$B$6),"")</x:f>
      </x:c>
      <x:c r="C1619" s="7" t="str">
        <x:f>IF(AND('요약'!$B$20,A1619&lt;='요약'!$B$6),LARGE('계산'!$B$2:$B$2001,'요약'!$B$6-A1619+1),"")</x:f>
      </x:c>
      <x:c r="D1619" s="7" t="str">
        <x:f>IF(ISNUMBER(B1619),'요약'!$B$7+'요약'!$B$13*B1619,"")</x:f>
      </x:c>
    </x:row>
    <x:row r="1620">
      <x:c r="A1620" t="n">
        <x:f>1616</x:f>
        <x:v>1616</x:v>
      </x:c>
      <x:c r="B1620" s="7" t="str">
        <x:f>IF(AND('요약'!$B$20,A1620&lt;='요약'!$B$6),NORM.S.INV((A1620-0.5)/'요약'!$B$6),"")</x:f>
      </x:c>
      <x:c r="C1620" s="7" t="str">
        <x:f>IF(AND('요약'!$B$20,A1620&lt;='요약'!$B$6),LARGE('계산'!$B$2:$B$2001,'요약'!$B$6-A1620+1),"")</x:f>
      </x:c>
      <x:c r="D1620" s="7" t="str">
        <x:f>IF(ISNUMBER(B1620),'요약'!$B$7+'요약'!$B$13*B1620,"")</x:f>
      </x:c>
    </x:row>
    <x:row r="1621">
      <x:c r="A1621" t="n">
        <x:f>1617</x:f>
        <x:v>1617</x:v>
      </x:c>
      <x:c r="B1621" s="7" t="str">
        <x:f>IF(AND('요약'!$B$20,A1621&lt;='요약'!$B$6),NORM.S.INV((A1621-0.5)/'요약'!$B$6),"")</x:f>
      </x:c>
      <x:c r="C1621" s="7" t="str">
        <x:f>IF(AND('요약'!$B$20,A1621&lt;='요약'!$B$6),LARGE('계산'!$B$2:$B$2001,'요약'!$B$6-A1621+1),"")</x:f>
      </x:c>
      <x:c r="D1621" s="7" t="str">
        <x:f>IF(ISNUMBER(B1621),'요약'!$B$7+'요약'!$B$13*B1621,"")</x:f>
      </x:c>
    </x:row>
    <x:row r="1622">
      <x:c r="A1622" t="n">
        <x:f>1618</x:f>
        <x:v>1618</x:v>
      </x:c>
      <x:c r="B1622" s="7" t="str">
        <x:f>IF(AND('요약'!$B$20,A1622&lt;='요약'!$B$6),NORM.S.INV((A1622-0.5)/'요약'!$B$6),"")</x:f>
      </x:c>
      <x:c r="C1622" s="7" t="str">
        <x:f>IF(AND('요약'!$B$20,A1622&lt;='요약'!$B$6),LARGE('계산'!$B$2:$B$2001,'요약'!$B$6-A1622+1),"")</x:f>
      </x:c>
      <x:c r="D1622" s="7" t="str">
        <x:f>IF(ISNUMBER(B1622),'요약'!$B$7+'요약'!$B$13*B1622,"")</x:f>
      </x:c>
    </x:row>
    <x:row r="1623">
      <x:c r="A1623" t="n">
        <x:f>1619</x:f>
        <x:v>1619</x:v>
      </x:c>
      <x:c r="B1623" s="7" t="str">
        <x:f>IF(AND('요약'!$B$20,A1623&lt;='요약'!$B$6),NORM.S.INV((A1623-0.5)/'요약'!$B$6),"")</x:f>
      </x:c>
      <x:c r="C1623" s="7" t="str">
        <x:f>IF(AND('요약'!$B$20,A1623&lt;='요약'!$B$6),LARGE('계산'!$B$2:$B$2001,'요약'!$B$6-A1623+1),"")</x:f>
      </x:c>
      <x:c r="D1623" s="7" t="str">
        <x:f>IF(ISNUMBER(B1623),'요약'!$B$7+'요약'!$B$13*B1623,"")</x:f>
      </x:c>
    </x:row>
    <x:row r="1624">
      <x:c r="A1624" t="n">
        <x:f>1620</x:f>
        <x:v>1620</x:v>
      </x:c>
      <x:c r="B1624" s="7" t="str">
        <x:f>IF(AND('요약'!$B$20,A1624&lt;='요약'!$B$6),NORM.S.INV((A1624-0.5)/'요약'!$B$6),"")</x:f>
      </x:c>
      <x:c r="C1624" s="7" t="str">
        <x:f>IF(AND('요약'!$B$20,A1624&lt;='요약'!$B$6),LARGE('계산'!$B$2:$B$2001,'요약'!$B$6-A1624+1),"")</x:f>
      </x:c>
      <x:c r="D1624" s="7" t="str">
        <x:f>IF(ISNUMBER(B1624),'요약'!$B$7+'요약'!$B$13*B1624,"")</x:f>
      </x:c>
    </x:row>
    <x:row r="1625">
      <x:c r="A1625" t="n">
        <x:f>1621</x:f>
        <x:v>1621</x:v>
      </x:c>
      <x:c r="B1625" s="7" t="str">
        <x:f>IF(AND('요약'!$B$20,A1625&lt;='요약'!$B$6),NORM.S.INV((A1625-0.5)/'요약'!$B$6),"")</x:f>
      </x:c>
      <x:c r="C1625" s="7" t="str">
        <x:f>IF(AND('요약'!$B$20,A1625&lt;='요약'!$B$6),LARGE('계산'!$B$2:$B$2001,'요약'!$B$6-A1625+1),"")</x:f>
      </x:c>
      <x:c r="D1625" s="7" t="str">
        <x:f>IF(ISNUMBER(B1625),'요약'!$B$7+'요약'!$B$13*B1625,"")</x:f>
      </x:c>
    </x:row>
    <x:row r="1626">
      <x:c r="A1626" t="n">
        <x:f>1622</x:f>
        <x:v>1622</x:v>
      </x:c>
      <x:c r="B1626" s="7" t="str">
        <x:f>IF(AND('요약'!$B$20,A1626&lt;='요약'!$B$6),NORM.S.INV((A1626-0.5)/'요약'!$B$6),"")</x:f>
      </x:c>
      <x:c r="C1626" s="7" t="str">
        <x:f>IF(AND('요약'!$B$20,A1626&lt;='요약'!$B$6),LARGE('계산'!$B$2:$B$2001,'요약'!$B$6-A1626+1),"")</x:f>
      </x:c>
      <x:c r="D1626" s="7" t="str">
        <x:f>IF(ISNUMBER(B1626),'요약'!$B$7+'요약'!$B$13*B1626,"")</x:f>
      </x:c>
    </x:row>
    <x:row r="1627">
      <x:c r="A1627" t="n">
        <x:f>1623</x:f>
        <x:v>1623</x:v>
      </x:c>
      <x:c r="B1627" s="7" t="str">
        <x:f>IF(AND('요약'!$B$20,A1627&lt;='요약'!$B$6),NORM.S.INV((A1627-0.5)/'요약'!$B$6),"")</x:f>
      </x:c>
      <x:c r="C1627" s="7" t="str">
        <x:f>IF(AND('요약'!$B$20,A1627&lt;='요약'!$B$6),LARGE('계산'!$B$2:$B$2001,'요약'!$B$6-A1627+1),"")</x:f>
      </x:c>
      <x:c r="D1627" s="7" t="str">
        <x:f>IF(ISNUMBER(B1627),'요약'!$B$7+'요약'!$B$13*B1627,"")</x:f>
      </x:c>
    </x:row>
    <x:row r="1628">
      <x:c r="A1628" t="n">
        <x:f>1624</x:f>
        <x:v>1624</x:v>
      </x:c>
      <x:c r="B1628" s="7" t="str">
        <x:f>IF(AND('요약'!$B$20,A1628&lt;='요약'!$B$6),NORM.S.INV((A1628-0.5)/'요약'!$B$6),"")</x:f>
      </x:c>
      <x:c r="C1628" s="7" t="str">
        <x:f>IF(AND('요약'!$B$20,A1628&lt;='요약'!$B$6),LARGE('계산'!$B$2:$B$2001,'요약'!$B$6-A1628+1),"")</x:f>
      </x:c>
      <x:c r="D1628" s="7" t="str">
        <x:f>IF(ISNUMBER(B1628),'요약'!$B$7+'요약'!$B$13*B1628,"")</x:f>
      </x:c>
    </x:row>
    <x:row r="1629">
      <x:c r="A1629" t="n">
        <x:f>1625</x:f>
        <x:v>1625</x:v>
      </x:c>
      <x:c r="B1629" s="7" t="str">
        <x:f>IF(AND('요약'!$B$20,A1629&lt;='요약'!$B$6),NORM.S.INV((A1629-0.5)/'요약'!$B$6),"")</x:f>
      </x:c>
      <x:c r="C1629" s="7" t="str">
        <x:f>IF(AND('요약'!$B$20,A1629&lt;='요약'!$B$6),LARGE('계산'!$B$2:$B$2001,'요약'!$B$6-A1629+1),"")</x:f>
      </x:c>
      <x:c r="D1629" s="7" t="str">
        <x:f>IF(ISNUMBER(B1629),'요약'!$B$7+'요약'!$B$13*B1629,"")</x:f>
      </x:c>
    </x:row>
    <x:row r="1630">
      <x:c r="A1630" t="n">
        <x:f>1626</x:f>
        <x:v>1626</x:v>
      </x:c>
      <x:c r="B1630" s="7" t="str">
        <x:f>IF(AND('요약'!$B$20,A1630&lt;='요약'!$B$6),NORM.S.INV((A1630-0.5)/'요약'!$B$6),"")</x:f>
      </x:c>
      <x:c r="C1630" s="7" t="str">
        <x:f>IF(AND('요약'!$B$20,A1630&lt;='요약'!$B$6),LARGE('계산'!$B$2:$B$2001,'요약'!$B$6-A1630+1),"")</x:f>
      </x:c>
      <x:c r="D1630" s="7" t="str">
        <x:f>IF(ISNUMBER(B1630),'요약'!$B$7+'요약'!$B$13*B1630,"")</x:f>
      </x:c>
    </x:row>
    <x:row r="1631">
      <x:c r="A1631" t="n">
        <x:f>1627</x:f>
        <x:v>1627</x:v>
      </x:c>
      <x:c r="B1631" s="7" t="str">
        <x:f>IF(AND('요약'!$B$20,A1631&lt;='요약'!$B$6),NORM.S.INV((A1631-0.5)/'요약'!$B$6),"")</x:f>
      </x:c>
      <x:c r="C1631" s="7" t="str">
        <x:f>IF(AND('요약'!$B$20,A1631&lt;='요약'!$B$6),LARGE('계산'!$B$2:$B$2001,'요약'!$B$6-A1631+1),"")</x:f>
      </x:c>
      <x:c r="D1631" s="7" t="str">
        <x:f>IF(ISNUMBER(B1631),'요약'!$B$7+'요약'!$B$13*B1631,"")</x:f>
      </x:c>
    </x:row>
    <x:row r="1632">
      <x:c r="A1632" t="n">
        <x:f>1628</x:f>
        <x:v>1628</x:v>
      </x:c>
      <x:c r="B1632" s="7" t="str">
        <x:f>IF(AND('요약'!$B$20,A1632&lt;='요약'!$B$6),NORM.S.INV((A1632-0.5)/'요약'!$B$6),"")</x:f>
      </x:c>
      <x:c r="C1632" s="7" t="str">
        <x:f>IF(AND('요약'!$B$20,A1632&lt;='요약'!$B$6),LARGE('계산'!$B$2:$B$2001,'요약'!$B$6-A1632+1),"")</x:f>
      </x:c>
      <x:c r="D1632" s="7" t="str">
        <x:f>IF(ISNUMBER(B1632),'요약'!$B$7+'요약'!$B$13*B1632,"")</x:f>
      </x:c>
    </x:row>
    <x:row r="1633">
      <x:c r="A1633" t="n">
        <x:f>1629</x:f>
        <x:v>1629</x:v>
      </x:c>
      <x:c r="B1633" s="7" t="str">
        <x:f>IF(AND('요약'!$B$20,A1633&lt;='요약'!$B$6),NORM.S.INV((A1633-0.5)/'요약'!$B$6),"")</x:f>
      </x:c>
      <x:c r="C1633" s="7" t="str">
        <x:f>IF(AND('요약'!$B$20,A1633&lt;='요약'!$B$6),LARGE('계산'!$B$2:$B$2001,'요약'!$B$6-A1633+1),"")</x:f>
      </x:c>
      <x:c r="D1633" s="7" t="str">
        <x:f>IF(ISNUMBER(B1633),'요약'!$B$7+'요약'!$B$13*B1633,"")</x:f>
      </x:c>
    </x:row>
    <x:row r="1634">
      <x:c r="A1634" t="n">
        <x:f>1630</x:f>
        <x:v>1630</x:v>
      </x:c>
      <x:c r="B1634" s="7" t="str">
        <x:f>IF(AND('요약'!$B$20,A1634&lt;='요약'!$B$6),NORM.S.INV((A1634-0.5)/'요약'!$B$6),"")</x:f>
      </x:c>
      <x:c r="C1634" s="7" t="str">
        <x:f>IF(AND('요약'!$B$20,A1634&lt;='요약'!$B$6),LARGE('계산'!$B$2:$B$2001,'요약'!$B$6-A1634+1),"")</x:f>
      </x:c>
      <x:c r="D1634" s="7" t="str">
        <x:f>IF(ISNUMBER(B1634),'요약'!$B$7+'요약'!$B$13*B1634,"")</x:f>
      </x:c>
    </x:row>
    <x:row r="1635">
      <x:c r="A1635" t="n">
        <x:f>1631</x:f>
        <x:v>1631</x:v>
      </x:c>
      <x:c r="B1635" s="7" t="str">
        <x:f>IF(AND('요약'!$B$20,A1635&lt;='요약'!$B$6),NORM.S.INV((A1635-0.5)/'요약'!$B$6),"")</x:f>
      </x:c>
      <x:c r="C1635" s="7" t="str">
        <x:f>IF(AND('요약'!$B$20,A1635&lt;='요약'!$B$6),LARGE('계산'!$B$2:$B$2001,'요약'!$B$6-A1635+1),"")</x:f>
      </x:c>
      <x:c r="D1635" s="7" t="str">
        <x:f>IF(ISNUMBER(B1635),'요약'!$B$7+'요약'!$B$13*B1635,"")</x:f>
      </x:c>
    </x:row>
    <x:row r="1636">
      <x:c r="A1636" t="n">
        <x:f>1632</x:f>
        <x:v>1632</x:v>
      </x:c>
      <x:c r="B1636" s="7" t="str">
        <x:f>IF(AND('요약'!$B$20,A1636&lt;='요약'!$B$6),NORM.S.INV((A1636-0.5)/'요약'!$B$6),"")</x:f>
      </x:c>
      <x:c r="C1636" s="7" t="str">
        <x:f>IF(AND('요약'!$B$20,A1636&lt;='요약'!$B$6),LARGE('계산'!$B$2:$B$2001,'요약'!$B$6-A1636+1),"")</x:f>
      </x:c>
      <x:c r="D1636" s="7" t="str">
        <x:f>IF(ISNUMBER(B1636),'요약'!$B$7+'요약'!$B$13*B1636,"")</x:f>
      </x:c>
    </x:row>
    <x:row r="1637">
      <x:c r="A1637" t="n">
        <x:f>1633</x:f>
        <x:v>1633</x:v>
      </x:c>
      <x:c r="B1637" s="7" t="str">
        <x:f>IF(AND('요약'!$B$20,A1637&lt;='요약'!$B$6),NORM.S.INV((A1637-0.5)/'요약'!$B$6),"")</x:f>
      </x:c>
      <x:c r="C1637" s="7" t="str">
        <x:f>IF(AND('요약'!$B$20,A1637&lt;='요약'!$B$6),LARGE('계산'!$B$2:$B$2001,'요약'!$B$6-A1637+1),"")</x:f>
      </x:c>
      <x:c r="D1637" s="7" t="str">
        <x:f>IF(ISNUMBER(B1637),'요약'!$B$7+'요약'!$B$13*B1637,"")</x:f>
      </x:c>
    </x:row>
    <x:row r="1638">
      <x:c r="A1638" t="n">
        <x:f>1634</x:f>
        <x:v>1634</x:v>
      </x:c>
      <x:c r="B1638" s="7" t="str">
        <x:f>IF(AND('요약'!$B$20,A1638&lt;='요약'!$B$6),NORM.S.INV((A1638-0.5)/'요약'!$B$6),"")</x:f>
      </x:c>
      <x:c r="C1638" s="7" t="str">
        <x:f>IF(AND('요약'!$B$20,A1638&lt;='요약'!$B$6),LARGE('계산'!$B$2:$B$2001,'요약'!$B$6-A1638+1),"")</x:f>
      </x:c>
      <x:c r="D1638" s="7" t="str">
        <x:f>IF(ISNUMBER(B1638),'요약'!$B$7+'요약'!$B$13*B1638,"")</x:f>
      </x:c>
    </x:row>
    <x:row r="1639">
      <x:c r="A1639" t="n">
        <x:f>1635</x:f>
        <x:v>1635</x:v>
      </x:c>
      <x:c r="B1639" s="7" t="str">
        <x:f>IF(AND('요약'!$B$20,A1639&lt;='요약'!$B$6),NORM.S.INV((A1639-0.5)/'요약'!$B$6),"")</x:f>
      </x:c>
      <x:c r="C1639" s="7" t="str">
        <x:f>IF(AND('요약'!$B$20,A1639&lt;='요약'!$B$6),LARGE('계산'!$B$2:$B$2001,'요약'!$B$6-A1639+1),"")</x:f>
      </x:c>
      <x:c r="D1639" s="7" t="str">
        <x:f>IF(ISNUMBER(B1639),'요약'!$B$7+'요약'!$B$13*B1639,"")</x:f>
      </x:c>
    </x:row>
    <x:row r="1640">
      <x:c r="A1640" t="n">
        <x:f>1636</x:f>
        <x:v>1636</x:v>
      </x:c>
      <x:c r="B1640" s="7" t="str">
        <x:f>IF(AND('요약'!$B$20,A1640&lt;='요약'!$B$6),NORM.S.INV((A1640-0.5)/'요약'!$B$6),"")</x:f>
      </x:c>
      <x:c r="C1640" s="7" t="str">
        <x:f>IF(AND('요약'!$B$20,A1640&lt;='요약'!$B$6),LARGE('계산'!$B$2:$B$2001,'요약'!$B$6-A1640+1),"")</x:f>
      </x:c>
      <x:c r="D1640" s="7" t="str">
        <x:f>IF(ISNUMBER(B1640),'요약'!$B$7+'요약'!$B$13*B1640,"")</x:f>
      </x:c>
    </x:row>
    <x:row r="1641">
      <x:c r="A1641" t="n">
        <x:f>1637</x:f>
        <x:v>1637</x:v>
      </x:c>
      <x:c r="B1641" s="7" t="str">
        <x:f>IF(AND('요약'!$B$20,A1641&lt;='요약'!$B$6),NORM.S.INV((A1641-0.5)/'요약'!$B$6),"")</x:f>
      </x:c>
      <x:c r="C1641" s="7" t="str">
        <x:f>IF(AND('요약'!$B$20,A1641&lt;='요약'!$B$6),LARGE('계산'!$B$2:$B$2001,'요약'!$B$6-A1641+1),"")</x:f>
      </x:c>
      <x:c r="D1641" s="7" t="str">
        <x:f>IF(ISNUMBER(B1641),'요약'!$B$7+'요약'!$B$13*B1641,"")</x:f>
      </x:c>
    </x:row>
    <x:row r="1642">
      <x:c r="A1642" t="n">
        <x:f>1638</x:f>
        <x:v>1638</x:v>
      </x:c>
      <x:c r="B1642" s="7" t="str">
        <x:f>IF(AND('요약'!$B$20,A1642&lt;='요약'!$B$6),NORM.S.INV((A1642-0.5)/'요약'!$B$6),"")</x:f>
      </x:c>
      <x:c r="C1642" s="7" t="str">
        <x:f>IF(AND('요약'!$B$20,A1642&lt;='요약'!$B$6),LARGE('계산'!$B$2:$B$2001,'요약'!$B$6-A1642+1),"")</x:f>
      </x:c>
      <x:c r="D1642" s="7" t="str">
        <x:f>IF(ISNUMBER(B1642),'요약'!$B$7+'요약'!$B$13*B1642,"")</x:f>
      </x:c>
    </x:row>
    <x:row r="1643">
      <x:c r="A1643" t="n">
        <x:f>1639</x:f>
        <x:v>1639</x:v>
      </x:c>
      <x:c r="B1643" s="7" t="str">
        <x:f>IF(AND('요약'!$B$20,A1643&lt;='요약'!$B$6),NORM.S.INV((A1643-0.5)/'요약'!$B$6),"")</x:f>
      </x:c>
      <x:c r="C1643" s="7" t="str">
        <x:f>IF(AND('요약'!$B$20,A1643&lt;='요약'!$B$6),LARGE('계산'!$B$2:$B$2001,'요약'!$B$6-A1643+1),"")</x:f>
      </x:c>
      <x:c r="D1643" s="7" t="str">
        <x:f>IF(ISNUMBER(B1643),'요약'!$B$7+'요약'!$B$13*B1643,"")</x:f>
      </x:c>
    </x:row>
    <x:row r="1644">
      <x:c r="A1644" t="n">
        <x:f>1640</x:f>
        <x:v>1640</x:v>
      </x:c>
      <x:c r="B1644" s="7" t="str">
        <x:f>IF(AND('요약'!$B$20,A1644&lt;='요약'!$B$6),NORM.S.INV((A1644-0.5)/'요약'!$B$6),"")</x:f>
      </x:c>
      <x:c r="C1644" s="7" t="str">
        <x:f>IF(AND('요약'!$B$20,A1644&lt;='요약'!$B$6),LARGE('계산'!$B$2:$B$2001,'요약'!$B$6-A1644+1),"")</x:f>
      </x:c>
      <x:c r="D1644" s="7" t="str">
        <x:f>IF(ISNUMBER(B1644),'요약'!$B$7+'요약'!$B$13*B1644,"")</x:f>
      </x:c>
    </x:row>
    <x:row r="1645">
      <x:c r="A1645" t="n">
        <x:f>1641</x:f>
        <x:v>1641</x:v>
      </x:c>
      <x:c r="B1645" s="7" t="str">
        <x:f>IF(AND('요약'!$B$20,A1645&lt;='요약'!$B$6),NORM.S.INV((A1645-0.5)/'요약'!$B$6),"")</x:f>
      </x:c>
      <x:c r="C1645" s="7" t="str">
        <x:f>IF(AND('요약'!$B$20,A1645&lt;='요약'!$B$6),LARGE('계산'!$B$2:$B$2001,'요약'!$B$6-A1645+1),"")</x:f>
      </x:c>
      <x:c r="D1645" s="7" t="str">
        <x:f>IF(ISNUMBER(B1645),'요약'!$B$7+'요약'!$B$13*B1645,"")</x:f>
      </x:c>
    </x:row>
    <x:row r="1646">
      <x:c r="A1646" t="n">
        <x:f>1642</x:f>
        <x:v>1642</x:v>
      </x:c>
      <x:c r="B1646" s="7" t="str">
        <x:f>IF(AND('요약'!$B$20,A1646&lt;='요약'!$B$6),NORM.S.INV((A1646-0.5)/'요약'!$B$6),"")</x:f>
      </x:c>
      <x:c r="C1646" s="7" t="str">
        <x:f>IF(AND('요약'!$B$20,A1646&lt;='요약'!$B$6),LARGE('계산'!$B$2:$B$2001,'요약'!$B$6-A1646+1),"")</x:f>
      </x:c>
      <x:c r="D1646" s="7" t="str">
        <x:f>IF(ISNUMBER(B1646),'요약'!$B$7+'요약'!$B$13*B1646,"")</x:f>
      </x:c>
    </x:row>
    <x:row r="1647">
      <x:c r="A1647" t="n">
        <x:f>1643</x:f>
        <x:v>1643</x:v>
      </x:c>
      <x:c r="B1647" s="7" t="str">
        <x:f>IF(AND('요약'!$B$20,A1647&lt;='요약'!$B$6),NORM.S.INV((A1647-0.5)/'요약'!$B$6),"")</x:f>
      </x:c>
      <x:c r="C1647" s="7" t="str">
        <x:f>IF(AND('요약'!$B$20,A1647&lt;='요약'!$B$6),LARGE('계산'!$B$2:$B$2001,'요약'!$B$6-A1647+1),"")</x:f>
      </x:c>
      <x:c r="D1647" s="7" t="str">
        <x:f>IF(ISNUMBER(B1647),'요약'!$B$7+'요약'!$B$13*B1647,"")</x:f>
      </x:c>
    </x:row>
    <x:row r="1648">
      <x:c r="A1648" t="n">
        <x:f>1644</x:f>
        <x:v>1644</x:v>
      </x:c>
      <x:c r="B1648" s="7" t="str">
        <x:f>IF(AND('요약'!$B$20,A1648&lt;='요약'!$B$6),NORM.S.INV((A1648-0.5)/'요약'!$B$6),"")</x:f>
      </x:c>
      <x:c r="C1648" s="7" t="str">
        <x:f>IF(AND('요약'!$B$20,A1648&lt;='요약'!$B$6),LARGE('계산'!$B$2:$B$2001,'요약'!$B$6-A1648+1),"")</x:f>
      </x:c>
      <x:c r="D1648" s="7" t="str">
        <x:f>IF(ISNUMBER(B1648),'요약'!$B$7+'요약'!$B$13*B1648,"")</x:f>
      </x:c>
    </x:row>
    <x:row r="1649">
      <x:c r="A1649" t="n">
        <x:f>1645</x:f>
        <x:v>1645</x:v>
      </x:c>
      <x:c r="B1649" s="7" t="str">
        <x:f>IF(AND('요약'!$B$20,A1649&lt;='요약'!$B$6),NORM.S.INV((A1649-0.5)/'요약'!$B$6),"")</x:f>
      </x:c>
      <x:c r="C1649" s="7" t="str">
        <x:f>IF(AND('요약'!$B$20,A1649&lt;='요약'!$B$6),LARGE('계산'!$B$2:$B$2001,'요약'!$B$6-A1649+1),"")</x:f>
      </x:c>
      <x:c r="D1649" s="7" t="str">
        <x:f>IF(ISNUMBER(B1649),'요약'!$B$7+'요약'!$B$13*B1649,"")</x:f>
      </x:c>
    </x:row>
    <x:row r="1650">
      <x:c r="A1650" t="n">
        <x:f>1646</x:f>
        <x:v>1646</x:v>
      </x:c>
      <x:c r="B1650" s="7" t="str">
        <x:f>IF(AND('요약'!$B$20,A1650&lt;='요약'!$B$6),NORM.S.INV((A1650-0.5)/'요약'!$B$6),"")</x:f>
      </x:c>
      <x:c r="C1650" s="7" t="str">
        <x:f>IF(AND('요약'!$B$20,A1650&lt;='요약'!$B$6),LARGE('계산'!$B$2:$B$2001,'요약'!$B$6-A1650+1),"")</x:f>
      </x:c>
      <x:c r="D1650" s="7" t="str">
        <x:f>IF(ISNUMBER(B1650),'요약'!$B$7+'요약'!$B$13*B1650,"")</x:f>
      </x:c>
    </x:row>
    <x:row r="1651">
      <x:c r="A1651" t="n">
        <x:f>1647</x:f>
        <x:v>1647</x:v>
      </x:c>
      <x:c r="B1651" s="7" t="str">
        <x:f>IF(AND('요약'!$B$20,A1651&lt;='요약'!$B$6),NORM.S.INV((A1651-0.5)/'요약'!$B$6),"")</x:f>
      </x:c>
      <x:c r="C1651" s="7" t="str">
        <x:f>IF(AND('요약'!$B$20,A1651&lt;='요약'!$B$6),LARGE('계산'!$B$2:$B$2001,'요약'!$B$6-A1651+1),"")</x:f>
      </x:c>
      <x:c r="D1651" s="7" t="str">
        <x:f>IF(ISNUMBER(B1651),'요약'!$B$7+'요약'!$B$13*B1651,"")</x:f>
      </x:c>
    </x:row>
    <x:row r="1652">
      <x:c r="A1652" t="n">
        <x:f>1648</x:f>
        <x:v>1648</x:v>
      </x:c>
      <x:c r="B1652" s="7" t="str">
        <x:f>IF(AND('요약'!$B$20,A1652&lt;='요약'!$B$6),NORM.S.INV((A1652-0.5)/'요약'!$B$6),"")</x:f>
      </x:c>
      <x:c r="C1652" s="7" t="str">
        <x:f>IF(AND('요약'!$B$20,A1652&lt;='요약'!$B$6),LARGE('계산'!$B$2:$B$2001,'요약'!$B$6-A1652+1),"")</x:f>
      </x:c>
      <x:c r="D1652" s="7" t="str">
        <x:f>IF(ISNUMBER(B1652),'요약'!$B$7+'요약'!$B$13*B1652,"")</x:f>
      </x:c>
    </x:row>
    <x:row r="1653">
      <x:c r="A1653" t="n">
        <x:f>1649</x:f>
        <x:v>1649</x:v>
      </x:c>
      <x:c r="B1653" s="7" t="str">
        <x:f>IF(AND('요약'!$B$20,A1653&lt;='요약'!$B$6),NORM.S.INV((A1653-0.5)/'요약'!$B$6),"")</x:f>
      </x:c>
      <x:c r="C1653" s="7" t="str">
        <x:f>IF(AND('요약'!$B$20,A1653&lt;='요약'!$B$6),LARGE('계산'!$B$2:$B$2001,'요약'!$B$6-A1653+1),"")</x:f>
      </x:c>
      <x:c r="D1653" s="7" t="str">
        <x:f>IF(ISNUMBER(B1653),'요약'!$B$7+'요약'!$B$13*B1653,"")</x:f>
      </x:c>
    </x:row>
    <x:row r="1654">
      <x:c r="A1654" t="n">
        <x:f>1650</x:f>
        <x:v>1650</x:v>
      </x:c>
      <x:c r="B1654" s="7" t="str">
        <x:f>IF(AND('요약'!$B$20,A1654&lt;='요약'!$B$6),NORM.S.INV((A1654-0.5)/'요약'!$B$6),"")</x:f>
      </x:c>
      <x:c r="C1654" s="7" t="str">
        <x:f>IF(AND('요약'!$B$20,A1654&lt;='요약'!$B$6),LARGE('계산'!$B$2:$B$2001,'요약'!$B$6-A1654+1),"")</x:f>
      </x:c>
      <x:c r="D1654" s="7" t="str">
        <x:f>IF(ISNUMBER(B1654),'요약'!$B$7+'요약'!$B$13*B1654,"")</x:f>
      </x:c>
    </x:row>
    <x:row r="1655">
      <x:c r="A1655" t="n">
        <x:f>1651</x:f>
        <x:v>1651</x:v>
      </x:c>
      <x:c r="B1655" s="7" t="str">
        <x:f>IF(AND('요약'!$B$20,A1655&lt;='요약'!$B$6),NORM.S.INV((A1655-0.5)/'요약'!$B$6),"")</x:f>
      </x:c>
      <x:c r="C1655" s="7" t="str">
        <x:f>IF(AND('요약'!$B$20,A1655&lt;='요약'!$B$6),LARGE('계산'!$B$2:$B$2001,'요약'!$B$6-A1655+1),"")</x:f>
      </x:c>
      <x:c r="D1655" s="7" t="str">
        <x:f>IF(ISNUMBER(B1655),'요약'!$B$7+'요약'!$B$13*B1655,"")</x:f>
      </x:c>
    </x:row>
    <x:row r="1656">
      <x:c r="A1656" t="n">
        <x:f>1652</x:f>
        <x:v>1652</x:v>
      </x:c>
      <x:c r="B1656" s="7" t="str">
        <x:f>IF(AND('요약'!$B$20,A1656&lt;='요약'!$B$6),NORM.S.INV((A1656-0.5)/'요약'!$B$6),"")</x:f>
      </x:c>
      <x:c r="C1656" s="7" t="str">
        <x:f>IF(AND('요약'!$B$20,A1656&lt;='요약'!$B$6),LARGE('계산'!$B$2:$B$2001,'요약'!$B$6-A1656+1),"")</x:f>
      </x:c>
      <x:c r="D1656" s="7" t="str">
        <x:f>IF(ISNUMBER(B1656),'요약'!$B$7+'요약'!$B$13*B1656,"")</x:f>
      </x:c>
    </x:row>
    <x:row r="1657">
      <x:c r="A1657" t="n">
        <x:f>1653</x:f>
        <x:v>1653</x:v>
      </x:c>
      <x:c r="B1657" s="7" t="str">
        <x:f>IF(AND('요약'!$B$20,A1657&lt;='요약'!$B$6),NORM.S.INV((A1657-0.5)/'요약'!$B$6),"")</x:f>
      </x:c>
      <x:c r="C1657" s="7" t="str">
        <x:f>IF(AND('요약'!$B$20,A1657&lt;='요약'!$B$6),LARGE('계산'!$B$2:$B$2001,'요약'!$B$6-A1657+1),"")</x:f>
      </x:c>
      <x:c r="D1657" s="7" t="str">
        <x:f>IF(ISNUMBER(B1657),'요약'!$B$7+'요약'!$B$13*B1657,"")</x:f>
      </x:c>
    </x:row>
    <x:row r="1658">
      <x:c r="A1658" t="n">
        <x:f>1654</x:f>
        <x:v>1654</x:v>
      </x:c>
      <x:c r="B1658" s="7" t="str">
        <x:f>IF(AND('요약'!$B$20,A1658&lt;='요약'!$B$6),NORM.S.INV((A1658-0.5)/'요약'!$B$6),"")</x:f>
      </x:c>
      <x:c r="C1658" s="7" t="str">
        <x:f>IF(AND('요약'!$B$20,A1658&lt;='요약'!$B$6),LARGE('계산'!$B$2:$B$2001,'요약'!$B$6-A1658+1),"")</x:f>
      </x:c>
      <x:c r="D1658" s="7" t="str">
        <x:f>IF(ISNUMBER(B1658),'요약'!$B$7+'요약'!$B$13*B1658,"")</x:f>
      </x:c>
    </x:row>
    <x:row r="1659">
      <x:c r="A1659" t="n">
        <x:f>1655</x:f>
        <x:v>1655</x:v>
      </x:c>
      <x:c r="B1659" s="7" t="str">
        <x:f>IF(AND('요약'!$B$20,A1659&lt;='요약'!$B$6),NORM.S.INV((A1659-0.5)/'요약'!$B$6),"")</x:f>
      </x:c>
      <x:c r="C1659" s="7" t="str">
        <x:f>IF(AND('요약'!$B$20,A1659&lt;='요약'!$B$6),LARGE('계산'!$B$2:$B$2001,'요약'!$B$6-A1659+1),"")</x:f>
      </x:c>
      <x:c r="D1659" s="7" t="str">
        <x:f>IF(ISNUMBER(B1659),'요약'!$B$7+'요약'!$B$13*B1659,"")</x:f>
      </x:c>
    </x:row>
    <x:row r="1660">
      <x:c r="A1660" t="n">
        <x:f>1656</x:f>
        <x:v>1656</x:v>
      </x:c>
      <x:c r="B1660" s="7" t="str">
        <x:f>IF(AND('요약'!$B$20,A1660&lt;='요약'!$B$6),NORM.S.INV((A1660-0.5)/'요약'!$B$6),"")</x:f>
      </x:c>
      <x:c r="C1660" s="7" t="str">
        <x:f>IF(AND('요약'!$B$20,A1660&lt;='요약'!$B$6),LARGE('계산'!$B$2:$B$2001,'요약'!$B$6-A1660+1),"")</x:f>
      </x:c>
      <x:c r="D1660" s="7" t="str">
        <x:f>IF(ISNUMBER(B1660),'요약'!$B$7+'요약'!$B$13*B1660,"")</x:f>
      </x:c>
    </x:row>
    <x:row r="1661">
      <x:c r="A1661" t="n">
        <x:f>1657</x:f>
        <x:v>1657</x:v>
      </x:c>
      <x:c r="B1661" s="7" t="str">
        <x:f>IF(AND('요약'!$B$20,A1661&lt;='요약'!$B$6),NORM.S.INV((A1661-0.5)/'요약'!$B$6),"")</x:f>
      </x:c>
      <x:c r="C1661" s="7" t="str">
        <x:f>IF(AND('요약'!$B$20,A1661&lt;='요약'!$B$6),LARGE('계산'!$B$2:$B$2001,'요약'!$B$6-A1661+1),"")</x:f>
      </x:c>
      <x:c r="D1661" s="7" t="str">
        <x:f>IF(ISNUMBER(B1661),'요약'!$B$7+'요약'!$B$13*B1661,"")</x:f>
      </x:c>
    </x:row>
    <x:row r="1662">
      <x:c r="A1662" t="n">
        <x:f>1658</x:f>
        <x:v>1658</x:v>
      </x:c>
      <x:c r="B1662" s="7" t="str">
        <x:f>IF(AND('요약'!$B$20,A1662&lt;='요약'!$B$6),NORM.S.INV((A1662-0.5)/'요약'!$B$6),"")</x:f>
      </x:c>
      <x:c r="C1662" s="7" t="str">
        <x:f>IF(AND('요약'!$B$20,A1662&lt;='요약'!$B$6),LARGE('계산'!$B$2:$B$2001,'요약'!$B$6-A1662+1),"")</x:f>
      </x:c>
      <x:c r="D1662" s="7" t="str">
        <x:f>IF(ISNUMBER(B1662),'요약'!$B$7+'요약'!$B$13*B1662,"")</x:f>
      </x:c>
    </x:row>
    <x:row r="1663">
      <x:c r="A1663" t="n">
        <x:f>1659</x:f>
        <x:v>1659</x:v>
      </x:c>
      <x:c r="B1663" s="7" t="str">
        <x:f>IF(AND('요약'!$B$20,A1663&lt;='요약'!$B$6),NORM.S.INV((A1663-0.5)/'요약'!$B$6),"")</x:f>
      </x:c>
      <x:c r="C1663" s="7" t="str">
        <x:f>IF(AND('요약'!$B$20,A1663&lt;='요약'!$B$6),LARGE('계산'!$B$2:$B$2001,'요약'!$B$6-A1663+1),"")</x:f>
      </x:c>
      <x:c r="D1663" s="7" t="str">
        <x:f>IF(ISNUMBER(B1663),'요약'!$B$7+'요약'!$B$13*B1663,"")</x:f>
      </x:c>
    </x:row>
    <x:row r="1664">
      <x:c r="A1664" t="n">
        <x:f>1660</x:f>
        <x:v>1660</x:v>
      </x:c>
      <x:c r="B1664" s="7" t="str">
        <x:f>IF(AND('요약'!$B$20,A1664&lt;='요약'!$B$6),NORM.S.INV((A1664-0.5)/'요약'!$B$6),"")</x:f>
      </x:c>
      <x:c r="C1664" s="7" t="str">
        <x:f>IF(AND('요약'!$B$20,A1664&lt;='요약'!$B$6),LARGE('계산'!$B$2:$B$2001,'요약'!$B$6-A1664+1),"")</x:f>
      </x:c>
      <x:c r="D1664" s="7" t="str">
        <x:f>IF(ISNUMBER(B1664),'요약'!$B$7+'요약'!$B$13*B1664,"")</x:f>
      </x:c>
    </x:row>
    <x:row r="1665">
      <x:c r="A1665" t="n">
        <x:f>1661</x:f>
        <x:v>1661</x:v>
      </x:c>
      <x:c r="B1665" s="7" t="str">
        <x:f>IF(AND('요약'!$B$20,A1665&lt;='요약'!$B$6),NORM.S.INV((A1665-0.5)/'요약'!$B$6),"")</x:f>
      </x:c>
      <x:c r="C1665" s="7" t="str">
        <x:f>IF(AND('요약'!$B$20,A1665&lt;='요약'!$B$6),LARGE('계산'!$B$2:$B$2001,'요약'!$B$6-A1665+1),"")</x:f>
      </x:c>
      <x:c r="D1665" s="7" t="str">
        <x:f>IF(ISNUMBER(B1665),'요약'!$B$7+'요약'!$B$13*B1665,"")</x:f>
      </x:c>
    </x:row>
    <x:row r="1666">
      <x:c r="A1666" t="n">
        <x:f>1662</x:f>
        <x:v>1662</x:v>
      </x:c>
      <x:c r="B1666" s="7" t="str">
        <x:f>IF(AND('요약'!$B$20,A1666&lt;='요약'!$B$6),NORM.S.INV((A1666-0.5)/'요약'!$B$6),"")</x:f>
      </x:c>
      <x:c r="C1666" s="7" t="str">
        <x:f>IF(AND('요약'!$B$20,A1666&lt;='요약'!$B$6),LARGE('계산'!$B$2:$B$2001,'요약'!$B$6-A1666+1),"")</x:f>
      </x:c>
      <x:c r="D1666" s="7" t="str">
        <x:f>IF(ISNUMBER(B1666),'요약'!$B$7+'요약'!$B$13*B1666,"")</x:f>
      </x:c>
    </x:row>
    <x:row r="1667">
      <x:c r="A1667" t="n">
        <x:f>1663</x:f>
        <x:v>1663</x:v>
      </x:c>
      <x:c r="B1667" s="7" t="str">
        <x:f>IF(AND('요약'!$B$20,A1667&lt;='요약'!$B$6),NORM.S.INV((A1667-0.5)/'요약'!$B$6),"")</x:f>
      </x:c>
      <x:c r="C1667" s="7" t="str">
        <x:f>IF(AND('요약'!$B$20,A1667&lt;='요약'!$B$6),LARGE('계산'!$B$2:$B$2001,'요약'!$B$6-A1667+1),"")</x:f>
      </x:c>
      <x:c r="D1667" s="7" t="str">
        <x:f>IF(ISNUMBER(B1667),'요약'!$B$7+'요약'!$B$13*B1667,"")</x:f>
      </x:c>
    </x:row>
    <x:row r="1668">
      <x:c r="A1668" t="n">
        <x:f>1664</x:f>
        <x:v>1664</x:v>
      </x:c>
      <x:c r="B1668" s="7" t="str">
        <x:f>IF(AND('요약'!$B$20,A1668&lt;='요약'!$B$6),NORM.S.INV((A1668-0.5)/'요약'!$B$6),"")</x:f>
      </x:c>
      <x:c r="C1668" s="7" t="str">
        <x:f>IF(AND('요약'!$B$20,A1668&lt;='요약'!$B$6),LARGE('계산'!$B$2:$B$2001,'요약'!$B$6-A1668+1),"")</x:f>
      </x:c>
      <x:c r="D1668" s="7" t="str">
        <x:f>IF(ISNUMBER(B1668),'요약'!$B$7+'요약'!$B$13*B1668,"")</x:f>
      </x:c>
    </x:row>
    <x:row r="1669">
      <x:c r="A1669" t="n">
        <x:f>1665</x:f>
        <x:v>1665</x:v>
      </x:c>
      <x:c r="B1669" s="7" t="str">
        <x:f>IF(AND('요약'!$B$20,A1669&lt;='요약'!$B$6),NORM.S.INV((A1669-0.5)/'요약'!$B$6),"")</x:f>
      </x:c>
      <x:c r="C1669" s="7" t="str">
        <x:f>IF(AND('요약'!$B$20,A1669&lt;='요약'!$B$6),LARGE('계산'!$B$2:$B$2001,'요약'!$B$6-A1669+1),"")</x:f>
      </x:c>
      <x:c r="D1669" s="7" t="str">
        <x:f>IF(ISNUMBER(B1669),'요약'!$B$7+'요약'!$B$13*B1669,"")</x:f>
      </x:c>
    </x:row>
    <x:row r="1670">
      <x:c r="A1670" t="n">
        <x:f>1666</x:f>
        <x:v>1666</x:v>
      </x:c>
      <x:c r="B1670" s="7" t="str">
        <x:f>IF(AND('요약'!$B$20,A1670&lt;='요약'!$B$6),NORM.S.INV((A1670-0.5)/'요약'!$B$6),"")</x:f>
      </x:c>
      <x:c r="C1670" s="7" t="str">
        <x:f>IF(AND('요약'!$B$20,A1670&lt;='요약'!$B$6),LARGE('계산'!$B$2:$B$2001,'요약'!$B$6-A1670+1),"")</x:f>
      </x:c>
      <x:c r="D1670" s="7" t="str">
        <x:f>IF(ISNUMBER(B1670),'요약'!$B$7+'요약'!$B$13*B1670,"")</x:f>
      </x:c>
    </x:row>
    <x:row r="1671">
      <x:c r="A1671" t="n">
        <x:f>1667</x:f>
        <x:v>1667</x:v>
      </x:c>
      <x:c r="B1671" s="7" t="str">
        <x:f>IF(AND('요약'!$B$20,A1671&lt;='요약'!$B$6),NORM.S.INV((A1671-0.5)/'요약'!$B$6),"")</x:f>
      </x:c>
      <x:c r="C1671" s="7" t="str">
        <x:f>IF(AND('요약'!$B$20,A1671&lt;='요약'!$B$6),LARGE('계산'!$B$2:$B$2001,'요약'!$B$6-A1671+1),"")</x:f>
      </x:c>
      <x:c r="D1671" s="7" t="str">
        <x:f>IF(ISNUMBER(B1671),'요약'!$B$7+'요약'!$B$13*B1671,"")</x:f>
      </x:c>
    </x:row>
    <x:row r="1672">
      <x:c r="A1672" t="n">
        <x:f>1668</x:f>
        <x:v>1668</x:v>
      </x:c>
      <x:c r="B1672" s="7" t="str">
        <x:f>IF(AND('요약'!$B$20,A1672&lt;='요약'!$B$6),NORM.S.INV((A1672-0.5)/'요약'!$B$6),"")</x:f>
      </x:c>
      <x:c r="C1672" s="7" t="str">
        <x:f>IF(AND('요약'!$B$20,A1672&lt;='요약'!$B$6),LARGE('계산'!$B$2:$B$2001,'요약'!$B$6-A1672+1),"")</x:f>
      </x:c>
      <x:c r="D1672" s="7" t="str">
        <x:f>IF(ISNUMBER(B1672),'요약'!$B$7+'요약'!$B$13*B1672,"")</x:f>
      </x:c>
    </x:row>
    <x:row r="1673">
      <x:c r="A1673" t="n">
        <x:f>1669</x:f>
        <x:v>1669</x:v>
      </x:c>
      <x:c r="B1673" s="7" t="str">
        <x:f>IF(AND('요약'!$B$20,A1673&lt;='요약'!$B$6),NORM.S.INV((A1673-0.5)/'요약'!$B$6),"")</x:f>
      </x:c>
      <x:c r="C1673" s="7" t="str">
        <x:f>IF(AND('요약'!$B$20,A1673&lt;='요약'!$B$6),LARGE('계산'!$B$2:$B$2001,'요약'!$B$6-A1673+1),"")</x:f>
      </x:c>
      <x:c r="D1673" s="7" t="str">
        <x:f>IF(ISNUMBER(B1673),'요약'!$B$7+'요약'!$B$13*B1673,"")</x:f>
      </x:c>
    </x:row>
    <x:row r="1674">
      <x:c r="A1674" t="n">
        <x:f>1670</x:f>
        <x:v>1670</x:v>
      </x:c>
      <x:c r="B1674" s="7" t="str">
        <x:f>IF(AND('요약'!$B$20,A1674&lt;='요약'!$B$6),NORM.S.INV((A1674-0.5)/'요약'!$B$6),"")</x:f>
      </x:c>
      <x:c r="C1674" s="7" t="str">
        <x:f>IF(AND('요약'!$B$20,A1674&lt;='요약'!$B$6),LARGE('계산'!$B$2:$B$2001,'요약'!$B$6-A1674+1),"")</x:f>
      </x:c>
      <x:c r="D1674" s="7" t="str">
        <x:f>IF(ISNUMBER(B1674),'요약'!$B$7+'요약'!$B$13*B1674,"")</x:f>
      </x:c>
    </x:row>
    <x:row r="1675">
      <x:c r="A1675" t="n">
        <x:f>1671</x:f>
        <x:v>1671</x:v>
      </x:c>
      <x:c r="B1675" s="7" t="str">
        <x:f>IF(AND('요약'!$B$20,A1675&lt;='요약'!$B$6),NORM.S.INV((A1675-0.5)/'요약'!$B$6),"")</x:f>
      </x:c>
      <x:c r="C1675" s="7" t="str">
        <x:f>IF(AND('요약'!$B$20,A1675&lt;='요약'!$B$6),LARGE('계산'!$B$2:$B$2001,'요약'!$B$6-A1675+1),"")</x:f>
      </x:c>
      <x:c r="D1675" s="7" t="str">
        <x:f>IF(ISNUMBER(B1675),'요약'!$B$7+'요약'!$B$13*B1675,"")</x:f>
      </x:c>
    </x:row>
    <x:row r="1676">
      <x:c r="A1676" t="n">
        <x:f>1672</x:f>
        <x:v>1672</x:v>
      </x:c>
      <x:c r="B1676" s="7" t="str">
        <x:f>IF(AND('요약'!$B$20,A1676&lt;='요약'!$B$6),NORM.S.INV((A1676-0.5)/'요약'!$B$6),"")</x:f>
      </x:c>
      <x:c r="C1676" s="7" t="str">
        <x:f>IF(AND('요약'!$B$20,A1676&lt;='요약'!$B$6),LARGE('계산'!$B$2:$B$2001,'요약'!$B$6-A1676+1),"")</x:f>
      </x:c>
      <x:c r="D1676" s="7" t="str">
        <x:f>IF(ISNUMBER(B1676),'요약'!$B$7+'요약'!$B$13*B1676,"")</x:f>
      </x:c>
    </x:row>
    <x:row r="1677">
      <x:c r="A1677" t="n">
        <x:f>1673</x:f>
        <x:v>1673</x:v>
      </x:c>
      <x:c r="B1677" s="7" t="str">
        <x:f>IF(AND('요약'!$B$20,A1677&lt;='요약'!$B$6),NORM.S.INV((A1677-0.5)/'요약'!$B$6),"")</x:f>
      </x:c>
      <x:c r="C1677" s="7" t="str">
        <x:f>IF(AND('요약'!$B$20,A1677&lt;='요약'!$B$6),LARGE('계산'!$B$2:$B$2001,'요약'!$B$6-A1677+1),"")</x:f>
      </x:c>
      <x:c r="D1677" s="7" t="str">
        <x:f>IF(ISNUMBER(B1677),'요약'!$B$7+'요약'!$B$13*B1677,"")</x:f>
      </x:c>
    </x:row>
    <x:row r="1678">
      <x:c r="A1678" t="n">
        <x:f>1674</x:f>
        <x:v>1674</x:v>
      </x:c>
      <x:c r="B1678" s="7" t="str">
        <x:f>IF(AND('요약'!$B$20,A1678&lt;='요약'!$B$6),NORM.S.INV((A1678-0.5)/'요약'!$B$6),"")</x:f>
      </x:c>
      <x:c r="C1678" s="7" t="str">
        <x:f>IF(AND('요약'!$B$20,A1678&lt;='요약'!$B$6),LARGE('계산'!$B$2:$B$2001,'요약'!$B$6-A1678+1),"")</x:f>
      </x:c>
      <x:c r="D1678" s="7" t="str">
        <x:f>IF(ISNUMBER(B1678),'요약'!$B$7+'요약'!$B$13*B1678,"")</x:f>
      </x:c>
    </x:row>
    <x:row r="1679">
      <x:c r="A1679" t="n">
        <x:f>1675</x:f>
        <x:v>1675</x:v>
      </x:c>
      <x:c r="B1679" s="7" t="str">
        <x:f>IF(AND('요약'!$B$20,A1679&lt;='요약'!$B$6),NORM.S.INV((A1679-0.5)/'요약'!$B$6),"")</x:f>
      </x:c>
      <x:c r="C1679" s="7" t="str">
        <x:f>IF(AND('요약'!$B$20,A1679&lt;='요약'!$B$6),LARGE('계산'!$B$2:$B$2001,'요약'!$B$6-A1679+1),"")</x:f>
      </x:c>
      <x:c r="D1679" s="7" t="str">
        <x:f>IF(ISNUMBER(B1679),'요약'!$B$7+'요약'!$B$13*B1679,"")</x:f>
      </x:c>
    </x:row>
    <x:row r="1680">
      <x:c r="A1680" t="n">
        <x:f>1676</x:f>
        <x:v>1676</x:v>
      </x:c>
      <x:c r="B1680" s="7" t="str">
        <x:f>IF(AND('요약'!$B$20,A1680&lt;='요약'!$B$6),NORM.S.INV((A1680-0.5)/'요약'!$B$6),"")</x:f>
      </x:c>
      <x:c r="C1680" s="7" t="str">
        <x:f>IF(AND('요약'!$B$20,A1680&lt;='요약'!$B$6),LARGE('계산'!$B$2:$B$2001,'요약'!$B$6-A1680+1),"")</x:f>
      </x:c>
      <x:c r="D1680" s="7" t="str">
        <x:f>IF(ISNUMBER(B1680),'요약'!$B$7+'요약'!$B$13*B1680,"")</x:f>
      </x:c>
    </x:row>
    <x:row r="1681">
      <x:c r="A1681" t="n">
        <x:f>1677</x:f>
        <x:v>1677</x:v>
      </x:c>
      <x:c r="B1681" s="7" t="str">
        <x:f>IF(AND('요약'!$B$20,A1681&lt;='요약'!$B$6),NORM.S.INV((A1681-0.5)/'요약'!$B$6),"")</x:f>
      </x:c>
      <x:c r="C1681" s="7" t="str">
        <x:f>IF(AND('요약'!$B$20,A1681&lt;='요약'!$B$6),LARGE('계산'!$B$2:$B$2001,'요약'!$B$6-A1681+1),"")</x:f>
      </x:c>
      <x:c r="D1681" s="7" t="str">
        <x:f>IF(ISNUMBER(B1681),'요약'!$B$7+'요약'!$B$13*B1681,"")</x:f>
      </x:c>
    </x:row>
    <x:row r="1682">
      <x:c r="A1682" t="n">
        <x:f>1678</x:f>
        <x:v>1678</x:v>
      </x:c>
      <x:c r="B1682" s="7" t="str">
        <x:f>IF(AND('요약'!$B$20,A1682&lt;='요약'!$B$6),NORM.S.INV((A1682-0.5)/'요약'!$B$6),"")</x:f>
      </x:c>
      <x:c r="C1682" s="7" t="str">
        <x:f>IF(AND('요약'!$B$20,A1682&lt;='요약'!$B$6),LARGE('계산'!$B$2:$B$2001,'요약'!$B$6-A1682+1),"")</x:f>
      </x:c>
      <x:c r="D1682" s="7" t="str">
        <x:f>IF(ISNUMBER(B1682),'요약'!$B$7+'요약'!$B$13*B1682,"")</x:f>
      </x:c>
    </x:row>
    <x:row r="1683">
      <x:c r="A1683" t="n">
        <x:f>1679</x:f>
        <x:v>1679</x:v>
      </x:c>
      <x:c r="B1683" s="7" t="str">
        <x:f>IF(AND('요약'!$B$20,A1683&lt;='요약'!$B$6),NORM.S.INV((A1683-0.5)/'요약'!$B$6),"")</x:f>
      </x:c>
      <x:c r="C1683" s="7" t="str">
        <x:f>IF(AND('요약'!$B$20,A1683&lt;='요약'!$B$6),LARGE('계산'!$B$2:$B$2001,'요약'!$B$6-A1683+1),"")</x:f>
      </x:c>
      <x:c r="D1683" s="7" t="str">
        <x:f>IF(ISNUMBER(B1683),'요약'!$B$7+'요약'!$B$13*B1683,"")</x:f>
      </x:c>
    </x:row>
    <x:row r="1684">
      <x:c r="A1684" t="n">
        <x:f>1680</x:f>
        <x:v>1680</x:v>
      </x:c>
      <x:c r="B1684" s="7" t="str">
        <x:f>IF(AND('요약'!$B$20,A1684&lt;='요약'!$B$6),NORM.S.INV((A1684-0.5)/'요약'!$B$6),"")</x:f>
      </x:c>
      <x:c r="C1684" s="7" t="str">
        <x:f>IF(AND('요약'!$B$20,A1684&lt;='요약'!$B$6),LARGE('계산'!$B$2:$B$2001,'요약'!$B$6-A1684+1),"")</x:f>
      </x:c>
      <x:c r="D1684" s="7" t="str">
        <x:f>IF(ISNUMBER(B1684),'요약'!$B$7+'요약'!$B$13*B1684,"")</x:f>
      </x:c>
    </x:row>
    <x:row r="1685">
      <x:c r="A1685" t="n">
        <x:f>1681</x:f>
        <x:v>1681</x:v>
      </x:c>
      <x:c r="B1685" s="7" t="str">
        <x:f>IF(AND('요약'!$B$20,A1685&lt;='요약'!$B$6),NORM.S.INV((A1685-0.5)/'요약'!$B$6),"")</x:f>
      </x:c>
      <x:c r="C1685" s="7" t="str">
        <x:f>IF(AND('요약'!$B$20,A1685&lt;='요약'!$B$6),LARGE('계산'!$B$2:$B$2001,'요약'!$B$6-A1685+1),"")</x:f>
      </x:c>
      <x:c r="D1685" s="7" t="str">
        <x:f>IF(ISNUMBER(B1685),'요약'!$B$7+'요약'!$B$13*B1685,"")</x:f>
      </x:c>
    </x:row>
    <x:row r="1686">
      <x:c r="A1686" t="n">
        <x:f>1682</x:f>
        <x:v>1682</x:v>
      </x:c>
      <x:c r="B1686" s="7" t="str">
        <x:f>IF(AND('요약'!$B$20,A1686&lt;='요약'!$B$6),NORM.S.INV((A1686-0.5)/'요약'!$B$6),"")</x:f>
      </x:c>
      <x:c r="C1686" s="7" t="str">
        <x:f>IF(AND('요약'!$B$20,A1686&lt;='요약'!$B$6),LARGE('계산'!$B$2:$B$2001,'요약'!$B$6-A1686+1),"")</x:f>
      </x:c>
      <x:c r="D1686" s="7" t="str">
        <x:f>IF(ISNUMBER(B1686),'요약'!$B$7+'요약'!$B$13*B1686,"")</x:f>
      </x:c>
    </x:row>
    <x:row r="1687">
      <x:c r="A1687" t="n">
        <x:f>1683</x:f>
        <x:v>1683</x:v>
      </x:c>
      <x:c r="B1687" s="7" t="str">
        <x:f>IF(AND('요약'!$B$20,A1687&lt;='요약'!$B$6),NORM.S.INV((A1687-0.5)/'요약'!$B$6),"")</x:f>
      </x:c>
      <x:c r="C1687" s="7" t="str">
        <x:f>IF(AND('요약'!$B$20,A1687&lt;='요약'!$B$6),LARGE('계산'!$B$2:$B$2001,'요약'!$B$6-A1687+1),"")</x:f>
      </x:c>
      <x:c r="D1687" s="7" t="str">
        <x:f>IF(ISNUMBER(B1687),'요약'!$B$7+'요약'!$B$13*B1687,"")</x:f>
      </x:c>
    </x:row>
    <x:row r="1688">
      <x:c r="A1688" t="n">
        <x:f>1684</x:f>
        <x:v>1684</x:v>
      </x:c>
      <x:c r="B1688" s="7" t="str">
        <x:f>IF(AND('요약'!$B$20,A1688&lt;='요약'!$B$6),NORM.S.INV((A1688-0.5)/'요약'!$B$6),"")</x:f>
      </x:c>
      <x:c r="C1688" s="7" t="str">
        <x:f>IF(AND('요약'!$B$20,A1688&lt;='요약'!$B$6),LARGE('계산'!$B$2:$B$2001,'요약'!$B$6-A1688+1),"")</x:f>
      </x:c>
      <x:c r="D1688" s="7" t="str">
        <x:f>IF(ISNUMBER(B1688),'요약'!$B$7+'요약'!$B$13*B1688,"")</x:f>
      </x:c>
    </x:row>
    <x:row r="1689">
      <x:c r="A1689" t="n">
        <x:f>1685</x:f>
        <x:v>1685</x:v>
      </x:c>
      <x:c r="B1689" s="7" t="str">
        <x:f>IF(AND('요약'!$B$20,A1689&lt;='요약'!$B$6),NORM.S.INV((A1689-0.5)/'요약'!$B$6),"")</x:f>
      </x:c>
      <x:c r="C1689" s="7" t="str">
        <x:f>IF(AND('요약'!$B$20,A1689&lt;='요약'!$B$6),LARGE('계산'!$B$2:$B$2001,'요약'!$B$6-A1689+1),"")</x:f>
      </x:c>
      <x:c r="D1689" s="7" t="str">
        <x:f>IF(ISNUMBER(B1689),'요약'!$B$7+'요약'!$B$13*B1689,"")</x:f>
      </x:c>
    </x:row>
    <x:row r="1690">
      <x:c r="A1690" t="n">
        <x:f>1686</x:f>
        <x:v>1686</x:v>
      </x:c>
      <x:c r="B1690" s="7" t="str">
        <x:f>IF(AND('요약'!$B$20,A1690&lt;='요약'!$B$6),NORM.S.INV((A1690-0.5)/'요약'!$B$6),"")</x:f>
      </x:c>
      <x:c r="C1690" s="7" t="str">
        <x:f>IF(AND('요약'!$B$20,A1690&lt;='요약'!$B$6),LARGE('계산'!$B$2:$B$2001,'요약'!$B$6-A1690+1),"")</x:f>
      </x:c>
      <x:c r="D1690" s="7" t="str">
        <x:f>IF(ISNUMBER(B1690),'요약'!$B$7+'요약'!$B$13*B1690,"")</x:f>
      </x:c>
    </x:row>
    <x:row r="1691">
      <x:c r="A1691" t="n">
        <x:f>1687</x:f>
        <x:v>1687</x:v>
      </x:c>
      <x:c r="B1691" s="7" t="str">
        <x:f>IF(AND('요약'!$B$20,A1691&lt;='요약'!$B$6),NORM.S.INV((A1691-0.5)/'요약'!$B$6),"")</x:f>
      </x:c>
      <x:c r="C1691" s="7" t="str">
        <x:f>IF(AND('요약'!$B$20,A1691&lt;='요약'!$B$6),LARGE('계산'!$B$2:$B$2001,'요약'!$B$6-A1691+1),"")</x:f>
      </x:c>
      <x:c r="D1691" s="7" t="str">
        <x:f>IF(ISNUMBER(B1691),'요약'!$B$7+'요약'!$B$13*B1691,"")</x:f>
      </x:c>
    </x:row>
    <x:row r="1692">
      <x:c r="A1692" t="n">
        <x:f>1688</x:f>
        <x:v>1688</x:v>
      </x:c>
      <x:c r="B1692" s="7" t="str">
        <x:f>IF(AND('요약'!$B$20,A1692&lt;='요약'!$B$6),NORM.S.INV((A1692-0.5)/'요약'!$B$6),"")</x:f>
      </x:c>
      <x:c r="C1692" s="7" t="str">
        <x:f>IF(AND('요약'!$B$20,A1692&lt;='요약'!$B$6),LARGE('계산'!$B$2:$B$2001,'요약'!$B$6-A1692+1),"")</x:f>
      </x:c>
      <x:c r="D1692" s="7" t="str">
        <x:f>IF(ISNUMBER(B1692),'요약'!$B$7+'요약'!$B$13*B1692,"")</x:f>
      </x:c>
    </x:row>
    <x:row r="1693">
      <x:c r="A1693" t="n">
        <x:f>1689</x:f>
        <x:v>1689</x:v>
      </x:c>
      <x:c r="B1693" s="7" t="str">
        <x:f>IF(AND('요약'!$B$20,A1693&lt;='요약'!$B$6),NORM.S.INV((A1693-0.5)/'요약'!$B$6),"")</x:f>
      </x:c>
      <x:c r="C1693" s="7" t="str">
        <x:f>IF(AND('요약'!$B$20,A1693&lt;='요약'!$B$6),LARGE('계산'!$B$2:$B$2001,'요약'!$B$6-A1693+1),"")</x:f>
      </x:c>
      <x:c r="D1693" s="7" t="str">
        <x:f>IF(ISNUMBER(B1693),'요약'!$B$7+'요약'!$B$13*B1693,"")</x:f>
      </x:c>
    </x:row>
    <x:row r="1694">
      <x:c r="A1694" t="n">
        <x:f>1690</x:f>
        <x:v>1690</x:v>
      </x:c>
      <x:c r="B1694" s="7" t="str">
        <x:f>IF(AND('요약'!$B$20,A1694&lt;='요약'!$B$6),NORM.S.INV((A1694-0.5)/'요약'!$B$6),"")</x:f>
      </x:c>
      <x:c r="C1694" s="7" t="str">
        <x:f>IF(AND('요약'!$B$20,A1694&lt;='요약'!$B$6),LARGE('계산'!$B$2:$B$2001,'요약'!$B$6-A1694+1),"")</x:f>
      </x:c>
      <x:c r="D1694" s="7" t="str">
        <x:f>IF(ISNUMBER(B1694),'요약'!$B$7+'요약'!$B$13*B1694,"")</x:f>
      </x:c>
    </x:row>
    <x:row r="1695">
      <x:c r="A1695" t="n">
        <x:f>1691</x:f>
        <x:v>1691</x:v>
      </x:c>
      <x:c r="B1695" s="7" t="str">
        <x:f>IF(AND('요약'!$B$20,A1695&lt;='요약'!$B$6),NORM.S.INV((A1695-0.5)/'요약'!$B$6),"")</x:f>
      </x:c>
      <x:c r="C1695" s="7" t="str">
        <x:f>IF(AND('요약'!$B$20,A1695&lt;='요약'!$B$6),LARGE('계산'!$B$2:$B$2001,'요약'!$B$6-A1695+1),"")</x:f>
      </x:c>
      <x:c r="D1695" s="7" t="str">
        <x:f>IF(ISNUMBER(B1695),'요약'!$B$7+'요약'!$B$13*B1695,"")</x:f>
      </x:c>
    </x:row>
    <x:row r="1696">
      <x:c r="A1696" t="n">
        <x:f>1692</x:f>
        <x:v>1692</x:v>
      </x:c>
      <x:c r="B1696" s="7" t="str">
        <x:f>IF(AND('요약'!$B$20,A1696&lt;='요약'!$B$6),NORM.S.INV((A1696-0.5)/'요약'!$B$6),"")</x:f>
      </x:c>
      <x:c r="C1696" s="7" t="str">
        <x:f>IF(AND('요약'!$B$20,A1696&lt;='요약'!$B$6),LARGE('계산'!$B$2:$B$2001,'요약'!$B$6-A1696+1),"")</x:f>
      </x:c>
      <x:c r="D1696" s="7" t="str">
        <x:f>IF(ISNUMBER(B1696),'요약'!$B$7+'요약'!$B$13*B1696,"")</x:f>
      </x:c>
    </x:row>
    <x:row r="1697">
      <x:c r="A1697" t="n">
        <x:f>1693</x:f>
        <x:v>1693</x:v>
      </x:c>
      <x:c r="B1697" s="7" t="str">
        <x:f>IF(AND('요약'!$B$20,A1697&lt;='요약'!$B$6),NORM.S.INV((A1697-0.5)/'요약'!$B$6),"")</x:f>
      </x:c>
      <x:c r="C1697" s="7" t="str">
        <x:f>IF(AND('요약'!$B$20,A1697&lt;='요약'!$B$6),LARGE('계산'!$B$2:$B$2001,'요약'!$B$6-A1697+1),"")</x:f>
      </x:c>
      <x:c r="D1697" s="7" t="str">
        <x:f>IF(ISNUMBER(B1697),'요약'!$B$7+'요약'!$B$13*B1697,"")</x:f>
      </x:c>
    </x:row>
    <x:row r="1698">
      <x:c r="A1698" t="n">
        <x:f>1694</x:f>
        <x:v>1694</x:v>
      </x:c>
      <x:c r="B1698" s="7" t="str">
        <x:f>IF(AND('요약'!$B$20,A1698&lt;='요약'!$B$6),NORM.S.INV((A1698-0.5)/'요약'!$B$6),"")</x:f>
      </x:c>
      <x:c r="C1698" s="7" t="str">
        <x:f>IF(AND('요약'!$B$20,A1698&lt;='요약'!$B$6),LARGE('계산'!$B$2:$B$2001,'요약'!$B$6-A1698+1),"")</x:f>
      </x:c>
      <x:c r="D1698" s="7" t="str">
        <x:f>IF(ISNUMBER(B1698),'요약'!$B$7+'요약'!$B$13*B1698,"")</x:f>
      </x:c>
    </x:row>
    <x:row r="1699">
      <x:c r="A1699" t="n">
        <x:f>1695</x:f>
        <x:v>1695</x:v>
      </x:c>
      <x:c r="B1699" s="7" t="str">
        <x:f>IF(AND('요약'!$B$20,A1699&lt;='요약'!$B$6),NORM.S.INV((A1699-0.5)/'요약'!$B$6),"")</x:f>
      </x:c>
      <x:c r="C1699" s="7" t="str">
        <x:f>IF(AND('요약'!$B$20,A1699&lt;='요약'!$B$6),LARGE('계산'!$B$2:$B$2001,'요약'!$B$6-A1699+1),"")</x:f>
      </x:c>
      <x:c r="D1699" s="7" t="str">
        <x:f>IF(ISNUMBER(B1699),'요약'!$B$7+'요약'!$B$13*B1699,"")</x:f>
      </x:c>
    </x:row>
    <x:row r="1700">
      <x:c r="A1700" t="n">
        <x:f>1696</x:f>
        <x:v>1696</x:v>
      </x:c>
      <x:c r="B1700" s="7" t="str">
        <x:f>IF(AND('요약'!$B$20,A1700&lt;='요약'!$B$6),NORM.S.INV((A1700-0.5)/'요약'!$B$6),"")</x:f>
      </x:c>
      <x:c r="C1700" s="7" t="str">
        <x:f>IF(AND('요약'!$B$20,A1700&lt;='요약'!$B$6),LARGE('계산'!$B$2:$B$2001,'요약'!$B$6-A1700+1),"")</x:f>
      </x:c>
      <x:c r="D1700" s="7" t="str">
        <x:f>IF(ISNUMBER(B1700),'요약'!$B$7+'요약'!$B$13*B1700,"")</x:f>
      </x:c>
    </x:row>
    <x:row r="1701">
      <x:c r="A1701" t="n">
        <x:f>1697</x:f>
        <x:v>1697</x:v>
      </x:c>
      <x:c r="B1701" s="7" t="str">
        <x:f>IF(AND('요약'!$B$20,A1701&lt;='요약'!$B$6),NORM.S.INV((A1701-0.5)/'요약'!$B$6),"")</x:f>
      </x:c>
      <x:c r="C1701" s="7" t="str">
        <x:f>IF(AND('요약'!$B$20,A1701&lt;='요약'!$B$6),LARGE('계산'!$B$2:$B$2001,'요약'!$B$6-A1701+1),"")</x:f>
      </x:c>
      <x:c r="D1701" s="7" t="str">
        <x:f>IF(ISNUMBER(B1701),'요약'!$B$7+'요약'!$B$13*B1701,"")</x:f>
      </x:c>
    </x:row>
    <x:row r="1702">
      <x:c r="A1702" t="n">
        <x:f>1698</x:f>
        <x:v>1698</x:v>
      </x:c>
      <x:c r="B1702" s="7" t="str">
        <x:f>IF(AND('요약'!$B$20,A1702&lt;='요약'!$B$6),NORM.S.INV((A1702-0.5)/'요약'!$B$6),"")</x:f>
      </x:c>
      <x:c r="C1702" s="7" t="str">
        <x:f>IF(AND('요약'!$B$20,A1702&lt;='요약'!$B$6),LARGE('계산'!$B$2:$B$2001,'요약'!$B$6-A1702+1),"")</x:f>
      </x:c>
      <x:c r="D1702" s="7" t="str">
        <x:f>IF(ISNUMBER(B1702),'요약'!$B$7+'요약'!$B$13*B1702,"")</x:f>
      </x:c>
    </x:row>
    <x:row r="1703">
      <x:c r="A1703" t="n">
        <x:f>1699</x:f>
        <x:v>1699</x:v>
      </x:c>
      <x:c r="B1703" s="7" t="str">
        <x:f>IF(AND('요약'!$B$20,A1703&lt;='요약'!$B$6),NORM.S.INV((A1703-0.5)/'요약'!$B$6),"")</x:f>
      </x:c>
      <x:c r="C1703" s="7" t="str">
        <x:f>IF(AND('요약'!$B$20,A1703&lt;='요약'!$B$6),LARGE('계산'!$B$2:$B$2001,'요약'!$B$6-A1703+1),"")</x:f>
      </x:c>
      <x:c r="D1703" s="7" t="str">
        <x:f>IF(ISNUMBER(B1703),'요약'!$B$7+'요약'!$B$13*B1703,"")</x:f>
      </x:c>
    </x:row>
    <x:row r="1704">
      <x:c r="A1704" t="n">
        <x:f>1700</x:f>
        <x:v>1700</x:v>
      </x:c>
      <x:c r="B1704" s="7" t="str">
        <x:f>IF(AND('요약'!$B$20,A1704&lt;='요약'!$B$6),NORM.S.INV((A1704-0.5)/'요약'!$B$6),"")</x:f>
      </x:c>
      <x:c r="C1704" s="7" t="str">
        <x:f>IF(AND('요약'!$B$20,A1704&lt;='요약'!$B$6),LARGE('계산'!$B$2:$B$2001,'요약'!$B$6-A1704+1),"")</x:f>
      </x:c>
      <x:c r="D1704" s="7" t="str">
        <x:f>IF(ISNUMBER(B1704),'요약'!$B$7+'요약'!$B$13*B1704,"")</x:f>
      </x:c>
    </x:row>
    <x:row r="1705">
      <x:c r="A1705" t="n">
        <x:f>1701</x:f>
        <x:v>1701</x:v>
      </x:c>
      <x:c r="B1705" s="7" t="str">
        <x:f>IF(AND('요약'!$B$20,A1705&lt;='요약'!$B$6),NORM.S.INV((A1705-0.5)/'요약'!$B$6),"")</x:f>
      </x:c>
      <x:c r="C1705" s="7" t="str">
        <x:f>IF(AND('요약'!$B$20,A1705&lt;='요약'!$B$6),LARGE('계산'!$B$2:$B$2001,'요약'!$B$6-A1705+1),"")</x:f>
      </x:c>
      <x:c r="D1705" s="7" t="str">
        <x:f>IF(ISNUMBER(B1705),'요약'!$B$7+'요약'!$B$13*B1705,"")</x:f>
      </x:c>
    </x:row>
    <x:row r="1706">
      <x:c r="A1706" t="n">
        <x:f>1702</x:f>
        <x:v>1702</x:v>
      </x:c>
      <x:c r="B1706" s="7" t="str">
        <x:f>IF(AND('요약'!$B$20,A1706&lt;='요약'!$B$6),NORM.S.INV((A1706-0.5)/'요약'!$B$6),"")</x:f>
      </x:c>
      <x:c r="C1706" s="7" t="str">
        <x:f>IF(AND('요약'!$B$20,A1706&lt;='요약'!$B$6),LARGE('계산'!$B$2:$B$2001,'요약'!$B$6-A1706+1),"")</x:f>
      </x:c>
      <x:c r="D1706" s="7" t="str">
        <x:f>IF(ISNUMBER(B1706),'요약'!$B$7+'요약'!$B$13*B1706,"")</x:f>
      </x:c>
    </x:row>
    <x:row r="1707">
      <x:c r="A1707" t="n">
        <x:f>1703</x:f>
        <x:v>1703</x:v>
      </x:c>
      <x:c r="B1707" s="7" t="str">
        <x:f>IF(AND('요약'!$B$20,A1707&lt;='요약'!$B$6),NORM.S.INV((A1707-0.5)/'요약'!$B$6),"")</x:f>
      </x:c>
      <x:c r="C1707" s="7" t="str">
        <x:f>IF(AND('요약'!$B$20,A1707&lt;='요약'!$B$6),LARGE('계산'!$B$2:$B$2001,'요약'!$B$6-A1707+1),"")</x:f>
      </x:c>
      <x:c r="D1707" s="7" t="str">
        <x:f>IF(ISNUMBER(B1707),'요약'!$B$7+'요약'!$B$13*B1707,"")</x:f>
      </x:c>
    </x:row>
    <x:row r="1708">
      <x:c r="A1708" t="n">
        <x:f>1704</x:f>
        <x:v>1704</x:v>
      </x:c>
      <x:c r="B1708" s="7" t="str">
        <x:f>IF(AND('요약'!$B$20,A1708&lt;='요약'!$B$6),NORM.S.INV((A1708-0.5)/'요약'!$B$6),"")</x:f>
      </x:c>
      <x:c r="C1708" s="7" t="str">
        <x:f>IF(AND('요약'!$B$20,A1708&lt;='요약'!$B$6),LARGE('계산'!$B$2:$B$2001,'요약'!$B$6-A1708+1),"")</x:f>
      </x:c>
      <x:c r="D1708" s="7" t="str">
        <x:f>IF(ISNUMBER(B1708),'요약'!$B$7+'요약'!$B$13*B1708,"")</x:f>
      </x:c>
    </x:row>
    <x:row r="1709">
      <x:c r="A1709" t="n">
        <x:f>1705</x:f>
        <x:v>1705</x:v>
      </x:c>
      <x:c r="B1709" s="7" t="str">
        <x:f>IF(AND('요약'!$B$20,A1709&lt;='요약'!$B$6),NORM.S.INV((A1709-0.5)/'요약'!$B$6),"")</x:f>
      </x:c>
      <x:c r="C1709" s="7" t="str">
        <x:f>IF(AND('요약'!$B$20,A1709&lt;='요약'!$B$6),LARGE('계산'!$B$2:$B$2001,'요약'!$B$6-A1709+1),"")</x:f>
      </x:c>
      <x:c r="D1709" s="7" t="str">
        <x:f>IF(ISNUMBER(B1709),'요약'!$B$7+'요약'!$B$13*B1709,"")</x:f>
      </x:c>
    </x:row>
    <x:row r="1710">
      <x:c r="A1710" t="n">
        <x:f>1706</x:f>
        <x:v>1706</x:v>
      </x:c>
      <x:c r="B1710" s="7" t="str">
        <x:f>IF(AND('요약'!$B$20,A1710&lt;='요약'!$B$6),NORM.S.INV((A1710-0.5)/'요약'!$B$6),"")</x:f>
      </x:c>
      <x:c r="C1710" s="7" t="str">
        <x:f>IF(AND('요약'!$B$20,A1710&lt;='요약'!$B$6),LARGE('계산'!$B$2:$B$2001,'요약'!$B$6-A1710+1),"")</x:f>
      </x:c>
      <x:c r="D1710" s="7" t="str">
        <x:f>IF(ISNUMBER(B1710),'요약'!$B$7+'요약'!$B$13*B1710,"")</x:f>
      </x:c>
    </x:row>
    <x:row r="1711">
      <x:c r="A1711" t="n">
        <x:f>1707</x:f>
        <x:v>1707</x:v>
      </x:c>
      <x:c r="B1711" s="7" t="str">
        <x:f>IF(AND('요약'!$B$20,A1711&lt;='요약'!$B$6),NORM.S.INV((A1711-0.5)/'요약'!$B$6),"")</x:f>
      </x:c>
      <x:c r="C1711" s="7" t="str">
        <x:f>IF(AND('요약'!$B$20,A1711&lt;='요약'!$B$6),LARGE('계산'!$B$2:$B$2001,'요약'!$B$6-A1711+1),"")</x:f>
      </x:c>
      <x:c r="D1711" s="7" t="str">
        <x:f>IF(ISNUMBER(B1711),'요약'!$B$7+'요약'!$B$13*B1711,"")</x:f>
      </x:c>
    </x:row>
    <x:row r="1712">
      <x:c r="A1712" t="n">
        <x:f>1708</x:f>
        <x:v>1708</x:v>
      </x:c>
      <x:c r="B1712" s="7" t="str">
        <x:f>IF(AND('요약'!$B$20,A1712&lt;='요약'!$B$6),NORM.S.INV((A1712-0.5)/'요약'!$B$6),"")</x:f>
      </x:c>
      <x:c r="C1712" s="7" t="str">
        <x:f>IF(AND('요약'!$B$20,A1712&lt;='요약'!$B$6),LARGE('계산'!$B$2:$B$2001,'요약'!$B$6-A1712+1),"")</x:f>
      </x:c>
      <x:c r="D1712" s="7" t="str">
        <x:f>IF(ISNUMBER(B1712),'요약'!$B$7+'요약'!$B$13*B1712,"")</x:f>
      </x:c>
    </x:row>
    <x:row r="1713">
      <x:c r="A1713" t="n">
        <x:f>1709</x:f>
        <x:v>1709</x:v>
      </x:c>
      <x:c r="B1713" s="7" t="str">
        <x:f>IF(AND('요약'!$B$20,A1713&lt;='요약'!$B$6),NORM.S.INV((A1713-0.5)/'요약'!$B$6),"")</x:f>
      </x:c>
      <x:c r="C1713" s="7" t="str">
        <x:f>IF(AND('요약'!$B$20,A1713&lt;='요약'!$B$6),LARGE('계산'!$B$2:$B$2001,'요약'!$B$6-A1713+1),"")</x:f>
      </x:c>
      <x:c r="D1713" s="7" t="str">
        <x:f>IF(ISNUMBER(B1713),'요약'!$B$7+'요약'!$B$13*B1713,"")</x:f>
      </x:c>
    </x:row>
    <x:row r="1714">
      <x:c r="A1714" t="n">
        <x:f>1710</x:f>
        <x:v>1710</x:v>
      </x:c>
      <x:c r="B1714" s="7" t="str">
        <x:f>IF(AND('요약'!$B$20,A1714&lt;='요약'!$B$6),NORM.S.INV((A1714-0.5)/'요약'!$B$6),"")</x:f>
      </x:c>
      <x:c r="C1714" s="7" t="str">
        <x:f>IF(AND('요약'!$B$20,A1714&lt;='요약'!$B$6),LARGE('계산'!$B$2:$B$2001,'요약'!$B$6-A1714+1),"")</x:f>
      </x:c>
      <x:c r="D1714" s="7" t="str">
        <x:f>IF(ISNUMBER(B1714),'요약'!$B$7+'요약'!$B$13*B1714,"")</x:f>
      </x:c>
    </x:row>
    <x:row r="1715">
      <x:c r="A1715" t="n">
        <x:f>1711</x:f>
        <x:v>1711</x:v>
      </x:c>
      <x:c r="B1715" s="7" t="str">
        <x:f>IF(AND('요약'!$B$20,A1715&lt;='요약'!$B$6),NORM.S.INV((A1715-0.5)/'요약'!$B$6),"")</x:f>
      </x:c>
      <x:c r="C1715" s="7" t="str">
        <x:f>IF(AND('요약'!$B$20,A1715&lt;='요약'!$B$6),LARGE('계산'!$B$2:$B$2001,'요약'!$B$6-A1715+1),"")</x:f>
      </x:c>
      <x:c r="D1715" s="7" t="str">
        <x:f>IF(ISNUMBER(B1715),'요약'!$B$7+'요약'!$B$13*B1715,"")</x:f>
      </x:c>
    </x:row>
    <x:row r="1716">
      <x:c r="A1716" t="n">
        <x:f>1712</x:f>
        <x:v>1712</x:v>
      </x:c>
      <x:c r="B1716" s="7" t="str">
        <x:f>IF(AND('요약'!$B$20,A1716&lt;='요약'!$B$6),NORM.S.INV((A1716-0.5)/'요약'!$B$6),"")</x:f>
      </x:c>
      <x:c r="C1716" s="7" t="str">
        <x:f>IF(AND('요약'!$B$20,A1716&lt;='요약'!$B$6),LARGE('계산'!$B$2:$B$2001,'요약'!$B$6-A1716+1),"")</x:f>
      </x:c>
      <x:c r="D1716" s="7" t="str">
        <x:f>IF(ISNUMBER(B1716),'요약'!$B$7+'요약'!$B$13*B1716,"")</x:f>
      </x:c>
    </x:row>
    <x:row r="1717">
      <x:c r="A1717" t="n">
        <x:f>1713</x:f>
        <x:v>1713</x:v>
      </x:c>
      <x:c r="B1717" s="7" t="str">
        <x:f>IF(AND('요약'!$B$20,A1717&lt;='요약'!$B$6),NORM.S.INV((A1717-0.5)/'요약'!$B$6),"")</x:f>
      </x:c>
      <x:c r="C1717" s="7" t="str">
        <x:f>IF(AND('요약'!$B$20,A1717&lt;='요약'!$B$6),LARGE('계산'!$B$2:$B$2001,'요약'!$B$6-A1717+1),"")</x:f>
      </x:c>
      <x:c r="D1717" s="7" t="str">
        <x:f>IF(ISNUMBER(B1717),'요약'!$B$7+'요약'!$B$13*B1717,"")</x:f>
      </x:c>
    </x:row>
    <x:row r="1718">
      <x:c r="A1718" t="n">
        <x:f>1714</x:f>
        <x:v>1714</x:v>
      </x:c>
      <x:c r="B1718" s="7" t="str">
        <x:f>IF(AND('요약'!$B$20,A1718&lt;='요약'!$B$6),NORM.S.INV((A1718-0.5)/'요약'!$B$6),"")</x:f>
      </x:c>
      <x:c r="C1718" s="7" t="str">
        <x:f>IF(AND('요약'!$B$20,A1718&lt;='요약'!$B$6),LARGE('계산'!$B$2:$B$2001,'요약'!$B$6-A1718+1),"")</x:f>
      </x:c>
      <x:c r="D1718" s="7" t="str">
        <x:f>IF(ISNUMBER(B1718),'요약'!$B$7+'요약'!$B$13*B1718,"")</x:f>
      </x:c>
    </x:row>
    <x:row r="1719">
      <x:c r="A1719" t="n">
        <x:f>1715</x:f>
        <x:v>1715</x:v>
      </x:c>
      <x:c r="B1719" s="7" t="str">
        <x:f>IF(AND('요약'!$B$20,A1719&lt;='요약'!$B$6),NORM.S.INV((A1719-0.5)/'요약'!$B$6),"")</x:f>
      </x:c>
      <x:c r="C1719" s="7" t="str">
        <x:f>IF(AND('요약'!$B$20,A1719&lt;='요약'!$B$6),LARGE('계산'!$B$2:$B$2001,'요약'!$B$6-A1719+1),"")</x:f>
      </x:c>
      <x:c r="D1719" s="7" t="str">
        <x:f>IF(ISNUMBER(B1719),'요약'!$B$7+'요약'!$B$13*B1719,"")</x:f>
      </x:c>
    </x:row>
    <x:row r="1720">
      <x:c r="A1720" t="n">
        <x:f>1716</x:f>
        <x:v>1716</x:v>
      </x:c>
      <x:c r="B1720" s="7" t="str">
        <x:f>IF(AND('요약'!$B$20,A1720&lt;='요약'!$B$6),NORM.S.INV((A1720-0.5)/'요약'!$B$6),"")</x:f>
      </x:c>
      <x:c r="C1720" s="7" t="str">
        <x:f>IF(AND('요약'!$B$20,A1720&lt;='요약'!$B$6),LARGE('계산'!$B$2:$B$2001,'요약'!$B$6-A1720+1),"")</x:f>
      </x:c>
      <x:c r="D1720" s="7" t="str">
        <x:f>IF(ISNUMBER(B1720),'요약'!$B$7+'요약'!$B$13*B1720,"")</x:f>
      </x:c>
    </x:row>
    <x:row r="1721">
      <x:c r="A1721" t="n">
        <x:f>1717</x:f>
        <x:v>1717</x:v>
      </x:c>
      <x:c r="B1721" s="7" t="str">
        <x:f>IF(AND('요약'!$B$20,A1721&lt;='요약'!$B$6),NORM.S.INV((A1721-0.5)/'요약'!$B$6),"")</x:f>
      </x:c>
      <x:c r="C1721" s="7" t="str">
        <x:f>IF(AND('요약'!$B$20,A1721&lt;='요약'!$B$6),LARGE('계산'!$B$2:$B$2001,'요약'!$B$6-A1721+1),"")</x:f>
      </x:c>
      <x:c r="D1721" s="7" t="str">
        <x:f>IF(ISNUMBER(B1721),'요약'!$B$7+'요약'!$B$13*B1721,"")</x:f>
      </x:c>
    </x:row>
    <x:row r="1722">
      <x:c r="A1722" t="n">
        <x:f>1718</x:f>
        <x:v>1718</x:v>
      </x:c>
      <x:c r="B1722" s="7" t="str">
        <x:f>IF(AND('요약'!$B$20,A1722&lt;='요약'!$B$6),NORM.S.INV((A1722-0.5)/'요약'!$B$6),"")</x:f>
      </x:c>
      <x:c r="C1722" s="7" t="str">
        <x:f>IF(AND('요약'!$B$20,A1722&lt;='요약'!$B$6),LARGE('계산'!$B$2:$B$2001,'요약'!$B$6-A1722+1),"")</x:f>
      </x:c>
      <x:c r="D1722" s="7" t="str">
        <x:f>IF(ISNUMBER(B1722),'요약'!$B$7+'요약'!$B$13*B1722,"")</x:f>
      </x:c>
    </x:row>
    <x:row r="1723">
      <x:c r="A1723" t="n">
        <x:f>1719</x:f>
        <x:v>1719</x:v>
      </x:c>
      <x:c r="B1723" s="7" t="str">
        <x:f>IF(AND('요약'!$B$20,A1723&lt;='요약'!$B$6),NORM.S.INV((A1723-0.5)/'요약'!$B$6),"")</x:f>
      </x:c>
      <x:c r="C1723" s="7" t="str">
        <x:f>IF(AND('요약'!$B$20,A1723&lt;='요약'!$B$6),LARGE('계산'!$B$2:$B$2001,'요약'!$B$6-A1723+1),"")</x:f>
      </x:c>
      <x:c r="D1723" s="7" t="str">
        <x:f>IF(ISNUMBER(B1723),'요약'!$B$7+'요약'!$B$13*B1723,"")</x:f>
      </x:c>
    </x:row>
    <x:row r="1724">
      <x:c r="A1724" t="n">
        <x:f>1720</x:f>
        <x:v>1720</x:v>
      </x:c>
      <x:c r="B1724" s="7" t="str">
        <x:f>IF(AND('요약'!$B$20,A1724&lt;='요약'!$B$6),NORM.S.INV((A1724-0.5)/'요약'!$B$6),"")</x:f>
      </x:c>
      <x:c r="C1724" s="7" t="str">
        <x:f>IF(AND('요약'!$B$20,A1724&lt;='요약'!$B$6),LARGE('계산'!$B$2:$B$2001,'요약'!$B$6-A1724+1),"")</x:f>
      </x:c>
      <x:c r="D1724" s="7" t="str">
        <x:f>IF(ISNUMBER(B1724),'요약'!$B$7+'요약'!$B$13*B1724,"")</x:f>
      </x:c>
    </x:row>
    <x:row r="1725">
      <x:c r="A1725" t="n">
        <x:f>1721</x:f>
        <x:v>1721</x:v>
      </x:c>
      <x:c r="B1725" s="7" t="str">
        <x:f>IF(AND('요약'!$B$20,A1725&lt;='요약'!$B$6),NORM.S.INV((A1725-0.5)/'요약'!$B$6),"")</x:f>
      </x:c>
      <x:c r="C1725" s="7" t="str">
        <x:f>IF(AND('요약'!$B$20,A1725&lt;='요약'!$B$6),LARGE('계산'!$B$2:$B$2001,'요약'!$B$6-A1725+1),"")</x:f>
      </x:c>
      <x:c r="D1725" s="7" t="str">
        <x:f>IF(ISNUMBER(B1725),'요약'!$B$7+'요약'!$B$13*B1725,"")</x:f>
      </x:c>
    </x:row>
    <x:row r="1726">
      <x:c r="A1726" t="n">
        <x:f>1722</x:f>
        <x:v>1722</x:v>
      </x:c>
      <x:c r="B1726" s="7" t="str">
        <x:f>IF(AND('요약'!$B$20,A1726&lt;='요약'!$B$6),NORM.S.INV((A1726-0.5)/'요약'!$B$6),"")</x:f>
      </x:c>
      <x:c r="C1726" s="7" t="str">
        <x:f>IF(AND('요약'!$B$20,A1726&lt;='요약'!$B$6),LARGE('계산'!$B$2:$B$2001,'요약'!$B$6-A1726+1),"")</x:f>
      </x:c>
      <x:c r="D1726" s="7" t="str">
        <x:f>IF(ISNUMBER(B1726),'요약'!$B$7+'요약'!$B$13*B1726,"")</x:f>
      </x:c>
    </x:row>
    <x:row r="1727">
      <x:c r="A1727" t="n">
        <x:f>1723</x:f>
        <x:v>1723</x:v>
      </x:c>
      <x:c r="B1727" s="7" t="str">
        <x:f>IF(AND('요약'!$B$20,A1727&lt;='요약'!$B$6),NORM.S.INV((A1727-0.5)/'요약'!$B$6),"")</x:f>
      </x:c>
      <x:c r="C1727" s="7" t="str">
        <x:f>IF(AND('요약'!$B$20,A1727&lt;='요약'!$B$6),LARGE('계산'!$B$2:$B$2001,'요약'!$B$6-A1727+1),"")</x:f>
      </x:c>
      <x:c r="D1727" s="7" t="str">
        <x:f>IF(ISNUMBER(B1727),'요약'!$B$7+'요약'!$B$13*B1727,"")</x:f>
      </x:c>
    </x:row>
    <x:row r="1728">
      <x:c r="A1728" t="n">
        <x:f>1724</x:f>
        <x:v>1724</x:v>
      </x:c>
      <x:c r="B1728" s="7" t="str">
        <x:f>IF(AND('요약'!$B$20,A1728&lt;='요약'!$B$6),NORM.S.INV((A1728-0.5)/'요약'!$B$6),"")</x:f>
      </x:c>
      <x:c r="C1728" s="7" t="str">
        <x:f>IF(AND('요약'!$B$20,A1728&lt;='요약'!$B$6),LARGE('계산'!$B$2:$B$2001,'요약'!$B$6-A1728+1),"")</x:f>
      </x:c>
      <x:c r="D1728" s="7" t="str">
        <x:f>IF(ISNUMBER(B1728),'요약'!$B$7+'요약'!$B$13*B1728,"")</x:f>
      </x:c>
    </x:row>
    <x:row r="1729">
      <x:c r="A1729" t="n">
        <x:f>1725</x:f>
        <x:v>1725</x:v>
      </x:c>
      <x:c r="B1729" s="7" t="str">
        <x:f>IF(AND('요약'!$B$20,A1729&lt;='요약'!$B$6),NORM.S.INV((A1729-0.5)/'요약'!$B$6),"")</x:f>
      </x:c>
      <x:c r="C1729" s="7" t="str">
        <x:f>IF(AND('요약'!$B$20,A1729&lt;='요약'!$B$6),LARGE('계산'!$B$2:$B$2001,'요약'!$B$6-A1729+1),"")</x:f>
      </x:c>
      <x:c r="D1729" s="7" t="str">
        <x:f>IF(ISNUMBER(B1729),'요약'!$B$7+'요약'!$B$13*B1729,"")</x:f>
      </x:c>
    </x:row>
    <x:row r="1730">
      <x:c r="A1730" t="n">
        <x:f>1726</x:f>
        <x:v>1726</x:v>
      </x:c>
      <x:c r="B1730" s="7" t="str">
        <x:f>IF(AND('요약'!$B$20,A1730&lt;='요약'!$B$6),NORM.S.INV((A1730-0.5)/'요약'!$B$6),"")</x:f>
      </x:c>
      <x:c r="C1730" s="7" t="str">
        <x:f>IF(AND('요약'!$B$20,A1730&lt;='요약'!$B$6),LARGE('계산'!$B$2:$B$2001,'요약'!$B$6-A1730+1),"")</x:f>
      </x:c>
      <x:c r="D1730" s="7" t="str">
        <x:f>IF(ISNUMBER(B1730),'요약'!$B$7+'요약'!$B$13*B1730,"")</x:f>
      </x:c>
    </x:row>
    <x:row r="1731">
      <x:c r="A1731" t="n">
        <x:f>1727</x:f>
        <x:v>1727</x:v>
      </x:c>
      <x:c r="B1731" s="7" t="str">
        <x:f>IF(AND('요약'!$B$20,A1731&lt;='요약'!$B$6),NORM.S.INV((A1731-0.5)/'요약'!$B$6),"")</x:f>
      </x:c>
      <x:c r="C1731" s="7" t="str">
        <x:f>IF(AND('요약'!$B$20,A1731&lt;='요약'!$B$6),LARGE('계산'!$B$2:$B$2001,'요약'!$B$6-A1731+1),"")</x:f>
      </x:c>
      <x:c r="D1731" s="7" t="str">
        <x:f>IF(ISNUMBER(B1731),'요약'!$B$7+'요약'!$B$13*B1731,"")</x:f>
      </x:c>
    </x:row>
    <x:row r="1732">
      <x:c r="A1732" t="n">
        <x:f>1728</x:f>
        <x:v>1728</x:v>
      </x:c>
      <x:c r="B1732" s="7" t="str">
        <x:f>IF(AND('요약'!$B$20,A1732&lt;='요약'!$B$6),NORM.S.INV((A1732-0.5)/'요약'!$B$6),"")</x:f>
      </x:c>
      <x:c r="C1732" s="7" t="str">
        <x:f>IF(AND('요약'!$B$20,A1732&lt;='요약'!$B$6),LARGE('계산'!$B$2:$B$2001,'요약'!$B$6-A1732+1),"")</x:f>
      </x:c>
      <x:c r="D1732" s="7" t="str">
        <x:f>IF(ISNUMBER(B1732),'요약'!$B$7+'요약'!$B$13*B1732,"")</x:f>
      </x:c>
    </x:row>
    <x:row r="1733">
      <x:c r="A1733" t="n">
        <x:f>1729</x:f>
        <x:v>1729</x:v>
      </x:c>
      <x:c r="B1733" s="7" t="str">
        <x:f>IF(AND('요약'!$B$20,A1733&lt;='요약'!$B$6),NORM.S.INV((A1733-0.5)/'요약'!$B$6),"")</x:f>
      </x:c>
      <x:c r="C1733" s="7" t="str">
        <x:f>IF(AND('요약'!$B$20,A1733&lt;='요약'!$B$6),LARGE('계산'!$B$2:$B$2001,'요약'!$B$6-A1733+1),"")</x:f>
      </x:c>
      <x:c r="D1733" s="7" t="str">
        <x:f>IF(ISNUMBER(B1733),'요약'!$B$7+'요약'!$B$13*B1733,"")</x:f>
      </x:c>
    </x:row>
    <x:row r="1734">
      <x:c r="A1734" t="n">
        <x:f>1730</x:f>
        <x:v>1730</x:v>
      </x:c>
      <x:c r="B1734" s="7" t="str">
        <x:f>IF(AND('요약'!$B$20,A1734&lt;='요약'!$B$6),NORM.S.INV((A1734-0.5)/'요약'!$B$6),"")</x:f>
      </x:c>
      <x:c r="C1734" s="7" t="str">
        <x:f>IF(AND('요약'!$B$20,A1734&lt;='요약'!$B$6),LARGE('계산'!$B$2:$B$2001,'요약'!$B$6-A1734+1),"")</x:f>
      </x:c>
      <x:c r="D1734" s="7" t="str">
        <x:f>IF(ISNUMBER(B1734),'요약'!$B$7+'요약'!$B$13*B1734,"")</x:f>
      </x:c>
    </x:row>
    <x:row r="1735">
      <x:c r="A1735" t="n">
        <x:f>1731</x:f>
        <x:v>1731</x:v>
      </x:c>
      <x:c r="B1735" s="7" t="str">
        <x:f>IF(AND('요약'!$B$20,A1735&lt;='요약'!$B$6),NORM.S.INV((A1735-0.5)/'요약'!$B$6),"")</x:f>
      </x:c>
      <x:c r="C1735" s="7" t="str">
        <x:f>IF(AND('요약'!$B$20,A1735&lt;='요약'!$B$6),LARGE('계산'!$B$2:$B$2001,'요약'!$B$6-A1735+1),"")</x:f>
      </x:c>
      <x:c r="D1735" s="7" t="str">
        <x:f>IF(ISNUMBER(B1735),'요약'!$B$7+'요약'!$B$13*B1735,"")</x:f>
      </x:c>
    </x:row>
    <x:row r="1736">
      <x:c r="A1736" t="n">
        <x:f>1732</x:f>
        <x:v>1732</x:v>
      </x:c>
      <x:c r="B1736" s="7" t="str">
        <x:f>IF(AND('요약'!$B$20,A1736&lt;='요약'!$B$6),NORM.S.INV((A1736-0.5)/'요약'!$B$6),"")</x:f>
      </x:c>
      <x:c r="C1736" s="7" t="str">
        <x:f>IF(AND('요약'!$B$20,A1736&lt;='요약'!$B$6),LARGE('계산'!$B$2:$B$2001,'요약'!$B$6-A1736+1),"")</x:f>
      </x:c>
      <x:c r="D1736" s="7" t="str">
        <x:f>IF(ISNUMBER(B1736),'요약'!$B$7+'요약'!$B$13*B1736,"")</x:f>
      </x:c>
    </x:row>
    <x:row r="1737">
      <x:c r="A1737" t="n">
        <x:f>1733</x:f>
        <x:v>1733</x:v>
      </x:c>
      <x:c r="B1737" s="7" t="str">
        <x:f>IF(AND('요약'!$B$20,A1737&lt;='요약'!$B$6),NORM.S.INV((A1737-0.5)/'요약'!$B$6),"")</x:f>
      </x:c>
      <x:c r="C1737" s="7" t="str">
        <x:f>IF(AND('요약'!$B$20,A1737&lt;='요약'!$B$6),LARGE('계산'!$B$2:$B$2001,'요약'!$B$6-A1737+1),"")</x:f>
      </x:c>
      <x:c r="D1737" s="7" t="str">
        <x:f>IF(ISNUMBER(B1737),'요약'!$B$7+'요약'!$B$13*B1737,"")</x:f>
      </x:c>
    </x:row>
    <x:row r="1738">
      <x:c r="A1738" t="n">
        <x:f>1734</x:f>
        <x:v>1734</x:v>
      </x:c>
      <x:c r="B1738" s="7" t="str">
        <x:f>IF(AND('요약'!$B$20,A1738&lt;='요약'!$B$6),NORM.S.INV((A1738-0.5)/'요약'!$B$6),"")</x:f>
      </x:c>
      <x:c r="C1738" s="7" t="str">
        <x:f>IF(AND('요약'!$B$20,A1738&lt;='요약'!$B$6),LARGE('계산'!$B$2:$B$2001,'요약'!$B$6-A1738+1),"")</x:f>
      </x:c>
      <x:c r="D1738" s="7" t="str">
        <x:f>IF(ISNUMBER(B1738),'요약'!$B$7+'요약'!$B$13*B1738,"")</x:f>
      </x:c>
    </x:row>
    <x:row r="1739">
      <x:c r="A1739" t="n">
        <x:f>1735</x:f>
        <x:v>1735</x:v>
      </x:c>
      <x:c r="B1739" s="7" t="str">
        <x:f>IF(AND('요약'!$B$20,A1739&lt;='요약'!$B$6),NORM.S.INV((A1739-0.5)/'요약'!$B$6),"")</x:f>
      </x:c>
      <x:c r="C1739" s="7" t="str">
        <x:f>IF(AND('요약'!$B$20,A1739&lt;='요약'!$B$6),LARGE('계산'!$B$2:$B$2001,'요약'!$B$6-A1739+1),"")</x:f>
      </x:c>
      <x:c r="D1739" s="7" t="str">
        <x:f>IF(ISNUMBER(B1739),'요약'!$B$7+'요약'!$B$13*B1739,"")</x:f>
      </x:c>
    </x:row>
    <x:row r="1740">
      <x:c r="A1740" t="n">
        <x:f>1736</x:f>
        <x:v>1736</x:v>
      </x:c>
      <x:c r="B1740" s="7" t="str">
        <x:f>IF(AND('요약'!$B$20,A1740&lt;='요약'!$B$6),NORM.S.INV((A1740-0.5)/'요약'!$B$6),"")</x:f>
      </x:c>
      <x:c r="C1740" s="7" t="str">
        <x:f>IF(AND('요약'!$B$20,A1740&lt;='요약'!$B$6),LARGE('계산'!$B$2:$B$2001,'요약'!$B$6-A1740+1),"")</x:f>
      </x:c>
      <x:c r="D1740" s="7" t="str">
        <x:f>IF(ISNUMBER(B1740),'요약'!$B$7+'요약'!$B$13*B1740,"")</x:f>
      </x:c>
    </x:row>
    <x:row r="1741">
      <x:c r="A1741" t="n">
        <x:f>1737</x:f>
        <x:v>1737</x:v>
      </x:c>
      <x:c r="B1741" s="7" t="str">
        <x:f>IF(AND('요약'!$B$20,A1741&lt;='요약'!$B$6),NORM.S.INV((A1741-0.5)/'요약'!$B$6),"")</x:f>
      </x:c>
      <x:c r="C1741" s="7" t="str">
        <x:f>IF(AND('요약'!$B$20,A1741&lt;='요약'!$B$6),LARGE('계산'!$B$2:$B$2001,'요약'!$B$6-A1741+1),"")</x:f>
      </x:c>
      <x:c r="D1741" s="7" t="str">
        <x:f>IF(ISNUMBER(B1741),'요약'!$B$7+'요약'!$B$13*B1741,"")</x:f>
      </x:c>
    </x:row>
    <x:row r="1742">
      <x:c r="A1742" t="n">
        <x:f>1738</x:f>
        <x:v>1738</x:v>
      </x:c>
      <x:c r="B1742" s="7" t="str">
        <x:f>IF(AND('요약'!$B$20,A1742&lt;='요약'!$B$6),NORM.S.INV((A1742-0.5)/'요약'!$B$6),"")</x:f>
      </x:c>
      <x:c r="C1742" s="7" t="str">
        <x:f>IF(AND('요약'!$B$20,A1742&lt;='요약'!$B$6),LARGE('계산'!$B$2:$B$2001,'요약'!$B$6-A1742+1),"")</x:f>
      </x:c>
      <x:c r="D1742" s="7" t="str">
        <x:f>IF(ISNUMBER(B1742),'요약'!$B$7+'요약'!$B$13*B1742,"")</x:f>
      </x:c>
    </x:row>
    <x:row r="1743">
      <x:c r="A1743" t="n">
        <x:f>1739</x:f>
        <x:v>1739</x:v>
      </x:c>
      <x:c r="B1743" s="7" t="str">
        <x:f>IF(AND('요약'!$B$20,A1743&lt;='요약'!$B$6),NORM.S.INV((A1743-0.5)/'요약'!$B$6),"")</x:f>
      </x:c>
      <x:c r="C1743" s="7" t="str">
        <x:f>IF(AND('요약'!$B$20,A1743&lt;='요약'!$B$6),LARGE('계산'!$B$2:$B$2001,'요약'!$B$6-A1743+1),"")</x:f>
      </x:c>
      <x:c r="D1743" s="7" t="str">
        <x:f>IF(ISNUMBER(B1743),'요약'!$B$7+'요약'!$B$13*B1743,"")</x:f>
      </x:c>
    </x:row>
    <x:row r="1744">
      <x:c r="A1744" t="n">
        <x:f>1740</x:f>
        <x:v>1740</x:v>
      </x:c>
      <x:c r="B1744" s="7" t="str">
        <x:f>IF(AND('요약'!$B$20,A1744&lt;='요약'!$B$6),NORM.S.INV((A1744-0.5)/'요약'!$B$6),"")</x:f>
      </x:c>
      <x:c r="C1744" s="7" t="str">
        <x:f>IF(AND('요약'!$B$20,A1744&lt;='요약'!$B$6),LARGE('계산'!$B$2:$B$2001,'요약'!$B$6-A1744+1),"")</x:f>
      </x:c>
      <x:c r="D1744" s="7" t="str">
        <x:f>IF(ISNUMBER(B1744),'요약'!$B$7+'요약'!$B$13*B1744,"")</x:f>
      </x:c>
    </x:row>
    <x:row r="1745">
      <x:c r="A1745" t="n">
        <x:f>1741</x:f>
        <x:v>1741</x:v>
      </x:c>
      <x:c r="B1745" s="7" t="str">
        <x:f>IF(AND('요약'!$B$20,A1745&lt;='요약'!$B$6),NORM.S.INV((A1745-0.5)/'요약'!$B$6),"")</x:f>
      </x:c>
      <x:c r="C1745" s="7" t="str">
        <x:f>IF(AND('요약'!$B$20,A1745&lt;='요약'!$B$6),LARGE('계산'!$B$2:$B$2001,'요약'!$B$6-A1745+1),"")</x:f>
      </x:c>
      <x:c r="D1745" s="7" t="str">
        <x:f>IF(ISNUMBER(B1745),'요약'!$B$7+'요약'!$B$13*B1745,"")</x:f>
      </x:c>
    </x:row>
    <x:row r="1746">
      <x:c r="A1746" t="n">
        <x:f>1742</x:f>
        <x:v>1742</x:v>
      </x:c>
      <x:c r="B1746" s="7" t="str">
        <x:f>IF(AND('요약'!$B$20,A1746&lt;='요약'!$B$6),NORM.S.INV((A1746-0.5)/'요약'!$B$6),"")</x:f>
      </x:c>
      <x:c r="C1746" s="7" t="str">
        <x:f>IF(AND('요약'!$B$20,A1746&lt;='요약'!$B$6),LARGE('계산'!$B$2:$B$2001,'요약'!$B$6-A1746+1),"")</x:f>
      </x:c>
      <x:c r="D1746" s="7" t="str">
        <x:f>IF(ISNUMBER(B1746),'요약'!$B$7+'요약'!$B$13*B1746,"")</x:f>
      </x:c>
    </x:row>
    <x:row r="1747">
      <x:c r="A1747" t="n">
        <x:f>1743</x:f>
        <x:v>1743</x:v>
      </x:c>
      <x:c r="B1747" s="7" t="str">
        <x:f>IF(AND('요약'!$B$20,A1747&lt;='요약'!$B$6),NORM.S.INV((A1747-0.5)/'요약'!$B$6),"")</x:f>
      </x:c>
      <x:c r="C1747" s="7" t="str">
        <x:f>IF(AND('요약'!$B$20,A1747&lt;='요약'!$B$6),LARGE('계산'!$B$2:$B$2001,'요약'!$B$6-A1747+1),"")</x:f>
      </x:c>
      <x:c r="D1747" s="7" t="str">
        <x:f>IF(ISNUMBER(B1747),'요약'!$B$7+'요약'!$B$13*B1747,"")</x:f>
      </x:c>
    </x:row>
    <x:row r="1748">
      <x:c r="A1748" t="n">
        <x:f>1744</x:f>
        <x:v>1744</x:v>
      </x:c>
      <x:c r="B1748" s="7" t="str">
        <x:f>IF(AND('요약'!$B$20,A1748&lt;='요약'!$B$6),NORM.S.INV((A1748-0.5)/'요약'!$B$6),"")</x:f>
      </x:c>
      <x:c r="C1748" s="7" t="str">
        <x:f>IF(AND('요약'!$B$20,A1748&lt;='요약'!$B$6),LARGE('계산'!$B$2:$B$2001,'요약'!$B$6-A1748+1),"")</x:f>
      </x:c>
      <x:c r="D1748" s="7" t="str">
        <x:f>IF(ISNUMBER(B1748),'요약'!$B$7+'요약'!$B$13*B1748,"")</x:f>
      </x:c>
    </x:row>
    <x:row r="1749">
      <x:c r="A1749" t="n">
        <x:f>1745</x:f>
        <x:v>1745</x:v>
      </x:c>
      <x:c r="B1749" s="7" t="str">
        <x:f>IF(AND('요약'!$B$20,A1749&lt;='요약'!$B$6),NORM.S.INV((A1749-0.5)/'요약'!$B$6),"")</x:f>
      </x:c>
      <x:c r="C1749" s="7" t="str">
        <x:f>IF(AND('요약'!$B$20,A1749&lt;='요약'!$B$6),LARGE('계산'!$B$2:$B$2001,'요약'!$B$6-A1749+1),"")</x:f>
      </x:c>
      <x:c r="D1749" s="7" t="str">
        <x:f>IF(ISNUMBER(B1749),'요약'!$B$7+'요약'!$B$13*B1749,"")</x:f>
      </x:c>
    </x:row>
    <x:row r="1750">
      <x:c r="A1750" t="n">
        <x:f>1746</x:f>
        <x:v>1746</x:v>
      </x:c>
      <x:c r="B1750" s="7" t="str">
        <x:f>IF(AND('요약'!$B$20,A1750&lt;='요약'!$B$6),NORM.S.INV((A1750-0.5)/'요약'!$B$6),"")</x:f>
      </x:c>
      <x:c r="C1750" s="7" t="str">
        <x:f>IF(AND('요약'!$B$20,A1750&lt;='요약'!$B$6),LARGE('계산'!$B$2:$B$2001,'요약'!$B$6-A1750+1),"")</x:f>
      </x:c>
      <x:c r="D1750" s="7" t="str">
        <x:f>IF(ISNUMBER(B1750),'요약'!$B$7+'요약'!$B$13*B1750,"")</x:f>
      </x:c>
    </x:row>
    <x:row r="1751">
      <x:c r="A1751" t="n">
        <x:f>1747</x:f>
        <x:v>1747</x:v>
      </x:c>
      <x:c r="B1751" s="7" t="str">
        <x:f>IF(AND('요약'!$B$20,A1751&lt;='요약'!$B$6),NORM.S.INV((A1751-0.5)/'요약'!$B$6),"")</x:f>
      </x:c>
      <x:c r="C1751" s="7" t="str">
        <x:f>IF(AND('요약'!$B$20,A1751&lt;='요약'!$B$6),LARGE('계산'!$B$2:$B$2001,'요약'!$B$6-A1751+1),"")</x:f>
      </x:c>
      <x:c r="D1751" s="7" t="str">
        <x:f>IF(ISNUMBER(B1751),'요약'!$B$7+'요약'!$B$13*B1751,"")</x:f>
      </x:c>
    </x:row>
    <x:row r="1752">
      <x:c r="A1752" t="n">
        <x:f>1748</x:f>
        <x:v>1748</x:v>
      </x:c>
      <x:c r="B1752" s="7" t="str">
        <x:f>IF(AND('요약'!$B$20,A1752&lt;='요약'!$B$6),NORM.S.INV((A1752-0.5)/'요약'!$B$6),"")</x:f>
      </x:c>
      <x:c r="C1752" s="7" t="str">
        <x:f>IF(AND('요약'!$B$20,A1752&lt;='요약'!$B$6),LARGE('계산'!$B$2:$B$2001,'요약'!$B$6-A1752+1),"")</x:f>
      </x:c>
      <x:c r="D1752" s="7" t="str">
        <x:f>IF(ISNUMBER(B1752),'요약'!$B$7+'요약'!$B$13*B1752,"")</x:f>
      </x:c>
    </x:row>
    <x:row r="1753">
      <x:c r="A1753" t="n">
        <x:f>1749</x:f>
        <x:v>1749</x:v>
      </x:c>
      <x:c r="B1753" s="7" t="str">
        <x:f>IF(AND('요약'!$B$20,A1753&lt;='요약'!$B$6),NORM.S.INV((A1753-0.5)/'요약'!$B$6),"")</x:f>
      </x:c>
      <x:c r="C1753" s="7" t="str">
        <x:f>IF(AND('요약'!$B$20,A1753&lt;='요약'!$B$6),LARGE('계산'!$B$2:$B$2001,'요약'!$B$6-A1753+1),"")</x:f>
      </x:c>
      <x:c r="D1753" s="7" t="str">
        <x:f>IF(ISNUMBER(B1753),'요약'!$B$7+'요약'!$B$13*B1753,"")</x:f>
      </x:c>
    </x:row>
    <x:row r="1754">
      <x:c r="A1754" t="n">
        <x:f>1750</x:f>
        <x:v>1750</x:v>
      </x:c>
      <x:c r="B1754" s="7" t="str">
        <x:f>IF(AND('요약'!$B$20,A1754&lt;='요약'!$B$6),NORM.S.INV((A1754-0.5)/'요약'!$B$6),"")</x:f>
      </x:c>
      <x:c r="C1754" s="7" t="str">
        <x:f>IF(AND('요약'!$B$20,A1754&lt;='요약'!$B$6),LARGE('계산'!$B$2:$B$2001,'요약'!$B$6-A1754+1),"")</x:f>
      </x:c>
      <x:c r="D1754" s="7" t="str">
        <x:f>IF(ISNUMBER(B1754),'요약'!$B$7+'요약'!$B$13*B1754,"")</x:f>
      </x:c>
    </x:row>
    <x:row r="1755">
      <x:c r="A1755" t="n">
        <x:f>1751</x:f>
        <x:v>1751</x:v>
      </x:c>
      <x:c r="B1755" s="7" t="str">
        <x:f>IF(AND('요약'!$B$20,A1755&lt;='요약'!$B$6),NORM.S.INV((A1755-0.5)/'요약'!$B$6),"")</x:f>
      </x:c>
      <x:c r="C1755" s="7" t="str">
        <x:f>IF(AND('요약'!$B$20,A1755&lt;='요약'!$B$6),LARGE('계산'!$B$2:$B$2001,'요약'!$B$6-A1755+1),"")</x:f>
      </x:c>
      <x:c r="D1755" s="7" t="str">
        <x:f>IF(ISNUMBER(B1755),'요약'!$B$7+'요약'!$B$13*B1755,"")</x:f>
      </x:c>
    </x:row>
    <x:row r="1756">
      <x:c r="A1756" t="n">
        <x:f>1752</x:f>
        <x:v>1752</x:v>
      </x:c>
      <x:c r="B1756" s="7" t="str">
        <x:f>IF(AND('요약'!$B$20,A1756&lt;='요약'!$B$6),NORM.S.INV((A1756-0.5)/'요약'!$B$6),"")</x:f>
      </x:c>
      <x:c r="C1756" s="7" t="str">
        <x:f>IF(AND('요약'!$B$20,A1756&lt;='요약'!$B$6),LARGE('계산'!$B$2:$B$2001,'요약'!$B$6-A1756+1),"")</x:f>
      </x:c>
      <x:c r="D1756" s="7" t="str">
        <x:f>IF(ISNUMBER(B1756),'요약'!$B$7+'요약'!$B$13*B1756,"")</x:f>
      </x:c>
    </x:row>
    <x:row r="1757">
      <x:c r="A1757" t="n">
        <x:f>1753</x:f>
        <x:v>1753</x:v>
      </x:c>
      <x:c r="B1757" s="7" t="str">
        <x:f>IF(AND('요약'!$B$20,A1757&lt;='요약'!$B$6),NORM.S.INV((A1757-0.5)/'요약'!$B$6),"")</x:f>
      </x:c>
      <x:c r="C1757" s="7" t="str">
        <x:f>IF(AND('요약'!$B$20,A1757&lt;='요약'!$B$6),LARGE('계산'!$B$2:$B$2001,'요약'!$B$6-A1757+1),"")</x:f>
      </x:c>
      <x:c r="D1757" s="7" t="str">
        <x:f>IF(ISNUMBER(B1757),'요약'!$B$7+'요약'!$B$13*B1757,"")</x:f>
      </x:c>
    </x:row>
    <x:row r="1758">
      <x:c r="A1758" t="n">
        <x:f>1754</x:f>
        <x:v>1754</x:v>
      </x:c>
      <x:c r="B1758" s="7" t="str">
        <x:f>IF(AND('요약'!$B$20,A1758&lt;='요약'!$B$6),NORM.S.INV((A1758-0.5)/'요약'!$B$6),"")</x:f>
      </x:c>
      <x:c r="C1758" s="7" t="str">
        <x:f>IF(AND('요약'!$B$20,A1758&lt;='요약'!$B$6),LARGE('계산'!$B$2:$B$2001,'요약'!$B$6-A1758+1),"")</x:f>
      </x:c>
      <x:c r="D1758" s="7" t="str">
        <x:f>IF(ISNUMBER(B1758),'요약'!$B$7+'요약'!$B$13*B1758,"")</x:f>
      </x:c>
    </x:row>
    <x:row r="1759">
      <x:c r="A1759" t="n">
        <x:f>1755</x:f>
        <x:v>1755</x:v>
      </x:c>
      <x:c r="B1759" s="7" t="str">
        <x:f>IF(AND('요약'!$B$20,A1759&lt;='요약'!$B$6),NORM.S.INV((A1759-0.5)/'요약'!$B$6),"")</x:f>
      </x:c>
      <x:c r="C1759" s="7" t="str">
        <x:f>IF(AND('요약'!$B$20,A1759&lt;='요약'!$B$6),LARGE('계산'!$B$2:$B$2001,'요약'!$B$6-A1759+1),"")</x:f>
      </x:c>
      <x:c r="D1759" s="7" t="str">
        <x:f>IF(ISNUMBER(B1759),'요약'!$B$7+'요약'!$B$13*B1759,"")</x:f>
      </x:c>
    </x:row>
    <x:row r="1760">
      <x:c r="A1760" t="n">
        <x:f>1756</x:f>
        <x:v>1756</x:v>
      </x:c>
      <x:c r="B1760" s="7" t="str">
        <x:f>IF(AND('요약'!$B$20,A1760&lt;='요약'!$B$6),NORM.S.INV((A1760-0.5)/'요약'!$B$6),"")</x:f>
      </x:c>
      <x:c r="C1760" s="7" t="str">
        <x:f>IF(AND('요약'!$B$20,A1760&lt;='요약'!$B$6),LARGE('계산'!$B$2:$B$2001,'요약'!$B$6-A1760+1),"")</x:f>
      </x:c>
      <x:c r="D1760" s="7" t="str">
        <x:f>IF(ISNUMBER(B1760),'요약'!$B$7+'요약'!$B$13*B1760,"")</x:f>
      </x:c>
    </x:row>
    <x:row r="1761">
      <x:c r="A1761" t="n">
        <x:f>1757</x:f>
        <x:v>1757</x:v>
      </x:c>
      <x:c r="B1761" s="7" t="str">
        <x:f>IF(AND('요약'!$B$20,A1761&lt;='요약'!$B$6),NORM.S.INV((A1761-0.5)/'요약'!$B$6),"")</x:f>
      </x:c>
      <x:c r="C1761" s="7" t="str">
        <x:f>IF(AND('요약'!$B$20,A1761&lt;='요약'!$B$6),LARGE('계산'!$B$2:$B$2001,'요약'!$B$6-A1761+1),"")</x:f>
      </x:c>
      <x:c r="D1761" s="7" t="str">
        <x:f>IF(ISNUMBER(B1761),'요약'!$B$7+'요약'!$B$13*B1761,"")</x:f>
      </x:c>
    </x:row>
    <x:row r="1762">
      <x:c r="A1762" t="n">
        <x:f>1758</x:f>
        <x:v>1758</x:v>
      </x:c>
      <x:c r="B1762" s="7" t="str">
        <x:f>IF(AND('요약'!$B$20,A1762&lt;='요약'!$B$6),NORM.S.INV((A1762-0.5)/'요약'!$B$6),"")</x:f>
      </x:c>
      <x:c r="C1762" s="7" t="str">
        <x:f>IF(AND('요약'!$B$20,A1762&lt;='요약'!$B$6),LARGE('계산'!$B$2:$B$2001,'요약'!$B$6-A1762+1),"")</x:f>
      </x:c>
      <x:c r="D1762" s="7" t="str">
        <x:f>IF(ISNUMBER(B1762),'요약'!$B$7+'요약'!$B$13*B1762,"")</x:f>
      </x:c>
    </x:row>
    <x:row r="1763">
      <x:c r="A1763" t="n">
        <x:f>1759</x:f>
        <x:v>1759</x:v>
      </x:c>
      <x:c r="B1763" s="7" t="str">
        <x:f>IF(AND('요약'!$B$20,A1763&lt;='요약'!$B$6),NORM.S.INV((A1763-0.5)/'요약'!$B$6),"")</x:f>
      </x:c>
      <x:c r="C1763" s="7" t="str">
        <x:f>IF(AND('요약'!$B$20,A1763&lt;='요약'!$B$6),LARGE('계산'!$B$2:$B$2001,'요약'!$B$6-A1763+1),"")</x:f>
      </x:c>
      <x:c r="D1763" s="7" t="str">
        <x:f>IF(ISNUMBER(B1763),'요약'!$B$7+'요약'!$B$13*B1763,"")</x:f>
      </x:c>
    </x:row>
    <x:row r="1764">
      <x:c r="A1764" t="n">
        <x:f>1760</x:f>
        <x:v>1760</x:v>
      </x:c>
      <x:c r="B1764" s="7" t="str">
        <x:f>IF(AND('요약'!$B$20,A1764&lt;='요약'!$B$6),NORM.S.INV((A1764-0.5)/'요약'!$B$6),"")</x:f>
      </x:c>
      <x:c r="C1764" s="7" t="str">
        <x:f>IF(AND('요약'!$B$20,A1764&lt;='요약'!$B$6),LARGE('계산'!$B$2:$B$2001,'요약'!$B$6-A1764+1),"")</x:f>
      </x:c>
      <x:c r="D1764" s="7" t="str">
        <x:f>IF(ISNUMBER(B1764),'요약'!$B$7+'요약'!$B$13*B1764,"")</x:f>
      </x:c>
    </x:row>
    <x:row r="1765">
      <x:c r="A1765" t="n">
        <x:f>1761</x:f>
        <x:v>1761</x:v>
      </x:c>
      <x:c r="B1765" s="7" t="str">
        <x:f>IF(AND('요약'!$B$20,A1765&lt;='요약'!$B$6),NORM.S.INV((A1765-0.5)/'요약'!$B$6),"")</x:f>
      </x:c>
      <x:c r="C1765" s="7" t="str">
        <x:f>IF(AND('요약'!$B$20,A1765&lt;='요약'!$B$6),LARGE('계산'!$B$2:$B$2001,'요약'!$B$6-A1765+1),"")</x:f>
      </x:c>
      <x:c r="D1765" s="7" t="str">
        <x:f>IF(ISNUMBER(B1765),'요약'!$B$7+'요약'!$B$13*B1765,"")</x:f>
      </x:c>
    </x:row>
    <x:row r="1766">
      <x:c r="A1766" t="n">
        <x:f>1762</x:f>
        <x:v>1762</x:v>
      </x:c>
      <x:c r="B1766" s="7" t="str">
        <x:f>IF(AND('요약'!$B$20,A1766&lt;='요약'!$B$6),NORM.S.INV((A1766-0.5)/'요약'!$B$6),"")</x:f>
      </x:c>
      <x:c r="C1766" s="7" t="str">
        <x:f>IF(AND('요약'!$B$20,A1766&lt;='요약'!$B$6),LARGE('계산'!$B$2:$B$2001,'요약'!$B$6-A1766+1),"")</x:f>
      </x:c>
      <x:c r="D1766" s="7" t="str">
        <x:f>IF(ISNUMBER(B1766),'요약'!$B$7+'요약'!$B$13*B1766,"")</x:f>
      </x:c>
    </x:row>
    <x:row r="1767">
      <x:c r="A1767" t="n">
        <x:f>1763</x:f>
        <x:v>1763</x:v>
      </x:c>
      <x:c r="B1767" s="7" t="str">
        <x:f>IF(AND('요약'!$B$20,A1767&lt;='요약'!$B$6),NORM.S.INV((A1767-0.5)/'요약'!$B$6),"")</x:f>
      </x:c>
      <x:c r="C1767" s="7" t="str">
        <x:f>IF(AND('요약'!$B$20,A1767&lt;='요약'!$B$6),LARGE('계산'!$B$2:$B$2001,'요약'!$B$6-A1767+1),"")</x:f>
      </x:c>
      <x:c r="D1767" s="7" t="str">
        <x:f>IF(ISNUMBER(B1767),'요약'!$B$7+'요약'!$B$13*B1767,"")</x:f>
      </x:c>
    </x:row>
    <x:row r="1768">
      <x:c r="A1768" t="n">
        <x:f>1764</x:f>
        <x:v>1764</x:v>
      </x:c>
      <x:c r="B1768" s="7" t="str">
        <x:f>IF(AND('요약'!$B$20,A1768&lt;='요약'!$B$6),NORM.S.INV((A1768-0.5)/'요약'!$B$6),"")</x:f>
      </x:c>
      <x:c r="C1768" s="7" t="str">
        <x:f>IF(AND('요약'!$B$20,A1768&lt;='요약'!$B$6),LARGE('계산'!$B$2:$B$2001,'요약'!$B$6-A1768+1),"")</x:f>
      </x:c>
      <x:c r="D1768" s="7" t="str">
        <x:f>IF(ISNUMBER(B1768),'요약'!$B$7+'요약'!$B$13*B1768,"")</x:f>
      </x:c>
    </x:row>
    <x:row r="1769">
      <x:c r="A1769" t="n">
        <x:f>1765</x:f>
        <x:v>1765</x:v>
      </x:c>
      <x:c r="B1769" s="7" t="str">
        <x:f>IF(AND('요약'!$B$20,A1769&lt;='요약'!$B$6),NORM.S.INV((A1769-0.5)/'요약'!$B$6),"")</x:f>
      </x:c>
      <x:c r="C1769" s="7" t="str">
        <x:f>IF(AND('요약'!$B$20,A1769&lt;='요약'!$B$6),LARGE('계산'!$B$2:$B$2001,'요약'!$B$6-A1769+1),"")</x:f>
      </x:c>
      <x:c r="D1769" s="7" t="str">
        <x:f>IF(ISNUMBER(B1769),'요약'!$B$7+'요약'!$B$13*B1769,"")</x:f>
      </x:c>
    </x:row>
    <x:row r="1770">
      <x:c r="A1770" t="n">
        <x:f>1766</x:f>
        <x:v>1766</x:v>
      </x:c>
      <x:c r="B1770" s="7" t="str">
        <x:f>IF(AND('요약'!$B$20,A1770&lt;='요약'!$B$6),NORM.S.INV((A1770-0.5)/'요약'!$B$6),"")</x:f>
      </x:c>
      <x:c r="C1770" s="7" t="str">
        <x:f>IF(AND('요약'!$B$20,A1770&lt;='요약'!$B$6),LARGE('계산'!$B$2:$B$2001,'요약'!$B$6-A1770+1),"")</x:f>
      </x:c>
      <x:c r="D1770" s="7" t="str">
        <x:f>IF(ISNUMBER(B1770),'요약'!$B$7+'요약'!$B$13*B1770,"")</x:f>
      </x:c>
    </x:row>
    <x:row r="1771">
      <x:c r="A1771" t="n">
        <x:f>1767</x:f>
        <x:v>1767</x:v>
      </x:c>
      <x:c r="B1771" s="7" t="str">
        <x:f>IF(AND('요약'!$B$20,A1771&lt;='요약'!$B$6),NORM.S.INV((A1771-0.5)/'요약'!$B$6),"")</x:f>
      </x:c>
      <x:c r="C1771" s="7" t="str">
        <x:f>IF(AND('요약'!$B$20,A1771&lt;='요약'!$B$6),LARGE('계산'!$B$2:$B$2001,'요약'!$B$6-A1771+1),"")</x:f>
      </x:c>
      <x:c r="D1771" s="7" t="str">
        <x:f>IF(ISNUMBER(B1771),'요약'!$B$7+'요약'!$B$13*B1771,"")</x:f>
      </x:c>
    </x:row>
    <x:row r="1772">
      <x:c r="A1772" t="n">
        <x:f>1768</x:f>
        <x:v>1768</x:v>
      </x:c>
      <x:c r="B1772" s="7" t="str">
        <x:f>IF(AND('요약'!$B$20,A1772&lt;='요약'!$B$6),NORM.S.INV((A1772-0.5)/'요약'!$B$6),"")</x:f>
      </x:c>
      <x:c r="C1772" s="7" t="str">
        <x:f>IF(AND('요약'!$B$20,A1772&lt;='요약'!$B$6),LARGE('계산'!$B$2:$B$2001,'요약'!$B$6-A1772+1),"")</x:f>
      </x:c>
      <x:c r="D1772" s="7" t="str">
        <x:f>IF(ISNUMBER(B1772),'요약'!$B$7+'요약'!$B$13*B1772,"")</x:f>
      </x:c>
    </x:row>
    <x:row r="1773">
      <x:c r="A1773" t="n">
        <x:f>1769</x:f>
        <x:v>1769</x:v>
      </x:c>
      <x:c r="B1773" s="7" t="str">
        <x:f>IF(AND('요약'!$B$20,A1773&lt;='요약'!$B$6),NORM.S.INV((A1773-0.5)/'요약'!$B$6),"")</x:f>
      </x:c>
      <x:c r="C1773" s="7" t="str">
        <x:f>IF(AND('요약'!$B$20,A1773&lt;='요약'!$B$6),LARGE('계산'!$B$2:$B$2001,'요약'!$B$6-A1773+1),"")</x:f>
      </x:c>
      <x:c r="D1773" s="7" t="str">
        <x:f>IF(ISNUMBER(B1773),'요약'!$B$7+'요약'!$B$13*B1773,"")</x:f>
      </x:c>
    </x:row>
    <x:row r="1774">
      <x:c r="A1774" t="n">
        <x:f>1770</x:f>
        <x:v>1770</x:v>
      </x:c>
      <x:c r="B1774" s="7" t="str">
        <x:f>IF(AND('요약'!$B$20,A1774&lt;='요약'!$B$6),NORM.S.INV((A1774-0.5)/'요약'!$B$6),"")</x:f>
      </x:c>
      <x:c r="C1774" s="7" t="str">
        <x:f>IF(AND('요약'!$B$20,A1774&lt;='요약'!$B$6),LARGE('계산'!$B$2:$B$2001,'요약'!$B$6-A1774+1),"")</x:f>
      </x:c>
      <x:c r="D1774" s="7" t="str">
        <x:f>IF(ISNUMBER(B1774),'요약'!$B$7+'요약'!$B$13*B1774,"")</x:f>
      </x:c>
    </x:row>
    <x:row r="1775">
      <x:c r="A1775" t="n">
        <x:f>1771</x:f>
        <x:v>1771</x:v>
      </x:c>
      <x:c r="B1775" s="7" t="str">
        <x:f>IF(AND('요약'!$B$20,A1775&lt;='요약'!$B$6),NORM.S.INV((A1775-0.5)/'요약'!$B$6),"")</x:f>
      </x:c>
      <x:c r="C1775" s="7" t="str">
        <x:f>IF(AND('요약'!$B$20,A1775&lt;='요약'!$B$6),LARGE('계산'!$B$2:$B$2001,'요약'!$B$6-A1775+1),"")</x:f>
      </x:c>
      <x:c r="D1775" s="7" t="str">
        <x:f>IF(ISNUMBER(B1775),'요약'!$B$7+'요약'!$B$13*B1775,"")</x:f>
      </x:c>
    </x:row>
    <x:row r="1776">
      <x:c r="A1776" t="n">
        <x:f>1772</x:f>
        <x:v>1772</x:v>
      </x:c>
      <x:c r="B1776" s="7" t="str">
        <x:f>IF(AND('요약'!$B$20,A1776&lt;='요약'!$B$6),NORM.S.INV((A1776-0.5)/'요약'!$B$6),"")</x:f>
      </x:c>
      <x:c r="C1776" s="7" t="str">
        <x:f>IF(AND('요약'!$B$20,A1776&lt;='요약'!$B$6),LARGE('계산'!$B$2:$B$2001,'요약'!$B$6-A1776+1),"")</x:f>
      </x:c>
      <x:c r="D1776" s="7" t="str">
        <x:f>IF(ISNUMBER(B1776),'요약'!$B$7+'요약'!$B$13*B1776,"")</x:f>
      </x:c>
    </x:row>
    <x:row r="1777">
      <x:c r="A1777" t="n">
        <x:f>1773</x:f>
        <x:v>1773</x:v>
      </x:c>
      <x:c r="B1777" s="7" t="str">
        <x:f>IF(AND('요약'!$B$20,A1777&lt;='요약'!$B$6),NORM.S.INV((A1777-0.5)/'요약'!$B$6),"")</x:f>
      </x:c>
      <x:c r="C1777" s="7" t="str">
        <x:f>IF(AND('요약'!$B$20,A1777&lt;='요약'!$B$6),LARGE('계산'!$B$2:$B$2001,'요약'!$B$6-A1777+1),"")</x:f>
      </x:c>
      <x:c r="D1777" s="7" t="str">
        <x:f>IF(ISNUMBER(B1777),'요약'!$B$7+'요약'!$B$13*B1777,"")</x:f>
      </x:c>
    </x:row>
    <x:row r="1778">
      <x:c r="A1778" t="n">
        <x:f>1774</x:f>
        <x:v>1774</x:v>
      </x:c>
      <x:c r="B1778" s="7" t="str">
        <x:f>IF(AND('요약'!$B$20,A1778&lt;='요약'!$B$6),NORM.S.INV((A1778-0.5)/'요약'!$B$6),"")</x:f>
      </x:c>
      <x:c r="C1778" s="7" t="str">
        <x:f>IF(AND('요약'!$B$20,A1778&lt;='요약'!$B$6),LARGE('계산'!$B$2:$B$2001,'요약'!$B$6-A1778+1),"")</x:f>
      </x:c>
      <x:c r="D1778" s="7" t="str">
        <x:f>IF(ISNUMBER(B1778),'요약'!$B$7+'요약'!$B$13*B1778,"")</x:f>
      </x:c>
    </x:row>
    <x:row r="1779">
      <x:c r="A1779" t="n">
        <x:f>1775</x:f>
        <x:v>1775</x:v>
      </x:c>
      <x:c r="B1779" s="7" t="str">
        <x:f>IF(AND('요약'!$B$20,A1779&lt;='요약'!$B$6),NORM.S.INV((A1779-0.5)/'요약'!$B$6),"")</x:f>
      </x:c>
      <x:c r="C1779" s="7" t="str">
        <x:f>IF(AND('요약'!$B$20,A1779&lt;='요약'!$B$6),LARGE('계산'!$B$2:$B$2001,'요약'!$B$6-A1779+1),"")</x:f>
      </x:c>
      <x:c r="D1779" s="7" t="str">
        <x:f>IF(ISNUMBER(B1779),'요약'!$B$7+'요약'!$B$13*B1779,"")</x:f>
      </x:c>
    </x:row>
    <x:row r="1780">
      <x:c r="A1780" t="n">
        <x:f>1776</x:f>
        <x:v>1776</x:v>
      </x:c>
      <x:c r="B1780" s="7" t="str">
        <x:f>IF(AND('요약'!$B$20,A1780&lt;='요약'!$B$6),NORM.S.INV((A1780-0.5)/'요약'!$B$6),"")</x:f>
      </x:c>
      <x:c r="C1780" s="7" t="str">
        <x:f>IF(AND('요약'!$B$20,A1780&lt;='요약'!$B$6),LARGE('계산'!$B$2:$B$2001,'요약'!$B$6-A1780+1),"")</x:f>
      </x:c>
      <x:c r="D1780" s="7" t="str">
        <x:f>IF(ISNUMBER(B1780),'요약'!$B$7+'요약'!$B$13*B1780,"")</x:f>
      </x:c>
    </x:row>
    <x:row r="1781">
      <x:c r="A1781" t="n">
        <x:f>1777</x:f>
        <x:v>1777</x:v>
      </x:c>
      <x:c r="B1781" s="7" t="str">
        <x:f>IF(AND('요약'!$B$20,A1781&lt;='요약'!$B$6),NORM.S.INV((A1781-0.5)/'요약'!$B$6),"")</x:f>
      </x:c>
      <x:c r="C1781" s="7" t="str">
        <x:f>IF(AND('요약'!$B$20,A1781&lt;='요약'!$B$6),LARGE('계산'!$B$2:$B$2001,'요약'!$B$6-A1781+1),"")</x:f>
      </x:c>
      <x:c r="D1781" s="7" t="str">
        <x:f>IF(ISNUMBER(B1781),'요약'!$B$7+'요약'!$B$13*B1781,"")</x:f>
      </x:c>
    </x:row>
    <x:row r="1782">
      <x:c r="A1782" t="n">
        <x:f>1778</x:f>
        <x:v>1778</x:v>
      </x:c>
      <x:c r="B1782" s="7" t="str">
        <x:f>IF(AND('요약'!$B$20,A1782&lt;='요약'!$B$6),NORM.S.INV((A1782-0.5)/'요약'!$B$6),"")</x:f>
      </x:c>
      <x:c r="C1782" s="7" t="str">
        <x:f>IF(AND('요약'!$B$20,A1782&lt;='요약'!$B$6),LARGE('계산'!$B$2:$B$2001,'요약'!$B$6-A1782+1),"")</x:f>
      </x:c>
      <x:c r="D1782" s="7" t="str">
        <x:f>IF(ISNUMBER(B1782),'요약'!$B$7+'요약'!$B$13*B1782,"")</x:f>
      </x:c>
    </x:row>
    <x:row r="1783">
      <x:c r="A1783" t="n">
        <x:f>1779</x:f>
        <x:v>1779</x:v>
      </x:c>
      <x:c r="B1783" s="7" t="str">
        <x:f>IF(AND('요약'!$B$20,A1783&lt;='요약'!$B$6),NORM.S.INV((A1783-0.5)/'요약'!$B$6),"")</x:f>
      </x:c>
      <x:c r="C1783" s="7" t="str">
        <x:f>IF(AND('요약'!$B$20,A1783&lt;='요약'!$B$6),LARGE('계산'!$B$2:$B$2001,'요약'!$B$6-A1783+1),"")</x:f>
      </x:c>
      <x:c r="D1783" s="7" t="str">
        <x:f>IF(ISNUMBER(B1783),'요약'!$B$7+'요약'!$B$13*B1783,"")</x:f>
      </x:c>
    </x:row>
    <x:row r="1784">
      <x:c r="A1784" t="n">
        <x:f>1780</x:f>
        <x:v>1780</x:v>
      </x:c>
      <x:c r="B1784" s="7" t="str">
        <x:f>IF(AND('요약'!$B$20,A1784&lt;='요약'!$B$6),NORM.S.INV((A1784-0.5)/'요약'!$B$6),"")</x:f>
      </x:c>
      <x:c r="C1784" s="7" t="str">
        <x:f>IF(AND('요약'!$B$20,A1784&lt;='요약'!$B$6),LARGE('계산'!$B$2:$B$2001,'요약'!$B$6-A1784+1),"")</x:f>
      </x:c>
      <x:c r="D1784" s="7" t="str">
        <x:f>IF(ISNUMBER(B1784),'요약'!$B$7+'요약'!$B$13*B1784,"")</x:f>
      </x:c>
    </x:row>
    <x:row r="1785">
      <x:c r="A1785" t="n">
        <x:f>1781</x:f>
        <x:v>1781</x:v>
      </x:c>
      <x:c r="B1785" s="7" t="str">
        <x:f>IF(AND('요약'!$B$20,A1785&lt;='요약'!$B$6),NORM.S.INV((A1785-0.5)/'요약'!$B$6),"")</x:f>
      </x:c>
      <x:c r="C1785" s="7" t="str">
        <x:f>IF(AND('요약'!$B$20,A1785&lt;='요약'!$B$6),LARGE('계산'!$B$2:$B$2001,'요약'!$B$6-A1785+1),"")</x:f>
      </x:c>
      <x:c r="D1785" s="7" t="str">
        <x:f>IF(ISNUMBER(B1785),'요약'!$B$7+'요약'!$B$13*B1785,"")</x:f>
      </x:c>
    </x:row>
    <x:row r="1786">
      <x:c r="A1786" t="n">
        <x:f>1782</x:f>
        <x:v>1782</x:v>
      </x:c>
      <x:c r="B1786" s="7" t="str">
        <x:f>IF(AND('요약'!$B$20,A1786&lt;='요약'!$B$6),NORM.S.INV((A1786-0.5)/'요약'!$B$6),"")</x:f>
      </x:c>
      <x:c r="C1786" s="7" t="str">
        <x:f>IF(AND('요약'!$B$20,A1786&lt;='요약'!$B$6),LARGE('계산'!$B$2:$B$2001,'요약'!$B$6-A1786+1),"")</x:f>
      </x:c>
      <x:c r="D1786" s="7" t="str">
        <x:f>IF(ISNUMBER(B1786),'요약'!$B$7+'요약'!$B$13*B1786,"")</x:f>
      </x:c>
    </x:row>
    <x:row r="1787">
      <x:c r="A1787" t="n">
        <x:f>1783</x:f>
        <x:v>1783</x:v>
      </x:c>
      <x:c r="B1787" s="7" t="str">
        <x:f>IF(AND('요약'!$B$20,A1787&lt;='요약'!$B$6),NORM.S.INV((A1787-0.5)/'요약'!$B$6),"")</x:f>
      </x:c>
      <x:c r="C1787" s="7" t="str">
        <x:f>IF(AND('요약'!$B$20,A1787&lt;='요약'!$B$6),LARGE('계산'!$B$2:$B$2001,'요약'!$B$6-A1787+1),"")</x:f>
      </x:c>
      <x:c r="D1787" s="7" t="str">
        <x:f>IF(ISNUMBER(B1787),'요약'!$B$7+'요약'!$B$13*B1787,"")</x:f>
      </x:c>
    </x:row>
    <x:row r="1788">
      <x:c r="A1788" t="n">
        <x:f>1784</x:f>
        <x:v>1784</x:v>
      </x:c>
      <x:c r="B1788" s="7" t="str">
        <x:f>IF(AND('요약'!$B$20,A1788&lt;='요약'!$B$6),NORM.S.INV((A1788-0.5)/'요약'!$B$6),"")</x:f>
      </x:c>
      <x:c r="C1788" s="7" t="str">
        <x:f>IF(AND('요약'!$B$20,A1788&lt;='요약'!$B$6),LARGE('계산'!$B$2:$B$2001,'요약'!$B$6-A1788+1),"")</x:f>
      </x:c>
      <x:c r="D1788" s="7" t="str">
        <x:f>IF(ISNUMBER(B1788),'요약'!$B$7+'요약'!$B$13*B1788,"")</x:f>
      </x:c>
    </x:row>
    <x:row r="1789">
      <x:c r="A1789" t="n">
        <x:f>1785</x:f>
        <x:v>1785</x:v>
      </x:c>
      <x:c r="B1789" s="7" t="str">
        <x:f>IF(AND('요약'!$B$20,A1789&lt;='요약'!$B$6),NORM.S.INV((A1789-0.5)/'요약'!$B$6),"")</x:f>
      </x:c>
      <x:c r="C1789" s="7" t="str">
        <x:f>IF(AND('요약'!$B$20,A1789&lt;='요약'!$B$6),LARGE('계산'!$B$2:$B$2001,'요약'!$B$6-A1789+1),"")</x:f>
      </x:c>
      <x:c r="D1789" s="7" t="str">
        <x:f>IF(ISNUMBER(B1789),'요약'!$B$7+'요약'!$B$13*B1789,"")</x:f>
      </x:c>
    </x:row>
    <x:row r="1790">
      <x:c r="A1790" t="n">
        <x:f>1786</x:f>
        <x:v>1786</x:v>
      </x:c>
      <x:c r="B1790" s="7" t="str">
        <x:f>IF(AND('요약'!$B$20,A1790&lt;='요약'!$B$6),NORM.S.INV((A1790-0.5)/'요약'!$B$6),"")</x:f>
      </x:c>
      <x:c r="C1790" s="7" t="str">
        <x:f>IF(AND('요약'!$B$20,A1790&lt;='요약'!$B$6),LARGE('계산'!$B$2:$B$2001,'요약'!$B$6-A1790+1),"")</x:f>
      </x:c>
      <x:c r="D1790" s="7" t="str">
        <x:f>IF(ISNUMBER(B1790),'요약'!$B$7+'요약'!$B$13*B1790,"")</x:f>
      </x:c>
    </x:row>
    <x:row r="1791">
      <x:c r="A1791" t="n">
        <x:f>1787</x:f>
        <x:v>1787</x:v>
      </x:c>
      <x:c r="B1791" s="7" t="str">
        <x:f>IF(AND('요약'!$B$20,A1791&lt;='요약'!$B$6),NORM.S.INV((A1791-0.5)/'요약'!$B$6),"")</x:f>
      </x:c>
      <x:c r="C1791" s="7" t="str">
        <x:f>IF(AND('요약'!$B$20,A1791&lt;='요약'!$B$6),LARGE('계산'!$B$2:$B$2001,'요약'!$B$6-A1791+1),"")</x:f>
      </x:c>
      <x:c r="D1791" s="7" t="str">
        <x:f>IF(ISNUMBER(B1791),'요약'!$B$7+'요약'!$B$13*B1791,"")</x:f>
      </x:c>
    </x:row>
    <x:row r="1792">
      <x:c r="A1792" t="n">
        <x:f>1788</x:f>
        <x:v>1788</x:v>
      </x:c>
      <x:c r="B1792" s="7" t="str">
        <x:f>IF(AND('요약'!$B$20,A1792&lt;='요약'!$B$6),NORM.S.INV((A1792-0.5)/'요약'!$B$6),"")</x:f>
      </x:c>
      <x:c r="C1792" s="7" t="str">
        <x:f>IF(AND('요약'!$B$20,A1792&lt;='요약'!$B$6),LARGE('계산'!$B$2:$B$2001,'요약'!$B$6-A1792+1),"")</x:f>
      </x:c>
      <x:c r="D1792" s="7" t="str">
        <x:f>IF(ISNUMBER(B1792),'요약'!$B$7+'요약'!$B$13*B1792,"")</x:f>
      </x:c>
    </x:row>
    <x:row r="1793">
      <x:c r="A1793" t="n">
        <x:f>1789</x:f>
        <x:v>1789</x:v>
      </x:c>
      <x:c r="B1793" s="7" t="str">
        <x:f>IF(AND('요약'!$B$20,A1793&lt;='요약'!$B$6),NORM.S.INV((A1793-0.5)/'요약'!$B$6),"")</x:f>
      </x:c>
      <x:c r="C1793" s="7" t="str">
        <x:f>IF(AND('요약'!$B$20,A1793&lt;='요약'!$B$6),LARGE('계산'!$B$2:$B$2001,'요약'!$B$6-A1793+1),"")</x:f>
      </x:c>
      <x:c r="D1793" s="7" t="str">
        <x:f>IF(ISNUMBER(B1793),'요약'!$B$7+'요약'!$B$13*B1793,"")</x:f>
      </x:c>
    </x:row>
    <x:row r="1794">
      <x:c r="A1794" t="n">
        <x:f>1790</x:f>
        <x:v>1790</x:v>
      </x:c>
      <x:c r="B1794" s="7" t="str">
        <x:f>IF(AND('요약'!$B$20,A1794&lt;='요약'!$B$6),NORM.S.INV((A1794-0.5)/'요약'!$B$6),"")</x:f>
      </x:c>
      <x:c r="C1794" s="7" t="str">
        <x:f>IF(AND('요약'!$B$20,A1794&lt;='요약'!$B$6),LARGE('계산'!$B$2:$B$2001,'요약'!$B$6-A1794+1),"")</x:f>
      </x:c>
      <x:c r="D1794" s="7" t="str">
        <x:f>IF(ISNUMBER(B1794),'요약'!$B$7+'요약'!$B$13*B1794,"")</x:f>
      </x:c>
    </x:row>
    <x:row r="1795">
      <x:c r="A1795" t="n">
        <x:f>1791</x:f>
        <x:v>1791</x:v>
      </x:c>
      <x:c r="B1795" s="7" t="str">
        <x:f>IF(AND('요약'!$B$20,A1795&lt;='요약'!$B$6),NORM.S.INV((A1795-0.5)/'요약'!$B$6),"")</x:f>
      </x:c>
      <x:c r="C1795" s="7" t="str">
        <x:f>IF(AND('요약'!$B$20,A1795&lt;='요약'!$B$6),LARGE('계산'!$B$2:$B$2001,'요약'!$B$6-A1795+1),"")</x:f>
      </x:c>
      <x:c r="D1795" s="7" t="str">
        <x:f>IF(ISNUMBER(B1795),'요약'!$B$7+'요약'!$B$13*B1795,"")</x:f>
      </x:c>
    </x:row>
    <x:row r="1796">
      <x:c r="A1796" t="n">
        <x:f>1792</x:f>
        <x:v>1792</x:v>
      </x:c>
      <x:c r="B1796" s="7" t="str">
        <x:f>IF(AND('요약'!$B$20,A1796&lt;='요약'!$B$6),NORM.S.INV((A1796-0.5)/'요약'!$B$6),"")</x:f>
      </x:c>
      <x:c r="C1796" s="7" t="str">
        <x:f>IF(AND('요약'!$B$20,A1796&lt;='요약'!$B$6),LARGE('계산'!$B$2:$B$2001,'요약'!$B$6-A1796+1),"")</x:f>
      </x:c>
      <x:c r="D1796" s="7" t="str">
        <x:f>IF(ISNUMBER(B1796),'요약'!$B$7+'요약'!$B$13*B1796,"")</x:f>
      </x:c>
    </x:row>
    <x:row r="1797">
      <x:c r="A1797" t="n">
        <x:f>1793</x:f>
        <x:v>1793</x:v>
      </x:c>
      <x:c r="B1797" s="7" t="str">
        <x:f>IF(AND('요약'!$B$20,A1797&lt;='요약'!$B$6),NORM.S.INV((A1797-0.5)/'요약'!$B$6),"")</x:f>
      </x:c>
      <x:c r="C1797" s="7" t="str">
        <x:f>IF(AND('요약'!$B$20,A1797&lt;='요약'!$B$6),LARGE('계산'!$B$2:$B$2001,'요약'!$B$6-A1797+1),"")</x:f>
      </x:c>
      <x:c r="D1797" s="7" t="str">
        <x:f>IF(ISNUMBER(B1797),'요약'!$B$7+'요약'!$B$13*B1797,"")</x:f>
      </x:c>
    </x:row>
    <x:row r="1798">
      <x:c r="A1798" t="n">
        <x:f>1794</x:f>
        <x:v>1794</x:v>
      </x:c>
      <x:c r="B1798" s="7" t="str">
        <x:f>IF(AND('요약'!$B$20,A1798&lt;='요약'!$B$6),NORM.S.INV((A1798-0.5)/'요약'!$B$6),"")</x:f>
      </x:c>
      <x:c r="C1798" s="7" t="str">
        <x:f>IF(AND('요약'!$B$20,A1798&lt;='요약'!$B$6),LARGE('계산'!$B$2:$B$2001,'요약'!$B$6-A1798+1),"")</x:f>
      </x:c>
      <x:c r="D1798" s="7" t="str">
        <x:f>IF(ISNUMBER(B1798),'요약'!$B$7+'요약'!$B$13*B1798,"")</x:f>
      </x:c>
    </x:row>
    <x:row r="1799">
      <x:c r="A1799" t="n">
        <x:f>1795</x:f>
        <x:v>1795</x:v>
      </x:c>
      <x:c r="B1799" s="7" t="str">
        <x:f>IF(AND('요약'!$B$20,A1799&lt;='요약'!$B$6),NORM.S.INV((A1799-0.5)/'요약'!$B$6),"")</x:f>
      </x:c>
      <x:c r="C1799" s="7" t="str">
        <x:f>IF(AND('요약'!$B$20,A1799&lt;='요약'!$B$6),LARGE('계산'!$B$2:$B$2001,'요약'!$B$6-A1799+1),"")</x:f>
      </x:c>
      <x:c r="D1799" s="7" t="str">
        <x:f>IF(ISNUMBER(B1799),'요약'!$B$7+'요약'!$B$13*B1799,"")</x:f>
      </x:c>
    </x:row>
    <x:row r="1800">
      <x:c r="A1800" t="n">
        <x:f>1796</x:f>
        <x:v>1796</x:v>
      </x:c>
      <x:c r="B1800" s="7" t="str">
        <x:f>IF(AND('요약'!$B$20,A1800&lt;='요약'!$B$6),NORM.S.INV((A1800-0.5)/'요약'!$B$6),"")</x:f>
      </x:c>
      <x:c r="C1800" s="7" t="str">
        <x:f>IF(AND('요약'!$B$20,A1800&lt;='요약'!$B$6),LARGE('계산'!$B$2:$B$2001,'요약'!$B$6-A1800+1),"")</x:f>
      </x:c>
      <x:c r="D1800" s="7" t="str">
        <x:f>IF(ISNUMBER(B1800),'요약'!$B$7+'요약'!$B$13*B1800,"")</x:f>
      </x:c>
    </x:row>
    <x:row r="1801">
      <x:c r="A1801" t="n">
        <x:f>1797</x:f>
        <x:v>1797</x:v>
      </x:c>
      <x:c r="B1801" s="7" t="str">
        <x:f>IF(AND('요약'!$B$20,A1801&lt;='요약'!$B$6),NORM.S.INV((A1801-0.5)/'요약'!$B$6),"")</x:f>
      </x:c>
      <x:c r="C1801" s="7" t="str">
        <x:f>IF(AND('요약'!$B$20,A1801&lt;='요약'!$B$6),LARGE('계산'!$B$2:$B$2001,'요약'!$B$6-A1801+1),"")</x:f>
      </x:c>
      <x:c r="D1801" s="7" t="str">
        <x:f>IF(ISNUMBER(B1801),'요약'!$B$7+'요약'!$B$13*B1801,"")</x:f>
      </x:c>
    </x:row>
    <x:row r="1802">
      <x:c r="A1802" t="n">
        <x:f>1798</x:f>
        <x:v>1798</x:v>
      </x:c>
      <x:c r="B1802" s="7" t="str">
        <x:f>IF(AND('요약'!$B$20,A1802&lt;='요약'!$B$6),NORM.S.INV((A1802-0.5)/'요약'!$B$6),"")</x:f>
      </x:c>
      <x:c r="C1802" s="7" t="str">
        <x:f>IF(AND('요약'!$B$20,A1802&lt;='요약'!$B$6),LARGE('계산'!$B$2:$B$2001,'요약'!$B$6-A1802+1),"")</x:f>
      </x:c>
      <x:c r="D1802" s="7" t="str">
        <x:f>IF(ISNUMBER(B1802),'요약'!$B$7+'요약'!$B$13*B1802,"")</x:f>
      </x:c>
    </x:row>
    <x:row r="1803">
      <x:c r="A1803" t="n">
        <x:f>1799</x:f>
        <x:v>1799</x:v>
      </x:c>
      <x:c r="B1803" s="7" t="str">
        <x:f>IF(AND('요약'!$B$20,A1803&lt;='요약'!$B$6),NORM.S.INV((A1803-0.5)/'요약'!$B$6),"")</x:f>
      </x:c>
      <x:c r="C1803" s="7" t="str">
        <x:f>IF(AND('요약'!$B$20,A1803&lt;='요약'!$B$6),LARGE('계산'!$B$2:$B$2001,'요약'!$B$6-A1803+1),"")</x:f>
      </x:c>
      <x:c r="D1803" s="7" t="str">
        <x:f>IF(ISNUMBER(B1803),'요약'!$B$7+'요약'!$B$13*B1803,"")</x:f>
      </x:c>
    </x:row>
    <x:row r="1804">
      <x:c r="A1804" t="n">
        <x:f>1800</x:f>
        <x:v>1800</x:v>
      </x:c>
      <x:c r="B1804" s="7" t="str">
        <x:f>IF(AND('요약'!$B$20,A1804&lt;='요약'!$B$6),NORM.S.INV((A1804-0.5)/'요약'!$B$6),"")</x:f>
      </x:c>
      <x:c r="C1804" s="7" t="str">
        <x:f>IF(AND('요약'!$B$20,A1804&lt;='요약'!$B$6),LARGE('계산'!$B$2:$B$2001,'요약'!$B$6-A1804+1),"")</x:f>
      </x:c>
      <x:c r="D1804" s="7" t="str">
        <x:f>IF(ISNUMBER(B1804),'요약'!$B$7+'요약'!$B$13*B1804,"")</x:f>
      </x:c>
    </x:row>
    <x:row r="1805">
      <x:c r="A1805" t="n">
        <x:f>1801</x:f>
        <x:v>1801</x:v>
      </x:c>
      <x:c r="B1805" s="7" t="str">
        <x:f>IF(AND('요약'!$B$20,A1805&lt;='요약'!$B$6),NORM.S.INV((A1805-0.5)/'요약'!$B$6),"")</x:f>
      </x:c>
      <x:c r="C1805" s="7" t="str">
        <x:f>IF(AND('요약'!$B$20,A1805&lt;='요약'!$B$6),LARGE('계산'!$B$2:$B$2001,'요약'!$B$6-A1805+1),"")</x:f>
      </x:c>
      <x:c r="D1805" s="7" t="str">
        <x:f>IF(ISNUMBER(B1805),'요약'!$B$7+'요약'!$B$13*B1805,"")</x:f>
      </x:c>
    </x:row>
    <x:row r="1806">
      <x:c r="A1806" t="n">
        <x:f>1802</x:f>
        <x:v>1802</x:v>
      </x:c>
      <x:c r="B1806" s="7" t="str">
        <x:f>IF(AND('요약'!$B$20,A1806&lt;='요약'!$B$6),NORM.S.INV((A1806-0.5)/'요약'!$B$6),"")</x:f>
      </x:c>
      <x:c r="C1806" s="7" t="str">
        <x:f>IF(AND('요약'!$B$20,A1806&lt;='요약'!$B$6),LARGE('계산'!$B$2:$B$2001,'요약'!$B$6-A1806+1),"")</x:f>
      </x:c>
      <x:c r="D1806" s="7" t="str">
        <x:f>IF(ISNUMBER(B1806),'요약'!$B$7+'요약'!$B$13*B1806,"")</x:f>
      </x:c>
    </x:row>
    <x:row r="1807">
      <x:c r="A1807" t="n">
        <x:f>1803</x:f>
        <x:v>1803</x:v>
      </x:c>
      <x:c r="B1807" s="7" t="str">
        <x:f>IF(AND('요약'!$B$20,A1807&lt;='요약'!$B$6),NORM.S.INV((A1807-0.5)/'요약'!$B$6),"")</x:f>
      </x:c>
      <x:c r="C1807" s="7" t="str">
        <x:f>IF(AND('요약'!$B$20,A1807&lt;='요약'!$B$6),LARGE('계산'!$B$2:$B$2001,'요약'!$B$6-A1807+1),"")</x:f>
      </x:c>
      <x:c r="D1807" s="7" t="str">
        <x:f>IF(ISNUMBER(B1807),'요약'!$B$7+'요약'!$B$13*B1807,"")</x:f>
      </x:c>
    </x:row>
    <x:row r="1808">
      <x:c r="A1808" t="n">
        <x:f>1804</x:f>
        <x:v>1804</x:v>
      </x:c>
      <x:c r="B1808" s="7" t="str">
        <x:f>IF(AND('요약'!$B$20,A1808&lt;='요약'!$B$6),NORM.S.INV((A1808-0.5)/'요약'!$B$6),"")</x:f>
      </x:c>
      <x:c r="C1808" s="7" t="str">
        <x:f>IF(AND('요약'!$B$20,A1808&lt;='요약'!$B$6),LARGE('계산'!$B$2:$B$2001,'요약'!$B$6-A1808+1),"")</x:f>
      </x:c>
      <x:c r="D1808" s="7" t="str">
        <x:f>IF(ISNUMBER(B1808),'요약'!$B$7+'요약'!$B$13*B1808,"")</x:f>
      </x:c>
    </x:row>
    <x:row r="1809">
      <x:c r="A1809" t="n">
        <x:f>1805</x:f>
        <x:v>1805</x:v>
      </x:c>
      <x:c r="B1809" s="7" t="str">
        <x:f>IF(AND('요약'!$B$20,A1809&lt;='요약'!$B$6),NORM.S.INV((A1809-0.5)/'요약'!$B$6),"")</x:f>
      </x:c>
      <x:c r="C1809" s="7" t="str">
        <x:f>IF(AND('요약'!$B$20,A1809&lt;='요약'!$B$6),LARGE('계산'!$B$2:$B$2001,'요약'!$B$6-A1809+1),"")</x:f>
      </x:c>
      <x:c r="D1809" s="7" t="str">
        <x:f>IF(ISNUMBER(B1809),'요약'!$B$7+'요약'!$B$13*B1809,"")</x:f>
      </x:c>
    </x:row>
    <x:row r="1810">
      <x:c r="A1810" t="n">
        <x:f>1806</x:f>
        <x:v>1806</x:v>
      </x:c>
      <x:c r="B1810" s="7" t="str">
        <x:f>IF(AND('요약'!$B$20,A1810&lt;='요약'!$B$6),NORM.S.INV((A1810-0.5)/'요약'!$B$6),"")</x:f>
      </x:c>
      <x:c r="C1810" s="7" t="str">
        <x:f>IF(AND('요약'!$B$20,A1810&lt;='요약'!$B$6),LARGE('계산'!$B$2:$B$2001,'요약'!$B$6-A1810+1),"")</x:f>
      </x:c>
      <x:c r="D1810" s="7" t="str">
        <x:f>IF(ISNUMBER(B1810),'요약'!$B$7+'요약'!$B$13*B1810,"")</x:f>
      </x:c>
    </x:row>
    <x:row r="1811">
      <x:c r="A1811" t="n">
        <x:f>1807</x:f>
        <x:v>1807</x:v>
      </x:c>
      <x:c r="B1811" s="7" t="str">
        <x:f>IF(AND('요약'!$B$20,A1811&lt;='요약'!$B$6),NORM.S.INV((A1811-0.5)/'요약'!$B$6),"")</x:f>
      </x:c>
      <x:c r="C1811" s="7" t="str">
        <x:f>IF(AND('요약'!$B$20,A1811&lt;='요약'!$B$6),LARGE('계산'!$B$2:$B$2001,'요약'!$B$6-A1811+1),"")</x:f>
      </x:c>
      <x:c r="D1811" s="7" t="str">
        <x:f>IF(ISNUMBER(B1811),'요약'!$B$7+'요약'!$B$13*B1811,"")</x:f>
      </x:c>
    </x:row>
    <x:row r="1812">
      <x:c r="A1812" t="n">
        <x:f>1808</x:f>
        <x:v>1808</x:v>
      </x:c>
      <x:c r="B1812" s="7" t="str">
        <x:f>IF(AND('요약'!$B$20,A1812&lt;='요약'!$B$6),NORM.S.INV((A1812-0.5)/'요약'!$B$6),"")</x:f>
      </x:c>
      <x:c r="C1812" s="7" t="str">
        <x:f>IF(AND('요약'!$B$20,A1812&lt;='요약'!$B$6),LARGE('계산'!$B$2:$B$2001,'요약'!$B$6-A1812+1),"")</x:f>
      </x:c>
      <x:c r="D1812" s="7" t="str">
        <x:f>IF(ISNUMBER(B1812),'요약'!$B$7+'요약'!$B$13*B1812,"")</x:f>
      </x:c>
    </x:row>
    <x:row r="1813">
      <x:c r="A1813" t="n">
        <x:f>1809</x:f>
        <x:v>1809</x:v>
      </x:c>
      <x:c r="B1813" s="7" t="str">
        <x:f>IF(AND('요약'!$B$20,A1813&lt;='요약'!$B$6),NORM.S.INV((A1813-0.5)/'요약'!$B$6),"")</x:f>
      </x:c>
      <x:c r="C1813" s="7" t="str">
        <x:f>IF(AND('요약'!$B$20,A1813&lt;='요약'!$B$6),LARGE('계산'!$B$2:$B$2001,'요약'!$B$6-A1813+1),"")</x:f>
      </x:c>
      <x:c r="D1813" s="7" t="str">
        <x:f>IF(ISNUMBER(B1813),'요약'!$B$7+'요약'!$B$13*B1813,"")</x:f>
      </x:c>
    </x:row>
    <x:row r="1814">
      <x:c r="A1814" t="n">
        <x:f>1810</x:f>
        <x:v>1810</x:v>
      </x:c>
      <x:c r="B1814" s="7" t="str">
        <x:f>IF(AND('요약'!$B$20,A1814&lt;='요약'!$B$6),NORM.S.INV((A1814-0.5)/'요약'!$B$6),"")</x:f>
      </x:c>
      <x:c r="C1814" s="7" t="str">
        <x:f>IF(AND('요약'!$B$20,A1814&lt;='요약'!$B$6),LARGE('계산'!$B$2:$B$2001,'요약'!$B$6-A1814+1),"")</x:f>
      </x:c>
      <x:c r="D1814" s="7" t="str">
        <x:f>IF(ISNUMBER(B1814),'요약'!$B$7+'요약'!$B$13*B1814,"")</x:f>
      </x:c>
    </x:row>
    <x:row r="1815">
      <x:c r="A1815" t="n">
        <x:f>1811</x:f>
        <x:v>1811</x:v>
      </x:c>
      <x:c r="B1815" s="7" t="str">
        <x:f>IF(AND('요약'!$B$20,A1815&lt;='요약'!$B$6),NORM.S.INV((A1815-0.5)/'요약'!$B$6),"")</x:f>
      </x:c>
      <x:c r="C1815" s="7" t="str">
        <x:f>IF(AND('요약'!$B$20,A1815&lt;='요약'!$B$6),LARGE('계산'!$B$2:$B$2001,'요약'!$B$6-A1815+1),"")</x:f>
      </x:c>
      <x:c r="D1815" s="7" t="str">
        <x:f>IF(ISNUMBER(B1815),'요약'!$B$7+'요약'!$B$13*B1815,"")</x:f>
      </x:c>
    </x:row>
    <x:row r="1816">
      <x:c r="A1816" t="n">
        <x:f>1812</x:f>
        <x:v>1812</x:v>
      </x:c>
      <x:c r="B1816" s="7" t="str">
        <x:f>IF(AND('요약'!$B$20,A1816&lt;='요약'!$B$6),NORM.S.INV((A1816-0.5)/'요약'!$B$6),"")</x:f>
      </x:c>
      <x:c r="C1816" s="7" t="str">
        <x:f>IF(AND('요약'!$B$20,A1816&lt;='요약'!$B$6),LARGE('계산'!$B$2:$B$2001,'요약'!$B$6-A1816+1),"")</x:f>
      </x:c>
      <x:c r="D1816" s="7" t="str">
        <x:f>IF(ISNUMBER(B1816),'요약'!$B$7+'요약'!$B$13*B1816,"")</x:f>
      </x:c>
    </x:row>
    <x:row r="1817">
      <x:c r="A1817" t="n">
        <x:f>1813</x:f>
        <x:v>1813</x:v>
      </x:c>
      <x:c r="B1817" s="7" t="str">
        <x:f>IF(AND('요약'!$B$20,A1817&lt;='요약'!$B$6),NORM.S.INV((A1817-0.5)/'요약'!$B$6),"")</x:f>
      </x:c>
      <x:c r="C1817" s="7" t="str">
        <x:f>IF(AND('요약'!$B$20,A1817&lt;='요약'!$B$6),LARGE('계산'!$B$2:$B$2001,'요약'!$B$6-A1817+1),"")</x:f>
      </x:c>
      <x:c r="D1817" s="7" t="str">
        <x:f>IF(ISNUMBER(B1817),'요약'!$B$7+'요약'!$B$13*B1817,"")</x:f>
      </x:c>
    </x:row>
    <x:row r="1818">
      <x:c r="A1818" t="n">
        <x:f>1814</x:f>
        <x:v>1814</x:v>
      </x:c>
      <x:c r="B1818" s="7" t="str">
        <x:f>IF(AND('요약'!$B$20,A1818&lt;='요약'!$B$6),NORM.S.INV((A1818-0.5)/'요약'!$B$6),"")</x:f>
      </x:c>
      <x:c r="C1818" s="7" t="str">
        <x:f>IF(AND('요약'!$B$20,A1818&lt;='요약'!$B$6),LARGE('계산'!$B$2:$B$2001,'요약'!$B$6-A1818+1),"")</x:f>
      </x:c>
      <x:c r="D1818" s="7" t="str">
        <x:f>IF(ISNUMBER(B1818),'요약'!$B$7+'요약'!$B$13*B1818,"")</x:f>
      </x:c>
    </x:row>
    <x:row r="1819">
      <x:c r="A1819" t="n">
        <x:f>1815</x:f>
        <x:v>1815</x:v>
      </x:c>
      <x:c r="B1819" s="7" t="str">
        <x:f>IF(AND('요약'!$B$20,A1819&lt;='요약'!$B$6),NORM.S.INV((A1819-0.5)/'요약'!$B$6),"")</x:f>
      </x:c>
      <x:c r="C1819" s="7" t="str">
        <x:f>IF(AND('요약'!$B$20,A1819&lt;='요약'!$B$6),LARGE('계산'!$B$2:$B$2001,'요약'!$B$6-A1819+1),"")</x:f>
      </x:c>
      <x:c r="D1819" s="7" t="str">
        <x:f>IF(ISNUMBER(B1819),'요약'!$B$7+'요약'!$B$13*B1819,"")</x:f>
      </x:c>
    </x:row>
    <x:row r="1820">
      <x:c r="A1820" t="n">
        <x:f>1816</x:f>
        <x:v>1816</x:v>
      </x:c>
      <x:c r="B1820" s="7" t="str">
        <x:f>IF(AND('요약'!$B$20,A1820&lt;='요약'!$B$6),NORM.S.INV((A1820-0.5)/'요약'!$B$6),"")</x:f>
      </x:c>
      <x:c r="C1820" s="7" t="str">
        <x:f>IF(AND('요약'!$B$20,A1820&lt;='요약'!$B$6),LARGE('계산'!$B$2:$B$2001,'요약'!$B$6-A1820+1),"")</x:f>
      </x:c>
      <x:c r="D1820" s="7" t="str">
        <x:f>IF(ISNUMBER(B1820),'요약'!$B$7+'요약'!$B$13*B1820,"")</x:f>
      </x:c>
    </x:row>
    <x:row r="1821">
      <x:c r="A1821" t="n">
        <x:f>1817</x:f>
        <x:v>1817</x:v>
      </x:c>
      <x:c r="B1821" s="7" t="str">
        <x:f>IF(AND('요약'!$B$20,A1821&lt;='요약'!$B$6),NORM.S.INV((A1821-0.5)/'요약'!$B$6),"")</x:f>
      </x:c>
      <x:c r="C1821" s="7" t="str">
        <x:f>IF(AND('요약'!$B$20,A1821&lt;='요약'!$B$6),LARGE('계산'!$B$2:$B$2001,'요약'!$B$6-A1821+1),"")</x:f>
      </x:c>
      <x:c r="D1821" s="7" t="str">
        <x:f>IF(ISNUMBER(B1821),'요약'!$B$7+'요약'!$B$13*B1821,"")</x:f>
      </x:c>
    </x:row>
    <x:row r="1822">
      <x:c r="A1822" t="n">
        <x:f>1818</x:f>
        <x:v>1818</x:v>
      </x:c>
      <x:c r="B1822" s="7" t="str">
        <x:f>IF(AND('요약'!$B$20,A1822&lt;='요약'!$B$6),NORM.S.INV((A1822-0.5)/'요약'!$B$6),"")</x:f>
      </x:c>
      <x:c r="C1822" s="7" t="str">
        <x:f>IF(AND('요약'!$B$20,A1822&lt;='요약'!$B$6),LARGE('계산'!$B$2:$B$2001,'요약'!$B$6-A1822+1),"")</x:f>
      </x:c>
      <x:c r="D1822" s="7" t="str">
        <x:f>IF(ISNUMBER(B1822),'요약'!$B$7+'요약'!$B$13*B1822,"")</x:f>
      </x:c>
    </x:row>
    <x:row r="1823">
      <x:c r="A1823" t="n">
        <x:f>1819</x:f>
        <x:v>1819</x:v>
      </x:c>
      <x:c r="B1823" s="7" t="str">
        <x:f>IF(AND('요약'!$B$20,A1823&lt;='요약'!$B$6),NORM.S.INV((A1823-0.5)/'요약'!$B$6),"")</x:f>
      </x:c>
      <x:c r="C1823" s="7" t="str">
        <x:f>IF(AND('요약'!$B$20,A1823&lt;='요약'!$B$6),LARGE('계산'!$B$2:$B$2001,'요약'!$B$6-A1823+1),"")</x:f>
      </x:c>
      <x:c r="D1823" s="7" t="str">
        <x:f>IF(ISNUMBER(B1823),'요약'!$B$7+'요약'!$B$13*B1823,"")</x:f>
      </x:c>
    </x:row>
    <x:row r="1824">
      <x:c r="A1824" t="n">
        <x:f>1820</x:f>
        <x:v>1820</x:v>
      </x:c>
      <x:c r="B1824" s="7" t="str">
        <x:f>IF(AND('요약'!$B$20,A1824&lt;='요약'!$B$6),NORM.S.INV((A1824-0.5)/'요약'!$B$6),"")</x:f>
      </x:c>
      <x:c r="C1824" s="7" t="str">
        <x:f>IF(AND('요약'!$B$20,A1824&lt;='요약'!$B$6),LARGE('계산'!$B$2:$B$2001,'요약'!$B$6-A1824+1),"")</x:f>
      </x:c>
      <x:c r="D1824" s="7" t="str">
        <x:f>IF(ISNUMBER(B1824),'요약'!$B$7+'요약'!$B$13*B1824,"")</x:f>
      </x:c>
    </x:row>
    <x:row r="1825">
      <x:c r="A1825" t="n">
        <x:f>1821</x:f>
        <x:v>1821</x:v>
      </x:c>
      <x:c r="B1825" s="7" t="str">
        <x:f>IF(AND('요약'!$B$20,A1825&lt;='요약'!$B$6),NORM.S.INV((A1825-0.5)/'요약'!$B$6),"")</x:f>
      </x:c>
      <x:c r="C1825" s="7" t="str">
        <x:f>IF(AND('요약'!$B$20,A1825&lt;='요약'!$B$6),LARGE('계산'!$B$2:$B$2001,'요약'!$B$6-A1825+1),"")</x:f>
      </x:c>
      <x:c r="D1825" s="7" t="str">
        <x:f>IF(ISNUMBER(B1825),'요약'!$B$7+'요약'!$B$13*B1825,"")</x:f>
      </x:c>
    </x:row>
    <x:row r="1826">
      <x:c r="A1826" t="n">
        <x:f>1822</x:f>
        <x:v>1822</x:v>
      </x:c>
      <x:c r="B1826" s="7" t="str">
        <x:f>IF(AND('요약'!$B$20,A1826&lt;='요약'!$B$6),NORM.S.INV((A1826-0.5)/'요약'!$B$6),"")</x:f>
      </x:c>
      <x:c r="C1826" s="7" t="str">
        <x:f>IF(AND('요약'!$B$20,A1826&lt;='요약'!$B$6),LARGE('계산'!$B$2:$B$2001,'요약'!$B$6-A1826+1),"")</x:f>
      </x:c>
      <x:c r="D1826" s="7" t="str">
        <x:f>IF(ISNUMBER(B1826),'요약'!$B$7+'요약'!$B$13*B1826,"")</x:f>
      </x:c>
    </x:row>
    <x:row r="1827">
      <x:c r="A1827" t="n">
        <x:f>1823</x:f>
        <x:v>1823</x:v>
      </x:c>
      <x:c r="B1827" s="7" t="str">
        <x:f>IF(AND('요약'!$B$20,A1827&lt;='요약'!$B$6),NORM.S.INV((A1827-0.5)/'요약'!$B$6),"")</x:f>
      </x:c>
      <x:c r="C1827" s="7" t="str">
        <x:f>IF(AND('요약'!$B$20,A1827&lt;='요약'!$B$6),LARGE('계산'!$B$2:$B$2001,'요약'!$B$6-A1827+1),"")</x:f>
      </x:c>
      <x:c r="D1827" s="7" t="str">
        <x:f>IF(ISNUMBER(B1827),'요약'!$B$7+'요약'!$B$13*B1827,"")</x:f>
      </x:c>
    </x:row>
    <x:row r="1828">
      <x:c r="A1828" t="n">
        <x:f>1824</x:f>
        <x:v>1824</x:v>
      </x:c>
      <x:c r="B1828" s="7" t="str">
        <x:f>IF(AND('요약'!$B$20,A1828&lt;='요약'!$B$6),NORM.S.INV((A1828-0.5)/'요약'!$B$6),"")</x:f>
      </x:c>
      <x:c r="C1828" s="7" t="str">
        <x:f>IF(AND('요약'!$B$20,A1828&lt;='요약'!$B$6),LARGE('계산'!$B$2:$B$2001,'요약'!$B$6-A1828+1),"")</x:f>
      </x:c>
      <x:c r="D1828" s="7" t="str">
        <x:f>IF(ISNUMBER(B1828),'요약'!$B$7+'요약'!$B$13*B1828,"")</x:f>
      </x:c>
    </x:row>
    <x:row r="1829">
      <x:c r="A1829" t="n">
        <x:f>1825</x:f>
        <x:v>1825</x:v>
      </x:c>
      <x:c r="B1829" s="7" t="str">
        <x:f>IF(AND('요약'!$B$20,A1829&lt;='요약'!$B$6),NORM.S.INV((A1829-0.5)/'요약'!$B$6),"")</x:f>
      </x:c>
      <x:c r="C1829" s="7" t="str">
        <x:f>IF(AND('요약'!$B$20,A1829&lt;='요약'!$B$6),LARGE('계산'!$B$2:$B$2001,'요약'!$B$6-A1829+1),"")</x:f>
      </x:c>
      <x:c r="D1829" s="7" t="str">
        <x:f>IF(ISNUMBER(B1829),'요약'!$B$7+'요약'!$B$13*B1829,"")</x:f>
      </x:c>
    </x:row>
    <x:row r="1830">
      <x:c r="A1830" t="n">
        <x:f>1826</x:f>
        <x:v>1826</x:v>
      </x:c>
      <x:c r="B1830" s="7" t="str">
        <x:f>IF(AND('요약'!$B$20,A1830&lt;='요약'!$B$6),NORM.S.INV((A1830-0.5)/'요약'!$B$6),"")</x:f>
      </x:c>
      <x:c r="C1830" s="7" t="str">
        <x:f>IF(AND('요약'!$B$20,A1830&lt;='요약'!$B$6),LARGE('계산'!$B$2:$B$2001,'요약'!$B$6-A1830+1),"")</x:f>
      </x:c>
      <x:c r="D1830" s="7" t="str">
        <x:f>IF(ISNUMBER(B1830),'요약'!$B$7+'요약'!$B$13*B1830,"")</x:f>
      </x:c>
    </x:row>
    <x:row r="1831">
      <x:c r="A1831" t="n">
        <x:f>1827</x:f>
        <x:v>1827</x:v>
      </x:c>
      <x:c r="B1831" s="7" t="str">
        <x:f>IF(AND('요약'!$B$20,A1831&lt;='요약'!$B$6),NORM.S.INV((A1831-0.5)/'요약'!$B$6),"")</x:f>
      </x:c>
      <x:c r="C1831" s="7" t="str">
        <x:f>IF(AND('요약'!$B$20,A1831&lt;='요약'!$B$6),LARGE('계산'!$B$2:$B$2001,'요약'!$B$6-A1831+1),"")</x:f>
      </x:c>
      <x:c r="D1831" s="7" t="str">
        <x:f>IF(ISNUMBER(B1831),'요약'!$B$7+'요약'!$B$13*B1831,"")</x:f>
      </x:c>
    </x:row>
    <x:row r="1832">
      <x:c r="A1832" t="n">
        <x:f>1828</x:f>
        <x:v>1828</x:v>
      </x:c>
      <x:c r="B1832" s="7" t="str">
        <x:f>IF(AND('요약'!$B$20,A1832&lt;='요약'!$B$6),NORM.S.INV((A1832-0.5)/'요약'!$B$6),"")</x:f>
      </x:c>
      <x:c r="C1832" s="7" t="str">
        <x:f>IF(AND('요약'!$B$20,A1832&lt;='요약'!$B$6),LARGE('계산'!$B$2:$B$2001,'요약'!$B$6-A1832+1),"")</x:f>
      </x:c>
      <x:c r="D1832" s="7" t="str">
        <x:f>IF(ISNUMBER(B1832),'요약'!$B$7+'요약'!$B$13*B1832,"")</x:f>
      </x:c>
    </x:row>
    <x:row r="1833">
      <x:c r="A1833" t="n">
        <x:f>1829</x:f>
        <x:v>1829</x:v>
      </x:c>
      <x:c r="B1833" s="7" t="str">
        <x:f>IF(AND('요약'!$B$20,A1833&lt;='요약'!$B$6),NORM.S.INV((A1833-0.5)/'요약'!$B$6),"")</x:f>
      </x:c>
      <x:c r="C1833" s="7" t="str">
        <x:f>IF(AND('요약'!$B$20,A1833&lt;='요약'!$B$6),LARGE('계산'!$B$2:$B$2001,'요약'!$B$6-A1833+1),"")</x:f>
      </x:c>
      <x:c r="D1833" s="7" t="str">
        <x:f>IF(ISNUMBER(B1833),'요약'!$B$7+'요약'!$B$13*B1833,"")</x:f>
      </x:c>
    </x:row>
    <x:row r="1834">
      <x:c r="A1834" t="n">
        <x:f>1830</x:f>
        <x:v>1830</x:v>
      </x:c>
      <x:c r="B1834" s="7" t="str">
        <x:f>IF(AND('요약'!$B$20,A1834&lt;='요약'!$B$6),NORM.S.INV((A1834-0.5)/'요약'!$B$6),"")</x:f>
      </x:c>
      <x:c r="C1834" s="7" t="str">
        <x:f>IF(AND('요약'!$B$20,A1834&lt;='요약'!$B$6),LARGE('계산'!$B$2:$B$2001,'요약'!$B$6-A1834+1),"")</x:f>
      </x:c>
      <x:c r="D1834" s="7" t="str">
        <x:f>IF(ISNUMBER(B1834),'요약'!$B$7+'요약'!$B$13*B1834,"")</x:f>
      </x:c>
    </x:row>
    <x:row r="1835">
      <x:c r="A1835" t="n">
        <x:f>1831</x:f>
        <x:v>1831</x:v>
      </x:c>
      <x:c r="B1835" s="7" t="str">
        <x:f>IF(AND('요약'!$B$20,A1835&lt;='요약'!$B$6),NORM.S.INV((A1835-0.5)/'요약'!$B$6),"")</x:f>
      </x:c>
      <x:c r="C1835" s="7" t="str">
        <x:f>IF(AND('요약'!$B$20,A1835&lt;='요약'!$B$6),LARGE('계산'!$B$2:$B$2001,'요약'!$B$6-A1835+1),"")</x:f>
      </x:c>
      <x:c r="D1835" s="7" t="str">
        <x:f>IF(ISNUMBER(B1835),'요약'!$B$7+'요약'!$B$13*B1835,"")</x:f>
      </x:c>
    </x:row>
    <x:row r="1836">
      <x:c r="A1836" t="n">
        <x:f>1832</x:f>
        <x:v>1832</x:v>
      </x:c>
      <x:c r="B1836" s="7" t="str">
        <x:f>IF(AND('요약'!$B$20,A1836&lt;='요약'!$B$6),NORM.S.INV((A1836-0.5)/'요약'!$B$6),"")</x:f>
      </x:c>
      <x:c r="C1836" s="7" t="str">
        <x:f>IF(AND('요약'!$B$20,A1836&lt;='요약'!$B$6),LARGE('계산'!$B$2:$B$2001,'요약'!$B$6-A1836+1),"")</x:f>
      </x:c>
      <x:c r="D1836" s="7" t="str">
        <x:f>IF(ISNUMBER(B1836),'요약'!$B$7+'요약'!$B$13*B1836,"")</x:f>
      </x:c>
    </x:row>
    <x:row r="1837">
      <x:c r="A1837" t="n">
        <x:f>1833</x:f>
        <x:v>1833</x:v>
      </x:c>
      <x:c r="B1837" s="7" t="str">
        <x:f>IF(AND('요약'!$B$20,A1837&lt;='요약'!$B$6),NORM.S.INV((A1837-0.5)/'요약'!$B$6),"")</x:f>
      </x:c>
      <x:c r="C1837" s="7" t="str">
        <x:f>IF(AND('요약'!$B$20,A1837&lt;='요약'!$B$6),LARGE('계산'!$B$2:$B$2001,'요약'!$B$6-A1837+1),"")</x:f>
      </x:c>
      <x:c r="D1837" s="7" t="str">
        <x:f>IF(ISNUMBER(B1837),'요약'!$B$7+'요약'!$B$13*B1837,"")</x:f>
      </x:c>
    </x:row>
    <x:row r="1838">
      <x:c r="A1838" t="n">
        <x:f>1834</x:f>
        <x:v>1834</x:v>
      </x:c>
      <x:c r="B1838" s="7" t="str">
        <x:f>IF(AND('요약'!$B$20,A1838&lt;='요약'!$B$6),NORM.S.INV((A1838-0.5)/'요약'!$B$6),"")</x:f>
      </x:c>
      <x:c r="C1838" s="7" t="str">
        <x:f>IF(AND('요약'!$B$20,A1838&lt;='요약'!$B$6),LARGE('계산'!$B$2:$B$2001,'요약'!$B$6-A1838+1),"")</x:f>
      </x:c>
      <x:c r="D1838" s="7" t="str">
        <x:f>IF(ISNUMBER(B1838),'요약'!$B$7+'요약'!$B$13*B1838,"")</x:f>
      </x:c>
    </x:row>
    <x:row r="1839">
      <x:c r="A1839" t="n">
        <x:f>1835</x:f>
        <x:v>1835</x:v>
      </x:c>
      <x:c r="B1839" s="7" t="str">
        <x:f>IF(AND('요약'!$B$20,A1839&lt;='요약'!$B$6),NORM.S.INV((A1839-0.5)/'요약'!$B$6),"")</x:f>
      </x:c>
      <x:c r="C1839" s="7" t="str">
        <x:f>IF(AND('요약'!$B$20,A1839&lt;='요약'!$B$6),LARGE('계산'!$B$2:$B$2001,'요약'!$B$6-A1839+1),"")</x:f>
      </x:c>
      <x:c r="D1839" s="7" t="str">
        <x:f>IF(ISNUMBER(B1839),'요약'!$B$7+'요약'!$B$13*B1839,"")</x:f>
      </x:c>
    </x:row>
    <x:row r="1840">
      <x:c r="A1840" t="n">
        <x:f>1836</x:f>
        <x:v>1836</x:v>
      </x:c>
      <x:c r="B1840" s="7" t="str">
        <x:f>IF(AND('요약'!$B$20,A1840&lt;='요약'!$B$6),NORM.S.INV((A1840-0.5)/'요약'!$B$6),"")</x:f>
      </x:c>
      <x:c r="C1840" s="7" t="str">
        <x:f>IF(AND('요약'!$B$20,A1840&lt;='요약'!$B$6),LARGE('계산'!$B$2:$B$2001,'요약'!$B$6-A1840+1),"")</x:f>
      </x:c>
      <x:c r="D1840" s="7" t="str">
        <x:f>IF(ISNUMBER(B1840),'요약'!$B$7+'요약'!$B$13*B1840,"")</x:f>
      </x:c>
    </x:row>
    <x:row r="1841">
      <x:c r="A1841" t="n">
        <x:f>1837</x:f>
        <x:v>1837</x:v>
      </x:c>
      <x:c r="B1841" s="7" t="str">
        <x:f>IF(AND('요약'!$B$20,A1841&lt;='요약'!$B$6),NORM.S.INV((A1841-0.5)/'요약'!$B$6),"")</x:f>
      </x:c>
      <x:c r="C1841" s="7" t="str">
        <x:f>IF(AND('요약'!$B$20,A1841&lt;='요약'!$B$6),LARGE('계산'!$B$2:$B$2001,'요약'!$B$6-A1841+1),"")</x:f>
      </x:c>
      <x:c r="D1841" s="7" t="str">
        <x:f>IF(ISNUMBER(B1841),'요약'!$B$7+'요약'!$B$13*B1841,"")</x:f>
      </x:c>
    </x:row>
    <x:row r="1842">
      <x:c r="A1842" t="n">
        <x:f>1838</x:f>
        <x:v>1838</x:v>
      </x:c>
      <x:c r="B1842" s="7" t="str">
        <x:f>IF(AND('요약'!$B$20,A1842&lt;='요약'!$B$6),NORM.S.INV((A1842-0.5)/'요약'!$B$6),"")</x:f>
      </x:c>
      <x:c r="C1842" s="7" t="str">
        <x:f>IF(AND('요약'!$B$20,A1842&lt;='요약'!$B$6),LARGE('계산'!$B$2:$B$2001,'요약'!$B$6-A1842+1),"")</x:f>
      </x:c>
      <x:c r="D1842" s="7" t="str">
        <x:f>IF(ISNUMBER(B1842),'요약'!$B$7+'요약'!$B$13*B1842,"")</x:f>
      </x:c>
    </x:row>
    <x:row r="1843">
      <x:c r="A1843" t="n">
        <x:f>1839</x:f>
        <x:v>1839</x:v>
      </x:c>
      <x:c r="B1843" s="7" t="str">
        <x:f>IF(AND('요약'!$B$20,A1843&lt;='요약'!$B$6),NORM.S.INV((A1843-0.5)/'요약'!$B$6),"")</x:f>
      </x:c>
      <x:c r="C1843" s="7" t="str">
        <x:f>IF(AND('요약'!$B$20,A1843&lt;='요약'!$B$6),LARGE('계산'!$B$2:$B$2001,'요약'!$B$6-A1843+1),"")</x:f>
      </x:c>
      <x:c r="D1843" s="7" t="str">
        <x:f>IF(ISNUMBER(B1843),'요약'!$B$7+'요약'!$B$13*B1843,"")</x:f>
      </x:c>
    </x:row>
    <x:row r="1844">
      <x:c r="A1844" t="n">
        <x:f>1840</x:f>
        <x:v>1840</x:v>
      </x:c>
      <x:c r="B1844" s="7" t="str">
        <x:f>IF(AND('요약'!$B$20,A1844&lt;='요약'!$B$6),NORM.S.INV((A1844-0.5)/'요약'!$B$6),"")</x:f>
      </x:c>
      <x:c r="C1844" s="7" t="str">
        <x:f>IF(AND('요약'!$B$20,A1844&lt;='요약'!$B$6),LARGE('계산'!$B$2:$B$2001,'요약'!$B$6-A1844+1),"")</x:f>
      </x:c>
      <x:c r="D1844" s="7" t="str">
        <x:f>IF(ISNUMBER(B1844),'요약'!$B$7+'요약'!$B$13*B1844,"")</x:f>
      </x:c>
    </x:row>
    <x:row r="1845">
      <x:c r="A1845" t="n">
        <x:f>1841</x:f>
        <x:v>1841</x:v>
      </x:c>
      <x:c r="B1845" s="7" t="str">
        <x:f>IF(AND('요약'!$B$20,A1845&lt;='요약'!$B$6),NORM.S.INV((A1845-0.5)/'요약'!$B$6),"")</x:f>
      </x:c>
      <x:c r="C1845" s="7" t="str">
        <x:f>IF(AND('요약'!$B$20,A1845&lt;='요약'!$B$6),LARGE('계산'!$B$2:$B$2001,'요약'!$B$6-A1845+1),"")</x:f>
      </x:c>
      <x:c r="D1845" s="7" t="str">
        <x:f>IF(ISNUMBER(B1845),'요약'!$B$7+'요약'!$B$13*B1845,"")</x:f>
      </x:c>
    </x:row>
    <x:row r="1846">
      <x:c r="A1846" t="n">
        <x:f>1842</x:f>
        <x:v>1842</x:v>
      </x:c>
      <x:c r="B1846" s="7" t="str">
        <x:f>IF(AND('요약'!$B$20,A1846&lt;='요약'!$B$6),NORM.S.INV((A1846-0.5)/'요약'!$B$6),"")</x:f>
      </x:c>
      <x:c r="C1846" s="7" t="str">
        <x:f>IF(AND('요약'!$B$20,A1846&lt;='요약'!$B$6),LARGE('계산'!$B$2:$B$2001,'요약'!$B$6-A1846+1),"")</x:f>
      </x:c>
      <x:c r="D1846" s="7" t="str">
        <x:f>IF(ISNUMBER(B1846),'요약'!$B$7+'요약'!$B$13*B1846,"")</x:f>
      </x:c>
    </x:row>
    <x:row r="1847">
      <x:c r="A1847" t="n">
        <x:f>1843</x:f>
        <x:v>1843</x:v>
      </x:c>
      <x:c r="B1847" s="7" t="str">
        <x:f>IF(AND('요약'!$B$20,A1847&lt;='요약'!$B$6),NORM.S.INV((A1847-0.5)/'요약'!$B$6),"")</x:f>
      </x:c>
      <x:c r="C1847" s="7" t="str">
        <x:f>IF(AND('요약'!$B$20,A1847&lt;='요약'!$B$6),LARGE('계산'!$B$2:$B$2001,'요약'!$B$6-A1847+1),"")</x:f>
      </x:c>
      <x:c r="D1847" s="7" t="str">
        <x:f>IF(ISNUMBER(B1847),'요약'!$B$7+'요약'!$B$13*B1847,"")</x:f>
      </x:c>
    </x:row>
    <x:row r="1848">
      <x:c r="A1848" t="n">
        <x:f>1844</x:f>
        <x:v>1844</x:v>
      </x:c>
      <x:c r="B1848" s="7" t="str">
        <x:f>IF(AND('요약'!$B$20,A1848&lt;='요약'!$B$6),NORM.S.INV((A1848-0.5)/'요약'!$B$6),"")</x:f>
      </x:c>
      <x:c r="C1848" s="7" t="str">
        <x:f>IF(AND('요약'!$B$20,A1848&lt;='요약'!$B$6),LARGE('계산'!$B$2:$B$2001,'요약'!$B$6-A1848+1),"")</x:f>
      </x:c>
      <x:c r="D1848" s="7" t="str">
        <x:f>IF(ISNUMBER(B1848),'요약'!$B$7+'요약'!$B$13*B1848,"")</x:f>
      </x:c>
    </x:row>
    <x:row r="1849">
      <x:c r="A1849" t="n">
        <x:f>1845</x:f>
        <x:v>1845</x:v>
      </x:c>
      <x:c r="B1849" s="7" t="str">
        <x:f>IF(AND('요약'!$B$20,A1849&lt;='요약'!$B$6),NORM.S.INV((A1849-0.5)/'요약'!$B$6),"")</x:f>
      </x:c>
      <x:c r="C1849" s="7" t="str">
        <x:f>IF(AND('요약'!$B$20,A1849&lt;='요약'!$B$6),LARGE('계산'!$B$2:$B$2001,'요약'!$B$6-A1849+1),"")</x:f>
      </x:c>
      <x:c r="D1849" s="7" t="str">
        <x:f>IF(ISNUMBER(B1849),'요약'!$B$7+'요약'!$B$13*B1849,"")</x:f>
      </x:c>
    </x:row>
    <x:row r="1850">
      <x:c r="A1850" t="n">
        <x:f>1846</x:f>
        <x:v>1846</x:v>
      </x:c>
      <x:c r="B1850" s="7" t="str">
        <x:f>IF(AND('요약'!$B$20,A1850&lt;='요약'!$B$6),NORM.S.INV((A1850-0.5)/'요약'!$B$6),"")</x:f>
      </x:c>
      <x:c r="C1850" s="7" t="str">
        <x:f>IF(AND('요약'!$B$20,A1850&lt;='요약'!$B$6),LARGE('계산'!$B$2:$B$2001,'요약'!$B$6-A1850+1),"")</x:f>
      </x:c>
      <x:c r="D1850" s="7" t="str">
        <x:f>IF(ISNUMBER(B1850),'요약'!$B$7+'요약'!$B$13*B1850,"")</x:f>
      </x:c>
    </x:row>
    <x:row r="1851">
      <x:c r="A1851" t="n">
        <x:f>1847</x:f>
        <x:v>1847</x:v>
      </x:c>
      <x:c r="B1851" s="7" t="str">
        <x:f>IF(AND('요약'!$B$20,A1851&lt;='요약'!$B$6),NORM.S.INV((A1851-0.5)/'요약'!$B$6),"")</x:f>
      </x:c>
      <x:c r="C1851" s="7" t="str">
        <x:f>IF(AND('요약'!$B$20,A1851&lt;='요약'!$B$6),LARGE('계산'!$B$2:$B$2001,'요약'!$B$6-A1851+1),"")</x:f>
      </x:c>
      <x:c r="D1851" s="7" t="str">
        <x:f>IF(ISNUMBER(B1851),'요약'!$B$7+'요약'!$B$13*B1851,"")</x:f>
      </x:c>
    </x:row>
    <x:row r="1852">
      <x:c r="A1852" t="n">
        <x:f>1848</x:f>
        <x:v>1848</x:v>
      </x:c>
      <x:c r="B1852" s="7" t="str">
        <x:f>IF(AND('요약'!$B$20,A1852&lt;='요약'!$B$6),NORM.S.INV((A1852-0.5)/'요약'!$B$6),"")</x:f>
      </x:c>
      <x:c r="C1852" s="7" t="str">
        <x:f>IF(AND('요약'!$B$20,A1852&lt;='요약'!$B$6),LARGE('계산'!$B$2:$B$2001,'요약'!$B$6-A1852+1),"")</x:f>
      </x:c>
      <x:c r="D1852" s="7" t="str">
        <x:f>IF(ISNUMBER(B1852),'요약'!$B$7+'요약'!$B$13*B1852,"")</x:f>
      </x:c>
    </x:row>
    <x:row r="1853">
      <x:c r="A1853" t="n">
        <x:f>1849</x:f>
        <x:v>1849</x:v>
      </x:c>
      <x:c r="B1853" s="7" t="str">
        <x:f>IF(AND('요약'!$B$20,A1853&lt;='요약'!$B$6),NORM.S.INV((A1853-0.5)/'요약'!$B$6),"")</x:f>
      </x:c>
      <x:c r="C1853" s="7" t="str">
        <x:f>IF(AND('요약'!$B$20,A1853&lt;='요약'!$B$6),LARGE('계산'!$B$2:$B$2001,'요약'!$B$6-A1853+1),"")</x:f>
      </x:c>
      <x:c r="D1853" s="7" t="str">
        <x:f>IF(ISNUMBER(B1853),'요약'!$B$7+'요약'!$B$13*B1853,"")</x:f>
      </x:c>
    </x:row>
    <x:row r="1854">
      <x:c r="A1854" t="n">
        <x:f>1850</x:f>
        <x:v>1850</x:v>
      </x:c>
      <x:c r="B1854" s="7" t="str">
        <x:f>IF(AND('요약'!$B$20,A1854&lt;='요약'!$B$6),NORM.S.INV((A1854-0.5)/'요약'!$B$6),"")</x:f>
      </x:c>
      <x:c r="C1854" s="7" t="str">
        <x:f>IF(AND('요약'!$B$20,A1854&lt;='요약'!$B$6),LARGE('계산'!$B$2:$B$2001,'요약'!$B$6-A1854+1),"")</x:f>
      </x:c>
      <x:c r="D1854" s="7" t="str">
        <x:f>IF(ISNUMBER(B1854),'요약'!$B$7+'요약'!$B$13*B1854,"")</x:f>
      </x:c>
    </x:row>
    <x:row r="1855">
      <x:c r="A1855" t="n">
        <x:f>1851</x:f>
        <x:v>1851</x:v>
      </x:c>
      <x:c r="B1855" s="7" t="str">
        <x:f>IF(AND('요약'!$B$20,A1855&lt;='요약'!$B$6),NORM.S.INV((A1855-0.5)/'요약'!$B$6),"")</x:f>
      </x:c>
      <x:c r="C1855" s="7" t="str">
        <x:f>IF(AND('요약'!$B$20,A1855&lt;='요약'!$B$6),LARGE('계산'!$B$2:$B$2001,'요약'!$B$6-A1855+1),"")</x:f>
      </x:c>
      <x:c r="D1855" s="7" t="str">
        <x:f>IF(ISNUMBER(B1855),'요약'!$B$7+'요약'!$B$13*B1855,"")</x:f>
      </x:c>
    </x:row>
    <x:row r="1856">
      <x:c r="A1856" t="n">
        <x:f>1852</x:f>
        <x:v>1852</x:v>
      </x:c>
      <x:c r="B1856" s="7" t="str">
        <x:f>IF(AND('요약'!$B$20,A1856&lt;='요약'!$B$6),NORM.S.INV((A1856-0.5)/'요약'!$B$6),"")</x:f>
      </x:c>
      <x:c r="C1856" s="7" t="str">
        <x:f>IF(AND('요약'!$B$20,A1856&lt;='요약'!$B$6),LARGE('계산'!$B$2:$B$2001,'요약'!$B$6-A1856+1),"")</x:f>
      </x:c>
      <x:c r="D1856" s="7" t="str">
        <x:f>IF(ISNUMBER(B1856),'요약'!$B$7+'요약'!$B$13*B1856,"")</x:f>
      </x:c>
    </x:row>
    <x:row r="1857">
      <x:c r="A1857" t="n">
        <x:f>1853</x:f>
        <x:v>1853</x:v>
      </x:c>
      <x:c r="B1857" s="7" t="str">
        <x:f>IF(AND('요약'!$B$20,A1857&lt;='요약'!$B$6),NORM.S.INV((A1857-0.5)/'요약'!$B$6),"")</x:f>
      </x:c>
      <x:c r="C1857" s="7" t="str">
        <x:f>IF(AND('요약'!$B$20,A1857&lt;='요약'!$B$6),LARGE('계산'!$B$2:$B$2001,'요약'!$B$6-A1857+1),"")</x:f>
      </x:c>
      <x:c r="D1857" s="7" t="str">
        <x:f>IF(ISNUMBER(B1857),'요약'!$B$7+'요약'!$B$13*B1857,"")</x:f>
      </x:c>
    </x:row>
    <x:row r="1858">
      <x:c r="A1858" t="n">
        <x:f>1854</x:f>
        <x:v>1854</x:v>
      </x:c>
      <x:c r="B1858" s="7" t="str">
        <x:f>IF(AND('요약'!$B$20,A1858&lt;='요약'!$B$6),NORM.S.INV((A1858-0.5)/'요약'!$B$6),"")</x:f>
      </x:c>
      <x:c r="C1858" s="7" t="str">
        <x:f>IF(AND('요약'!$B$20,A1858&lt;='요약'!$B$6),LARGE('계산'!$B$2:$B$2001,'요약'!$B$6-A1858+1),"")</x:f>
      </x:c>
      <x:c r="D1858" s="7" t="str">
        <x:f>IF(ISNUMBER(B1858),'요약'!$B$7+'요약'!$B$13*B1858,"")</x:f>
      </x:c>
    </x:row>
    <x:row r="1859">
      <x:c r="A1859" t="n">
        <x:f>1855</x:f>
        <x:v>1855</x:v>
      </x:c>
      <x:c r="B1859" s="7" t="str">
        <x:f>IF(AND('요약'!$B$20,A1859&lt;='요약'!$B$6),NORM.S.INV((A1859-0.5)/'요약'!$B$6),"")</x:f>
      </x:c>
      <x:c r="C1859" s="7" t="str">
        <x:f>IF(AND('요약'!$B$20,A1859&lt;='요약'!$B$6),LARGE('계산'!$B$2:$B$2001,'요약'!$B$6-A1859+1),"")</x:f>
      </x:c>
      <x:c r="D1859" s="7" t="str">
        <x:f>IF(ISNUMBER(B1859),'요약'!$B$7+'요약'!$B$13*B1859,"")</x:f>
      </x:c>
    </x:row>
    <x:row r="1860">
      <x:c r="A1860" t="n">
        <x:f>1856</x:f>
        <x:v>1856</x:v>
      </x:c>
      <x:c r="B1860" s="7" t="str">
        <x:f>IF(AND('요약'!$B$20,A1860&lt;='요약'!$B$6),NORM.S.INV((A1860-0.5)/'요약'!$B$6),"")</x:f>
      </x:c>
      <x:c r="C1860" s="7" t="str">
        <x:f>IF(AND('요약'!$B$20,A1860&lt;='요약'!$B$6),LARGE('계산'!$B$2:$B$2001,'요약'!$B$6-A1860+1),"")</x:f>
      </x:c>
      <x:c r="D1860" s="7" t="str">
        <x:f>IF(ISNUMBER(B1860),'요약'!$B$7+'요약'!$B$13*B1860,"")</x:f>
      </x:c>
    </x:row>
    <x:row r="1861">
      <x:c r="A1861" t="n">
        <x:f>1857</x:f>
        <x:v>1857</x:v>
      </x:c>
      <x:c r="B1861" s="7" t="str">
        <x:f>IF(AND('요약'!$B$20,A1861&lt;='요약'!$B$6),NORM.S.INV((A1861-0.5)/'요약'!$B$6),"")</x:f>
      </x:c>
      <x:c r="C1861" s="7" t="str">
        <x:f>IF(AND('요약'!$B$20,A1861&lt;='요약'!$B$6),LARGE('계산'!$B$2:$B$2001,'요약'!$B$6-A1861+1),"")</x:f>
      </x:c>
      <x:c r="D1861" s="7" t="str">
        <x:f>IF(ISNUMBER(B1861),'요약'!$B$7+'요약'!$B$13*B1861,"")</x:f>
      </x:c>
    </x:row>
    <x:row r="1862">
      <x:c r="A1862" t="n">
        <x:f>1858</x:f>
        <x:v>1858</x:v>
      </x:c>
      <x:c r="B1862" s="7" t="str">
        <x:f>IF(AND('요약'!$B$20,A1862&lt;='요약'!$B$6),NORM.S.INV((A1862-0.5)/'요약'!$B$6),"")</x:f>
      </x:c>
      <x:c r="C1862" s="7" t="str">
        <x:f>IF(AND('요약'!$B$20,A1862&lt;='요약'!$B$6),LARGE('계산'!$B$2:$B$2001,'요약'!$B$6-A1862+1),"")</x:f>
      </x:c>
      <x:c r="D1862" s="7" t="str">
        <x:f>IF(ISNUMBER(B1862),'요약'!$B$7+'요약'!$B$13*B1862,"")</x:f>
      </x:c>
    </x:row>
    <x:row r="1863">
      <x:c r="A1863" t="n">
        <x:f>1859</x:f>
        <x:v>1859</x:v>
      </x:c>
      <x:c r="B1863" s="7" t="str">
        <x:f>IF(AND('요약'!$B$20,A1863&lt;='요약'!$B$6),NORM.S.INV((A1863-0.5)/'요약'!$B$6),"")</x:f>
      </x:c>
      <x:c r="C1863" s="7" t="str">
        <x:f>IF(AND('요약'!$B$20,A1863&lt;='요약'!$B$6),LARGE('계산'!$B$2:$B$2001,'요약'!$B$6-A1863+1),"")</x:f>
      </x:c>
      <x:c r="D1863" s="7" t="str">
        <x:f>IF(ISNUMBER(B1863),'요약'!$B$7+'요약'!$B$13*B1863,"")</x:f>
      </x:c>
    </x:row>
    <x:row r="1864">
      <x:c r="A1864" t="n">
        <x:f>1860</x:f>
        <x:v>1860</x:v>
      </x:c>
      <x:c r="B1864" s="7" t="str">
        <x:f>IF(AND('요약'!$B$20,A1864&lt;='요약'!$B$6),NORM.S.INV((A1864-0.5)/'요약'!$B$6),"")</x:f>
      </x:c>
      <x:c r="C1864" s="7" t="str">
        <x:f>IF(AND('요약'!$B$20,A1864&lt;='요약'!$B$6),LARGE('계산'!$B$2:$B$2001,'요약'!$B$6-A1864+1),"")</x:f>
      </x:c>
      <x:c r="D1864" s="7" t="str">
        <x:f>IF(ISNUMBER(B1864),'요약'!$B$7+'요약'!$B$13*B1864,"")</x:f>
      </x:c>
    </x:row>
    <x:row r="1865">
      <x:c r="A1865" t="n">
        <x:f>1861</x:f>
        <x:v>1861</x:v>
      </x:c>
      <x:c r="B1865" s="7" t="str">
        <x:f>IF(AND('요약'!$B$20,A1865&lt;='요약'!$B$6),NORM.S.INV((A1865-0.5)/'요약'!$B$6),"")</x:f>
      </x:c>
      <x:c r="C1865" s="7" t="str">
        <x:f>IF(AND('요약'!$B$20,A1865&lt;='요약'!$B$6),LARGE('계산'!$B$2:$B$2001,'요약'!$B$6-A1865+1),"")</x:f>
      </x:c>
      <x:c r="D1865" s="7" t="str">
        <x:f>IF(ISNUMBER(B1865),'요약'!$B$7+'요약'!$B$13*B1865,"")</x:f>
      </x:c>
    </x:row>
    <x:row r="1866">
      <x:c r="A1866" t="n">
        <x:f>1862</x:f>
        <x:v>1862</x:v>
      </x:c>
      <x:c r="B1866" s="7" t="str">
        <x:f>IF(AND('요약'!$B$20,A1866&lt;='요약'!$B$6),NORM.S.INV((A1866-0.5)/'요약'!$B$6),"")</x:f>
      </x:c>
      <x:c r="C1866" s="7" t="str">
        <x:f>IF(AND('요약'!$B$20,A1866&lt;='요약'!$B$6),LARGE('계산'!$B$2:$B$2001,'요약'!$B$6-A1866+1),"")</x:f>
      </x:c>
      <x:c r="D1866" s="7" t="str">
        <x:f>IF(ISNUMBER(B1866),'요약'!$B$7+'요약'!$B$13*B1866,"")</x:f>
      </x:c>
    </x:row>
    <x:row r="1867">
      <x:c r="A1867" t="n">
        <x:f>1863</x:f>
        <x:v>1863</x:v>
      </x:c>
      <x:c r="B1867" s="7" t="str">
        <x:f>IF(AND('요약'!$B$20,A1867&lt;='요약'!$B$6),NORM.S.INV((A1867-0.5)/'요약'!$B$6),"")</x:f>
      </x:c>
      <x:c r="C1867" s="7" t="str">
        <x:f>IF(AND('요약'!$B$20,A1867&lt;='요약'!$B$6),LARGE('계산'!$B$2:$B$2001,'요약'!$B$6-A1867+1),"")</x:f>
      </x:c>
      <x:c r="D1867" s="7" t="str">
        <x:f>IF(ISNUMBER(B1867),'요약'!$B$7+'요약'!$B$13*B1867,"")</x:f>
      </x:c>
    </x:row>
    <x:row r="1868">
      <x:c r="A1868" t="n">
        <x:f>1864</x:f>
        <x:v>1864</x:v>
      </x:c>
      <x:c r="B1868" s="7" t="str">
        <x:f>IF(AND('요약'!$B$20,A1868&lt;='요약'!$B$6),NORM.S.INV((A1868-0.5)/'요약'!$B$6),"")</x:f>
      </x:c>
      <x:c r="C1868" s="7" t="str">
        <x:f>IF(AND('요약'!$B$20,A1868&lt;='요약'!$B$6),LARGE('계산'!$B$2:$B$2001,'요약'!$B$6-A1868+1),"")</x:f>
      </x:c>
      <x:c r="D1868" s="7" t="str">
        <x:f>IF(ISNUMBER(B1868),'요약'!$B$7+'요약'!$B$13*B1868,"")</x:f>
      </x:c>
    </x:row>
    <x:row r="1869">
      <x:c r="A1869" t="n">
        <x:f>1865</x:f>
        <x:v>1865</x:v>
      </x:c>
      <x:c r="B1869" s="7" t="str">
        <x:f>IF(AND('요약'!$B$20,A1869&lt;='요약'!$B$6),NORM.S.INV((A1869-0.5)/'요약'!$B$6),"")</x:f>
      </x:c>
      <x:c r="C1869" s="7" t="str">
        <x:f>IF(AND('요약'!$B$20,A1869&lt;='요약'!$B$6),LARGE('계산'!$B$2:$B$2001,'요약'!$B$6-A1869+1),"")</x:f>
      </x:c>
      <x:c r="D1869" s="7" t="str">
        <x:f>IF(ISNUMBER(B1869),'요약'!$B$7+'요약'!$B$13*B1869,"")</x:f>
      </x:c>
    </x:row>
    <x:row r="1870">
      <x:c r="A1870" t="n">
        <x:f>1866</x:f>
        <x:v>1866</x:v>
      </x:c>
      <x:c r="B1870" s="7" t="str">
        <x:f>IF(AND('요약'!$B$20,A1870&lt;='요약'!$B$6),NORM.S.INV((A1870-0.5)/'요약'!$B$6),"")</x:f>
      </x:c>
      <x:c r="C1870" s="7" t="str">
        <x:f>IF(AND('요약'!$B$20,A1870&lt;='요약'!$B$6),LARGE('계산'!$B$2:$B$2001,'요약'!$B$6-A1870+1),"")</x:f>
      </x:c>
      <x:c r="D1870" s="7" t="str">
        <x:f>IF(ISNUMBER(B1870),'요약'!$B$7+'요약'!$B$13*B1870,"")</x:f>
      </x:c>
    </x:row>
    <x:row r="1871">
      <x:c r="A1871" t="n">
        <x:f>1867</x:f>
        <x:v>1867</x:v>
      </x:c>
      <x:c r="B1871" s="7" t="str">
        <x:f>IF(AND('요약'!$B$20,A1871&lt;='요약'!$B$6),NORM.S.INV((A1871-0.5)/'요약'!$B$6),"")</x:f>
      </x:c>
      <x:c r="C1871" s="7" t="str">
        <x:f>IF(AND('요약'!$B$20,A1871&lt;='요약'!$B$6),LARGE('계산'!$B$2:$B$2001,'요약'!$B$6-A1871+1),"")</x:f>
      </x:c>
      <x:c r="D1871" s="7" t="str">
        <x:f>IF(ISNUMBER(B1871),'요약'!$B$7+'요약'!$B$13*B1871,"")</x:f>
      </x:c>
    </x:row>
    <x:row r="1872">
      <x:c r="A1872" t="n">
        <x:f>1868</x:f>
        <x:v>1868</x:v>
      </x:c>
      <x:c r="B1872" s="7" t="str">
        <x:f>IF(AND('요약'!$B$20,A1872&lt;='요약'!$B$6),NORM.S.INV((A1872-0.5)/'요약'!$B$6),"")</x:f>
      </x:c>
      <x:c r="C1872" s="7" t="str">
        <x:f>IF(AND('요약'!$B$20,A1872&lt;='요약'!$B$6),LARGE('계산'!$B$2:$B$2001,'요약'!$B$6-A1872+1),"")</x:f>
      </x:c>
      <x:c r="D1872" s="7" t="str">
        <x:f>IF(ISNUMBER(B1872),'요약'!$B$7+'요약'!$B$13*B1872,"")</x:f>
      </x:c>
    </x:row>
    <x:row r="1873">
      <x:c r="A1873" t="n">
        <x:f>1869</x:f>
        <x:v>1869</x:v>
      </x:c>
      <x:c r="B1873" s="7" t="str">
        <x:f>IF(AND('요약'!$B$20,A1873&lt;='요약'!$B$6),NORM.S.INV((A1873-0.5)/'요약'!$B$6),"")</x:f>
      </x:c>
      <x:c r="C1873" s="7" t="str">
        <x:f>IF(AND('요약'!$B$20,A1873&lt;='요약'!$B$6),LARGE('계산'!$B$2:$B$2001,'요약'!$B$6-A1873+1),"")</x:f>
      </x:c>
      <x:c r="D1873" s="7" t="str">
        <x:f>IF(ISNUMBER(B1873),'요약'!$B$7+'요약'!$B$13*B1873,"")</x:f>
      </x:c>
    </x:row>
    <x:row r="1874">
      <x:c r="A1874" t="n">
        <x:f>1870</x:f>
        <x:v>1870</x:v>
      </x:c>
      <x:c r="B1874" s="7" t="str">
        <x:f>IF(AND('요약'!$B$20,A1874&lt;='요약'!$B$6),NORM.S.INV((A1874-0.5)/'요약'!$B$6),"")</x:f>
      </x:c>
      <x:c r="C1874" s="7" t="str">
        <x:f>IF(AND('요약'!$B$20,A1874&lt;='요약'!$B$6),LARGE('계산'!$B$2:$B$2001,'요약'!$B$6-A1874+1),"")</x:f>
      </x:c>
      <x:c r="D1874" s="7" t="str">
        <x:f>IF(ISNUMBER(B1874),'요약'!$B$7+'요약'!$B$13*B1874,"")</x:f>
      </x:c>
    </x:row>
    <x:row r="1875">
      <x:c r="A1875" t="n">
        <x:f>1871</x:f>
        <x:v>1871</x:v>
      </x:c>
      <x:c r="B1875" s="7" t="str">
        <x:f>IF(AND('요약'!$B$20,A1875&lt;='요약'!$B$6),NORM.S.INV((A1875-0.5)/'요약'!$B$6),"")</x:f>
      </x:c>
      <x:c r="C1875" s="7" t="str">
        <x:f>IF(AND('요약'!$B$20,A1875&lt;='요약'!$B$6),LARGE('계산'!$B$2:$B$2001,'요약'!$B$6-A1875+1),"")</x:f>
      </x:c>
      <x:c r="D1875" s="7" t="str">
        <x:f>IF(ISNUMBER(B1875),'요약'!$B$7+'요약'!$B$13*B1875,"")</x:f>
      </x:c>
    </x:row>
    <x:row r="1876">
      <x:c r="A1876" t="n">
        <x:f>1872</x:f>
        <x:v>1872</x:v>
      </x:c>
      <x:c r="B1876" s="7" t="str">
        <x:f>IF(AND('요약'!$B$20,A1876&lt;='요약'!$B$6),NORM.S.INV((A1876-0.5)/'요약'!$B$6),"")</x:f>
      </x:c>
      <x:c r="C1876" s="7" t="str">
        <x:f>IF(AND('요약'!$B$20,A1876&lt;='요약'!$B$6),LARGE('계산'!$B$2:$B$2001,'요약'!$B$6-A1876+1),"")</x:f>
      </x:c>
      <x:c r="D1876" s="7" t="str">
        <x:f>IF(ISNUMBER(B1876),'요약'!$B$7+'요약'!$B$13*B1876,"")</x:f>
      </x:c>
    </x:row>
    <x:row r="1877">
      <x:c r="A1877" t="n">
        <x:f>1873</x:f>
        <x:v>1873</x:v>
      </x:c>
      <x:c r="B1877" s="7" t="str">
        <x:f>IF(AND('요약'!$B$20,A1877&lt;='요약'!$B$6),NORM.S.INV((A1877-0.5)/'요약'!$B$6),"")</x:f>
      </x:c>
      <x:c r="C1877" s="7" t="str">
        <x:f>IF(AND('요약'!$B$20,A1877&lt;='요약'!$B$6),LARGE('계산'!$B$2:$B$2001,'요약'!$B$6-A1877+1),"")</x:f>
      </x:c>
      <x:c r="D1877" s="7" t="str">
        <x:f>IF(ISNUMBER(B1877),'요약'!$B$7+'요약'!$B$13*B1877,"")</x:f>
      </x:c>
    </x:row>
    <x:row r="1878">
      <x:c r="A1878" t="n">
        <x:f>1874</x:f>
        <x:v>1874</x:v>
      </x:c>
      <x:c r="B1878" s="7" t="str">
        <x:f>IF(AND('요약'!$B$20,A1878&lt;='요약'!$B$6),NORM.S.INV((A1878-0.5)/'요약'!$B$6),"")</x:f>
      </x:c>
      <x:c r="C1878" s="7" t="str">
        <x:f>IF(AND('요약'!$B$20,A1878&lt;='요약'!$B$6),LARGE('계산'!$B$2:$B$2001,'요약'!$B$6-A1878+1),"")</x:f>
      </x:c>
      <x:c r="D1878" s="7" t="str">
        <x:f>IF(ISNUMBER(B1878),'요약'!$B$7+'요약'!$B$13*B1878,"")</x:f>
      </x:c>
    </x:row>
    <x:row r="1879">
      <x:c r="A1879" t="n">
        <x:f>1875</x:f>
        <x:v>1875</x:v>
      </x:c>
      <x:c r="B1879" s="7" t="str">
        <x:f>IF(AND('요약'!$B$20,A1879&lt;='요약'!$B$6),NORM.S.INV((A1879-0.5)/'요약'!$B$6),"")</x:f>
      </x:c>
      <x:c r="C1879" s="7" t="str">
        <x:f>IF(AND('요약'!$B$20,A1879&lt;='요약'!$B$6),LARGE('계산'!$B$2:$B$2001,'요약'!$B$6-A1879+1),"")</x:f>
      </x:c>
      <x:c r="D1879" s="7" t="str">
        <x:f>IF(ISNUMBER(B1879),'요약'!$B$7+'요약'!$B$13*B1879,"")</x:f>
      </x:c>
    </x:row>
    <x:row r="1880">
      <x:c r="A1880" t="n">
        <x:f>1876</x:f>
        <x:v>1876</x:v>
      </x:c>
      <x:c r="B1880" s="7" t="str">
        <x:f>IF(AND('요약'!$B$20,A1880&lt;='요약'!$B$6),NORM.S.INV((A1880-0.5)/'요약'!$B$6),"")</x:f>
      </x:c>
      <x:c r="C1880" s="7" t="str">
        <x:f>IF(AND('요약'!$B$20,A1880&lt;='요약'!$B$6),LARGE('계산'!$B$2:$B$2001,'요약'!$B$6-A1880+1),"")</x:f>
      </x:c>
      <x:c r="D1880" s="7" t="str">
        <x:f>IF(ISNUMBER(B1880),'요약'!$B$7+'요약'!$B$13*B1880,"")</x:f>
      </x:c>
    </x:row>
    <x:row r="1881">
      <x:c r="A1881" t="n">
        <x:f>1877</x:f>
        <x:v>1877</x:v>
      </x:c>
      <x:c r="B1881" s="7" t="str">
        <x:f>IF(AND('요약'!$B$20,A1881&lt;='요약'!$B$6),NORM.S.INV((A1881-0.5)/'요약'!$B$6),"")</x:f>
      </x:c>
      <x:c r="C1881" s="7" t="str">
        <x:f>IF(AND('요약'!$B$20,A1881&lt;='요약'!$B$6),LARGE('계산'!$B$2:$B$2001,'요약'!$B$6-A1881+1),"")</x:f>
      </x:c>
      <x:c r="D1881" s="7" t="str">
        <x:f>IF(ISNUMBER(B1881),'요약'!$B$7+'요약'!$B$13*B1881,"")</x:f>
      </x:c>
    </x:row>
    <x:row r="1882">
      <x:c r="A1882" t="n">
        <x:f>1878</x:f>
        <x:v>1878</x:v>
      </x:c>
      <x:c r="B1882" s="7" t="str">
        <x:f>IF(AND('요약'!$B$20,A1882&lt;='요약'!$B$6),NORM.S.INV((A1882-0.5)/'요약'!$B$6),"")</x:f>
      </x:c>
      <x:c r="C1882" s="7" t="str">
        <x:f>IF(AND('요약'!$B$20,A1882&lt;='요약'!$B$6),LARGE('계산'!$B$2:$B$2001,'요약'!$B$6-A1882+1),"")</x:f>
      </x:c>
      <x:c r="D1882" s="7" t="str">
        <x:f>IF(ISNUMBER(B1882),'요약'!$B$7+'요약'!$B$13*B1882,"")</x:f>
      </x:c>
    </x:row>
    <x:row r="1883">
      <x:c r="A1883" t="n">
        <x:f>1879</x:f>
        <x:v>1879</x:v>
      </x:c>
      <x:c r="B1883" s="7" t="str">
        <x:f>IF(AND('요약'!$B$20,A1883&lt;='요약'!$B$6),NORM.S.INV((A1883-0.5)/'요약'!$B$6),"")</x:f>
      </x:c>
      <x:c r="C1883" s="7" t="str">
        <x:f>IF(AND('요약'!$B$20,A1883&lt;='요약'!$B$6),LARGE('계산'!$B$2:$B$2001,'요약'!$B$6-A1883+1),"")</x:f>
      </x:c>
      <x:c r="D1883" s="7" t="str">
        <x:f>IF(ISNUMBER(B1883),'요약'!$B$7+'요약'!$B$13*B1883,"")</x:f>
      </x:c>
    </x:row>
    <x:row r="1884">
      <x:c r="A1884" t="n">
        <x:f>1880</x:f>
        <x:v>1880</x:v>
      </x:c>
      <x:c r="B1884" s="7" t="str">
        <x:f>IF(AND('요약'!$B$20,A1884&lt;='요약'!$B$6),NORM.S.INV((A1884-0.5)/'요약'!$B$6),"")</x:f>
      </x:c>
      <x:c r="C1884" s="7" t="str">
        <x:f>IF(AND('요약'!$B$20,A1884&lt;='요약'!$B$6),LARGE('계산'!$B$2:$B$2001,'요약'!$B$6-A1884+1),"")</x:f>
      </x:c>
      <x:c r="D1884" s="7" t="str">
        <x:f>IF(ISNUMBER(B1884),'요약'!$B$7+'요약'!$B$13*B1884,"")</x:f>
      </x:c>
    </x:row>
    <x:row r="1885">
      <x:c r="A1885" t="n">
        <x:f>1881</x:f>
        <x:v>1881</x:v>
      </x:c>
      <x:c r="B1885" s="7" t="str">
        <x:f>IF(AND('요약'!$B$20,A1885&lt;='요약'!$B$6),NORM.S.INV((A1885-0.5)/'요약'!$B$6),"")</x:f>
      </x:c>
      <x:c r="C1885" s="7" t="str">
        <x:f>IF(AND('요약'!$B$20,A1885&lt;='요약'!$B$6),LARGE('계산'!$B$2:$B$2001,'요약'!$B$6-A1885+1),"")</x:f>
      </x:c>
      <x:c r="D1885" s="7" t="str">
        <x:f>IF(ISNUMBER(B1885),'요약'!$B$7+'요약'!$B$13*B1885,"")</x:f>
      </x:c>
    </x:row>
    <x:row r="1886">
      <x:c r="A1886" t="n">
        <x:f>1882</x:f>
        <x:v>1882</x:v>
      </x:c>
      <x:c r="B1886" s="7" t="str">
        <x:f>IF(AND('요약'!$B$20,A1886&lt;='요약'!$B$6),NORM.S.INV((A1886-0.5)/'요약'!$B$6),"")</x:f>
      </x:c>
      <x:c r="C1886" s="7" t="str">
        <x:f>IF(AND('요약'!$B$20,A1886&lt;='요약'!$B$6),LARGE('계산'!$B$2:$B$2001,'요약'!$B$6-A1886+1),"")</x:f>
      </x:c>
      <x:c r="D1886" s="7" t="str">
        <x:f>IF(ISNUMBER(B1886),'요약'!$B$7+'요약'!$B$13*B1886,"")</x:f>
      </x:c>
    </x:row>
    <x:row r="1887">
      <x:c r="A1887" t="n">
        <x:f>1883</x:f>
        <x:v>1883</x:v>
      </x:c>
      <x:c r="B1887" s="7" t="str">
        <x:f>IF(AND('요약'!$B$20,A1887&lt;='요약'!$B$6),NORM.S.INV((A1887-0.5)/'요약'!$B$6),"")</x:f>
      </x:c>
      <x:c r="C1887" s="7" t="str">
        <x:f>IF(AND('요약'!$B$20,A1887&lt;='요약'!$B$6),LARGE('계산'!$B$2:$B$2001,'요약'!$B$6-A1887+1),"")</x:f>
      </x:c>
      <x:c r="D1887" s="7" t="str">
        <x:f>IF(ISNUMBER(B1887),'요약'!$B$7+'요약'!$B$13*B1887,"")</x:f>
      </x:c>
    </x:row>
    <x:row r="1888">
      <x:c r="A1888" t="n">
        <x:f>1884</x:f>
        <x:v>1884</x:v>
      </x:c>
      <x:c r="B1888" s="7" t="str">
        <x:f>IF(AND('요약'!$B$20,A1888&lt;='요약'!$B$6),NORM.S.INV((A1888-0.5)/'요약'!$B$6),"")</x:f>
      </x:c>
      <x:c r="C1888" s="7" t="str">
        <x:f>IF(AND('요약'!$B$20,A1888&lt;='요약'!$B$6),LARGE('계산'!$B$2:$B$2001,'요약'!$B$6-A1888+1),"")</x:f>
      </x:c>
      <x:c r="D1888" s="7" t="str">
        <x:f>IF(ISNUMBER(B1888),'요약'!$B$7+'요약'!$B$13*B1888,"")</x:f>
      </x:c>
    </x:row>
    <x:row r="1889">
      <x:c r="A1889" t="n">
        <x:f>1885</x:f>
        <x:v>1885</x:v>
      </x:c>
      <x:c r="B1889" s="7" t="str">
        <x:f>IF(AND('요약'!$B$20,A1889&lt;='요약'!$B$6),NORM.S.INV((A1889-0.5)/'요약'!$B$6),"")</x:f>
      </x:c>
      <x:c r="C1889" s="7" t="str">
        <x:f>IF(AND('요약'!$B$20,A1889&lt;='요약'!$B$6),LARGE('계산'!$B$2:$B$2001,'요약'!$B$6-A1889+1),"")</x:f>
      </x:c>
      <x:c r="D1889" s="7" t="str">
        <x:f>IF(ISNUMBER(B1889),'요약'!$B$7+'요약'!$B$13*B1889,"")</x:f>
      </x:c>
    </x:row>
    <x:row r="1890">
      <x:c r="A1890" t="n">
        <x:f>1886</x:f>
        <x:v>1886</x:v>
      </x:c>
      <x:c r="B1890" s="7" t="str">
        <x:f>IF(AND('요약'!$B$20,A1890&lt;='요약'!$B$6),NORM.S.INV((A1890-0.5)/'요약'!$B$6),"")</x:f>
      </x:c>
      <x:c r="C1890" s="7" t="str">
        <x:f>IF(AND('요약'!$B$20,A1890&lt;='요약'!$B$6),LARGE('계산'!$B$2:$B$2001,'요약'!$B$6-A1890+1),"")</x:f>
      </x:c>
      <x:c r="D1890" s="7" t="str">
        <x:f>IF(ISNUMBER(B1890),'요약'!$B$7+'요약'!$B$13*B1890,"")</x:f>
      </x:c>
    </x:row>
    <x:row r="1891">
      <x:c r="A1891" t="n">
        <x:f>1887</x:f>
        <x:v>1887</x:v>
      </x:c>
      <x:c r="B1891" s="7" t="str">
        <x:f>IF(AND('요약'!$B$20,A1891&lt;='요약'!$B$6),NORM.S.INV((A1891-0.5)/'요약'!$B$6),"")</x:f>
      </x:c>
      <x:c r="C1891" s="7" t="str">
        <x:f>IF(AND('요약'!$B$20,A1891&lt;='요약'!$B$6),LARGE('계산'!$B$2:$B$2001,'요약'!$B$6-A1891+1),"")</x:f>
      </x:c>
      <x:c r="D1891" s="7" t="str">
        <x:f>IF(ISNUMBER(B1891),'요약'!$B$7+'요약'!$B$13*B1891,"")</x:f>
      </x:c>
    </x:row>
    <x:row r="1892">
      <x:c r="A1892" t="n">
        <x:f>1888</x:f>
        <x:v>1888</x:v>
      </x:c>
      <x:c r="B1892" s="7" t="str">
        <x:f>IF(AND('요약'!$B$20,A1892&lt;='요약'!$B$6),NORM.S.INV((A1892-0.5)/'요약'!$B$6),"")</x:f>
      </x:c>
      <x:c r="C1892" s="7" t="str">
        <x:f>IF(AND('요약'!$B$20,A1892&lt;='요약'!$B$6),LARGE('계산'!$B$2:$B$2001,'요약'!$B$6-A1892+1),"")</x:f>
      </x:c>
      <x:c r="D1892" s="7" t="str">
        <x:f>IF(ISNUMBER(B1892),'요약'!$B$7+'요약'!$B$13*B1892,"")</x:f>
      </x:c>
    </x:row>
    <x:row r="1893">
      <x:c r="A1893" t="n">
        <x:f>1889</x:f>
        <x:v>1889</x:v>
      </x:c>
      <x:c r="B1893" s="7" t="str">
        <x:f>IF(AND('요약'!$B$20,A1893&lt;='요약'!$B$6),NORM.S.INV((A1893-0.5)/'요약'!$B$6),"")</x:f>
      </x:c>
      <x:c r="C1893" s="7" t="str">
        <x:f>IF(AND('요약'!$B$20,A1893&lt;='요약'!$B$6),LARGE('계산'!$B$2:$B$2001,'요약'!$B$6-A1893+1),"")</x:f>
      </x:c>
      <x:c r="D1893" s="7" t="str">
        <x:f>IF(ISNUMBER(B1893),'요약'!$B$7+'요약'!$B$13*B1893,"")</x:f>
      </x:c>
    </x:row>
    <x:row r="1894">
      <x:c r="A1894" t="n">
        <x:f>1890</x:f>
        <x:v>1890</x:v>
      </x:c>
      <x:c r="B1894" s="7" t="str">
        <x:f>IF(AND('요약'!$B$20,A1894&lt;='요약'!$B$6),NORM.S.INV((A1894-0.5)/'요약'!$B$6),"")</x:f>
      </x:c>
      <x:c r="C1894" s="7" t="str">
        <x:f>IF(AND('요약'!$B$20,A1894&lt;='요약'!$B$6),LARGE('계산'!$B$2:$B$2001,'요약'!$B$6-A1894+1),"")</x:f>
      </x:c>
      <x:c r="D1894" s="7" t="str">
        <x:f>IF(ISNUMBER(B1894),'요약'!$B$7+'요약'!$B$13*B1894,"")</x:f>
      </x:c>
    </x:row>
    <x:row r="1895">
      <x:c r="A1895" t="n">
        <x:f>1891</x:f>
        <x:v>1891</x:v>
      </x:c>
      <x:c r="B1895" s="7" t="str">
        <x:f>IF(AND('요약'!$B$20,A1895&lt;='요약'!$B$6),NORM.S.INV((A1895-0.5)/'요약'!$B$6),"")</x:f>
      </x:c>
      <x:c r="C1895" s="7" t="str">
        <x:f>IF(AND('요약'!$B$20,A1895&lt;='요약'!$B$6),LARGE('계산'!$B$2:$B$2001,'요약'!$B$6-A1895+1),"")</x:f>
      </x:c>
      <x:c r="D1895" s="7" t="str">
        <x:f>IF(ISNUMBER(B1895),'요약'!$B$7+'요약'!$B$13*B1895,"")</x:f>
      </x:c>
    </x:row>
    <x:row r="1896">
      <x:c r="A1896" t="n">
        <x:f>1892</x:f>
        <x:v>1892</x:v>
      </x:c>
      <x:c r="B1896" s="7" t="str">
        <x:f>IF(AND('요약'!$B$20,A1896&lt;='요약'!$B$6),NORM.S.INV((A1896-0.5)/'요약'!$B$6),"")</x:f>
      </x:c>
      <x:c r="C1896" s="7" t="str">
        <x:f>IF(AND('요약'!$B$20,A1896&lt;='요약'!$B$6),LARGE('계산'!$B$2:$B$2001,'요약'!$B$6-A1896+1),"")</x:f>
      </x:c>
      <x:c r="D1896" s="7" t="str">
        <x:f>IF(ISNUMBER(B1896),'요약'!$B$7+'요약'!$B$13*B1896,"")</x:f>
      </x:c>
    </x:row>
    <x:row r="1897">
      <x:c r="A1897" t="n">
        <x:f>1893</x:f>
        <x:v>1893</x:v>
      </x:c>
      <x:c r="B1897" s="7" t="str">
        <x:f>IF(AND('요약'!$B$20,A1897&lt;='요약'!$B$6),NORM.S.INV((A1897-0.5)/'요약'!$B$6),"")</x:f>
      </x:c>
      <x:c r="C1897" s="7" t="str">
        <x:f>IF(AND('요약'!$B$20,A1897&lt;='요약'!$B$6),LARGE('계산'!$B$2:$B$2001,'요약'!$B$6-A1897+1),"")</x:f>
      </x:c>
      <x:c r="D1897" s="7" t="str">
        <x:f>IF(ISNUMBER(B1897),'요약'!$B$7+'요약'!$B$13*B1897,"")</x:f>
      </x:c>
    </x:row>
    <x:row r="1898">
      <x:c r="A1898" t="n">
        <x:f>1894</x:f>
        <x:v>1894</x:v>
      </x:c>
      <x:c r="B1898" s="7" t="str">
        <x:f>IF(AND('요약'!$B$20,A1898&lt;='요약'!$B$6),NORM.S.INV((A1898-0.5)/'요약'!$B$6),"")</x:f>
      </x:c>
      <x:c r="C1898" s="7" t="str">
        <x:f>IF(AND('요약'!$B$20,A1898&lt;='요약'!$B$6),LARGE('계산'!$B$2:$B$2001,'요약'!$B$6-A1898+1),"")</x:f>
      </x:c>
      <x:c r="D1898" s="7" t="str">
        <x:f>IF(ISNUMBER(B1898),'요약'!$B$7+'요약'!$B$13*B1898,"")</x:f>
      </x:c>
    </x:row>
    <x:row r="1899">
      <x:c r="A1899" t="n">
        <x:f>1895</x:f>
        <x:v>1895</x:v>
      </x:c>
      <x:c r="B1899" s="7" t="str">
        <x:f>IF(AND('요약'!$B$20,A1899&lt;='요약'!$B$6),NORM.S.INV((A1899-0.5)/'요약'!$B$6),"")</x:f>
      </x:c>
      <x:c r="C1899" s="7" t="str">
        <x:f>IF(AND('요약'!$B$20,A1899&lt;='요약'!$B$6),LARGE('계산'!$B$2:$B$2001,'요약'!$B$6-A1899+1),"")</x:f>
      </x:c>
      <x:c r="D1899" s="7" t="str">
        <x:f>IF(ISNUMBER(B1899),'요약'!$B$7+'요약'!$B$13*B1899,"")</x:f>
      </x:c>
    </x:row>
    <x:row r="1900">
      <x:c r="A1900" t="n">
        <x:f>1896</x:f>
        <x:v>1896</x:v>
      </x:c>
      <x:c r="B1900" s="7" t="str">
        <x:f>IF(AND('요약'!$B$20,A1900&lt;='요약'!$B$6),NORM.S.INV((A1900-0.5)/'요약'!$B$6),"")</x:f>
      </x:c>
      <x:c r="C1900" s="7" t="str">
        <x:f>IF(AND('요약'!$B$20,A1900&lt;='요약'!$B$6),LARGE('계산'!$B$2:$B$2001,'요약'!$B$6-A1900+1),"")</x:f>
      </x:c>
      <x:c r="D1900" s="7" t="str">
        <x:f>IF(ISNUMBER(B1900),'요약'!$B$7+'요약'!$B$13*B1900,"")</x:f>
      </x:c>
    </x:row>
    <x:row r="1901">
      <x:c r="A1901" t="n">
        <x:f>1897</x:f>
        <x:v>1897</x:v>
      </x:c>
      <x:c r="B1901" s="7" t="str">
        <x:f>IF(AND('요약'!$B$20,A1901&lt;='요약'!$B$6),NORM.S.INV((A1901-0.5)/'요약'!$B$6),"")</x:f>
      </x:c>
      <x:c r="C1901" s="7" t="str">
        <x:f>IF(AND('요약'!$B$20,A1901&lt;='요약'!$B$6),LARGE('계산'!$B$2:$B$2001,'요약'!$B$6-A1901+1),"")</x:f>
      </x:c>
      <x:c r="D1901" s="7" t="str">
        <x:f>IF(ISNUMBER(B1901),'요약'!$B$7+'요약'!$B$13*B1901,"")</x:f>
      </x:c>
    </x:row>
    <x:row r="1902">
      <x:c r="A1902" t="n">
        <x:f>1898</x:f>
        <x:v>1898</x:v>
      </x:c>
      <x:c r="B1902" s="7" t="str">
        <x:f>IF(AND('요약'!$B$20,A1902&lt;='요약'!$B$6),NORM.S.INV((A1902-0.5)/'요약'!$B$6),"")</x:f>
      </x:c>
      <x:c r="C1902" s="7" t="str">
        <x:f>IF(AND('요약'!$B$20,A1902&lt;='요약'!$B$6),LARGE('계산'!$B$2:$B$2001,'요약'!$B$6-A1902+1),"")</x:f>
      </x:c>
      <x:c r="D1902" s="7" t="str">
        <x:f>IF(ISNUMBER(B1902),'요약'!$B$7+'요약'!$B$13*B1902,"")</x:f>
      </x:c>
    </x:row>
    <x:row r="1903">
      <x:c r="A1903" t="n">
        <x:f>1899</x:f>
        <x:v>1899</x:v>
      </x:c>
      <x:c r="B1903" s="7" t="str">
        <x:f>IF(AND('요약'!$B$20,A1903&lt;='요약'!$B$6),NORM.S.INV((A1903-0.5)/'요약'!$B$6),"")</x:f>
      </x:c>
      <x:c r="C1903" s="7" t="str">
        <x:f>IF(AND('요약'!$B$20,A1903&lt;='요약'!$B$6),LARGE('계산'!$B$2:$B$2001,'요약'!$B$6-A1903+1),"")</x:f>
      </x:c>
      <x:c r="D1903" s="7" t="str">
        <x:f>IF(ISNUMBER(B1903),'요약'!$B$7+'요약'!$B$13*B1903,"")</x:f>
      </x:c>
    </x:row>
    <x:row r="1904">
      <x:c r="A1904" t="n">
        <x:f>1900</x:f>
        <x:v>1900</x:v>
      </x:c>
      <x:c r="B1904" s="7" t="str">
        <x:f>IF(AND('요약'!$B$20,A1904&lt;='요약'!$B$6),NORM.S.INV((A1904-0.5)/'요약'!$B$6),"")</x:f>
      </x:c>
      <x:c r="C1904" s="7" t="str">
        <x:f>IF(AND('요약'!$B$20,A1904&lt;='요약'!$B$6),LARGE('계산'!$B$2:$B$2001,'요약'!$B$6-A1904+1),"")</x:f>
      </x:c>
      <x:c r="D1904" s="7" t="str">
        <x:f>IF(ISNUMBER(B1904),'요약'!$B$7+'요약'!$B$13*B1904,"")</x:f>
      </x:c>
    </x:row>
    <x:row r="1905">
      <x:c r="A1905" t="n">
        <x:f>1901</x:f>
        <x:v>1901</x:v>
      </x:c>
      <x:c r="B1905" s="7" t="str">
        <x:f>IF(AND('요약'!$B$20,A1905&lt;='요약'!$B$6),NORM.S.INV((A1905-0.5)/'요약'!$B$6),"")</x:f>
      </x:c>
      <x:c r="C1905" s="7" t="str">
        <x:f>IF(AND('요약'!$B$20,A1905&lt;='요약'!$B$6),LARGE('계산'!$B$2:$B$2001,'요약'!$B$6-A1905+1),"")</x:f>
      </x:c>
      <x:c r="D1905" s="7" t="str">
        <x:f>IF(ISNUMBER(B1905),'요약'!$B$7+'요약'!$B$13*B1905,"")</x:f>
      </x:c>
    </x:row>
    <x:row r="1906">
      <x:c r="A1906" t="n">
        <x:f>1902</x:f>
        <x:v>1902</x:v>
      </x:c>
      <x:c r="B1906" s="7" t="str">
        <x:f>IF(AND('요약'!$B$20,A1906&lt;='요약'!$B$6),NORM.S.INV((A1906-0.5)/'요약'!$B$6),"")</x:f>
      </x:c>
      <x:c r="C1906" s="7" t="str">
        <x:f>IF(AND('요약'!$B$20,A1906&lt;='요약'!$B$6),LARGE('계산'!$B$2:$B$2001,'요약'!$B$6-A1906+1),"")</x:f>
      </x:c>
      <x:c r="D1906" s="7" t="str">
        <x:f>IF(ISNUMBER(B1906),'요약'!$B$7+'요약'!$B$13*B1906,"")</x:f>
      </x:c>
    </x:row>
    <x:row r="1907">
      <x:c r="A1907" t="n">
        <x:f>1903</x:f>
        <x:v>1903</x:v>
      </x:c>
      <x:c r="B1907" s="7" t="str">
        <x:f>IF(AND('요약'!$B$20,A1907&lt;='요약'!$B$6),NORM.S.INV((A1907-0.5)/'요약'!$B$6),"")</x:f>
      </x:c>
      <x:c r="C1907" s="7" t="str">
        <x:f>IF(AND('요약'!$B$20,A1907&lt;='요약'!$B$6),LARGE('계산'!$B$2:$B$2001,'요약'!$B$6-A1907+1),"")</x:f>
      </x:c>
      <x:c r="D1907" s="7" t="str">
        <x:f>IF(ISNUMBER(B1907),'요약'!$B$7+'요약'!$B$13*B1907,"")</x:f>
      </x:c>
    </x:row>
    <x:row r="1908">
      <x:c r="A1908" t="n">
        <x:f>1904</x:f>
        <x:v>1904</x:v>
      </x:c>
      <x:c r="B1908" s="7" t="str">
        <x:f>IF(AND('요약'!$B$20,A1908&lt;='요약'!$B$6),NORM.S.INV((A1908-0.5)/'요약'!$B$6),"")</x:f>
      </x:c>
      <x:c r="C1908" s="7" t="str">
        <x:f>IF(AND('요약'!$B$20,A1908&lt;='요약'!$B$6),LARGE('계산'!$B$2:$B$2001,'요약'!$B$6-A1908+1),"")</x:f>
      </x:c>
      <x:c r="D1908" s="7" t="str">
        <x:f>IF(ISNUMBER(B1908),'요약'!$B$7+'요약'!$B$13*B1908,"")</x:f>
      </x:c>
    </x:row>
    <x:row r="1909">
      <x:c r="A1909" t="n">
        <x:f>1905</x:f>
        <x:v>1905</x:v>
      </x:c>
      <x:c r="B1909" s="7" t="str">
        <x:f>IF(AND('요약'!$B$20,A1909&lt;='요약'!$B$6),NORM.S.INV((A1909-0.5)/'요약'!$B$6),"")</x:f>
      </x:c>
      <x:c r="C1909" s="7" t="str">
        <x:f>IF(AND('요약'!$B$20,A1909&lt;='요약'!$B$6),LARGE('계산'!$B$2:$B$2001,'요약'!$B$6-A1909+1),"")</x:f>
      </x:c>
      <x:c r="D1909" s="7" t="str">
        <x:f>IF(ISNUMBER(B1909),'요약'!$B$7+'요약'!$B$13*B1909,"")</x:f>
      </x:c>
    </x:row>
    <x:row r="1910">
      <x:c r="A1910" t="n">
        <x:f>1906</x:f>
        <x:v>1906</x:v>
      </x:c>
      <x:c r="B1910" s="7" t="str">
        <x:f>IF(AND('요약'!$B$20,A1910&lt;='요약'!$B$6),NORM.S.INV((A1910-0.5)/'요약'!$B$6),"")</x:f>
      </x:c>
      <x:c r="C1910" s="7" t="str">
        <x:f>IF(AND('요약'!$B$20,A1910&lt;='요약'!$B$6),LARGE('계산'!$B$2:$B$2001,'요약'!$B$6-A1910+1),"")</x:f>
      </x:c>
      <x:c r="D1910" s="7" t="str">
        <x:f>IF(ISNUMBER(B1910),'요약'!$B$7+'요약'!$B$13*B1910,"")</x:f>
      </x:c>
    </x:row>
    <x:row r="1911">
      <x:c r="A1911" t="n">
        <x:f>1907</x:f>
        <x:v>1907</x:v>
      </x:c>
      <x:c r="B1911" s="7" t="str">
        <x:f>IF(AND('요약'!$B$20,A1911&lt;='요약'!$B$6),NORM.S.INV((A1911-0.5)/'요약'!$B$6),"")</x:f>
      </x:c>
      <x:c r="C1911" s="7" t="str">
        <x:f>IF(AND('요약'!$B$20,A1911&lt;='요약'!$B$6),LARGE('계산'!$B$2:$B$2001,'요약'!$B$6-A1911+1),"")</x:f>
      </x:c>
      <x:c r="D1911" s="7" t="str">
        <x:f>IF(ISNUMBER(B1911),'요약'!$B$7+'요약'!$B$13*B1911,"")</x:f>
      </x:c>
    </x:row>
    <x:row r="1912">
      <x:c r="A1912" t="n">
        <x:f>1908</x:f>
        <x:v>1908</x:v>
      </x:c>
      <x:c r="B1912" s="7" t="str">
        <x:f>IF(AND('요약'!$B$20,A1912&lt;='요약'!$B$6),NORM.S.INV((A1912-0.5)/'요약'!$B$6),"")</x:f>
      </x:c>
      <x:c r="C1912" s="7" t="str">
        <x:f>IF(AND('요약'!$B$20,A1912&lt;='요약'!$B$6),LARGE('계산'!$B$2:$B$2001,'요약'!$B$6-A1912+1),"")</x:f>
      </x:c>
      <x:c r="D1912" s="7" t="str">
        <x:f>IF(ISNUMBER(B1912),'요약'!$B$7+'요약'!$B$13*B1912,"")</x:f>
      </x:c>
    </x:row>
    <x:row r="1913">
      <x:c r="A1913" t="n">
        <x:f>1909</x:f>
        <x:v>1909</x:v>
      </x:c>
      <x:c r="B1913" s="7" t="str">
        <x:f>IF(AND('요약'!$B$20,A1913&lt;='요약'!$B$6),NORM.S.INV((A1913-0.5)/'요약'!$B$6),"")</x:f>
      </x:c>
      <x:c r="C1913" s="7" t="str">
        <x:f>IF(AND('요약'!$B$20,A1913&lt;='요약'!$B$6),LARGE('계산'!$B$2:$B$2001,'요약'!$B$6-A1913+1),"")</x:f>
      </x:c>
      <x:c r="D1913" s="7" t="str">
        <x:f>IF(ISNUMBER(B1913),'요약'!$B$7+'요약'!$B$13*B1913,"")</x:f>
      </x:c>
    </x:row>
    <x:row r="1914">
      <x:c r="A1914" t="n">
        <x:f>1910</x:f>
        <x:v>1910</x:v>
      </x:c>
      <x:c r="B1914" s="7" t="str">
        <x:f>IF(AND('요약'!$B$20,A1914&lt;='요약'!$B$6),NORM.S.INV((A1914-0.5)/'요약'!$B$6),"")</x:f>
      </x:c>
      <x:c r="C1914" s="7" t="str">
        <x:f>IF(AND('요약'!$B$20,A1914&lt;='요약'!$B$6),LARGE('계산'!$B$2:$B$2001,'요약'!$B$6-A1914+1),"")</x:f>
      </x:c>
      <x:c r="D1914" s="7" t="str">
        <x:f>IF(ISNUMBER(B1914),'요약'!$B$7+'요약'!$B$13*B1914,"")</x:f>
      </x:c>
    </x:row>
    <x:row r="1915">
      <x:c r="A1915" t="n">
        <x:f>1911</x:f>
        <x:v>1911</x:v>
      </x:c>
      <x:c r="B1915" s="7" t="str">
        <x:f>IF(AND('요약'!$B$20,A1915&lt;='요약'!$B$6),NORM.S.INV((A1915-0.5)/'요약'!$B$6),"")</x:f>
      </x:c>
      <x:c r="C1915" s="7" t="str">
        <x:f>IF(AND('요약'!$B$20,A1915&lt;='요약'!$B$6),LARGE('계산'!$B$2:$B$2001,'요약'!$B$6-A1915+1),"")</x:f>
      </x:c>
      <x:c r="D1915" s="7" t="str">
        <x:f>IF(ISNUMBER(B1915),'요약'!$B$7+'요약'!$B$13*B1915,"")</x:f>
      </x:c>
    </x:row>
    <x:row r="1916">
      <x:c r="A1916" t="n">
        <x:f>1912</x:f>
        <x:v>1912</x:v>
      </x:c>
      <x:c r="B1916" s="7" t="str">
        <x:f>IF(AND('요약'!$B$20,A1916&lt;='요약'!$B$6),NORM.S.INV((A1916-0.5)/'요약'!$B$6),"")</x:f>
      </x:c>
      <x:c r="C1916" s="7" t="str">
        <x:f>IF(AND('요약'!$B$20,A1916&lt;='요약'!$B$6),LARGE('계산'!$B$2:$B$2001,'요약'!$B$6-A1916+1),"")</x:f>
      </x:c>
      <x:c r="D1916" s="7" t="str">
        <x:f>IF(ISNUMBER(B1916),'요약'!$B$7+'요약'!$B$13*B1916,"")</x:f>
      </x:c>
    </x:row>
    <x:row r="1917">
      <x:c r="A1917" t="n">
        <x:f>1913</x:f>
        <x:v>1913</x:v>
      </x:c>
      <x:c r="B1917" s="7" t="str">
        <x:f>IF(AND('요약'!$B$20,A1917&lt;='요약'!$B$6),NORM.S.INV((A1917-0.5)/'요약'!$B$6),"")</x:f>
      </x:c>
      <x:c r="C1917" s="7" t="str">
        <x:f>IF(AND('요약'!$B$20,A1917&lt;='요약'!$B$6),LARGE('계산'!$B$2:$B$2001,'요약'!$B$6-A1917+1),"")</x:f>
      </x:c>
      <x:c r="D1917" s="7" t="str">
        <x:f>IF(ISNUMBER(B1917),'요약'!$B$7+'요약'!$B$13*B1917,"")</x:f>
      </x:c>
    </x:row>
    <x:row r="1918">
      <x:c r="A1918" t="n">
        <x:f>1914</x:f>
        <x:v>1914</x:v>
      </x:c>
      <x:c r="B1918" s="7" t="str">
        <x:f>IF(AND('요약'!$B$20,A1918&lt;='요약'!$B$6),NORM.S.INV((A1918-0.5)/'요약'!$B$6),"")</x:f>
      </x:c>
      <x:c r="C1918" s="7" t="str">
        <x:f>IF(AND('요약'!$B$20,A1918&lt;='요약'!$B$6),LARGE('계산'!$B$2:$B$2001,'요약'!$B$6-A1918+1),"")</x:f>
      </x:c>
      <x:c r="D1918" s="7" t="str">
        <x:f>IF(ISNUMBER(B1918),'요약'!$B$7+'요약'!$B$13*B1918,"")</x:f>
      </x:c>
    </x:row>
    <x:row r="1919">
      <x:c r="A1919" t="n">
        <x:f>1915</x:f>
        <x:v>1915</x:v>
      </x:c>
      <x:c r="B1919" s="7" t="str">
        <x:f>IF(AND('요약'!$B$20,A1919&lt;='요약'!$B$6),NORM.S.INV((A1919-0.5)/'요약'!$B$6),"")</x:f>
      </x:c>
      <x:c r="C1919" s="7" t="str">
        <x:f>IF(AND('요약'!$B$20,A1919&lt;='요약'!$B$6),LARGE('계산'!$B$2:$B$2001,'요약'!$B$6-A1919+1),"")</x:f>
      </x:c>
      <x:c r="D1919" s="7" t="str">
        <x:f>IF(ISNUMBER(B1919),'요약'!$B$7+'요약'!$B$13*B1919,"")</x:f>
      </x:c>
    </x:row>
    <x:row r="1920">
      <x:c r="A1920" t="n">
        <x:f>1916</x:f>
        <x:v>1916</x:v>
      </x:c>
      <x:c r="B1920" s="7" t="str">
        <x:f>IF(AND('요약'!$B$20,A1920&lt;='요약'!$B$6),NORM.S.INV((A1920-0.5)/'요약'!$B$6),"")</x:f>
      </x:c>
      <x:c r="C1920" s="7" t="str">
        <x:f>IF(AND('요약'!$B$20,A1920&lt;='요약'!$B$6),LARGE('계산'!$B$2:$B$2001,'요약'!$B$6-A1920+1),"")</x:f>
      </x:c>
      <x:c r="D1920" s="7" t="str">
        <x:f>IF(ISNUMBER(B1920),'요약'!$B$7+'요약'!$B$13*B1920,"")</x:f>
      </x:c>
    </x:row>
    <x:row r="1921">
      <x:c r="A1921" t="n">
        <x:f>1917</x:f>
        <x:v>1917</x:v>
      </x:c>
      <x:c r="B1921" s="7" t="str">
        <x:f>IF(AND('요약'!$B$20,A1921&lt;='요약'!$B$6),NORM.S.INV((A1921-0.5)/'요약'!$B$6),"")</x:f>
      </x:c>
      <x:c r="C1921" s="7" t="str">
        <x:f>IF(AND('요약'!$B$20,A1921&lt;='요약'!$B$6),LARGE('계산'!$B$2:$B$2001,'요약'!$B$6-A1921+1),"")</x:f>
      </x:c>
      <x:c r="D1921" s="7" t="str">
        <x:f>IF(ISNUMBER(B1921),'요약'!$B$7+'요약'!$B$13*B1921,"")</x:f>
      </x:c>
    </x:row>
    <x:row r="1922">
      <x:c r="A1922" t="n">
        <x:f>1918</x:f>
        <x:v>1918</x:v>
      </x:c>
      <x:c r="B1922" s="7" t="str">
        <x:f>IF(AND('요약'!$B$20,A1922&lt;='요약'!$B$6),NORM.S.INV((A1922-0.5)/'요약'!$B$6),"")</x:f>
      </x:c>
      <x:c r="C1922" s="7" t="str">
        <x:f>IF(AND('요약'!$B$20,A1922&lt;='요약'!$B$6),LARGE('계산'!$B$2:$B$2001,'요약'!$B$6-A1922+1),"")</x:f>
      </x:c>
      <x:c r="D1922" s="7" t="str">
        <x:f>IF(ISNUMBER(B1922),'요약'!$B$7+'요약'!$B$13*B1922,"")</x:f>
      </x:c>
    </x:row>
    <x:row r="1923">
      <x:c r="A1923" t="n">
        <x:f>1919</x:f>
        <x:v>1919</x:v>
      </x:c>
      <x:c r="B1923" s="7" t="str">
        <x:f>IF(AND('요약'!$B$20,A1923&lt;='요약'!$B$6),NORM.S.INV((A1923-0.5)/'요약'!$B$6),"")</x:f>
      </x:c>
      <x:c r="C1923" s="7" t="str">
        <x:f>IF(AND('요약'!$B$20,A1923&lt;='요약'!$B$6),LARGE('계산'!$B$2:$B$2001,'요약'!$B$6-A1923+1),"")</x:f>
      </x:c>
      <x:c r="D1923" s="7" t="str">
        <x:f>IF(ISNUMBER(B1923),'요약'!$B$7+'요약'!$B$13*B1923,"")</x:f>
      </x:c>
    </x:row>
    <x:row r="1924">
      <x:c r="A1924" t="n">
        <x:f>1920</x:f>
        <x:v>1920</x:v>
      </x:c>
      <x:c r="B1924" s="7" t="str">
        <x:f>IF(AND('요약'!$B$20,A1924&lt;='요약'!$B$6),NORM.S.INV((A1924-0.5)/'요약'!$B$6),"")</x:f>
      </x:c>
      <x:c r="C1924" s="7" t="str">
        <x:f>IF(AND('요약'!$B$20,A1924&lt;='요약'!$B$6),LARGE('계산'!$B$2:$B$2001,'요약'!$B$6-A1924+1),"")</x:f>
      </x:c>
      <x:c r="D1924" s="7" t="str">
        <x:f>IF(ISNUMBER(B1924),'요약'!$B$7+'요약'!$B$13*B1924,"")</x:f>
      </x:c>
    </x:row>
    <x:row r="1925">
      <x:c r="A1925" t="n">
        <x:f>1921</x:f>
        <x:v>1921</x:v>
      </x:c>
      <x:c r="B1925" s="7" t="str">
        <x:f>IF(AND('요약'!$B$20,A1925&lt;='요약'!$B$6),NORM.S.INV((A1925-0.5)/'요약'!$B$6),"")</x:f>
      </x:c>
      <x:c r="C1925" s="7" t="str">
        <x:f>IF(AND('요약'!$B$20,A1925&lt;='요약'!$B$6),LARGE('계산'!$B$2:$B$2001,'요약'!$B$6-A1925+1),"")</x:f>
      </x:c>
      <x:c r="D1925" s="7" t="str">
        <x:f>IF(ISNUMBER(B1925),'요약'!$B$7+'요약'!$B$13*B1925,"")</x:f>
      </x:c>
    </x:row>
    <x:row r="1926">
      <x:c r="A1926" t="n">
        <x:f>1922</x:f>
        <x:v>1922</x:v>
      </x:c>
      <x:c r="B1926" s="7" t="str">
        <x:f>IF(AND('요약'!$B$20,A1926&lt;='요약'!$B$6),NORM.S.INV((A1926-0.5)/'요약'!$B$6),"")</x:f>
      </x:c>
      <x:c r="C1926" s="7" t="str">
        <x:f>IF(AND('요약'!$B$20,A1926&lt;='요약'!$B$6),LARGE('계산'!$B$2:$B$2001,'요약'!$B$6-A1926+1),"")</x:f>
      </x:c>
      <x:c r="D1926" s="7" t="str">
        <x:f>IF(ISNUMBER(B1926),'요약'!$B$7+'요약'!$B$13*B1926,"")</x:f>
      </x:c>
    </x:row>
    <x:row r="1927">
      <x:c r="A1927" t="n">
        <x:f>1923</x:f>
        <x:v>1923</x:v>
      </x:c>
      <x:c r="B1927" s="7" t="str">
        <x:f>IF(AND('요약'!$B$20,A1927&lt;='요약'!$B$6),NORM.S.INV((A1927-0.5)/'요약'!$B$6),"")</x:f>
      </x:c>
      <x:c r="C1927" s="7" t="str">
        <x:f>IF(AND('요약'!$B$20,A1927&lt;='요약'!$B$6),LARGE('계산'!$B$2:$B$2001,'요약'!$B$6-A1927+1),"")</x:f>
      </x:c>
      <x:c r="D1927" s="7" t="str">
        <x:f>IF(ISNUMBER(B1927),'요약'!$B$7+'요약'!$B$13*B1927,"")</x:f>
      </x:c>
    </x:row>
    <x:row r="1928">
      <x:c r="A1928" t="n">
        <x:f>1924</x:f>
        <x:v>1924</x:v>
      </x:c>
      <x:c r="B1928" s="7" t="str">
        <x:f>IF(AND('요약'!$B$20,A1928&lt;='요약'!$B$6),NORM.S.INV((A1928-0.5)/'요약'!$B$6),"")</x:f>
      </x:c>
      <x:c r="C1928" s="7" t="str">
        <x:f>IF(AND('요약'!$B$20,A1928&lt;='요약'!$B$6),LARGE('계산'!$B$2:$B$2001,'요약'!$B$6-A1928+1),"")</x:f>
      </x:c>
      <x:c r="D1928" s="7" t="str">
        <x:f>IF(ISNUMBER(B1928),'요약'!$B$7+'요약'!$B$13*B1928,"")</x:f>
      </x:c>
    </x:row>
    <x:row r="1929">
      <x:c r="A1929" t="n">
        <x:f>1925</x:f>
        <x:v>1925</x:v>
      </x:c>
      <x:c r="B1929" s="7" t="str">
        <x:f>IF(AND('요약'!$B$20,A1929&lt;='요약'!$B$6),NORM.S.INV((A1929-0.5)/'요약'!$B$6),"")</x:f>
      </x:c>
      <x:c r="C1929" s="7" t="str">
        <x:f>IF(AND('요약'!$B$20,A1929&lt;='요약'!$B$6),LARGE('계산'!$B$2:$B$2001,'요약'!$B$6-A1929+1),"")</x:f>
      </x:c>
      <x:c r="D1929" s="7" t="str">
        <x:f>IF(ISNUMBER(B1929),'요약'!$B$7+'요약'!$B$13*B1929,"")</x:f>
      </x:c>
    </x:row>
    <x:row r="1930">
      <x:c r="A1930" t="n">
        <x:f>1926</x:f>
        <x:v>1926</x:v>
      </x:c>
      <x:c r="B1930" s="7" t="str">
        <x:f>IF(AND('요약'!$B$20,A1930&lt;='요약'!$B$6),NORM.S.INV((A1930-0.5)/'요약'!$B$6),"")</x:f>
      </x:c>
      <x:c r="C1930" s="7" t="str">
        <x:f>IF(AND('요약'!$B$20,A1930&lt;='요약'!$B$6),LARGE('계산'!$B$2:$B$2001,'요약'!$B$6-A1930+1),"")</x:f>
      </x:c>
      <x:c r="D1930" s="7" t="str">
        <x:f>IF(ISNUMBER(B1930),'요약'!$B$7+'요약'!$B$13*B1930,"")</x:f>
      </x:c>
    </x:row>
    <x:row r="1931">
      <x:c r="A1931" t="n">
        <x:f>1927</x:f>
        <x:v>1927</x:v>
      </x:c>
      <x:c r="B1931" s="7" t="str">
        <x:f>IF(AND('요약'!$B$20,A1931&lt;='요약'!$B$6),NORM.S.INV((A1931-0.5)/'요약'!$B$6),"")</x:f>
      </x:c>
      <x:c r="C1931" s="7" t="str">
        <x:f>IF(AND('요약'!$B$20,A1931&lt;='요약'!$B$6),LARGE('계산'!$B$2:$B$2001,'요약'!$B$6-A1931+1),"")</x:f>
      </x:c>
      <x:c r="D1931" s="7" t="str">
        <x:f>IF(ISNUMBER(B1931),'요약'!$B$7+'요약'!$B$13*B1931,"")</x:f>
      </x:c>
    </x:row>
    <x:row r="1932">
      <x:c r="A1932" t="n">
        <x:f>1928</x:f>
        <x:v>1928</x:v>
      </x:c>
      <x:c r="B1932" s="7" t="str">
        <x:f>IF(AND('요약'!$B$20,A1932&lt;='요약'!$B$6),NORM.S.INV((A1932-0.5)/'요약'!$B$6),"")</x:f>
      </x:c>
      <x:c r="C1932" s="7" t="str">
        <x:f>IF(AND('요약'!$B$20,A1932&lt;='요약'!$B$6),LARGE('계산'!$B$2:$B$2001,'요약'!$B$6-A1932+1),"")</x:f>
      </x:c>
      <x:c r="D1932" s="7" t="str">
        <x:f>IF(ISNUMBER(B1932),'요약'!$B$7+'요약'!$B$13*B1932,"")</x:f>
      </x:c>
    </x:row>
    <x:row r="1933">
      <x:c r="A1933" t="n">
        <x:f>1929</x:f>
        <x:v>1929</x:v>
      </x:c>
      <x:c r="B1933" s="7" t="str">
        <x:f>IF(AND('요약'!$B$20,A1933&lt;='요약'!$B$6),NORM.S.INV((A1933-0.5)/'요약'!$B$6),"")</x:f>
      </x:c>
      <x:c r="C1933" s="7" t="str">
        <x:f>IF(AND('요약'!$B$20,A1933&lt;='요약'!$B$6),LARGE('계산'!$B$2:$B$2001,'요약'!$B$6-A1933+1),"")</x:f>
      </x:c>
      <x:c r="D1933" s="7" t="str">
        <x:f>IF(ISNUMBER(B1933),'요약'!$B$7+'요약'!$B$13*B1933,"")</x:f>
      </x:c>
    </x:row>
    <x:row r="1934">
      <x:c r="A1934" t="n">
        <x:f>1930</x:f>
        <x:v>1930</x:v>
      </x:c>
      <x:c r="B1934" s="7" t="str">
        <x:f>IF(AND('요약'!$B$20,A1934&lt;='요약'!$B$6),NORM.S.INV((A1934-0.5)/'요약'!$B$6),"")</x:f>
      </x:c>
      <x:c r="C1934" s="7" t="str">
        <x:f>IF(AND('요약'!$B$20,A1934&lt;='요약'!$B$6),LARGE('계산'!$B$2:$B$2001,'요약'!$B$6-A1934+1),"")</x:f>
      </x:c>
      <x:c r="D1934" s="7" t="str">
        <x:f>IF(ISNUMBER(B1934),'요약'!$B$7+'요약'!$B$13*B1934,"")</x:f>
      </x:c>
    </x:row>
    <x:row r="1935">
      <x:c r="A1935" t="n">
        <x:f>1931</x:f>
        <x:v>1931</x:v>
      </x:c>
      <x:c r="B1935" s="7" t="str">
        <x:f>IF(AND('요약'!$B$20,A1935&lt;='요약'!$B$6),NORM.S.INV((A1935-0.5)/'요약'!$B$6),"")</x:f>
      </x:c>
      <x:c r="C1935" s="7" t="str">
        <x:f>IF(AND('요약'!$B$20,A1935&lt;='요약'!$B$6),LARGE('계산'!$B$2:$B$2001,'요약'!$B$6-A1935+1),"")</x:f>
      </x:c>
      <x:c r="D1935" s="7" t="str">
        <x:f>IF(ISNUMBER(B1935),'요약'!$B$7+'요약'!$B$13*B1935,"")</x:f>
      </x:c>
    </x:row>
    <x:row r="1936">
      <x:c r="A1936" t="n">
        <x:f>1932</x:f>
        <x:v>1932</x:v>
      </x:c>
      <x:c r="B1936" s="7" t="str">
        <x:f>IF(AND('요약'!$B$20,A1936&lt;='요약'!$B$6),NORM.S.INV((A1936-0.5)/'요약'!$B$6),"")</x:f>
      </x:c>
      <x:c r="C1936" s="7" t="str">
        <x:f>IF(AND('요약'!$B$20,A1936&lt;='요약'!$B$6),LARGE('계산'!$B$2:$B$2001,'요약'!$B$6-A1936+1),"")</x:f>
      </x:c>
      <x:c r="D1936" s="7" t="str">
        <x:f>IF(ISNUMBER(B1936),'요약'!$B$7+'요약'!$B$13*B1936,"")</x:f>
      </x:c>
    </x:row>
    <x:row r="1937">
      <x:c r="A1937" t="n">
        <x:f>1933</x:f>
        <x:v>1933</x:v>
      </x:c>
      <x:c r="B1937" s="7" t="str">
        <x:f>IF(AND('요약'!$B$20,A1937&lt;='요약'!$B$6),NORM.S.INV((A1937-0.5)/'요약'!$B$6),"")</x:f>
      </x:c>
      <x:c r="C1937" s="7" t="str">
        <x:f>IF(AND('요약'!$B$20,A1937&lt;='요약'!$B$6),LARGE('계산'!$B$2:$B$2001,'요약'!$B$6-A1937+1),"")</x:f>
      </x:c>
      <x:c r="D1937" s="7" t="str">
        <x:f>IF(ISNUMBER(B1937),'요약'!$B$7+'요약'!$B$13*B1937,"")</x:f>
      </x:c>
    </x:row>
    <x:row r="1938">
      <x:c r="A1938" t="n">
        <x:f>1934</x:f>
        <x:v>1934</x:v>
      </x:c>
      <x:c r="B1938" s="7" t="str">
        <x:f>IF(AND('요약'!$B$20,A1938&lt;='요약'!$B$6),NORM.S.INV((A1938-0.5)/'요약'!$B$6),"")</x:f>
      </x:c>
      <x:c r="C1938" s="7" t="str">
        <x:f>IF(AND('요약'!$B$20,A1938&lt;='요약'!$B$6),LARGE('계산'!$B$2:$B$2001,'요약'!$B$6-A1938+1),"")</x:f>
      </x:c>
      <x:c r="D1938" s="7" t="str">
        <x:f>IF(ISNUMBER(B1938),'요약'!$B$7+'요약'!$B$13*B1938,"")</x:f>
      </x:c>
    </x:row>
    <x:row r="1939">
      <x:c r="A1939" t="n">
        <x:f>1935</x:f>
        <x:v>1935</x:v>
      </x:c>
      <x:c r="B1939" s="7" t="str">
        <x:f>IF(AND('요약'!$B$20,A1939&lt;='요약'!$B$6),NORM.S.INV((A1939-0.5)/'요약'!$B$6),"")</x:f>
      </x:c>
      <x:c r="C1939" s="7" t="str">
        <x:f>IF(AND('요약'!$B$20,A1939&lt;='요약'!$B$6),LARGE('계산'!$B$2:$B$2001,'요약'!$B$6-A1939+1),"")</x:f>
      </x:c>
      <x:c r="D1939" s="7" t="str">
        <x:f>IF(ISNUMBER(B1939),'요약'!$B$7+'요약'!$B$13*B1939,"")</x:f>
      </x:c>
    </x:row>
    <x:row r="1940">
      <x:c r="A1940" t="n">
        <x:f>1936</x:f>
        <x:v>1936</x:v>
      </x:c>
      <x:c r="B1940" s="7" t="str">
        <x:f>IF(AND('요약'!$B$20,A1940&lt;='요약'!$B$6),NORM.S.INV((A1940-0.5)/'요약'!$B$6),"")</x:f>
      </x:c>
      <x:c r="C1940" s="7" t="str">
        <x:f>IF(AND('요약'!$B$20,A1940&lt;='요약'!$B$6),LARGE('계산'!$B$2:$B$2001,'요약'!$B$6-A1940+1),"")</x:f>
      </x:c>
      <x:c r="D1940" s="7" t="str">
        <x:f>IF(ISNUMBER(B1940),'요약'!$B$7+'요약'!$B$13*B1940,"")</x:f>
      </x:c>
    </x:row>
    <x:row r="1941">
      <x:c r="A1941" t="n">
        <x:f>1937</x:f>
        <x:v>1937</x:v>
      </x:c>
      <x:c r="B1941" s="7" t="str">
        <x:f>IF(AND('요약'!$B$20,A1941&lt;='요약'!$B$6),NORM.S.INV((A1941-0.5)/'요약'!$B$6),"")</x:f>
      </x:c>
      <x:c r="C1941" s="7" t="str">
        <x:f>IF(AND('요약'!$B$20,A1941&lt;='요약'!$B$6),LARGE('계산'!$B$2:$B$2001,'요약'!$B$6-A1941+1),"")</x:f>
      </x:c>
      <x:c r="D1941" s="7" t="str">
        <x:f>IF(ISNUMBER(B1941),'요약'!$B$7+'요약'!$B$13*B1941,"")</x:f>
      </x:c>
    </x:row>
    <x:row r="1942">
      <x:c r="A1942" t="n">
        <x:f>1938</x:f>
        <x:v>1938</x:v>
      </x:c>
      <x:c r="B1942" s="7" t="str">
        <x:f>IF(AND('요약'!$B$20,A1942&lt;='요약'!$B$6),NORM.S.INV((A1942-0.5)/'요약'!$B$6),"")</x:f>
      </x:c>
      <x:c r="C1942" s="7" t="str">
        <x:f>IF(AND('요약'!$B$20,A1942&lt;='요약'!$B$6),LARGE('계산'!$B$2:$B$2001,'요약'!$B$6-A1942+1),"")</x:f>
      </x:c>
      <x:c r="D1942" s="7" t="str">
        <x:f>IF(ISNUMBER(B1942),'요약'!$B$7+'요약'!$B$13*B1942,"")</x:f>
      </x:c>
    </x:row>
    <x:row r="1943">
      <x:c r="A1943" t="n">
        <x:f>1939</x:f>
        <x:v>1939</x:v>
      </x:c>
      <x:c r="B1943" s="7" t="str">
        <x:f>IF(AND('요약'!$B$20,A1943&lt;='요약'!$B$6),NORM.S.INV((A1943-0.5)/'요약'!$B$6),"")</x:f>
      </x:c>
      <x:c r="C1943" s="7" t="str">
        <x:f>IF(AND('요약'!$B$20,A1943&lt;='요약'!$B$6),LARGE('계산'!$B$2:$B$2001,'요약'!$B$6-A1943+1),"")</x:f>
      </x:c>
      <x:c r="D1943" s="7" t="str">
        <x:f>IF(ISNUMBER(B1943),'요약'!$B$7+'요약'!$B$13*B1943,"")</x:f>
      </x:c>
    </x:row>
    <x:row r="1944">
      <x:c r="A1944" t="n">
        <x:f>1940</x:f>
        <x:v>1940</x:v>
      </x:c>
      <x:c r="B1944" s="7" t="str">
        <x:f>IF(AND('요약'!$B$20,A1944&lt;='요약'!$B$6),NORM.S.INV((A1944-0.5)/'요약'!$B$6),"")</x:f>
      </x:c>
      <x:c r="C1944" s="7" t="str">
        <x:f>IF(AND('요약'!$B$20,A1944&lt;='요약'!$B$6),LARGE('계산'!$B$2:$B$2001,'요약'!$B$6-A1944+1),"")</x:f>
      </x:c>
      <x:c r="D1944" s="7" t="str">
        <x:f>IF(ISNUMBER(B1944),'요약'!$B$7+'요약'!$B$13*B1944,"")</x:f>
      </x:c>
    </x:row>
    <x:row r="1945">
      <x:c r="A1945" t="n">
        <x:f>1941</x:f>
        <x:v>1941</x:v>
      </x:c>
      <x:c r="B1945" s="7" t="str">
        <x:f>IF(AND('요약'!$B$20,A1945&lt;='요약'!$B$6),NORM.S.INV((A1945-0.5)/'요약'!$B$6),"")</x:f>
      </x:c>
      <x:c r="C1945" s="7" t="str">
        <x:f>IF(AND('요약'!$B$20,A1945&lt;='요약'!$B$6),LARGE('계산'!$B$2:$B$2001,'요약'!$B$6-A1945+1),"")</x:f>
      </x:c>
      <x:c r="D1945" s="7" t="str">
        <x:f>IF(ISNUMBER(B1945),'요약'!$B$7+'요약'!$B$13*B1945,"")</x:f>
      </x:c>
    </x:row>
    <x:row r="1946">
      <x:c r="A1946" t="n">
        <x:f>1942</x:f>
        <x:v>1942</x:v>
      </x:c>
      <x:c r="B1946" s="7" t="str">
        <x:f>IF(AND('요약'!$B$20,A1946&lt;='요약'!$B$6),NORM.S.INV((A1946-0.5)/'요약'!$B$6),"")</x:f>
      </x:c>
      <x:c r="C1946" s="7" t="str">
        <x:f>IF(AND('요약'!$B$20,A1946&lt;='요약'!$B$6),LARGE('계산'!$B$2:$B$2001,'요약'!$B$6-A1946+1),"")</x:f>
      </x:c>
      <x:c r="D1946" s="7" t="str">
        <x:f>IF(ISNUMBER(B1946),'요약'!$B$7+'요약'!$B$13*B1946,"")</x:f>
      </x:c>
    </x:row>
    <x:row r="1947">
      <x:c r="A1947" t="n">
        <x:f>1943</x:f>
        <x:v>1943</x:v>
      </x:c>
      <x:c r="B1947" s="7" t="str">
        <x:f>IF(AND('요약'!$B$20,A1947&lt;='요약'!$B$6),NORM.S.INV((A1947-0.5)/'요약'!$B$6),"")</x:f>
      </x:c>
      <x:c r="C1947" s="7" t="str">
        <x:f>IF(AND('요약'!$B$20,A1947&lt;='요약'!$B$6),LARGE('계산'!$B$2:$B$2001,'요약'!$B$6-A1947+1),"")</x:f>
      </x:c>
      <x:c r="D1947" s="7" t="str">
        <x:f>IF(ISNUMBER(B1947),'요약'!$B$7+'요약'!$B$13*B1947,"")</x:f>
      </x:c>
    </x:row>
    <x:row r="1948">
      <x:c r="A1948" t="n">
        <x:f>1944</x:f>
        <x:v>1944</x:v>
      </x:c>
      <x:c r="B1948" s="7" t="str">
        <x:f>IF(AND('요약'!$B$20,A1948&lt;='요약'!$B$6),NORM.S.INV((A1948-0.5)/'요약'!$B$6),"")</x:f>
      </x:c>
      <x:c r="C1948" s="7" t="str">
        <x:f>IF(AND('요약'!$B$20,A1948&lt;='요약'!$B$6),LARGE('계산'!$B$2:$B$2001,'요약'!$B$6-A1948+1),"")</x:f>
      </x:c>
      <x:c r="D1948" s="7" t="str">
        <x:f>IF(ISNUMBER(B1948),'요약'!$B$7+'요약'!$B$13*B1948,"")</x:f>
      </x:c>
    </x:row>
    <x:row r="1949">
      <x:c r="A1949" t="n">
        <x:f>1945</x:f>
        <x:v>1945</x:v>
      </x:c>
      <x:c r="B1949" s="7" t="str">
        <x:f>IF(AND('요약'!$B$20,A1949&lt;='요약'!$B$6),NORM.S.INV((A1949-0.5)/'요약'!$B$6),"")</x:f>
      </x:c>
      <x:c r="C1949" s="7" t="str">
        <x:f>IF(AND('요약'!$B$20,A1949&lt;='요약'!$B$6),LARGE('계산'!$B$2:$B$2001,'요약'!$B$6-A1949+1),"")</x:f>
      </x:c>
      <x:c r="D1949" s="7" t="str">
        <x:f>IF(ISNUMBER(B1949),'요약'!$B$7+'요약'!$B$13*B1949,"")</x:f>
      </x:c>
    </x:row>
    <x:row r="1950">
      <x:c r="A1950" t="n">
        <x:f>1946</x:f>
        <x:v>1946</x:v>
      </x:c>
      <x:c r="B1950" s="7" t="str">
        <x:f>IF(AND('요약'!$B$20,A1950&lt;='요약'!$B$6),NORM.S.INV((A1950-0.5)/'요약'!$B$6),"")</x:f>
      </x:c>
      <x:c r="C1950" s="7" t="str">
        <x:f>IF(AND('요약'!$B$20,A1950&lt;='요약'!$B$6),LARGE('계산'!$B$2:$B$2001,'요약'!$B$6-A1950+1),"")</x:f>
      </x:c>
      <x:c r="D1950" s="7" t="str">
        <x:f>IF(ISNUMBER(B1950),'요약'!$B$7+'요약'!$B$13*B1950,"")</x:f>
      </x:c>
    </x:row>
    <x:row r="1951">
      <x:c r="A1951" t="n">
        <x:f>1947</x:f>
        <x:v>1947</x:v>
      </x:c>
      <x:c r="B1951" s="7" t="str">
        <x:f>IF(AND('요약'!$B$20,A1951&lt;='요약'!$B$6),NORM.S.INV((A1951-0.5)/'요약'!$B$6),"")</x:f>
      </x:c>
      <x:c r="C1951" s="7" t="str">
        <x:f>IF(AND('요약'!$B$20,A1951&lt;='요약'!$B$6),LARGE('계산'!$B$2:$B$2001,'요약'!$B$6-A1951+1),"")</x:f>
      </x:c>
      <x:c r="D1951" s="7" t="str">
        <x:f>IF(ISNUMBER(B1951),'요약'!$B$7+'요약'!$B$13*B1951,"")</x:f>
      </x:c>
    </x:row>
    <x:row r="1952">
      <x:c r="A1952" t="n">
        <x:f>1948</x:f>
        <x:v>1948</x:v>
      </x:c>
      <x:c r="B1952" s="7" t="str">
        <x:f>IF(AND('요약'!$B$20,A1952&lt;='요약'!$B$6),NORM.S.INV((A1952-0.5)/'요약'!$B$6),"")</x:f>
      </x:c>
      <x:c r="C1952" s="7" t="str">
        <x:f>IF(AND('요약'!$B$20,A1952&lt;='요약'!$B$6),LARGE('계산'!$B$2:$B$2001,'요약'!$B$6-A1952+1),"")</x:f>
      </x:c>
      <x:c r="D1952" s="7" t="str">
        <x:f>IF(ISNUMBER(B1952),'요약'!$B$7+'요약'!$B$13*B1952,"")</x:f>
      </x:c>
    </x:row>
    <x:row r="1953">
      <x:c r="A1953" t="n">
        <x:f>1949</x:f>
        <x:v>1949</x:v>
      </x:c>
      <x:c r="B1953" s="7" t="str">
        <x:f>IF(AND('요약'!$B$20,A1953&lt;='요약'!$B$6),NORM.S.INV((A1953-0.5)/'요약'!$B$6),"")</x:f>
      </x:c>
      <x:c r="C1953" s="7" t="str">
        <x:f>IF(AND('요약'!$B$20,A1953&lt;='요약'!$B$6),LARGE('계산'!$B$2:$B$2001,'요약'!$B$6-A1953+1),"")</x:f>
      </x:c>
      <x:c r="D1953" s="7" t="str">
        <x:f>IF(ISNUMBER(B1953),'요약'!$B$7+'요약'!$B$13*B1953,"")</x:f>
      </x:c>
    </x:row>
    <x:row r="1954">
      <x:c r="A1954" t="n">
        <x:f>1950</x:f>
        <x:v>1950</x:v>
      </x:c>
      <x:c r="B1954" s="7" t="str">
        <x:f>IF(AND('요약'!$B$20,A1954&lt;='요약'!$B$6),NORM.S.INV((A1954-0.5)/'요약'!$B$6),"")</x:f>
      </x:c>
      <x:c r="C1954" s="7" t="str">
        <x:f>IF(AND('요약'!$B$20,A1954&lt;='요약'!$B$6),LARGE('계산'!$B$2:$B$2001,'요약'!$B$6-A1954+1),"")</x:f>
      </x:c>
      <x:c r="D1954" s="7" t="str">
        <x:f>IF(ISNUMBER(B1954),'요약'!$B$7+'요약'!$B$13*B1954,"")</x:f>
      </x:c>
    </x:row>
    <x:row r="1955">
      <x:c r="A1955" t="n">
        <x:f>1951</x:f>
        <x:v>1951</x:v>
      </x:c>
      <x:c r="B1955" s="7" t="str">
        <x:f>IF(AND('요약'!$B$20,A1955&lt;='요약'!$B$6),NORM.S.INV((A1955-0.5)/'요약'!$B$6),"")</x:f>
      </x:c>
      <x:c r="C1955" s="7" t="str">
        <x:f>IF(AND('요약'!$B$20,A1955&lt;='요약'!$B$6),LARGE('계산'!$B$2:$B$2001,'요약'!$B$6-A1955+1),"")</x:f>
      </x:c>
      <x:c r="D1955" s="7" t="str">
        <x:f>IF(ISNUMBER(B1955),'요약'!$B$7+'요약'!$B$13*B1955,"")</x:f>
      </x:c>
    </x:row>
    <x:row r="1956">
      <x:c r="A1956" t="n">
        <x:f>1952</x:f>
        <x:v>1952</x:v>
      </x:c>
      <x:c r="B1956" s="7" t="str">
        <x:f>IF(AND('요약'!$B$20,A1956&lt;='요약'!$B$6),NORM.S.INV((A1956-0.5)/'요약'!$B$6),"")</x:f>
      </x:c>
      <x:c r="C1956" s="7" t="str">
        <x:f>IF(AND('요약'!$B$20,A1956&lt;='요약'!$B$6),LARGE('계산'!$B$2:$B$2001,'요약'!$B$6-A1956+1),"")</x:f>
      </x:c>
      <x:c r="D1956" s="7" t="str">
        <x:f>IF(ISNUMBER(B1956),'요약'!$B$7+'요약'!$B$13*B1956,"")</x:f>
      </x:c>
    </x:row>
    <x:row r="1957">
      <x:c r="A1957" t="n">
        <x:f>1953</x:f>
        <x:v>1953</x:v>
      </x:c>
      <x:c r="B1957" s="7" t="str">
        <x:f>IF(AND('요약'!$B$20,A1957&lt;='요약'!$B$6),NORM.S.INV((A1957-0.5)/'요약'!$B$6),"")</x:f>
      </x:c>
      <x:c r="C1957" s="7" t="str">
        <x:f>IF(AND('요약'!$B$20,A1957&lt;='요약'!$B$6),LARGE('계산'!$B$2:$B$2001,'요약'!$B$6-A1957+1),"")</x:f>
      </x:c>
      <x:c r="D1957" s="7" t="str">
        <x:f>IF(ISNUMBER(B1957),'요약'!$B$7+'요약'!$B$13*B1957,"")</x:f>
      </x:c>
    </x:row>
    <x:row r="1958">
      <x:c r="A1958" t="n">
        <x:f>1954</x:f>
        <x:v>1954</x:v>
      </x:c>
      <x:c r="B1958" s="7" t="str">
        <x:f>IF(AND('요약'!$B$20,A1958&lt;='요약'!$B$6),NORM.S.INV((A1958-0.5)/'요약'!$B$6),"")</x:f>
      </x:c>
      <x:c r="C1958" s="7" t="str">
        <x:f>IF(AND('요약'!$B$20,A1958&lt;='요약'!$B$6),LARGE('계산'!$B$2:$B$2001,'요약'!$B$6-A1958+1),"")</x:f>
      </x:c>
      <x:c r="D1958" s="7" t="str">
        <x:f>IF(ISNUMBER(B1958),'요약'!$B$7+'요약'!$B$13*B1958,"")</x:f>
      </x:c>
    </x:row>
    <x:row r="1959">
      <x:c r="A1959" t="n">
        <x:f>1955</x:f>
        <x:v>1955</x:v>
      </x:c>
      <x:c r="B1959" s="7" t="str">
        <x:f>IF(AND('요약'!$B$20,A1959&lt;='요약'!$B$6),NORM.S.INV((A1959-0.5)/'요약'!$B$6),"")</x:f>
      </x:c>
      <x:c r="C1959" s="7" t="str">
        <x:f>IF(AND('요약'!$B$20,A1959&lt;='요약'!$B$6),LARGE('계산'!$B$2:$B$2001,'요약'!$B$6-A1959+1),"")</x:f>
      </x:c>
      <x:c r="D1959" s="7" t="str">
        <x:f>IF(ISNUMBER(B1959),'요약'!$B$7+'요약'!$B$13*B1959,"")</x:f>
      </x:c>
    </x:row>
    <x:row r="1960">
      <x:c r="A1960" t="n">
        <x:f>1956</x:f>
        <x:v>1956</x:v>
      </x:c>
      <x:c r="B1960" s="7" t="str">
        <x:f>IF(AND('요약'!$B$20,A1960&lt;='요약'!$B$6),NORM.S.INV((A1960-0.5)/'요약'!$B$6),"")</x:f>
      </x:c>
      <x:c r="C1960" s="7" t="str">
        <x:f>IF(AND('요약'!$B$20,A1960&lt;='요약'!$B$6),LARGE('계산'!$B$2:$B$2001,'요약'!$B$6-A1960+1),"")</x:f>
      </x:c>
      <x:c r="D1960" s="7" t="str">
        <x:f>IF(ISNUMBER(B1960),'요약'!$B$7+'요약'!$B$13*B1960,"")</x:f>
      </x:c>
    </x:row>
    <x:row r="1961">
      <x:c r="A1961" t="n">
        <x:f>1957</x:f>
        <x:v>1957</x:v>
      </x:c>
      <x:c r="B1961" s="7" t="str">
        <x:f>IF(AND('요약'!$B$20,A1961&lt;='요약'!$B$6),NORM.S.INV((A1961-0.5)/'요약'!$B$6),"")</x:f>
      </x:c>
      <x:c r="C1961" s="7" t="str">
        <x:f>IF(AND('요약'!$B$20,A1961&lt;='요약'!$B$6),LARGE('계산'!$B$2:$B$2001,'요약'!$B$6-A1961+1),"")</x:f>
      </x:c>
      <x:c r="D1961" s="7" t="str">
        <x:f>IF(ISNUMBER(B1961),'요약'!$B$7+'요약'!$B$13*B1961,"")</x:f>
      </x:c>
    </x:row>
    <x:row r="1962">
      <x:c r="A1962" t="n">
        <x:f>1958</x:f>
        <x:v>1958</x:v>
      </x:c>
      <x:c r="B1962" s="7" t="str">
        <x:f>IF(AND('요약'!$B$20,A1962&lt;='요약'!$B$6),NORM.S.INV((A1962-0.5)/'요약'!$B$6),"")</x:f>
      </x:c>
      <x:c r="C1962" s="7" t="str">
        <x:f>IF(AND('요약'!$B$20,A1962&lt;='요약'!$B$6),LARGE('계산'!$B$2:$B$2001,'요약'!$B$6-A1962+1),"")</x:f>
      </x:c>
      <x:c r="D1962" s="7" t="str">
        <x:f>IF(ISNUMBER(B1962),'요약'!$B$7+'요약'!$B$13*B1962,"")</x:f>
      </x:c>
    </x:row>
    <x:row r="1963">
      <x:c r="A1963" t="n">
        <x:f>1959</x:f>
        <x:v>1959</x:v>
      </x:c>
      <x:c r="B1963" s="7" t="str">
        <x:f>IF(AND('요약'!$B$20,A1963&lt;='요약'!$B$6),NORM.S.INV((A1963-0.5)/'요약'!$B$6),"")</x:f>
      </x:c>
      <x:c r="C1963" s="7" t="str">
        <x:f>IF(AND('요약'!$B$20,A1963&lt;='요약'!$B$6),LARGE('계산'!$B$2:$B$2001,'요약'!$B$6-A1963+1),"")</x:f>
      </x:c>
      <x:c r="D1963" s="7" t="str">
        <x:f>IF(ISNUMBER(B1963),'요약'!$B$7+'요약'!$B$13*B1963,"")</x:f>
      </x:c>
    </x:row>
    <x:row r="1964">
      <x:c r="A1964" t="n">
        <x:f>1960</x:f>
        <x:v>1960</x:v>
      </x:c>
      <x:c r="B1964" s="7" t="str">
        <x:f>IF(AND('요약'!$B$20,A1964&lt;='요약'!$B$6),NORM.S.INV((A1964-0.5)/'요약'!$B$6),"")</x:f>
      </x:c>
      <x:c r="C1964" s="7" t="str">
        <x:f>IF(AND('요약'!$B$20,A1964&lt;='요약'!$B$6),LARGE('계산'!$B$2:$B$2001,'요약'!$B$6-A1964+1),"")</x:f>
      </x:c>
      <x:c r="D1964" s="7" t="str">
        <x:f>IF(ISNUMBER(B1964),'요약'!$B$7+'요약'!$B$13*B1964,"")</x:f>
      </x:c>
    </x:row>
    <x:row r="1965">
      <x:c r="A1965" t="n">
        <x:f>1961</x:f>
        <x:v>1961</x:v>
      </x:c>
      <x:c r="B1965" s="7" t="str">
        <x:f>IF(AND('요약'!$B$20,A1965&lt;='요약'!$B$6),NORM.S.INV((A1965-0.5)/'요약'!$B$6),"")</x:f>
      </x:c>
      <x:c r="C1965" s="7" t="str">
        <x:f>IF(AND('요약'!$B$20,A1965&lt;='요약'!$B$6),LARGE('계산'!$B$2:$B$2001,'요약'!$B$6-A1965+1),"")</x:f>
      </x:c>
      <x:c r="D1965" s="7" t="str">
        <x:f>IF(ISNUMBER(B1965),'요약'!$B$7+'요약'!$B$13*B1965,"")</x:f>
      </x:c>
    </x:row>
    <x:row r="1966">
      <x:c r="A1966" t="n">
        <x:f>1962</x:f>
        <x:v>1962</x:v>
      </x:c>
      <x:c r="B1966" s="7" t="str">
        <x:f>IF(AND('요약'!$B$20,A1966&lt;='요약'!$B$6),NORM.S.INV((A1966-0.5)/'요약'!$B$6),"")</x:f>
      </x:c>
      <x:c r="C1966" s="7" t="str">
        <x:f>IF(AND('요약'!$B$20,A1966&lt;='요약'!$B$6),LARGE('계산'!$B$2:$B$2001,'요약'!$B$6-A1966+1),"")</x:f>
      </x:c>
      <x:c r="D1966" s="7" t="str">
        <x:f>IF(ISNUMBER(B1966),'요약'!$B$7+'요약'!$B$13*B1966,"")</x:f>
      </x:c>
    </x:row>
    <x:row r="1967">
      <x:c r="A1967" t="n">
        <x:f>1963</x:f>
        <x:v>1963</x:v>
      </x:c>
      <x:c r="B1967" s="7" t="str">
        <x:f>IF(AND('요약'!$B$20,A1967&lt;='요약'!$B$6),NORM.S.INV((A1967-0.5)/'요약'!$B$6),"")</x:f>
      </x:c>
      <x:c r="C1967" s="7" t="str">
        <x:f>IF(AND('요약'!$B$20,A1967&lt;='요약'!$B$6),LARGE('계산'!$B$2:$B$2001,'요약'!$B$6-A1967+1),"")</x:f>
      </x:c>
      <x:c r="D1967" s="7" t="str">
        <x:f>IF(ISNUMBER(B1967),'요약'!$B$7+'요약'!$B$13*B1967,"")</x:f>
      </x:c>
    </x:row>
    <x:row r="1968">
      <x:c r="A1968" t="n">
        <x:f>1964</x:f>
        <x:v>1964</x:v>
      </x:c>
      <x:c r="B1968" s="7" t="str">
        <x:f>IF(AND('요약'!$B$20,A1968&lt;='요약'!$B$6),NORM.S.INV((A1968-0.5)/'요약'!$B$6),"")</x:f>
      </x:c>
      <x:c r="C1968" s="7" t="str">
        <x:f>IF(AND('요약'!$B$20,A1968&lt;='요약'!$B$6),LARGE('계산'!$B$2:$B$2001,'요약'!$B$6-A1968+1),"")</x:f>
      </x:c>
      <x:c r="D1968" s="7" t="str">
        <x:f>IF(ISNUMBER(B1968),'요약'!$B$7+'요약'!$B$13*B1968,"")</x:f>
      </x:c>
    </x:row>
    <x:row r="1969">
      <x:c r="A1969" t="n">
        <x:f>1965</x:f>
        <x:v>1965</x:v>
      </x:c>
      <x:c r="B1969" s="7" t="str">
        <x:f>IF(AND('요약'!$B$20,A1969&lt;='요약'!$B$6),NORM.S.INV((A1969-0.5)/'요약'!$B$6),"")</x:f>
      </x:c>
      <x:c r="C1969" s="7" t="str">
        <x:f>IF(AND('요약'!$B$20,A1969&lt;='요약'!$B$6),LARGE('계산'!$B$2:$B$2001,'요약'!$B$6-A1969+1),"")</x:f>
      </x:c>
      <x:c r="D1969" s="7" t="str">
        <x:f>IF(ISNUMBER(B1969),'요약'!$B$7+'요약'!$B$13*B1969,"")</x:f>
      </x:c>
    </x:row>
    <x:row r="1970">
      <x:c r="A1970" t="n">
        <x:f>1966</x:f>
        <x:v>1966</x:v>
      </x:c>
      <x:c r="B1970" s="7" t="str">
        <x:f>IF(AND('요약'!$B$20,A1970&lt;='요약'!$B$6),NORM.S.INV((A1970-0.5)/'요약'!$B$6),"")</x:f>
      </x:c>
      <x:c r="C1970" s="7" t="str">
        <x:f>IF(AND('요약'!$B$20,A1970&lt;='요약'!$B$6),LARGE('계산'!$B$2:$B$2001,'요약'!$B$6-A1970+1),"")</x:f>
      </x:c>
      <x:c r="D1970" s="7" t="str">
        <x:f>IF(ISNUMBER(B1970),'요약'!$B$7+'요약'!$B$13*B1970,"")</x:f>
      </x:c>
    </x:row>
    <x:row r="1971">
      <x:c r="A1971" t="n">
        <x:f>1967</x:f>
        <x:v>1967</x:v>
      </x:c>
      <x:c r="B1971" s="7" t="str">
        <x:f>IF(AND('요약'!$B$20,A1971&lt;='요약'!$B$6),NORM.S.INV((A1971-0.5)/'요약'!$B$6),"")</x:f>
      </x:c>
      <x:c r="C1971" s="7" t="str">
        <x:f>IF(AND('요약'!$B$20,A1971&lt;='요약'!$B$6),LARGE('계산'!$B$2:$B$2001,'요약'!$B$6-A1971+1),"")</x:f>
      </x:c>
      <x:c r="D1971" s="7" t="str">
        <x:f>IF(ISNUMBER(B1971),'요약'!$B$7+'요약'!$B$13*B1971,"")</x:f>
      </x:c>
    </x:row>
    <x:row r="1972">
      <x:c r="A1972" t="n">
        <x:f>1968</x:f>
        <x:v>1968</x:v>
      </x:c>
      <x:c r="B1972" s="7" t="str">
        <x:f>IF(AND('요약'!$B$20,A1972&lt;='요약'!$B$6),NORM.S.INV((A1972-0.5)/'요약'!$B$6),"")</x:f>
      </x:c>
      <x:c r="C1972" s="7" t="str">
        <x:f>IF(AND('요약'!$B$20,A1972&lt;='요약'!$B$6),LARGE('계산'!$B$2:$B$2001,'요약'!$B$6-A1972+1),"")</x:f>
      </x:c>
      <x:c r="D1972" s="7" t="str">
        <x:f>IF(ISNUMBER(B1972),'요약'!$B$7+'요약'!$B$13*B1972,"")</x:f>
      </x:c>
    </x:row>
    <x:row r="1973">
      <x:c r="A1973" t="n">
        <x:f>1969</x:f>
        <x:v>1969</x:v>
      </x:c>
      <x:c r="B1973" s="7" t="str">
        <x:f>IF(AND('요약'!$B$20,A1973&lt;='요약'!$B$6),NORM.S.INV((A1973-0.5)/'요약'!$B$6),"")</x:f>
      </x:c>
      <x:c r="C1973" s="7" t="str">
        <x:f>IF(AND('요약'!$B$20,A1973&lt;='요약'!$B$6),LARGE('계산'!$B$2:$B$2001,'요약'!$B$6-A1973+1),"")</x:f>
      </x:c>
      <x:c r="D1973" s="7" t="str">
        <x:f>IF(ISNUMBER(B1973),'요약'!$B$7+'요약'!$B$13*B1973,"")</x:f>
      </x:c>
    </x:row>
    <x:row r="1974">
      <x:c r="A1974" t="n">
        <x:f>1970</x:f>
        <x:v>1970</x:v>
      </x:c>
      <x:c r="B1974" s="7" t="str">
        <x:f>IF(AND('요약'!$B$20,A1974&lt;='요약'!$B$6),NORM.S.INV((A1974-0.5)/'요약'!$B$6),"")</x:f>
      </x:c>
      <x:c r="C1974" s="7" t="str">
        <x:f>IF(AND('요약'!$B$20,A1974&lt;='요약'!$B$6),LARGE('계산'!$B$2:$B$2001,'요약'!$B$6-A1974+1),"")</x:f>
      </x:c>
      <x:c r="D1974" s="7" t="str">
        <x:f>IF(ISNUMBER(B1974),'요약'!$B$7+'요약'!$B$13*B1974,"")</x:f>
      </x:c>
    </x:row>
    <x:row r="1975">
      <x:c r="A1975" t="n">
        <x:f>1971</x:f>
        <x:v>1971</x:v>
      </x:c>
      <x:c r="B1975" s="7" t="str">
        <x:f>IF(AND('요약'!$B$20,A1975&lt;='요약'!$B$6),NORM.S.INV((A1975-0.5)/'요약'!$B$6),"")</x:f>
      </x:c>
      <x:c r="C1975" s="7" t="str">
        <x:f>IF(AND('요약'!$B$20,A1975&lt;='요약'!$B$6),LARGE('계산'!$B$2:$B$2001,'요약'!$B$6-A1975+1),"")</x:f>
      </x:c>
      <x:c r="D1975" s="7" t="str">
        <x:f>IF(ISNUMBER(B1975),'요약'!$B$7+'요약'!$B$13*B1975,"")</x:f>
      </x:c>
    </x:row>
    <x:row r="1976">
      <x:c r="A1976" t="n">
        <x:f>1972</x:f>
        <x:v>1972</x:v>
      </x:c>
      <x:c r="B1976" s="7" t="str">
        <x:f>IF(AND('요약'!$B$20,A1976&lt;='요약'!$B$6),NORM.S.INV((A1976-0.5)/'요약'!$B$6),"")</x:f>
      </x:c>
      <x:c r="C1976" s="7" t="str">
        <x:f>IF(AND('요약'!$B$20,A1976&lt;='요약'!$B$6),LARGE('계산'!$B$2:$B$2001,'요약'!$B$6-A1976+1),"")</x:f>
      </x:c>
      <x:c r="D1976" s="7" t="str">
        <x:f>IF(ISNUMBER(B1976),'요약'!$B$7+'요약'!$B$13*B1976,"")</x:f>
      </x:c>
    </x:row>
    <x:row r="1977">
      <x:c r="A1977" t="n">
        <x:f>1973</x:f>
        <x:v>1973</x:v>
      </x:c>
      <x:c r="B1977" s="7" t="str">
        <x:f>IF(AND('요약'!$B$20,A1977&lt;='요약'!$B$6),NORM.S.INV((A1977-0.5)/'요약'!$B$6),"")</x:f>
      </x:c>
      <x:c r="C1977" s="7" t="str">
        <x:f>IF(AND('요약'!$B$20,A1977&lt;='요약'!$B$6),LARGE('계산'!$B$2:$B$2001,'요약'!$B$6-A1977+1),"")</x:f>
      </x:c>
      <x:c r="D1977" s="7" t="str">
        <x:f>IF(ISNUMBER(B1977),'요약'!$B$7+'요약'!$B$13*B1977,"")</x:f>
      </x:c>
    </x:row>
    <x:row r="1978">
      <x:c r="A1978" t="n">
        <x:f>1974</x:f>
        <x:v>1974</x:v>
      </x:c>
      <x:c r="B1978" s="7" t="str">
        <x:f>IF(AND('요약'!$B$20,A1978&lt;='요약'!$B$6),NORM.S.INV((A1978-0.5)/'요약'!$B$6),"")</x:f>
      </x:c>
      <x:c r="C1978" s="7" t="str">
        <x:f>IF(AND('요약'!$B$20,A1978&lt;='요약'!$B$6),LARGE('계산'!$B$2:$B$2001,'요약'!$B$6-A1978+1),"")</x:f>
      </x:c>
      <x:c r="D1978" s="7" t="str">
        <x:f>IF(ISNUMBER(B1978),'요약'!$B$7+'요약'!$B$13*B1978,"")</x:f>
      </x:c>
    </x:row>
    <x:row r="1979">
      <x:c r="A1979" t="n">
        <x:f>1975</x:f>
        <x:v>1975</x:v>
      </x:c>
      <x:c r="B1979" s="7" t="str">
        <x:f>IF(AND('요약'!$B$20,A1979&lt;='요약'!$B$6),NORM.S.INV((A1979-0.5)/'요약'!$B$6),"")</x:f>
      </x:c>
      <x:c r="C1979" s="7" t="str">
        <x:f>IF(AND('요약'!$B$20,A1979&lt;='요약'!$B$6),LARGE('계산'!$B$2:$B$2001,'요약'!$B$6-A1979+1),"")</x:f>
      </x:c>
      <x:c r="D1979" s="7" t="str">
        <x:f>IF(ISNUMBER(B1979),'요약'!$B$7+'요약'!$B$13*B1979,"")</x:f>
      </x:c>
    </x:row>
    <x:row r="1980">
      <x:c r="A1980" t="n">
        <x:f>1976</x:f>
        <x:v>1976</x:v>
      </x:c>
      <x:c r="B1980" s="7" t="str">
        <x:f>IF(AND('요약'!$B$20,A1980&lt;='요약'!$B$6),NORM.S.INV((A1980-0.5)/'요약'!$B$6),"")</x:f>
      </x:c>
      <x:c r="C1980" s="7" t="str">
        <x:f>IF(AND('요약'!$B$20,A1980&lt;='요약'!$B$6),LARGE('계산'!$B$2:$B$2001,'요약'!$B$6-A1980+1),"")</x:f>
      </x:c>
      <x:c r="D1980" s="7" t="str">
        <x:f>IF(ISNUMBER(B1980),'요약'!$B$7+'요약'!$B$13*B1980,"")</x:f>
      </x:c>
    </x:row>
    <x:row r="1981">
      <x:c r="A1981" t="n">
        <x:f>1977</x:f>
        <x:v>1977</x:v>
      </x:c>
      <x:c r="B1981" s="7" t="str">
        <x:f>IF(AND('요약'!$B$20,A1981&lt;='요약'!$B$6),NORM.S.INV((A1981-0.5)/'요약'!$B$6),"")</x:f>
      </x:c>
      <x:c r="C1981" s="7" t="str">
        <x:f>IF(AND('요약'!$B$20,A1981&lt;='요약'!$B$6),LARGE('계산'!$B$2:$B$2001,'요약'!$B$6-A1981+1),"")</x:f>
      </x:c>
      <x:c r="D1981" s="7" t="str">
        <x:f>IF(ISNUMBER(B1981),'요약'!$B$7+'요약'!$B$13*B1981,"")</x:f>
      </x:c>
    </x:row>
    <x:row r="1982">
      <x:c r="A1982" t="n">
        <x:f>1978</x:f>
        <x:v>1978</x:v>
      </x:c>
      <x:c r="B1982" s="7" t="str">
        <x:f>IF(AND('요약'!$B$20,A1982&lt;='요약'!$B$6),NORM.S.INV((A1982-0.5)/'요약'!$B$6),"")</x:f>
      </x:c>
      <x:c r="C1982" s="7" t="str">
        <x:f>IF(AND('요약'!$B$20,A1982&lt;='요약'!$B$6),LARGE('계산'!$B$2:$B$2001,'요약'!$B$6-A1982+1),"")</x:f>
      </x:c>
      <x:c r="D1982" s="7" t="str">
        <x:f>IF(ISNUMBER(B1982),'요약'!$B$7+'요약'!$B$13*B1982,"")</x:f>
      </x:c>
    </x:row>
    <x:row r="1983">
      <x:c r="A1983" t="n">
        <x:f>1979</x:f>
        <x:v>1979</x:v>
      </x:c>
      <x:c r="B1983" s="7" t="str">
        <x:f>IF(AND('요약'!$B$20,A1983&lt;='요약'!$B$6),NORM.S.INV((A1983-0.5)/'요약'!$B$6),"")</x:f>
      </x:c>
      <x:c r="C1983" s="7" t="str">
        <x:f>IF(AND('요약'!$B$20,A1983&lt;='요약'!$B$6),LARGE('계산'!$B$2:$B$2001,'요약'!$B$6-A1983+1),"")</x:f>
      </x:c>
      <x:c r="D1983" s="7" t="str">
        <x:f>IF(ISNUMBER(B1983),'요약'!$B$7+'요약'!$B$13*B1983,"")</x:f>
      </x:c>
    </x:row>
    <x:row r="1984">
      <x:c r="A1984" t="n">
        <x:f>1980</x:f>
        <x:v>1980</x:v>
      </x:c>
      <x:c r="B1984" s="7" t="str">
        <x:f>IF(AND('요약'!$B$20,A1984&lt;='요약'!$B$6),NORM.S.INV((A1984-0.5)/'요약'!$B$6),"")</x:f>
      </x:c>
      <x:c r="C1984" s="7" t="str">
        <x:f>IF(AND('요약'!$B$20,A1984&lt;='요약'!$B$6),LARGE('계산'!$B$2:$B$2001,'요약'!$B$6-A1984+1),"")</x:f>
      </x:c>
      <x:c r="D1984" s="7" t="str">
        <x:f>IF(ISNUMBER(B1984),'요약'!$B$7+'요약'!$B$13*B1984,"")</x:f>
      </x:c>
    </x:row>
    <x:row r="1985">
      <x:c r="A1985" t="n">
        <x:f>1981</x:f>
        <x:v>1981</x:v>
      </x:c>
      <x:c r="B1985" s="7" t="str">
        <x:f>IF(AND('요약'!$B$20,A1985&lt;='요약'!$B$6),NORM.S.INV((A1985-0.5)/'요약'!$B$6),"")</x:f>
      </x:c>
      <x:c r="C1985" s="7" t="str">
        <x:f>IF(AND('요약'!$B$20,A1985&lt;='요약'!$B$6),LARGE('계산'!$B$2:$B$2001,'요약'!$B$6-A1985+1),"")</x:f>
      </x:c>
      <x:c r="D1985" s="7" t="str">
        <x:f>IF(ISNUMBER(B1985),'요약'!$B$7+'요약'!$B$13*B1985,"")</x:f>
      </x:c>
    </x:row>
    <x:row r="1986">
      <x:c r="A1986" t="n">
        <x:f>1982</x:f>
        <x:v>1982</x:v>
      </x:c>
      <x:c r="B1986" s="7" t="str">
        <x:f>IF(AND('요약'!$B$20,A1986&lt;='요약'!$B$6),NORM.S.INV((A1986-0.5)/'요약'!$B$6),"")</x:f>
      </x:c>
      <x:c r="C1986" s="7" t="str">
        <x:f>IF(AND('요약'!$B$20,A1986&lt;='요약'!$B$6),LARGE('계산'!$B$2:$B$2001,'요약'!$B$6-A1986+1),"")</x:f>
      </x:c>
      <x:c r="D1986" s="7" t="str">
        <x:f>IF(ISNUMBER(B1986),'요약'!$B$7+'요약'!$B$13*B1986,"")</x:f>
      </x:c>
    </x:row>
    <x:row r="1987">
      <x:c r="A1987" t="n">
        <x:f>1983</x:f>
        <x:v>1983</x:v>
      </x:c>
      <x:c r="B1987" s="7" t="str">
        <x:f>IF(AND('요약'!$B$20,A1987&lt;='요약'!$B$6),NORM.S.INV((A1987-0.5)/'요약'!$B$6),"")</x:f>
      </x:c>
      <x:c r="C1987" s="7" t="str">
        <x:f>IF(AND('요약'!$B$20,A1987&lt;='요약'!$B$6),LARGE('계산'!$B$2:$B$2001,'요약'!$B$6-A1987+1),"")</x:f>
      </x:c>
      <x:c r="D1987" s="7" t="str">
        <x:f>IF(ISNUMBER(B1987),'요약'!$B$7+'요약'!$B$13*B1987,"")</x:f>
      </x:c>
    </x:row>
    <x:row r="1988">
      <x:c r="A1988" t="n">
        <x:f>1984</x:f>
        <x:v>1984</x:v>
      </x:c>
      <x:c r="B1988" s="7" t="str">
        <x:f>IF(AND('요약'!$B$20,A1988&lt;='요약'!$B$6),NORM.S.INV((A1988-0.5)/'요약'!$B$6),"")</x:f>
      </x:c>
      <x:c r="C1988" s="7" t="str">
        <x:f>IF(AND('요약'!$B$20,A1988&lt;='요약'!$B$6),LARGE('계산'!$B$2:$B$2001,'요약'!$B$6-A1988+1),"")</x:f>
      </x:c>
      <x:c r="D1988" s="7" t="str">
        <x:f>IF(ISNUMBER(B1988),'요약'!$B$7+'요약'!$B$13*B1988,"")</x:f>
      </x:c>
    </x:row>
    <x:row r="1989">
      <x:c r="A1989" t="n">
        <x:f>1985</x:f>
        <x:v>1985</x:v>
      </x:c>
      <x:c r="B1989" s="7" t="str">
        <x:f>IF(AND('요약'!$B$20,A1989&lt;='요약'!$B$6),NORM.S.INV((A1989-0.5)/'요약'!$B$6),"")</x:f>
      </x:c>
      <x:c r="C1989" s="7" t="str">
        <x:f>IF(AND('요약'!$B$20,A1989&lt;='요약'!$B$6),LARGE('계산'!$B$2:$B$2001,'요약'!$B$6-A1989+1),"")</x:f>
      </x:c>
      <x:c r="D1989" s="7" t="str">
        <x:f>IF(ISNUMBER(B1989),'요약'!$B$7+'요약'!$B$13*B1989,"")</x:f>
      </x:c>
    </x:row>
    <x:row r="1990">
      <x:c r="A1990" t="n">
        <x:f>1986</x:f>
        <x:v>1986</x:v>
      </x:c>
      <x:c r="B1990" s="7" t="str">
        <x:f>IF(AND('요약'!$B$20,A1990&lt;='요약'!$B$6),NORM.S.INV((A1990-0.5)/'요약'!$B$6),"")</x:f>
      </x:c>
      <x:c r="C1990" s="7" t="str">
        <x:f>IF(AND('요약'!$B$20,A1990&lt;='요약'!$B$6),LARGE('계산'!$B$2:$B$2001,'요약'!$B$6-A1990+1),"")</x:f>
      </x:c>
      <x:c r="D1990" s="7" t="str">
        <x:f>IF(ISNUMBER(B1990),'요약'!$B$7+'요약'!$B$13*B1990,"")</x:f>
      </x:c>
    </x:row>
    <x:row r="1991">
      <x:c r="A1991" t="n">
        <x:f>1987</x:f>
        <x:v>1987</x:v>
      </x:c>
      <x:c r="B1991" s="7" t="str">
        <x:f>IF(AND('요약'!$B$20,A1991&lt;='요약'!$B$6),NORM.S.INV((A1991-0.5)/'요약'!$B$6),"")</x:f>
      </x:c>
      <x:c r="C1991" s="7" t="str">
        <x:f>IF(AND('요약'!$B$20,A1991&lt;='요약'!$B$6),LARGE('계산'!$B$2:$B$2001,'요약'!$B$6-A1991+1),"")</x:f>
      </x:c>
      <x:c r="D1991" s="7" t="str">
        <x:f>IF(ISNUMBER(B1991),'요약'!$B$7+'요약'!$B$13*B1991,"")</x:f>
      </x:c>
    </x:row>
    <x:row r="1992">
      <x:c r="A1992" t="n">
        <x:f>1988</x:f>
        <x:v>1988</x:v>
      </x:c>
      <x:c r="B1992" s="7" t="str">
        <x:f>IF(AND('요약'!$B$20,A1992&lt;='요약'!$B$6),NORM.S.INV((A1992-0.5)/'요약'!$B$6),"")</x:f>
      </x:c>
      <x:c r="C1992" s="7" t="str">
        <x:f>IF(AND('요약'!$B$20,A1992&lt;='요약'!$B$6),LARGE('계산'!$B$2:$B$2001,'요약'!$B$6-A1992+1),"")</x:f>
      </x:c>
      <x:c r="D1992" s="7" t="str">
        <x:f>IF(ISNUMBER(B1992),'요약'!$B$7+'요약'!$B$13*B1992,"")</x:f>
      </x:c>
    </x:row>
    <x:row r="1993">
      <x:c r="A1993" t="n">
        <x:f>1989</x:f>
        <x:v>1989</x:v>
      </x:c>
      <x:c r="B1993" s="7" t="str">
        <x:f>IF(AND('요약'!$B$20,A1993&lt;='요약'!$B$6),NORM.S.INV((A1993-0.5)/'요약'!$B$6),"")</x:f>
      </x:c>
      <x:c r="C1993" s="7" t="str">
        <x:f>IF(AND('요약'!$B$20,A1993&lt;='요약'!$B$6),LARGE('계산'!$B$2:$B$2001,'요약'!$B$6-A1993+1),"")</x:f>
      </x:c>
      <x:c r="D1993" s="7" t="str">
        <x:f>IF(ISNUMBER(B1993),'요약'!$B$7+'요약'!$B$13*B1993,"")</x:f>
      </x:c>
    </x:row>
    <x:row r="1994">
      <x:c r="A1994" t="n">
        <x:f>1990</x:f>
        <x:v>1990</x:v>
      </x:c>
      <x:c r="B1994" s="7" t="str">
        <x:f>IF(AND('요약'!$B$20,A1994&lt;='요약'!$B$6),NORM.S.INV((A1994-0.5)/'요약'!$B$6),"")</x:f>
      </x:c>
      <x:c r="C1994" s="7" t="str">
        <x:f>IF(AND('요약'!$B$20,A1994&lt;='요약'!$B$6),LARGE('계산'!$B$2:$B$2001,'요약'!$B$6-A1994+1),"")</x:f>
      </x:c>
      <x:c r="D1994" s="7" t="str">
        <x:f>IF(ISNUMBER(B1994),'요약'!$B$7+'요약'!$B$13*B1994,"")</x:f>
      </x:c>
    </x:row>
    <x:row r="1995">
      <x:c r="A1995" t="n">
        <x:f>1991</x:f>
        <x:v>1991</x:v>
      </x:c>
      <x:c r="B1995" s="7" t="str">
        <x:f>IF(AND('요약'!$B$20,A1995&lt;='요약'!$B$6),NORM.S.INV((A1995-0.5)/'요약'!$B$6),"")</x:f>
      </x:c>
      <x:c r="C1995" s="7" t="str">
        <x:f>IF(AND('요약'!$B$20,A1995&lt;='요약'!$B$6),LARGE('계산'!$B$2:$B$2001,'요약'!$B$6-A1995+1),"")</x:f>
      </x:c>
      <x:c r="D1995" s="7" t="str">
        <x:f>IF(ISNUMBER(B1995),'요약'!$B$7+'요약'!$B$13*B1995,"")</x:f>
      </x:c>
    </x:row>
    <x:row r="1996">
      <x:c r="A1996" t="n">
        <x:f>1992</x:f>
        <x:v>1992</x:v>
      </x:c>
      <x:c r="B1996" s="7" t="str">
        <x:f>IF(AND('요약'!$B$20,A1996&lt;='요약'!$B$6),NORM.S.INV((A1996-0.5)/'요약'!$B$6),"")</x:f>
      </x:c>
      <x:c r="C1996" s="7" t="str">
        <x:f>IF(AND('요약'!$B$20,A1996&lt;='요약'!$B$6),LARGE('계산'!$B$2:$B$2001,'요약'!$B$6-A1996+1),"")</x:f>
      </x:c>
      <x:c r="D1996" s="7" t="str">
        <x:f>IF(ISNUMBER(B1996),'요약'!$B$7+'요약'!$B$13*B1996,"")</x:f>
      </x:c>
    </x:row>
    <x:row r="1997">
      <x:c r="A1997" t="n">
        <x:f>1993</x:f>
        <x:v>1993</x:v>
      </x:c>
      <x:c r="B1997" s="7" t="str">
        <x:f>IF(AND('요약'!$B$20,A1997&lt;='요약'!$B$6),NORM.S.INV((A1997-0.5)/'요약'!$B$6),"")</x:f>
      </x:c>
      <x:c r="C1997" s="7" t="str">
        <x:f>IF(AND('요약'!$B$20,A1997&lt;='요약'!$B$6),LARGE('계산'!$B$2:$B$2001,'요약'!$B$6-A1997+1),"")</x:f>
      </x:c>
      <x:c r="D1997" s="7" t="str">
        <x:f>IF(ISNUMBER(B1997),'요약'!$B$7+'요약'!$B$13*B1997,"")</x:f>
      </x:c>
    </x:row>
    <x:row r="1998">
      <x:c r="A1998" t="n">
        <x:f>1994</x:f>
        <x:v>1994</x:v>
      </x:c>
      <x:c r="B1998" s="7" t="str">
        <x:f>IF(AND('요약'!$B$20,A1998&lt;='요약'!$B$6),NORM.S.INV((A1998-0.5)/'요약'!$B$6),"")</x:f>
      </x:c>
      <x:c r="C1998" s="7" t="str">
        <x:f>IF(AND('요약'!$B$20,A1998&lt;='요약'!$B$6),LARGE('계산'!$B$2:$B$2001,'요약'!$B$6-A1998+1),"")</x:f>
      </x:c>
      <x:c r="D1998" s="7" t="str">
        <x:f>IF(ISNUMBER(B1998),'요약'!$B$7+'요약'!$B$13*B1998,"")</x:f>
      </x:c>
    </x:row>
    <x:row r="1999">
      <x:c r="A1999" t="n">
        <x:f>1995</x:f>
        <x:v>1995</x:v>
      </x:c>
      <x:c r="B1999" s="7" t="str">
        <x:f>IF(AND('요약'!$B$20,A1999&lt;='요약'!$B$6),NORM.S.INV((A1999-0.5)/'요약'!$B$6),"")</x:f>
      </x:c>
      <x:c r="C1999" s="7" t="str">
        <x:f>IF(AND('요약'!$B$20,A1999&lt;='요약'!$B$6),LARGE('계산'!$B$2:$B$2001,'요약'!$B$6-A1999+1),"")</x:f>
      </x:c>
      <x:c r="D1999" s="7" t="str">
        <x:f>IF(ISNUMBER(B1999),'요약'!$B$7+'요약'!$B$13*B1999,"")</x:f>
      </x:c>
    </x:row>
    <x:row r="2000">
      <x:c r="A2000" t="n">
        <x:f>1996</x:f>
        <x:v>1996</x:v>
      </x:c>
      <x:c r="B2000" s="7" t="str">
        <x:f>IF(AND('요약'!$B$20,A2000&lt;='요약'!$B$6),NORM.S.INV((A2000-0.5)/'요약'!$B$6),"")</x:f>
      </x:c>
      <x:c r="C2000" s="7" t="str">
        <x:f>IF(AND('요약'!$B$20,A2000&lt;='요약'!$B$6),LARGE('계산'!$B$2:$B$2001,'요약'!$B$6-A2000+1),"")</x:f>
      </x:c>
      <x:c r="D2000" s="7" t="str">
        <x:f>IF(ISNUMBER(B2000),'요약'!$B$7+'요약'!$B$13*B2000,"")</x:f>
      </x:c>
    </x:row>
    <x:row r="2001">
      <x:c r="A2001" t="n">
        <x:f>1997</x:f>
        <x:v>1997</x:v>
      </x:c>
      <x:c r="B2001" s="7" t="str">
        <x:f>IF(AND('요약'!$B$20,A2001&lt;='요약'!$B$6),NORM.S.INV((A2001-0.5)/'요약'!$B$6),"")</x:f>
      </x:c>
      <x:c r="C2001" s="7" t="str">
        <x:f>IF(AND('요약'!$B$20,A2001&lt;='요약'!$B$6),LARGE('계산'!$B$2:$B$2001,'요약'!$B$6-A2001+1),"")</x:f>
      </x:c>
      <x:c r="D2001" s="7" t="str">
        <x:f>IF(ISNUMBER(B2001),'요약'!$B$7+'요약'!$B$13*B2001,"")</x:f>
      </x:c>
    </x:row>
    <x:row r="2002">
      <x:c r="A2002" t="n">
        <x:f>1998</x:f>
        <x:v>1998</x:v>
      </x:c>
      <x:c r="B2002" s="7" t="str">
        <x:f>IF(AND('요약'!$B$20,A2002&lt;='요약'!$B$6),NORM.S.INV((A2002-0.5)/'요약'!$B$6),"")</x:f>
      </x:c>
      <x:c r="C2002" s="7" t="str">
        <x:f>IF(AND('요약'!$B$20,A2002&lt;='요약'!$B$6),LARGE('계산'!$B$2:$B$2001,'요약'!$B$6-A2002+1),"")</x:f>
      </x:c>
      <x:c r="D2002" s="7" t="str">
        <x:f>IF(ISNUMBER(B2002),'요약'!$B$7+'요약'!$B$13*B2002,"")</x:f>
      </x:c>
    </x:row>
    <x:row r="2003">
      <x:c r="A2003" t="n">
        <x:f>1999</x:f>
        <x:v>1999</x:v>
      </x:c>
      <x:c r="B2003" s="7" t="str">
        <x:f>IF(AND('요약'!$B$20,A2003&lt;='요약'!$B$6),NORM.S.INV((A2003-0.5)/'요약'!$B$6),"")</x:f>
      </x:c>
      <x:c r="C2003" s="7" t="str">
        <x:f>IF(AND('요약'!$B$20,A2003&lt;='요약'!$B$6),LARGE('계산'!$B$2:$B$2001,'요약'!$B$6-A2003+1),"")</x:f>
      </x:c>
      <x:c r="D2003" s="7" t="str">
        <x:f>IF(ISNUMBER(B2003),'요약'!$B$7+'요약'!$B$13*B2003,"")</x:f>
      </x:c>
    </x:row>
    <x:row r="2004">
      <x:c r="A2004" t="n">
        <x:f>2000</x:f>
        <x:v>2000</x:v>
      </x:c>
      <x:c r="B2004" s="7" t="str">
        <x:f>IF(AND('요약'!$B$20,A2004&lt;='요약'!$B$6),NORM.S.INV((A2004-0.5)/'요약'!$B$6),"")</x:f>
      </x:c>
      <x:c r="C2004" s="7" t="str">
        <x:f>IF(AND('요약'!$B$20,A2004&lt;='요약'!$B$6),LARGE('계산'!$B$2:$B$2001,'요약'!$B$6-A2004+1),"")</x:f>
      </x:c>
      <x:c r="D2004" s="7" t="str">
        <x:f>IF(ISNUMBER(B2004),'요약'!$B$7+'요약'!$B$13*B2004,"")</x:f>
      </x:c>
    </x:row>
  </x:sheetData>
  <x:pageMargins left="0.7" right="0.7" top="0.75" bottom="0.75" header="0.3" footer="0.3"/>
  <x:drawing xmlns:r="http://schemas.openxmlformats.org/officeDocument/2006/relationships" r:id="Re2cf041ee59c4e38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4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1" t="str">
        <x:v>Hill 꼬리지수: 임계값 선택 민감도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6" customHeight="1">
      <x:c r="A4" s="1" t="str">
        <x:v>꼬리 선택</x:v>
      </x:c>
      <x:c r="B4" s="2" t="n">
        <x:v>1</x:v>
      </x:c>
      <x:c r="C4" s="1"/>
      <x:c r="D4" s="1" t="str">
        <x:v>1 손실: −r&gt;0 / 2 이익: r&gt;0 / 3 절대값: |r|&gt;0</x:v>
      </x:c>
      <x:c r="E4" s="1"/>
      <x:c r="F4" s="9" t="str">
        <x:v>k</x:v>
      </x:c>
      <x:c r="G4" s="9" t="str">
        <x:v>u</x:v>
      </x:c>
      <x:c r="H4" s="9" t="str">
        <x:v>ξ</x:v>
      </x:c>
      <x:c r="I4" s="9" t="str">
        <x:v>α</x:v>
      </x:c>
      <x:c r="J4" s="9" t="str">
        <x:v>순위</x:v>
      </x:c>
      <x:c r="K4" s="9" t="str">
        <x:v>양수 내림차순</x:v>
      </x:c>
      <x:c r="L4" s="9" t="str">
        <x:v>log 누적합</x:v>
      </x:c>
    </x:row>
    <x:row r="5">
      <x:c r="A5" s="1" t="str">
        <x:v>상위 k</x:v>
      </x:c>
      <x:c r="B5" s="2" t="n">
        <x:v>50</x:v>
      </x:c>
      <x:c r="C5" s="1"/>
      <x:c r="D5" s="1"/>
      <x:c r="E5" s="1"/>
      <x:c r="F5" s="1" t="n">
        <x:v>10</x:v>
      </x:c>
      <x:c r="G5" s="5" t="n">
        <x:f>IF(AND('요약'!$B$19,F5&lt;$B$6),LARGE('계산'!$K$2:$K$2001,F5+1),"미정의")</x:f>
        <x:v>0.023737263206771466</x:v>
      </x:c>
      <x:c r="H5" s="5" t="n">
        <x:f>IF(ISNUMBER(G5),IF(G5&gt;0,INDEX($L$5:$L$2004,F5)/F5-LN(G5),"미정의"),"미정의")</x:f>
        <x:v>0.13929737544922505</x:v>
      </x:c>
      <x:c r="I5" s="5" t="n">
        <x:f>IF(ISNUMBER(H5),IF(H5&gt;0,1/H5,"미정의"),"미정의")</x:f>
        <x:v>7.1788861547108445</x:v>
      </x:c>
      <x:c r="J5" s="1" t="n">
        <x:f>1</x:f>
        <x:v>1</x:v>
      </x:c>
      <x:c r="K5" s="1" t="n">
        <x:f>IF(J5&lt;=$B$6,LARGE('계산'!$K$2:$K$2001,J5),"")</x:f>
        <x:v>0.03432566242465914</x:v>
      </x:c>
      <x:c r="L5" s="1" t="n">
        <x:f>IF(ISNUMBER(K5),0+LN(K5),"")</x:f>
        <x:v>-3.371862028908079</x:v>
      </x:c>
    </x:row>
    <x:row r="6">
      <x:c r="A6" s="1" t="str">
        <x:v>양수 관측 수</x:v>
      </x:c>
      <x:c r="B6" s="1" t="n">
        <x:f>COUNT('계산'!K2:K2001)</x:f>
        <x:v>512</x:v>
      </x:c>
      <x:c r="C6" s="1"/>
      <x:c r="D6" s="1"/>
      <x:c r="E6" s="1"/>
      <x:c r="F6" s="1" t="n">
        <x:v>20</x:v>
      </x:c>
      <x:c r="G6" s="5" t="n">
        <x:f>IF(AND('요약'!$B$19,F6&lt;$B$6),LARGE('계산'!$K$2:$K$2001,F6+1),"미정의")</x:f>
        <x:v>0.020936895692796983</x:v>
      </x:c>
      <x:c r="H6" s="5" t="n">
        <x:f>IF(ISNUMBER(G6),IF(G6&gt;0,INDEX($L$5:$L$2004,F6)/F6-LN(G6),"미정의"),"미정의")</x:f>
        <x:v>0.16526226226705099</x:v>
      </x:c>
      <x:c r="I6" s="5" t="n">
        <x:f>IF(ISNUMBER(H6),IF(H6&gt;0,1/H6,"미정의"),"미정의")</x:f>
        <x:v>6.050988206757557</x:v>
      </x:c>
      <x:c r="J6" s="1" t="n">
        <x:f>2</x:f>
        <x:v>2</x:v>
      </x:c>
      <x:c r="K6" s="1" t="n">
        <x:f>IF(J6&lt;=$B$6,LARGE('계산'!$K$2:$K$2001,J6),"")</x:f>
        <x:v>0.03335874100088873</x:v>
      </x:c>
      <x:c r="L6" s="1" t="n">
        <x:f>IF(ISNUMBER(K6),L5+LN(K6),"")</x:f>
        <x:v>-6.7722974708933465</x:v>
      </x:c>
    </x:row>
    <x:row r="7">
      <x:c r="A7" s="1" t="str">
        <x:v>임계값 u=x(k+1)</x:v>
      </x:c>
      <x:c r="B7" s="5" t="n">
        <x:f>IF(AND('요약'!B19,B5=INT(B5),B5&gt;=2,B5&lt;B6),LARGE('계산'!K2:K2001,B5+1),"미정의")</x:f>
        <x:v>0.016391178897796593</x:v>
      </x:c>
      <x:c r="C7" s="1"/>
      <x:c r="D7" s="1"/>
      <x:c r="E7" s="1"/>
      <x:c r="F7" s="1" t="n">
        <x:v>30</x:v>
      </x:c>
      <x:c r="G7" s="5" t="n">
        <x:f>IF(AND('요약'!$B$19,F7&lt;$B$6),LARGE('계산'!$K$2:$K$2001,F7+1),"미정의")</x:f>
        <x:v>0.018612551230186746</x:v>
      </x:c>
      <x:c r="H7" s="5" t="n">
        <x:f>IF(ISNUMBER(G7),IF(G7&gt;0,INDEX($L$5:$L$2004,F7)/F7-LN(G7),"미정의"),"미정의")</x:f>
        <x:v>0.20668380899803118</x:v>
      </x:c>
      <x:c r="I7" s="5" t="n">
        <x:f>IF(ISNUMBER(H7),IF(H7&gt;0,1/H7,"미정의"),"미정의")</x:f>
        <x:v>4.838308355394814</x:v>
      </x:c>
      <x:c r="J7" s="1" t="n">
        <x:f>3</x:f>
        <x:v>3</x:v>
      </x:c>
      <x:c r="K7" s="1" t="n">
        <x:f>IF(J7&lt;=$B$6,LARGE('계산'!$K$2:$K$2001,J7),"")</x:f>
        <x:v>0.028722992051685884</x:v>
      </x:c>
      <x:c r="L7" s="1" t="n">
        <x:f>IF(ISNUMBER(K7),L6+LN(K7),"")</x:f>
        <x:v>-10.322354831049198</x:v>
      </x:c>
    </x:row>
    <x:row r="8">
      <x:c r="A8" s="1" t="str">
        <x:v>Hill ξ</x:v>
      </x:c>
      <x:c r="B8" s="5" t="n">
        <x:f>IF(AND(ISNUMBER(B7),B7&gt;0),INDEX(L5:L2004,B5)/B5-LN(B7),"미정의")</x:f>
        <x:v>0.224225063636589</x:v>
      </x:c>
      <x:c r="C8" s="1"/>
      <x:c r="D8" s="1"/>
      <x:c r="E8" s="1"/>
      <x:c r="F8" s="1" t="n">
        <x:v>40</x:v>
      </x:c>
      <x:c r="G8" s="5" t="n">
        <x:f>IF(AND('요약'!$B$19,F8&lt;$B$6),LARGE('계산'!$K$2:$K$2001,F8+1),"미정의")</x:f>
        <x:v>0.017037754037745403</x:v>
      </x:c>
      <x:c r="H8" s="5" t="n">
        <x:f>IF(ISNUMBER(G8),IF(G8&gt;0,INDEX($L$5:$L$2004,F8)/F8-LN(G8),"미정의"),"미정의")</x:f>
        <x:v>0.23543955408035977</x:v>
      </x:c>
      <x:c r="I8" s="5" t="n">
        <x:f>IF(ISNUMBER(H8),IF(H8&gt;0,1/H8,"미정의"),"미정의")</x:f>
        <x:v>4.247374677148267</x:v>
      </x:c>
      <x:c r="J8" s="1" t="n">
        <x:f>4</x:f>
        <x:v>4</x:v>
      </x:c>
      <x:c r="K8" s="1" t="n">
        <x:f>IF(J8&lt;=$B$6,LARGE('계산'!$K$2:$K$2001,J8),"")</x:f>
        <x:v>0.027135698469351075</x:v>
      </x:c>
      <x:c r="L8" s="1" t="n">
        <x:f>IF(ISNUMBER(K8),L7+LN(K8),"")</x:f>
        <x:v>-13.929259962314687</x:v>
      </x:c>
    </x:row>
    <x:row r="9">
      <x:c r="A9" s="1" t="str">
        <x:v>Pareto α=1/ξ</x:v>
      </x:c>
      <x:c r="B9" s="5" t="n">
        <x:f>IF(ISNUMBER(B8),IF(B8&gt;0,1/B8,"미정의"),"미정의")</x:f>
        <x:v>4.459804732715973</x:v>
      </x:c>
      <x:c r="C9" s="1"/>
      <x:c r="D9" s="1"/>
      <x:c r="E9" s="1"/>
      <x:c r="F9" s="1" t="n">
        <x:v>50</x:v>
      </x:c>
      <x:c r="G9" s="5" t="n">
        <x:f>IF(AND('요약'!$B$19,F9&lt;$B$6),LARGE('계산'!$K$2:$K$2001,F9+1),"미정의")</x:f>
        <x:v>0.016391178897796593</x:v>
      </x:c>
      <x:c r="H9" s="5" t="n">
        <x:f>IF(ISNUMBER(G9),IF(G9&gt;0,INDEX($L$5:$L$2004,F9)/F9-LN(G9),"미정의"),"미정의")</x:f>
        <x:v>0.224225063636589</x:v>
      </x:c>
      <x:c r="I9" s="5" t="n">
        <x:f>IF(ISNUMBER(H9),IF(H9&gt;0,1/H9,"미정의"),"미정의")</x:f>
        <x:v>4.459804732715973</x:v>
      </x:c>
      <x:c r="J9" s="1" t="n">
        <x:f>5</x:f>
        <x:v>5</x:v>
      </x:c>
      <x:c r="K9" s="1" t="n">
        <x:f>IF(J9&lt;=$B$6,LARGE('계산'!$K$2:$K$2001,J9),"")</x:f>
        <x:v>0.02694298780222299</x:v>
      </x:c>
      <x:c r="L9" s="1" t="n">
        <x:f>IF(ISNUMBER(K9),L8+LN(K9),"")</x:f>
        <x:v>-17.543292170665275</x:v>
      </x:c>
    </x:row>
    <x:row r="10">
      <x:c r="A10" s="1" t="str">
        <x:v>선택 상태</x:v>
      </x:c>
      <x:c r="B10" s="1" t="str">
        <x:f>IF(ISNUMBER(B7),IF(COUNTIFS('계산'!K2:K2001,"&gt;"&amp;B7)&lt;&gt;B5,"경계 동률: k 재선택",IF(B5&lt;30,"작은 k: 불안정","임계값 민감도 확인")),"입력/표본/k 확인")</x:f>
        <x:v>임계값 민감도 확인</x:v>
      </x:c>
      <x:c r="C10" s="1"/>
      <x:c r="D10" s="1"/>
      <x:c r="E10" s="1"/>
      <x:c r="F10" s="1" t="n">
        <x:v>60</x:v>
      </x:c>
      <x:c r="G10" s="5" t="n">
        <x:f>IF(AND('요약'!$B$19,F10&lt;$B$6),LARGE('계산'!$K$2:$K$2001,F10+1),"미정의")</x:f>
        <x:v>0.015282336460558238</x:v>
      </x:c>
      <x:c r="H10" s="5" t="n">
        <x:f>IF(ISNUMBER(G10),IF(G10&gt;0,INDEX($L$5:$L$2004,F10)/F10-LN(G10),"미정의"),"미정의")</x:f>
        <x:v>0.25261501199607483</x:v>
      </x:c>
      <x:c r="I10" s="5" t="n">
        <x:f>IF(ISNUMBER(H10),IF(H10&gt;0,1/H10,"미정의"),"미정의")</x:f>
        <x:v>3.958592928022576</x:v>
      </x:c>
      <x:c r="J10" s="1" t="n">
        <x:f>6</x:f>
        <x:v>6</x:v>
      </x:c>
      <x:c r="K10" s="1" t="n">
        <x:f>IF(J10&lt;=$B$6,LARGE('계산'!$K$2:$K$2001,J10),"")</x:f>
        <x:v>0.025405820917670463</x:v>
      </x:c>
      <x:c r="L10" s="1" t="n">
        <x:f>IF(ISNUMBER(K10),L9+LN(K10),"")</x:f>
        <x:v>-21.216069131891324</x:v>
      </x:c>
    </x:row>
    <x:row r="11">
      <x:c r="A11" s="1" t="str">
        <x:v>k가 작으면 분산 증가</x:v>
      </x:c>
      <x:c r="B11" s="1"/>
      <x:c r="C11" s="1"/>
      <x:c r="D11" s="1"/>
      <x:c r="E11" s="1"/>
      <x:c r="F11" s="1" t="n">
        <x:v>70</x:v>
      </x:c>
      <x:c r="G11" s="5" t="n">
        <x:f>IF(AND('요약'!$B$19,F11&lt;$B$6),LARGE('계산'!$K$2:$K$2001,F11+1),"미정의")</x:f>
        <x:v>0.014504278481696345</x:v>
      </x:c>
      <x:c r="H11" s="5" t="n">
        <x:f>IF(ISNUMBER(G11),IF(G11&gt;0,INDEX($L$5:$L$2004,F11)/F11-LN(G11),"미정의"),"미정의")</x:f>
        <x:v>0.2651763841250183</x:v>
      </x:c>
      <x:c r="I11" s="5" t="n">
        <x:f>IF(ISNUMBER(H11),IF(H11&gt;0,1/H11,"미정의"),"미정의")</x:f>
        <x:v>3.771074876443547</x:v>
      </x:c>
      <x:c r="J11" s="1" t="n">
        <x:f>7</x:f>
        <x:v>7</x:v>
      </x:c>
      <x:c r="K11" s="1" t="n">
        <x:f>IF(J11&lt;=$B$6,LARGE('계산'!$K$2:$K$2001,J11),"")</x:f>
        <x:v>0.02539813626265877</x:v>
      </x:c>
      <x:c r="L11" s="1" t="n">
        <x:f>IF(ISNUMBER(K11),L10+LN(K11),"")</x:f>
        <x:v>-24.889148615026958</x:v>
      </x:c>
    </x:row>
    <x:row r="12">
      <x:c r="A12" s="1" t="str">
        <x:v>k가 크면 꼬리근사 편향 증가</x:v>
      </x:c>
      <x:c r="B12" s="1"/>
      <x:c r="C12" s="1"/>
      <x:c r="D12" s="1"/>
      <x:c r="E12" s="1"/>
      <x:c r="F12" s="1" t="n">
        <x:v>80</x:v>
      </x:c>
      <x:c r="G12" s="5" t="n">
        <x:f>IF(AND('요약'!$B$19,F12&lt;$B$6),LARGE('계산'!$K$2:$K$2001,F12+1),"미정의")</x:f>
        <x:v>0.013538341240681708</x:v>
      </x:c>
      <x:c r="H12" s="5" t="n">
        <x:f>IF(ISNUMBER(G12),IF(G12&gt;0,INDEX($L$5:$L$2004,F12)/F12-LN(G12),"미정의"),"미정의")</x:f>
        <x:v>0.29526723692691714</x:v>
      </x:c>
      <x:c r="I12" s="5" t="n">
        <x:f>IF(ISNUMBER(H12),IF(H12&gt;0,1/H12,"미정의"),"미정의")</x:f>
        <x:v>3.386762481363668</x:v>
      </x:c>
      <x:c r="J12" s="1" t="n">
        <x:f>8</x:f>
        <x:v>8</x:v>
      </x:c>
      <x:c r="K12" s="1" t="n">
        <x:f>IF(J12&lt;=$B$6,LARGE('계산'!$K$2:$K$2001,J12),"")</x:f>
        <x:v>0.02491526158156121</x:v>
      </x:c>
      <x:c r="L12" s="1" t="n">
        <x:f>IF(ISNUMBER(K12),L11+LN(K12),"")</x:f>
        <x:v>-28.581423363371933</x:v>
      </x:c>
    </x:row>
    <x:row r="13">
      <x:c r="A13" s="1"/>
      <x:c r="B13" s="1"/>
      <x:c r="C13" s="1"/>
      <x:c r="D13" s="1"/>
      <x:c r="E13" s="1"/>
      <x:c r="F13" s="1" t="n">
        <x:v>90</x:v>
      </x:c>
      <x:c r="G13" s="5" t="n">
        <x:f>IF(AND('요약'!$B$19,F13&lt;$B$6),LARGE('계산'!$K$2:$K$2001,F13+1),"미정의")</x:f>
        <x:v>0.012848510328746723</x:v>
      </x:c>
      <x:c r="H13" s="5" t="n">
        <x:f>IF(ISNUMBER(G13),IF(G13&gt;0,INDEX($L$5:$L$2004,F13)/F13-LN(G13),"미정의"),"미정의")</x:f>
        <x:v>0.3122361838909775</x:v>
      </x:c>
      <x:c r="I13" s="5" t="n">
        <x:f>IF(ISNUMBER(H13),IF(H13&gt;0,1/H13,"미정의"),"미정의")</x:f>
        <x:v>3.2027037595013867</x:v>
      </x:c>
      <x:c r="J13" s="1" t="n">
        <x:f>9</x:f>
        <x:v>9</x:v>
      </x:c>
      <x:c r="K13" s="1" t="n">
        <x:f>IF(J13&lt;=$B$6,LARGE('계산'!$K$2:$K$2001,J13),"")</x:f>
        <x:v>0.02475897229701928</x:v>
      </x:c>
      <x:c r="L13" s="1" t="n">
        <x:f>IF(ISNUMBER(K13),L12+LN(K13),"")</x:f>
        <x:v>-32.27999070198152</x:v>
      </x:c>
    </x:row>
    <x:row r="14">
      <x:c r="A14" s="1"/>
      <x:c r="B14" s="1"/>
      <x:c r="C14" s="1"/>
      <x:c r="D14" s="1"/>
      <x:c r="E14" s="1"/>
      <x:c r="F14" s="1" t="n">
        <x:v>100</x:v>
      </x:c>
      <x:c r="G14" s="5" t="n">
        <x:f>IF(AND('요약'!$B$19,F14&lt;$B$6),LARGE('계산'!$K$2:$K$2001,F14+1),"미정의")</x:f>
        <x:v>0.012523723652641556</x:v>
      </x:c>
      <x:c r="H14" s="5" t="n">
        <x:f>IF(ISNUMBER(G14),IF(G14&gt;0,INDEX($L$5:$L$2004,F14)/F14-LN(G14),"미정의"),"미정의")</x:f>
        <x:v>0.30501580134620454</x:v>
      </x:c>
      <x:c r="I14" s="5" t="n">
        <x:f>IF(ISNUMBER(H14),IF(H14&gt;0,1/H14,"미정의"),"미정의")</x:f>
        <x:v>3.2785186721030297</x:v>
      </x:c>
      <x:c r="J14" s="1" t="n">
        <x:f>10</x:f>
        <x:v>10</x:v>
      </x:c>
      <x:c r="K14" s="1" t="n">
        <x:f>IF(J14&lt;=$B$6,LARGE('계산'!$K$2:$K$2001,J14),"")</x:f>
        <x:v>0.023894013624634707</x:v>
      </x:c>
      <x:c r="L14" s="1" t="n">
        <x:f>IF(ISNUMBER(K14),L13+LN(K14),"")</x:f>
        <x:v>-36.014118029357235</x:v>
      </x:c>
    </x:row>
    <x:row r="15">
      <x:c r="A15" s="1" t="str">
        <x:v>Hill은 양의 정규변동 꼬리(ξ&gt;0)용. 정규분포에 Pareto를 확정하지 않습니다.</x:v>
      </x:c>
      <x:c r="B15" s="1"/>
      <x:c r="C15" s="1"/>
      <x:c r="D15" s="1"/>
      <x:c r="E15" s="1"/>
      <x:c r="F15" s="1" t="n">
        <x:v>110</x:v>
      </x:c>
      <x:c r="G15" s="5" t="n">
        <x:f>IF(AND('요약'!$B$19,F15&lt;$B$6),LARGE('계산'!$K$2:$K$2001,F15+1),"미정의")</x:f>
        <x:v>0.012119430629571461</x:v>
      </x:c>
      <x:c r="H15" s="5" t="n">
        <x:f>IF(ISNUMBER(G15),IF(G15&gt;0,INDEX($L$5:$L$2004,F15)/F15-LN(G15),"미정의"),"미정의")</x:f>
        <x:v>0.30857613249991367</x:v>
      </x:c>
      <x:c r="I15" s="5" t="n">
        <x:f>IF(ISNUMBER(H15),IF(H15&gt;0,1/H15,"미정의"),"미정의")</x:f>
        <x:v>3.240691338952729</x:v>
      </x:c>
      <x:c r="J15" s="1" t="n">
        <x:f>11</x:f>
        <x:v>11</x:v>
      </x:c>
      <x:c r="K15" s="1" t="n">
        <x:f>IF(J15&lt;=$B$6,LARGE('계산'!$K$2:$K$2001,J15),"")</x:f>
        <x:v>0.023737263206771466</x:v>
      </x:c>
      <x:c r="L15" s="1" t="n">
        <x:f>IF(ISNUMBER(K15),L14+LN(K15),"")</x:f>
        <x:v>-39.75482720774218</x:v>
      </x:c>
    </x:row>
    <x:row r="16">
      <x:c r="A16" s="1" t="str">
        <x:v>k=10~200의 곡선, 임계값 동률·극단값·안정 구간을 함께 확인합니다.</x:v>
      </x:c>
      <x:c r="B16" s="1"/>
      <x:c r="C16" s="1"/>
      <x:c r="D16" s="1"/>
      <x:c r="E16" s="1"/>
      <x:c r="F16" s="1" t="n">
        <x:v>120</x:v>
      </x:c>
      <x:c r="G16" s="5" t="n">
        <x:f>IF(AND('요약'!$B$19,F16&lt;$B$6),LARGE('계산'!$K$2:$K$2001,F16+1),"미정의")</x:f>
        <x:v>0.01153211691131885</x:v>
      </x:c>
      <x:c r="H16" s="5" t="n">
        <x:f>IF(ISNUMBER(G16),IF(G16&gt;0,INDEX($L$5:$L$2004,F16)/F16-LN(G16),"미정의"),"미정의")</x:f>
        <x:v>0.33026511601060626</x:v>
      </x:c>
      <x:c r="I16" s="5" t="n">
        <x:f>IF(ISNUMBER(H16),IF(H16&gt;0,1/H16,"미정의"),"미정의")</x:f>
        <x:v>3.0278704941029426</x:v>
      </x:c>
      <x:c r="J16" s="1" t="n">
        <x:f>12</x:f>
        <x:v>12</x:v>
      </x:c>
      <x:c r="K16" s="1" t="n">
        <x:f>IF(J16&lt;=$B$6,LARGE('계산'!$K$2:$K$2001,J16),"")</x:f>
        <x:v>0.02356588689366845</x:v>
      </x:c>
      <x:c r="L16" s="1" t="n">
        <x:f>IF(ISNUMBER(K16),L15+LN(K16),"")</x:f>
        <x:v>-43.50278229100047</x:v>
      </x:c>
    </x:row>
    <x:row r="17">
      <x:c r="A17" s="1" t="str">
        <x:v>GPD-POT는 y=x−u | x&gt;u 에 적합. ξ는 음수·0·양수 모두 가능합니다.</x:v>
      </x:c>
      <x:c r="B17" s="1"/>
      <x:c r="C17" s="1"/>
      <x:c r="D17" s="1"/>
      <x:c r="E17" s="1"/>
      <x:c r="F17" s="1" t="n">
        <x:v>130</x:v>
      </x:c>
      <x:c r="G17" s="5" t="n">
        <x:f>IF(AND('요약'!$B$19,F17&lt;$B$6),LARGE('계산'!$K$2:$K$2001,F17+1),"미정의")</x:f>
        <x:v>0.011077821639914292</x:v>
      </x:c>
      <x:c r="H17" s="5" t="n">
        <x:f>IF(ISNUMBER(G17),IF(G17&gt;0,INDEX($L$5:$L$2004,F17)/F17-LN(G17),"미정의"),"미정의")</x:f>
        <x:v>0.3438984183963534</x:v>
      </x:c>
      <x:c r="I17" s="5" t="n">
        <x:f>IF(ISNUMBER(H17),IF(H17&gt;0,1/H17,"미정의"),"미정의")</x:f>
        <x:v>2.9078354144899543</x:v>
      </x:c>
      <x:c r="J17" s="1" t="n">
        <x:f>13</x:f>
        <x:v>13</x:v>
      </x:c>
      <x:c r="K17" s="1" t="n">
        <x:f>IF(J17&lt;=$B$6,LARGE('계산'!$K$2:$K$2001,J17),"")</x:f>
        <x:v>0.022733591544678085</x:v>
      </x:c>
      <x:c r="L17" s="1" t="n">
        <x:f>IF(ISNUMBER(K17),L16+LN(K17),"")</x:f>
        <x:v>-47.28669393559551</x:v>
      </x:c>
    </x:row>
    <x:row r="18">
      <x:c r="A18" s="1" t="str">
        <x:v>GPD shape ξ, scale β&gt;0, 초과수 n_u, threshold u, 지지집합을 기록합니다.</x:v>
      </x:c>
      <x:c r="B18" s="1"/>
      <x:c r="C18" s="1"/>
      <x:c r="D18" s="1"/>
      <x:c r="E18" s="1"/>
      <x:c r="F18" s="1" t="n">
        <x:v>140</x:v>
      </x:c>
      <x:c r="G18" s="5" t="n">
        <x:f>IF(AND('요약'!$B$19,F18&lt;$B$6),LARGE('계산'!$K$2:$K$2001,F18+1),"미정의")</x:f>
        <x:v>0.010768551730769215</x:v>
      </x:c>
      <x:c r="H18" s="5" t="n">
        <x:f>IF(ISNUMBER(G18),IF(G18&gt;0,INDEX($L$5:$L$2004,F18)/F18-LN(G18),"미정의"),"미정의")</x:f>
        <x:v>0.34671231224391263</x:v>
      </x:c>
      <x:c r="I18" s="5" t="n">
        <x:f>IF(ISNUMBER(H18),IF(H18&gt;0,1/H18,"미정의"),"미정의")</x:f>
        <x:v>2.8842356175009396</x:v>
      </x:c>
      <x:c r="J18" s="1" t="n">
        <x:f>14</x:f>
        <x:v>14</x:v>
      </x:c>
      <x:c r="K18" s="1" t="n">
        <x:f>IF(J18&lt;=$B$6,LARGE('계산'!$K$2:$K$2001,J18),"")</x:f>
        <x:v>0.022548458267125454</x:v>
      </x:c>
      <x:c r="L18" s="1" t="n">
        <x:f>IF(ISNUMBER(K18),L17+LN(K18),"")</x:f>
        <x:v>-51.07878252049507</x:v>
      </x:c>
    </x:row>
    <x:row r="19">
      <x:c r="A19" s="1" t="str">
        <x:v>GPD MLE/QQ/임계값 안정도는 Python/Claude 경로에서 수행합니다.</x:v>
      </x:c>
      <x:c r="B19" s="1"/>
      <x:c r="C19" s="1"/>
      <x:c r="D19" s="1"/>
      <x:c r="E19" s="1"/>
      <x:c r="F19" s="1" t="n">
        <x:v>150</x:v>
      </x:c>
      <x:c r="G19" s="5" t="n">
        <x:f>IF(AND('요약'!$B$19,F19&lt;$B$6),LARGE('계산'!$K$2:$K$2001,F19+1),"미정의")</x:f>
        <x:v>0.010288671787853945</x:v>
      </x:c>
      <x:c r="H19" s="5" t="n">
        <x:f>IF(ISNUMBER(G19),IF(G19&gt;0,INDEX($L$5:$L$2004,F19)/F19-LN(G19),"미정의"),"미정의")</x:f>
        <x:v>0.3673083476117993</x:v>
      </x:c>
      <x:c r="I19" s="5" t="n">
        <x:f>IF(ISNUMBER(H19),IF(H19&gt;0,1/H19,"미정의"),"미정의")</x:f>
        <x:v>2.7225082318490608</x:v>
      </x:c>
      <x:c r="J19" s="1" t="n">
        <x:f>15</x:f>
        <x:v>15</x:v>
      </x:c>
      <x:c r="K19" s="1" t="n">
        <x:f>IF(J19&lt;=$B$6,LARGE('계산'!$K$2:$K$2001,J19),"")</x:f>
        <x:v>0.02242183364062477</x:v>
      </x:c>
      <x:c r="L19" s="1" t="n">
        <x:f>IF(ISNUMBER(K19),L18+LN(K19),"")</x:f>
        <x:v>-54.87650259924417</x:v>
      </x:c>
    </x:row>
    <x:row r="20">
      <x:c r="A20" s="1" t="str">
        <x:v>Hill α=1/ξ는 ξ&gt;0일 때만. ξ≤0인 GPD 결과에 역수를 쓰지 마세요.</x:v>
      </x:c>
      <x:c r="B20" s="1"/>
      <x:c r="C20" s="1"/>
      <x:c r="D20" s="1"/>
      <x:c r="E20" s="1"/>
      <x:c r="F20" s="1" t="n">
        <x:v>160</x:v>
      </x:c>
      <x:c r="G20" s="5" t="n">
        <x:f>IF(AND('요약'!$B$19,F20&lt;$B$6),LARGE('계산'!$K$2:$K$2001,F20+1),"미정의")</x:f>
        <x:v>0.009750305965952211</x:v>
      </x:c>
      <x:c r="H20" s="5" t="n">
        <x:f>IF(ISNUMBER(G20),IF(G20&gt;0,INDEX($L$5:$L$2004,F20)/F20-LN(G20),"미정의"),"미정의")</x:f>
        <x:v>0.39642556256925054</x:v>
      </x:c>
      <x:c r="I20" s="5" t="n">
        <x:f>IF(ISNUMBER(H20),IF(H20&gt;0,1/H20,"미정의"),"미정의")</x:f>
        <x:v>2.5225416684003887</x:v>
      </x:c>
      <x:c r="J20" s="1" t="n">
        <x:f>16</x:f>
        <x:v>16</x:v>
      </x:c>
      <x:c r="K20" s="1" t="n">
        <x:f>IF(J20&lt;=$B$6,LARGE('계산'!$K$2:$K$2001,J20),"")</x:f>
        <x:v>0.02220065826345913</x:v>
      </x:c>
      <x:c r="L20" s="1" t="n">
        <x:f>IF(ISNUMBER(K20),L19+LN(K20),"")</x:f>
        <x:v>-58.684135938280505</x:v>
      </x:c>
    </x:row>
    <x:row r="21">
      <x:c r="A21" s="1"/>
      <x:c r="B21" s="1"/>
      <x:c r="C21" s="1"/>
      <x:c r="D21" s="1"/>
      <x:c r="E21" s="1"/>
      <x:c r="F21" s="1" t="n">
        <x:v>170</x:v>
      </x:c>
      <x:c r="G21" s="5" t="n">
        <x:f>IF(AND('요약'!$B$19,F21&lt;$B$6),LARGE('계산'!$K$2:$K$2001,F21+1),"미정의")</x:f>
        <x:v>0.009412529290152941</x:v>
      </x:c>
      <x:c r="H21" s="5" t="n">
        <x:f>IF(ISNUMBER(G21),IF(G21&gt;0,INDEX($L$5:$L$2004,F21)/F21-LN(G21),"미정의"),"미정의")</x:f>
        <x:v>0.4074763434656381</x:v>
      </x:c>
      <x:c r="I21" s="5" t="n">
        <x:f>IF(ISNUMBER(H21),IF(H21&gt;0,1/H21,"미정의"),"미정의")</x:f>
        <x:v>2.4541301993015665</x:v>
      </x:c>
      <x:c r="J21" s="1" t="n">
        <x:f>17</x:f>
        <x:v>17</x:v>
      </x:c>
      <x:c r="K21" s="1" t="n">
        <x:f>IF(J21&lt;=$B$6,LARGE('계산'!$K$2:$K$2001,J21),"")</x:f>
        <x:v>0.021917215332908774</x:v>
      </x:c>
      <x:c r="L21" s="1" t="n">
        <x:f>IF(ISNUMBER(K21),L20+LN(K21),"")</x:f>
        <x:v>-62.50461880098507</x:v>
      </x:c>
    </x:row>
    <x:row r="22">
      <x:c r="A22" s="1"/>
      <x:c r="B22" s="1"/>
      <x:c r="C22" s="1"/>
      <x:c r="D22" s="1"/>
      <x:c r="E22" s="1"/>
      <x:c r="F22" s="1" t="n">
        <x:v>180</x:v>
      </x:c>
      <x:c r="G22" s="5" t="n">
        <x:f>IF(AND('요약'!$B$19,F22&lt;$B$6),LARGE('계산'!$K$2:$K$2001,F22+1),"미정의")</x:f>
        <x:v>0.008889511854668509</x:v>
      </x:c>
      <x:c r="H22" s="5" t="n">
        <x:f>IF(ISNUMBER(G22),IF(G22&gt;0,INDEX($L$5:$L$2004,F22)/F22-LN(G22),"미정의"),"미정의")</x:f>
        <x:v>0.4406992270760517</x:v>
      </x:c>
      <x:c r="I22" s="5" t="n">
        <x:f>IF(ISNUMBER(H22),IF(H22&gt;0,1/H22,"미정의"),"미정의")</x:f>
        <x:v>2.269121293075083</x:v>
      </x:c>
      <x:c r="J22" s="1" t="n">
        <x:f>18</x:f>
        <x:v>18</x:v>
      </x:c>
      <x:c r="K22" s="1" t="n">
        <x:f>IF(J22&lt;=$B$6,LARGE('계산'!$K$2:$K$2001,J22),"")</x:f>
        <x:v>0.021828405847360836</x:v>
      </x:c>
      <x:c r="L22" s="1" t="n">
        <x:f>IF(ISNUMBER(K22),L21+LN(K22),"")</x:f>
        <x:v>-66.32916193784554</x:v>
      </x:c>
    </x:row>
    <x:row r="23">
      <x:c r="A23" s="1"/>
      <x:c r="B23" s="1"/>
      <x:c r="C23" s="1"/>
      <x:c r="D23" s="1"/>
      <x:c r="E23" s="1"/>
      <x:c r="F23" s="1" t="n">
        <x:v>190</x:v>
      </x:c>
      <x:c r="G23" s="5" t="n">
        <x:f>IF(AND('요약'!$B$19,F23&lt;$B$6),LARGE('계산'!$K$2:$K$2001,F23+1),"미정의")</x:f>
        <x:v>0.008595677849985824</x:v>
      </x:c>
      <x:c r="H23" s="5" t="n">
        <x:f>IF(ISNUMBER(G23),IF(G23&gt;0,INDEX($L$5:$L$2004,F23)/F23-LN(G23),"미정의"),"미정의")</x:f>
        <x:v>0.4504528459406263</x:v>
      </x:c>
      <x:c r="I23" s="5" t="n">
        <x:f>IF(ISNUMBER(H23),IF(H23&gt;0,1/H23,"미정의"),"미정의")</x:f>
        <x:v>2.2199881941290007</x:v>
      </x:c>
      <x:c r="J23" s="1" t="n">
        <x:f>19</x:f>
        <x:v>19</x:v>
      </x:c>
      <x:c r="K23" s="1" t="n">
        <x:f>IF(J23&lt;=$B$6,LARGE('계산'!$K$2:$K$2001,J23),"")</x:f>
        <x:v>0.021617055512421844</x:v>
      </x:c>
      <x:c r="L23" s="1" t="n">
        <x:f>IF(ISNUMBER(K23),L22+LN(K23),"")</x:f>
        <x:v>-70.16343460665664</x:v>
      </x:c>
    </x:row>
    <x:row r="24">
      <x:c r="A24" s="1"/>
      <x:c r="B24" s="1"/>
      <x:c r="C24" s="1"/>
      <x:c r="D24" s="1"/>
      <x:c r="E24" s="1"/>
      <x:c r="F24" s="1" t="n">
        <x:v>200</x:v>
      </x:c>
      <x:c r="G24" s="5" t="n">
        <x:f>IF(AND('요약'!$B$19,F24&lt;$B$6),LARGE('계산'!$K$2:$K$2001,F24+1),"미정의")</x:f>
        <x:v>0.008451322765017855</x:v>
      </x:c>
      <x:c r="H24" s="5" t="n">
        <x:f>IF(ISNUMBER(G24),IF(G24&gt;0,INDEX($L$5:$L$2004,F24)/F24-LN(G24),"미정의"),"미정의")</x:f>
        <x:v>0.44457110230503893</x:v>
      </x:c>
      <x:c r="I24" s="5" t="n">
        <x:f>IF(ISNUMBER(H24),IF(H24&gt;0,1/H24,"미정의"),"미정의")</x:f>
        <x:v>2.2493589772595204</x:v>
      </x:c>
      <x:c r="J24" s="1" t="n">
        <x:f>20</x:f>
        <x:v>20</x:v>
      </x:c>
      <x:c r="K24" s="1" t="n">
        <x:f>IF(J24&lt;=$B$6,LARGE('계산'!$K$2:$K$2001,J24),"")</x:f>
        <x:v>0.021148912506557326</x:v>
      </x:c>
      <x:c r="L24" s="1" t="n">
        <x:f>IF(ISNUMBER(K24),L23+LN(K24),"")</x:f>
        <x:v>-74.01960139959812</x:v>
      </x:c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 t="n">
        <x:f>21</x:f>
        <x:v>21</x:v>
      </x:c>
      <x:c r="K25" s="1" t="n">
        <x:f>IF(J25&lt;=$B$6,LARGE('계산'!$K$2:$K$2001,J25),"")</x:f>
        <x:v>0.020936895692796983</x:v>
      </x:c>
      <x:c r="L25" s="1" t="n">
        <x:f>IF(ISNUMBER(K25),L24+LN(K25),"")</x:f>
        <x:v>-77.88584373184507</x:v>
      </x:c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 t="n">
        <x:f>22</x:f>
        <x:v>22</x:v>
      </x:c>
      <x:c r="K26" s="1" t="n">
        <x:f>IF(J26&lt;=$B$6,LARGE('계산'!$K$2:$K$2001,J26),"")</x:f>
        <x:v>0.02036362477375037</x:v>
      </x:c>
      <x:c r="L26" s="1" t="n">
        <x:f>IF(ISNUMBER(K26),L25+LN(K26),"")</x:f>
        <x:v>-81.7798488009169</x:v>
      </x:c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 t="n">
        <x:f>23</x:f>
        <x:v>23</x:v>
      </x:c>
      <x:c r="K27" s="1" t="n">
        <x:f>IF(J27&lt;=$B$6,LARGE('계산'!$K$2:$K$2001,J27),"")</x:f>
        <x:v>0.02007897012850595</x:v>
      </x:c>
      <x:c r="L27" s="1" t="n">
        <x:f>IF(ISNUMBER(K27),L26+LN(K27),"")</x:f>
        <x:v>-85.68793107481181</x:v>
      </x:c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 t="n">
        <x:f>24</x:f>
        <x:v>24</x:v>
      </x:c>
      <x:c r="K28" s="1" t="n">
        <x:f>IF(J28&lt;=$B$6,LARGE('계산'!$K$2:$K$2001,J28),"")</x:f>
        <x:v>0.019781655856033704</x:v>
      </x:c>
      <x:c r="L28" s="1" t="n">
        <x:f>IF(ISNUMBER(K28),L27+LN(K28),"")</x:f>
        <x:v>-89.61093131745132</x:v>
      </x:c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 t="n">
        <x:f>25</x:f>
        <x:v>25</x:v>
      </x:c>
      <x:c r="K29" s="1" t="n">
        <x:f>IF(J29&lt;=$B$6,LARGE('계산'!$K$2:$K$2001,J29),"")</x:f>
        <x:v>0.019723877251752297</x:v>
      </x:c>
      <x:c r="L29" s="1" t="n">
        <x:f>IF(ISNUMBER(K29),L28+LN(K29),"")</x:f>
        <x:v>-93.53685665138478</x:v>
      </x:c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 t="n">
        <x:f>26</x:f>
        <x:v>26</x:v>
      </x:c>
      <x:c r="K30" s="1" t="n">
        <x:f>IF(J30&lt;=$B$6,LARGE('계산'!$K$2:$K$2001,J30),"")</x:f>
        <x:v>0.01948001153027287</x:v>
      </x:c>
      <x:c r="L30" s="1" t="n">
        <x:f>IF(ISNUMBER(K30),L29+LN(K30),"")</x:f>
        <x:v>-97.47522304024957</x:v>
      </x:c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 t="n">
        <x:f>27</x:f>
        <x:v>27</x:v>
      </x:c>
      <x:c r="K31" s="1" t="n">
        <x:f>IF(J31&lt;=$B$6,LARGE('계산'!$K$2:$K$2001,J31),"")</x:f>
        <x:v>0.01939890192131679</x:v>
      </x:c>
      <x:c r="L31" s="1" t="n">
        <x:f>IF(ISNUMBER(K31),L30+LN(K31),"")</x:f>
        <x:v>-101.41776185675836</x:v>
      </x:c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 t="n">
        <x:f>28</x:f>
        <x:v>28</x:v>
      </x:c>
      <x:c r="K32" s="1" t="n">
        <x:f>IF(J32&lt;=$B$6,LARGE('계산'!$K$2:$K$2001,J32),"")</x:f>
        <x:v>0.019297681219422616</x:v>
      </x:c>
      <x:c r="L32" s="1" t="n">
        <x:f>IF(ISNUMBER(K32),L31+LN(K32),"")</x:f>
        <x:v>-105.3655321911189</x:v>
      </x:c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 t="n">
        <x:f>29</x:f>
        <x:v>29</x:v>
      </x:c>
      <x:c r="K33" s="1" t="n">
        <x:f>IF(J33&lt;=$B$6,LARGE('계산'!$K$2:$K$2001,J33),"")</x:f>
        <x:v>0.018912084285960393</x:v>
      </x:c>
      <x:c r="L33" s="1" t="n">
        <x:f>IF(ISNUMBER(K33),L32+LN(K33),"")</x:f>
        <x:v>-109.33348637214233</x:v>
      </x:c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 t="n">
        <x:f>30</x:f>
        <x:v>30</x:v>
      </x:c>
      <x:c r="K34" s="1" t="n">
        <x:f>IF(J34&lt;=$B$6,LARGE('계산'!$K$2:$K$2001,J34),"")</x:f>
        <x:v>0.01861899070759166</x:v>
      </x:c>
      <x:c r="L34" s="1" t="n">
        <x:f>IF(ISNUMBER(K34),L33+LN(K34),"")</x:f>
        <x:v>-113.31705958549271</x:v>
      </x:c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 t="n">
        <x:f>31</x:f>
        <x:v>31</x:v>
      </x:c>
      <x:c r="K35" s="1" t="n">
        <x:f>IF(J35&lt;=$B$6,LARGE('계산'!$K$2:$K$2001,J35),"")</x:f>
        <x:v>0.018612551230186746</x:v>
      </x:c>
      <x:c r="L35" s="1" t="n">
        <x:f>IF(ISNUMBER(K35),L34+LN(K35),"")</x:f>
        <x:v>-117.30097871400717</x:v>
      </x:c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 t="n">
        <x:f>32</x:f>
        <x:v>32</x:v>
      </x:c>
      <x:c r="K36" s="1" t="n">
        <x:f>IF(J36&lt;=$B$6,LARGE('계산'!$K$2:$K$2001,J36),"")</x:f>
        <x:v>0.018505373576398636</x:v>
      </x:c>
      <x:c r="L36" s="1" t="n">
        <x:f>IF(ISNUMBER(K36),L35+LN(K36),"")</x:f>
        <x:v>-121.2906728394923</x:v>
      </x:c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 t="n">
        <x:f>33</x:f>
        <x:v>33</x:v>
      </x:c>
      <x:c r="K37" s="1" t="n">
        <x:f>IF(J37&lt;=$B$6,LARGE('계산'!$K$2:$K$2001,J37),"")</x:f>
        <x:v>0.01830698487486911</x:v>
      </x:c>
      <x:c r="L37" s="1" t="n">
        <x:f>IF(ISNUMBER(K37),L36+LN(K37),"")</x:f>
        <x:v>-125.29114544429976</x:v>
      </x:c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 t="n">
        <x:f>34</x:f>
        <x:v>34</x:v>
      </x:c>
      <x:c r="K38" s="1" t="n">
        <x:f>IF(J38&lt;=$B$6,LARGE('계산'!$K$2:$K$2001,J38),"")</x:f>
        <x:v>0.018289307193044415</x:v>
      </x:c>
      <x:c r="L38" s="1" t="n">
        <x:f>IF(ISNUMBER(K38),L37+LN(K38),"")</x:f>
        <x:v>-129.29258414059905</x:v>
      </x:c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 t="n">
        <x:f>35</x:f>
        <x:v>35</x:v>
      </x:c>
      <x:c r="K39" s="1" t="n">
        <x:f>IF(J39&lt;=$B$6,LARGE('계산'!$K$2:$K$2001,J39),"")</x:f>
        <x:v>0.018147488889696316</x:v>
      </x:c>
      <x:c r="L39" s="1" t="n">
        <x:f>IF(ISNUMBER(K39),L38+LN(K39),"")</x:f>
        <x:v>-133.30180722162677</x:v>
      </x:c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 t="n">
        <x:f>36</x:f>
        <x:v>36</x:v>
      </x:c>
      <x:c r="K40" s="1" t="n">
        <x:f>IF(J40&lt;=$B$6,LARGE('계산'!$K$2:$K$2001,J40),"")</x:f>
        <x:v>0.018085246645736845</x:v>
      </x:c>
      <x:c r="L40" s="1" t="n">
        <x:f>IF(ISNUMBER(K40),L39+LN(K40),"")</x:f>
        <x:v>-137.31446599715923</x:v>
      </x:c>
    </x:row>
    <x:row r="41">
      <x:c r="J41" t="n">
        <x:f>37</x:f>
        <x:v>37</x:v>
      </x:c>
      <x:c r="K41" t="n">
        <x:f>IF(J41&lt;=$B$6,LARGE('계산'!$K$2:$K$2001,J41),"")</x:f>
        <x:v>0.018034626899946348</x:v>
      </x:c>
      <x:c r="L41" t="n">
        <x:f>IF(ISNUMBER(K41),L40+LN(K41),"")</x:f>
        <x:v>-141.3299276495548</x:v>
      </x:c>
    </x:row>
    <x:row r="42">
      <x:c r="J42" t="n">
        <x:f>38</x:f>
        <x:v>38</x:v>
      </x:c>
      <x:c r="K42" t="n">
        <x:f>IF(J42&lt;=$B$6,LARGE('계산'!$K$2:$K$2001,J42),"")</x:f>
        <x:v>0.017881130733850465</x:v>
      </x:c>
      <x:c r="L42" t="n">
        <x:f>IF(ISNUMBER(K42),L41+LN(K42),"")</x:f>
        <x:v>-145.35393692064292</x:v>
      </x:c>
    </x:row>
    <x:row r="43">
      <x:c r="J43" t="n">
        <x:f>39</x:f>
        <x:v>39</x:v>
      </x:c>
      <x:c r="K43" t="n">
        <x:f>IF(J43&lt;=$B$6,LARGE('계산'!$K$2:$K$2001,J43),"")</x:f>
        <x:v>0.01731176889348308</x:v>
      </x:c>
      <x:c r="L43" t="n">
        <x:f>IF(ISNUMBER(K43),L42+LN(K43),"")</x:f>
        <x:v>-149.41030564654852</x:v>
      </x:c>
    </x:row>
    <x:row r="44">
      <x:c r="J44" t="n">
        <x:f>40</x:f>
        <x:v>40</x:v>
      </x:c>
      <x:c r="K44" t="n">
        <x:f>IF(J44&lt;=$B$6,LARGE('계산'!$K$2:$K$2001,J44),"")</x:f>
        <x:v>0.017162044428578667</x:v>
      </x:c>
      <x:c r="L44" t="n">
        <x:f>IF(ISNUMBER(K44),L43+LN(K44),"")</x:f>
        <x:v>-153.4753606993728</x:v>
      </x:c>
    </x:row>
    <x:row r="45">
      <x:c r="J45" t="n">
        <x:f>41</x:f>
        <x:v>41</x:v>
      </x:c>
      <x:c r="K45" t="n">
        <x:f>IF(J45&lt;=$B$6,LARGE('계산'!$K$2:$K$2001,J45),"")</x:f>
        <x:v>0.017037754037745403</x:v>
      </x:c>
      <x:c r="L45" t="n">
        <x:f>IF(ISNUMBER(K45),L44+LN(K45),"")</x:f>
        <x:v>-157.54768427093748</x:v>
      </x:c>
    </x:row>
    <x:row r="46">
      <x:c r="J46" t="n">
        <x:f>42</x:f>
        <x:v>42</x:v>
      </x:c>
      <x:c r="K46" t="n">
        <x:f>IF(J46&lt;=$B$6,LARGE('계산'!$K$2:$K$2001,J46),"")</x:f>
        <x:v>0.017004056213685045</x:v>
      </x:c>
      <x:c r="L46" t="n">
        <x:f>IF(ISNUMBER(K46),L45+LN(K46),"")</x:f>
        <x:v>-161.62198763351904</x:v>
      </x:c>
    </x:row>
    <x:row r="47">
      <x:c r="J47" t="n">
        <x:f>43</x:f>
        <x:v>43</x:v>
      </x:c>
      <x:c r="K47" t="n">
        <x:f>IF(J47&lt;=$B$6,LARGE('계산'!$K$2:$K$2001,J47),"")</x:f>
        <x:v>0.016986206291626664</x:v>
      </x:c>
      <x:c r="L47" t="n">
        <x:f>IF(ISNUMBER(K47),L46+LN(K47),"")</x:f>
        <x:v>-165.69734129241394</x:v>
      </x:c>
    </x:row>
    <x:row r="48">
      <x:c r="J48" t="n">
        <x:f>44</x:f>
        <x:v>44</x:v>
      </x:c>
      <x:c r="K48" t="n">
        <x:f>IF(J48&lt;=$B$6,LARGE('계산'!$K$2:$K$2001,J48),"")</x:f>
        <x:v>0.016814233828450844</x:v>
      </x:c>
      <x:c r="L48" t="n">
        <x:f>IF(ISNUMBER(K48),L47+LN(K48),"")</x:f>
        <x:v>-169.78287079200848</x:v>
      </x:c>
    </x:row>
    <x:row r="49">
      <x:c r="J49" t="n">
        <x:f>45</x:f>
        <x:v>45</x:v>
      </x:c>
      <x:c r="K49" t="n">
        <x:f>IF(J49&lt;=$B$6,LARGE('계산'!$K$2:$K$2001,J49),"")</x:f>
        <x:v>0.016810549658583876</x:v>
      </x:c>
      <x:c r="L49" t="n">
        <x:f>IF(ISNUMBER(K49),L48+LN(K49),"")</x:f>
        <x:v>-173.8686194257951</x:v>
      </x:c>
    </x:row>
    <x:row r="50">
      <x:c r="J50" t="n">
        <x:f>46</x:f>
        <x:v>46</x:v>
      </x:c>
      <x:c r="K50" t="n">
        <x:f>IF(J50&lt;=$B$6,LARGE('계산'!$K$2:$K$2001,J50),"")</x:f>
        <x:v>0.016807757532085934</x:v>
      </x:c>
      <x:c r="L50" t="n">
        <x:f>IF(ISNUMBER(K50),L49+LN(K50),"")</x:f>
        <x:v>-177.9545341670831</x:v>
      </x:c>
    </x:row>
    <x:row r="51">
      <x:c r="J51" t="n">
        <x:f>47</x:f>
        <x:v>47</x:v>
      </x:c>
      <x:c r="K51" t="n">
        <x:f>IF(J51&lt;=$B$6,LARGE('계산'!$K$2:$K$2001,J51),"")</x:f>
        <x:v>0.016670850150673374</x:v>
      </x:c>
      <x:c r="L51" t="n">
        <x:f>IF(ISNUMBER(K51),L50+LN(K51),"")</x:f>
        <x:v>-182.0486277517623</x:v>
      </x:c>
    </x:row>
    <x:row r="52">
      <x:c r="J52" t="n">
        <x:f>48</x:f>
        <x:v>48</x:v>
      </x:c>
      <x:c r="K52" t="n">
        <x:f>IF(J52&lt;=$B$6,LARGE('계산'!$K$2:$K$2001,J52),"")</x:f>
        <x:v>0.01665590005144632</x:v>
      </x:c>
      <x:c r="L52" t="n">
        <x:f>IF(ISNUMBER(K52),L51+LN(K52),"")</x:f>
        <x:v>-186.14361851964352</x:v>
      </x:c>
    </x:row>
    <x:row r="53">
      <x:c r="J53" t="n">
        <x:f>49</x:f>
        <x:v>49</x:v>
      </x:c>
      <x:c r="K53" t="n">
        <x:f>IF(J53&lt;=$B$6,LARGE('계산'!$K$2:$K$2001,J53),"")</x:f>
        <x:v>0.016624142777716983</x:v>
      </x:c>
      <x:c r="L53" t="n">
        <x:f>IF(ISNUMBER(K53),L52+LN(K53),"")</x:f>
        <x:v>-190.24051777565572</x:v>
      </x:c>
    </x:row>
    <x:row r="54">
      <x:c r="J54" t="n">
        <x:f>50</x:f>
        <x:v>50</x:v>
      </x:c>
      <x:c r="K54" t="n">
        <x:f>IF(J54&lt;=$B$6,LARGE('계산'!$K$2:$K$2001,J54),"")</x:f>
        <x:v>0.016592125068448697</x:v>
      </x:c>
      <x:c r="L54" t="n">
        <x:f>IF(ISNUMBER(K54),L53+LN(K54),"")</x:f>
        <x:v>-194.33934486530248</x:v>
      </x:c>
    </x:row>
    <x:row r="55">
      <x:c r="J55" t="n">
        <x:f>51</x:f>
        <x:v>51</x:v>
      </x:c>
      <x:c r="K55" t="n">
        <x:f>IF(J55&lt;=$B$6,LARGE('계산'!$K$2:$K$2001,J55),"")</x:f>
        <x:v>0.016391178897796593</x:v>
      </x:c>
      <x:c r="L55" t="n">
        <x:f>IF(ISNUMBER(K55),L54+LN(K55),"")</x:f>
        <x:v>-198.45035682624513</x:v>
      </x:c>
    </x:row>
    <x:row r="56">
      <x:c r="J56" t="n">
        <x:f>52</x:f>
        <x:v>52</x:v>
      </x:c>
      <x:c r="K56" t="n">
        <x:f>IF(J56&lt;=$B$6,LARGE('계산'!$K$2:$K$2001,J56),"")</x:f>
        <x:v>0.016283015006215956</x:v>
      </x:c>
      <x:c r="L56" t="n">
        <x:f>IF(ISNUMBER(K56),L55+LN(K56),"")</x:f>
        <x:v>-202.5679895648577</x:v>
      </x:c>
    </x:row>
    <x:row r="57">
      <x:c r="J57" t="n">
        <x:f>53</x:f>
        <x:v>53</x:v>
      </x:c>
      <x:c r="K57" t="n">
        <x:f>IF(J57&lt;=$B$6,LARGE('계산'!$K$2:$K$2001,J57),"")</x:f>
        <x:v>0.016219940947093354</x:v>
      </x:c>
      <x:c r="L57" t="n">
        <x:f>IF(ISNUMBER(K57),L56+LN(K57),"")</x:f>
        <x:v>-206.6895034359056</x:v>
      </x:c>
    </x:row>
    <x:row r="58">
      <x:c r="J58" t="n">
        <x:f>54</x:f>
        <x:v>54</x:v>
      </x:c>
      <x:c r="K58" t="n">
        <x:f>IF(J58&lt;=$B$6,LARGE('계산'!$K$2:$K$2001,J58),"")</x:f>
        <x:v>0.01610562092279488</x:v>
      </x:c>
      <x:c r="L58" t="n">
        <x:f>IF(ISNUMBER(K58),L57+LN(K58),"")</x:f>
        <x:v>-210.81809037818806</x:v>
      </x:c>
    </x:row>
    <x:row r="59">
      <x:c r="J59" t="n">
        <x:f>55</x:f>
        <x:v>55</x:v>
      </x:c>
      <x:c r="K59" t="n">
        <x:f>IF(J59&lt;=$B$6,LARGE('계산'!$K$2:$K$2001,J59),"")</x:f>
        <x:v>0.01607405948055355</x:v>
      </x:c>
      <x:c r="L59" t="n">
        <x:f>IF(ISNUMBER(K59),L58+LN(K59),"")</x:f>
        <x:v>-214.94863889696637</x:v>
      </x:c>
    </x:row>
    <x:row r="60">
      <x:c r="J60" t="n">
        <x:f>56</x:f>
        <x:v>56</x:v>
      </x:c>
      <x:c r="K60" t="n">
        <x:f>IF(J60&lt;=$B$6,LARGE('계산'!$K$2:$K$2001,J60),"")</x:f>
        <x:v>0.016044485741635885</x:v>
      </x:c>
      <x:c r="L60" t="n">
        <x:f>IF(ISNUMBER(K60),L59+LN(K60),"")</x:f>
        <x:v>-219.08102895290463</x:v>
      </x:c>
    </x:row>
    <x:row r="61">
      <x:c r="J61" t="n">
        <x:f>57</x:f>
        <x:v>57</x:v>
      </x:c>
      <x:c r="K61" t="n">
        <x:f>IF(J61&lt;=$B$6,LARGE('계산'!$K$2:$K$2001,J61),"")</x:f>
        <x:v>0.015998443577654734</x:v>
      </x:c>
      <x:c r="L61" t="n">
        <x:f>IF(ISNUMBER(K61),L60+LN(K61),"")</x:f>
        <x:v>-223.2162927907752</x:v>
      </x:c>
    </x:row>
    <x:row r="62">
      <x:c r="J62" t="n">
        <x:f>58</x:f>
        <x:v>58</x:v>
      </x:c>
      <x:c r="K62" t="n">
        <x:f>IF(J62&lt;=$B$6,LARGE('계산'!$K$2:$K$2001,J62),"")</x:f>
        <x:v>0.01580700037488527</x:v>
      </x:c>
      <x:c r="L62" t="n">
        <x:f>IF(ISNUMBER(K62),L61+LN(K62),"")</x:f>
        <x:v>-227.36359516614567</x:v>
      </x:c>
    </x:row>
    <x:row r="63">
      <x:c r="J63" t="n">
        <x:f>59</x:f>
        <x:v>59</x:v>
      </x:c>
      <x:c r="K63" t="n">
        <x:f>IF(J63&lt;=$B$6,LARGE('계산'!$K$2:$K$2001,J63),"")</x:f>
        <x:v>0.015438437029482612</x:v>
      </x:c>
      <x:c r="L63" t="n">
        <x:f>IF(ISNUMBER(K63),L62+LN(K63),"")</x:f>
        <x:v>-231.5344901343156</x:v>
      </x:c>
    </x:row>
    <x:row r="64">
      <x:c r="J64" t="n">
        <x:f>60</x:f>
        <x:v>60</x:v>
      </x:c>
      <x:c r="K64" t="n">
        <x:f>IF(J64&lt;=$B$6,LARGE('계산'!$K$2:$K$2001,J64),"")</x:f>
        <x:v>0.015420384460475568</x:v>
      </x:c>
      <x:c r="L64" t="n">
        <x:f>IF(ISNUMBER(K64),L63+LN(K64),"")</x:f>
        <x:v>-235.7065551128874</x:v>
      </x:c>
    </x:row>
    <x:row r="65">
      <x:c r="J65" t="n">
        <x:f>61</x:f>
        <x:v>61</x:v>
      </x:c>
      <x:c r="K65" t="n">
        <x:f>IF(J65&lt;=$B$6,LARGE('계산'!$K$2:$K$2001,J65),"")</x:f>
        <x:v>0.015282336460558238</x:v>
      </x:c>
      <x:c r="L65" t="n">
        <x:f>IF(ISNUMBER(K65),L64+LN(K65),"")</x:f>
        <x:v>-239.88761271009827</x:v>
      </x:c>
    </x:row>
    <x:row r="66">
      <x:c r="J66" t="n">
        <x:f>62</x:f>
        <x:v>62</x:v>
      </x:c>
      <x:c r="K66" t="n">
        <x:f>IF(J66&lt;=$B$6,LARGE('계산'!$K$2:$K$2001,J66),"")</x:f>
        <x:v>0.015253759390740178</x:v>
      </x:c>
      <x:c r="L66" t="n">
        <x:f>IF(ISNUMBER(K66),L65+LN(K66),"")</x:f>
        <x:v>-244.07054199898184</x:v>
      </x:c>
    </x:row>
    <x:row r="67">
      <x:c r="J67" t="n">
        <x:f>63</x:f>
        <x:v>63</x:v>
      </x:c>
      <x:c r="K67" t="n">
        <x:f>IF(J67&lt;=$B$6,LARGE('계산'!$K$2:$K$2001,J67),"")</x:f>
        <x:v>0.015215155248027482</x:v>
      </x:c>
      <x:c r="L67" t="n">
        <x:f>IF(ISNUMBER(K67),L66+LN(K67),"")</x:f>
        <x:v>-248.25600529105043</x:v>
      </x:c>
    </x:row>
    <x:row r="68">
      <x:c r="J68" t="n">
        <x:f>64</x:f>
        <x:v>64</x:v>
      </x:c>
      <x:c r="K68" t="n">
        <x:f>IF(J68&lt;=$B$6,LARGE('계산'!$K$2:$K$2001,J68),"")</x:f>
        <x:v>0.015170320047872457</x:v>
      </x:c>
      <x:c r="L68" t="n">
        <x:f>IF(ISNUMBER(K68),L67+LN(K68),"")</x:f>
        <x:v>-252.44441967947395</x:v>
      </x:c>
    </x:row>
    <x:row r="69">
      <x:c r="J69" t="n">
        <x:f>65</x:f>
        <x:v>65</x:v>
      </x:c>
      <x:c r="K69" t="n">
        <x:f>IF(J69&lt;=$B$6,LARGE('계산'!$K$2:$K$2001,J69),"")</x:f>
        <x:v>0.0148341899724674</x:v>
      </x:c>
      <x:c r="L69" t="n">
        <x:f>IF(ISNUMBER(K69),L68+LN(K69),"")</x:f>
        <x:v>-256.6552403086667</x:v>
      </x:c>
    </x:row>
    <x:row r="70">
      <x:c r="J70" t="n">
        <x:f>66</x:f>
        <x:v>66</x:v>
      </x:c>
      <x:c r="K70" t="n">
        <x:f>IF(J70&lt;=$B$6,LARGE('계산'!$K$2:$K$2001,J70),"")</x:f>
        <x:v>0.014796993086359131</x:v>
      </x:c>
      <x:c r="L70" t="n">
        <x:f>IF(ISNUMBER(K70),L69+LN(K70),"")</x:f>
        <x:v>-260.86857159736115</x:v>
      </x:c>
    </x:row>
    <x:row r="71">
      <x:c r="J71" t="n">
        <x:f>67</x:f>
        <x:v>67</x:v>
      </x:c>
      <x:c r="K71" t="n">
        <x:f>IF(J71&lt;=$B$6,LARGE('계산'!$K$2:$K$2001,J71),"")</x:f>
        <x:v>0.014710281805821152</x:v>
      </x:c>
      <x:c r="L71" t="n">
        <x:f>IF(ISNUMBER(K71),L70+LN(K71),"")</x:f>
        <x:v>-265.0877801844817</x:v>
      </x:c>
    </x:row>
    <x:row r="72">
      <x:c r="J72" t="n">
        <x:f>68</x:f>
        <x:v>68</x:v>
      </x:c>
      <x:c r="K72" t="n">
        <x:f>IF(J72&lt;=$B$6,LARGE('계산'!$K$2:$K$2001,J72),"")</x:f>
        <x:v>0.014692679406167915</x:v>
      </x:c>
      <x:c r="L72" t="n">
        <x:f>IF(ISNUMBER(K72),L71+LN(K72),"")</x:f>
        <x:v>-269.30818609330254</x:v>
      </x:c>
    </x:row>
    <x:row r="73">
      <x:c r="J73" t="n">
        <x:f>69</x:f>
        <x:v>69</x:v>
      </x:c>
      <x:c r="K73" t="n">
        <x:f>IF(J73&lt;=$B$6,LARGE('계산'!$K$2:$K$2001,J73),"")</x:f>
        <x:v>0.014572031106112066</x:v>
      </x:c>
      <x:c r="L73" t="n">
        <x:f>IF(ISNUMBER(K73),L72+LN(K73),"")</x:f>
        <x:v>-273.53683735849114</x:v>
      </x:c>
    </x:row>
    <x:row r="74">
      <x:c r="J74" t="n">
        <x:f>70</x:f>
        <x:v>70</x:v>
      </x:c>
      <x:c r="K74" t="n">
        <x:f>IF(J74&lt;=$B$6,LARGE('계산'!$K$2:$K$2001,J74),"")</x:f>
        <x:v>0.01451419520047328</x:v>
      </x:c>
      <x:c r="L74" t="n">
        <x:f>IF(ISNUMBER(K74),L73+LN(K74),"")</x:f>
        <x:v>-277.7694654875915</x:v>
      </x:c>
    </x:row>
    <x:row r="75">
      <x:c r="J75" t="n">
        <x:f>71</x:f>
        <x:v>71</x:v>
      </x:c>
      <x:c r="K75" t="n">
        <x:f>IF(J75&lt;=$B$6,LARGE('계산'!$K$2:$K$2001,J75),"")</x:f>
        <x:v>0.014504278481696345</x:v>
      </x:c>
      <x:c r="L75" t="n">
        <x:f>IF(ISNUMBER(K75),L74+LN(K75),"")</x:f>
        <x:v>-282.00277709296785</x:v>
      </x:c>
    </x:row>
    <x:row r="76">
      <x:c r="J76" t="n">
        <x:f>72</x:f>
        <x:v>72</x:v>
      </x:c>
      <x:c r="K76" t="n">
        <x:f>IF(J76&lt;=$B$6,LARGE('계산'!$K$2:$K$2001,J76),"")</x:f>
        <x:v>0.013981776953889436</x:v>
      </x:c>
      <x:c r="L76" t="n">
        <x:f>IF(ISNUMBER(K76),L75+LN(K76),"")</x:f>
        <x:v>-286.2727775363627</x:v>
      </x:c>
    </x:row>
    <x:row r="77">
      <x:c r="J77" t="n">
        <x:f>73</x:f>
        <x:v>73</x:v>
      </x:c>
      <x:c r="K77" t="n">
        <x:f>IF(J77&lt;=$B$6,LARGE('계산'!$K$2:$K$2001,J77),"")</x:f>
        <x:v>0.013959795484007814</x:v>
      </x:c>
      <x:c r="L77" t="n">
        <x:f>IF(ISNUMBER(K77),L76+LN(K77),"")</x:f>
        <x:v>-290.5443513682606</x:v>
      </x:c>
    </x:row>
    <x:row r="78">
      <x:c r="J78" t="n">
        <x:f>74</x:f>
        <x:v>74</x:v>
      </x:c>
      <x:c r="K78" t="n">
        <x:f>IF(J78&lt;=$B$6,LARGE('계산'!$K$2:$K$2001,J78),"")</x:f>
        <x:v>0.013953404880829254</x:v>
      </x:c>
      <x:c r="L78" t="n">
        <x:f>IF(ISNUMBER(K78),L77+LN(K78),"")</x:f>
        <x:v>-294.8163830912786</x:v>
      </x:c>
    </x:row>
    <x:row r="79">
      <x:c r="J79" t="n">
        <x:f>75</x:f>
        <x:v>75</x:v>
      </x:c>
      <x:c r="K79" t="n">
        <x:f>IF(J79&lt;=$B$6,LARGE('계산'!$K$2:$K$2001,J79),"")</x:f>
        <x:v>0.013939775511801911</x:v>
      </x:c>
      <x:c r="L79" t="n">
        <x:f>IF(ISNUMBER(K79),L78+LN(K79),"")</x:f>
        <x:v>-299.089392068946</x:v>
      </x:c>
    </x:row>
    <x:row r="80">
      <x:c r="J80" t="n">
        <x:f>76</x:f>
        <x:v>76</x:v>
      </x:c>
      <x:c r="K80" t="n">
        <x:f>IF(J80&lt;=$B$6,LARGE('계산'!$K$2:$K$2001,J80),"")</x:f>
        <x:v>0.013775728794797755</x:v>
      </x:c>
      <x:c r="L80" t="n">
        <x:f>IF(ISNUMBER(K80),L79+LN(K80),"")</x:f>
        <x:v>-303.3742390872253</x:v>
      </x:c>
    </x:row>
    <x:row r="81">
      <x:c r="J81" t="n">
        <x:f>77</x:f>
        <x:v>77</x:v>
      </x:c>
      <x:c r="K81" t="n">
        <x:f>IF(J81&lt;=$B$6,LARGE('계산'!$K$2:$K$2001,J81),"")</x:f>
        <x:v>0.01376198435185111</x:v>
      </x:c>
      <x:c r="L81" t="n">
        <x:f>IF(ISNUMBER(K81),L80+LN(K81),"")</x:f>
        <x:v>-307.66008433248265</x:v>
      </x:c>
    </x:row>
    <x:row r="82">
      <x:c r="J82" t="n">
        <x:f>78</x:f>
        <x:v>78</x:v>
      </x:c>
      <x:c r="K82" t="n">
        <x:f>IF(J82&lt;=$B$6,LARGE('계산'!$K$2:$K$2001,J82),"")</x:f>
        <x:v>0.013613549996105673</x:v>
      </x:c>
      <x:c r="L82" t="n">
        <x:f>IF(ISNUMBER(K82),L81+LN(K82),"")</x:f>
        <x:v>-311.9567739914803</x:v>
      </x:c>
    </x:row>
    <x:row r="83">
      <x:c r="J83" t="n">
        <x:f>79</x:f>
        <x:v>79</x:v>
      </x:c>
      <x:c r="K83" t="n">
        <x:f>IF(J83&lt;=$B$6,LARGE('계산'!$K$2:$K$2001,J83),"")</x:f>
        <x:v>0.013592046602439543</x:v>
      </x:c>
      <x:c r="L83" t="n">
        <x:f>IF(ISNUMBER(K83),L82+LN(K83),"")</x:f>
        <x:v>-316.25504445743184</x:v>
      </x:c>
    </x:row>
    <x:row r="84">
      <x:c r="J84" t="n">
        <x:f>80</x:f>
        <x:v>80</x:v>
      </x:c>
      <x:c r="K84" t="n">
        <x:f>IF(J84&lt;=$B$6,LARGE('계산'!$K$2:$K$2001,J84),"")</x:f>
        <x:v>0.013542278390993848</x:v>
      </x:c>
      <x:c r="L84" t="n">
        <x:f>IF(ISNUMBER(K84),L83+LN(K84),"")</x:f>
        <x:v>-320.5569832119637</x:v>
      </x:c>
    </x:row>
    <x:row r="85">
      <x:c r="J85" t="n">
        <x:f>81</x:f>
        <x:v>81</x:v>
      </x:c>
      <x:c r="K85" t="n">
        <x:f>IF(J85&lt;=$B$6,LARGE('계산'!$K$2:$K$2001,J85),"")</x:f>
        <x:v>0.013538341240681708</x:v>
      </x:c>
      <x:c r="L85" t="n">
        <x:f>IF(ISNUMBER(K85),L84+LN(K85),"")</x:f>
        <x:v>-324.8592127390402</x:v>
      </x:c>
    </x:row>
    <x:row r="86">
      <x:c r="J86" t="n">
        <x:f>82</x:f>
        <x:v>82</x:v>
      </x:c>
      <x:c r="K86" t="n">
        <x:f>IF(J86&lt;=$B$6,LARGE('계산'!$K$2:$K$2001,J86),"")</x:f>
        <x:v>0.013500013955213736</x:v>
      </x:c>
      <x:c r="L86" t="n">
        <x:f>IF(ISNUMBER(K86),L85+LN(K86),"")</x:f>
        <x:v>-329.1642772988589</x:v>
      </x:c>
    </x:row>
    <x:row r="87">
      <x:c r="J87" t="n">
        <x:f>83</x:f>
        <x:v>83</x:v>
      </x:c>
      <x:c r="K87" t="n">
        <x:f>IF(J87&lt;=$B$6,LARGE('계산'!$K$2:$K$2001,J87),"")</x:f>
        <x:v>0.013459024522374304</x:v>
      </x:c>
      <x:c r="L87" t="n">
        <x:f>IF(ISNUMBER(K87),L86+LN(K87),"")</x:f>
        <x:v>-333.47238272858544</x:v>
      </x:c>
    </x:row>
    <x:row r="88">
      <x:c r="J88" t="n">
        <x:f>84</x:f>
        <x:v>84</x:v>
      </x:c>
      <x:c r="K88" t="n">
        <x:f>IF(J88&lt;=$B$6,LARGE('계산'!$K$2:$K$2001,J88),"")</x:f>
        <x:v>0.013443012550982202</x:v>
      </x:c>
      <x:c r="L88" t="n">
        <x:f>IF(ISNUMBER(K88),L87+LN(K88),"")</x:f>
        <x:v>-337.78167854945144</x:v>
      </x:c>
    </x:row>
    <x:row r="89">
      <x:c r="J89" t="n">
        <x:f>85</x:f>
        <x:v>85</x:v>
      </x:c>
      <x:c r="K89" t="n">
        <x:f>IF(J89&lt;=$B$6,LARGE('계산'!$K$2:$K$2001,J89),"")</x:f>
        <x:v>0.013250397385467905</x:v>
      </x:c>
      <x:c r="L89" t="n">
        <x:f>IF(ISNUMBER(K89),L88+LN(K89),"")</x:f>
        <x:v>-342.105406285095</x:v>
      </x:c>
    </x:row>
    <x:row r="90">
      <x:c r="J90" t="n">
        <x:f>86</x:f>
        <x:v>86</x:v>
      </x:c>
      <x:c r="K90" t="n">
        <x:f>IF(J90&lt;=$B$6,LARGE('계산'!$K$2:$K$2001,J90),"")</x:f>
        <x:v>0.013135881188400967</x:v>
      </x:c>
      <x:c r="L90" t="n">
        <x:f>IF(ISNUMBER(K90),L89+LN(K90),"")</x:f>
        <x:v>-346.4378140561399</x:v>
      </x:c>
    </x:row>
    <x:row r="91">
      <x:c r="J91" t="n">
        <x:f>87</x:f>
        <x:v>87</x:v>
      </x:c>
      <x:c r="K91" t="n">
        <x:f>IF(J91&lt;=$B$6,LARGE('계산'!$K$2:$K$2001,J91),"")</x:f>
        <x:v>0.01310803939082209</x:v>
      </x:c>
      <x:c r="L91" t="n">
        <x:f>IF(ISNUMBER(K91),L90+LN(K91),"")</x:f>
        <x:v>-350.7723435991922</x:v>
      </x:c>
    </x:row>
    <x:row r="92">
      <x:c r="J92" t="n">
        <x:f>88</x:f>
        <x:v>88</x:v>
      </x:c>
      <x:c r="K92" t="n">
        <x:f>IF(J92&lt;=$B$6,LARGE('계산'!$K$2:$K$2001,J92),"")</x:f>
        <x:v>0.013094849668135778</x:v>
      </x:c>
      <x:c r="L92" t="n">
        <x:f>IF(ISNUMBER(K92),L91+LN(K92),"")</x:f>
        <x:v>-355.1078798803771</x:v>
      </x:c>
    </x:row>
    <x:row r="93">
      <x:c r="J93" t="n">
        <x:f>89</x:f>
        <x:v>89</x:v>
      </x:c>
      <x:c r="K93" t="n">
        <x:f>IF(J93&lt;=$B$6,LARGE('계산'!$K$2:$K$2001,J93),"")</x:f>
        <x:v>0.012924829214981857</x:v>
      </x:c>
      <x:c r="L93" t="n">
        <x:f>IF(ISNUMBER(K93),L92+LN(K93),"")</x:f>
        <x:v>-359.4564849525931</x:v>
      </x:c>
    </x:row>
    <x:row r="94">
      <x:c r="J94" t="n">
        <x:f>90</x:f>
        <x:v>90</x:v>
      </x:c>
      <x:c r="K94" t="n">
        <x:f>IF(J94&lt;=$B$6,LARGE('계산'!$K$2:$K$2001,J94),"")</x:f>
        <x:v>0.012910366510437475</x:v>
      </x:c>
      <x:c r="L94" t="n">
        <x:f>IF(ISNUMBER(K94),L93+LN(K94),"")</x:f>
        <x:v>-363.8062096374653</x:v>
      </x:c>
    </x:row>
    <x:row r="95">
      <x:c r="J95" t="n">
        <x:f>91</x:f>
        <x:v>91</x:v>
      </x:c>
      <x:c r="K95" t="n">
        <x:f>IF(J95&lt;=$B$6,LARGE('계산'!$K$2:$K$2001,J95),"")</x:f>
        <x:v>0.012848510328746723</x:v>
      </x:c>
      <x:c r="L95" t="n">
        <x:f>IF(ISNUMBER(K95),L94+LN(K95),"")</x:f>
        <x:v>-368.1607370395503</x:v>
      </x:c>
    </x:row>
    <x:row r="96">
      <x:c r="J96" t="n">
        <x:f>92</x:f>
        <x:v>92</x:v>
      </x:c>
      <x:c r="K96" t="n">
        <x:f>IF(J96&lt;=$B$6,LARGE('계산'!$K$2:$K$2001,J96),"")</x:f>
        <x:v>0.012744520949407073</x:v>
      </x:c>
      <x:c r="L96" t="n">
        <x:f>IF(ISNUMBER(K96),L95+LN(K96),"")</x:f>
        <x:v>-372.52339086874645</x:v>
      </x:c>
    </x:row>
    <x:row r="97">
      <x:c r="J97" t="n">
        <x:f>93</x:f>
        <x:v>93</x:v>
      </x:c>
      <x:c r="K97" t="n">
        <x:f>IF(J97&lt;=$B$6,LARGE('계산'!$K$2:$K$2001,J97),"")</x:f>
        <x:v>0.012685540928688508</x:v>
      </x:c>
      <x:c r="L97" t="n">
        <x:f>IF(ISNUMBER(K97),L96+LN(K97),"")</x:f>
        <x:v>-376.89068331241043</x:v>
      </x:c>
    </x:row>
    <x:row r="98">
      <x:c r="J98" t="n">
        <x:f>94</x:f>
        <x:v>94</x:v>
      </x:c>
      <x:c r="K98" t="n">
        <x:f>IF(J98&lt;=$B$6,LARGE('계산'!$K$2:$K$2001,J98),"")</x:f>
        <x:v>0.012678738627637473</x:v>
      </x:c>
      <x:c r="L98" t="n">
        <x:f>IF(ISNUMBER(K98),L97+LN(K98),"")</x:f>
        <x:v>-381.2585121246473</x:v>
      </x:c>
    </x:row>
    <x:row r="99">
      <x:c r="J99" t="n">
        <x:f>95</x:f>
        <x:v>95</x:v>
      </x:c>
      <x:c r="K99" t="n">
        <x:f>IF(J99&lt;=$B$6,LARGE('계산'!$K$2:$K$2001,J99),"")</x:f>
        <x:v>0.012657816939224598</x:v>
      </x:c>
      <x:c r="L99" t="n">
        <x:f>IF(ISNUMBER(K99),L98+LN(K99),"")</x:f>
        <x:v>-385.6279924394425</x:v>
      </x:c>
    </x:row>
    <x:row r="100">
      <x:c r="J100" t="n">
        <x:f>96</x:f>
        <x:v>96</x:v>
      </x:c>
      <x:c r="K100" t="n">
        <x:f>IF(J100&lt;=$B$6,LARGE('계산'!$K$2:$K$2001,J100),"")</x:f>
        <x:v>0.012596509716091811</x:v>
      </x:c>
      <x:c r="L100" t="n">
        <x:f>IF(ISNUMBER(K100),L99+LN(K100),"")</x:f>
        <x:v>-390.0023279495</x:v>
      </x:c>
    </x:row>
    <x:row r="101">
      <x:c r="J101" t="n">
        <x:f>97</x:f>
        <x:v>97</x:v>
      </x:c>
      <x:c r="K101" t="n">
        <x:f>IF(J101&lt;=$B$6,LARGE('계산'!$K$2:$K$2001,J101),"")</x:f>
        <x:v>0.01257834589197856</x:v>
      </x:c>
      <x:c r="L101" t="n">
        <x:f>IF(ISNUMBER(K101),L100+LN(K101),"")</x:f>
        <x:v>-394.37810647297914</x:v>
      </x:c>
    </x:row>
    <x:row r="102">
      <x:c r="J102" t="n">
        <x:f>98</x:f>
        <x:v>98</x:v>
      </x:c>
      <x:c r="K102" t="n">
        <x:f>IF(J102&lt;=$B$6,LARGE('계산'!$K$2:$K$2001,J102),"")</x:f>
        <x:v>0.012568972117333746</x:v>
      </x:c>
      <x:c r="L102" t="n">
        <x:f>IF(ISNUMBER(K102),L101+LN(K102),"")</x:f>
        <x:v>-398.75463050538895</x:v>
      </x:c>
    </x:row>
    <x:row r="103">
      <x:c r="J103" t="n">
        <x:f>99</x:f>
        <x:v>99</x:v>
      </x:c>
      <x:c r="K103" t="n">
        <x:f>IF(J103&lt;=$B$6,LARGE('계산'!$K$2:$K$2001,J103),"")</x:f>
        <x:v>0.012562026813249956</x:v>
      </x:c>
      <x:c r="L103" t="n">
        <x:f>IF(ISNUMBER(K103),L102+LN(K103),"")</x:f>
        <x:v>-403.13170726586816</x:v>
      </x:c>
    </x:row>
    <x:row r="104">
      <x:c r="J104" t="n">
        <x:f>100</x:f>
        <x:v>100</x:v>
      </x:c>
      <x:c r="K104" t="n">
        <x:f>IF(J104&lt;=$B$6,LARGE('계산'!$K$2:$K$2001,J104),"")</x:f>
        <x:v>0.012528280903130122</x:v>
      </x:c>
      <x:c r="L104" t="n">
        <x:f>IF(ISNUMBER(K104),L103+LN(K104),"")</x:f>
        <x:v>-407.5114739838281</x:v>
      </x:c>
    </x:row>
    <x:row r="105">
      <x:c r="J105" t="n">
        <x:f>101</x:f>
        <x:v>101</x:v>
      </x:c>
      <x:c r="K105" t="n">
        <x:f>IF(J105&lt;=$B$6,LARGE('계산'!$K$2:$K$2001,J105),"")</x:f>
        <x:v>0.012523723652641556</x:v>
      </x:c>
      <x:c r="L105" t="n">
        <x:f>IF(ISNUMBER(K105),L104+LN(K105),"")</x:f>
        <x:v>-411.8916045250126</x:v>
      </x:c>
    </x:row>
    <x:row r="106">
      <x:c r="J106" t="n">
        <x:f>102</x:f>
        <x:v>102</x:v>
      </x:c>
      <x:c r="K106" t="n">
        <x:f>IF(J106&lt;=$B$6,LARGE('계산'!$K$2:$K$2001,J106),"")</x:f>
        <x:v>0.012516121880832828</x:v>
      </x:c>
      <x:c r="L106" t="n">
        <x:f>IF(ISNUMBER(K106),L105+LN(K106),"")</x:f>
        <x:v>-416.27234224023357</x:v>
      </x:c>
    </x:row>
    <x:row r="107">
      <x:c r="J107" t="n">
        <x:f>103</x:f>
        <x:v>103</x:v>
      </x:c>
      <x:c r="K107" t="n">
        <x:f>IF(J107&lt;=$B$6,LARGE('계산'!$K$2:$K$2001,J107),"")</x:f>
        <x:v>0.012485668717400313</x:v>
      </x:c>
      <x:c r="L107" t="n">
        <x:f>IF(ISNUMBER(K107),L106+LN(K107),"")</x:f>
        <x:v>-420.65551603525233</x:v>
      </x:c>
    </x:row>
    <x:row r="108">
      <x:c r="J108" t="n">
        <x:f>104</x:f>
        <x:v>104</x:v>
      </x:c>
      <x:c r="K108" t="n">
        <x:f>IF(J108&lt;=$B$6,LARGE('계산'!$K$2:$K$2001,J108),"")</x:f>
        <x:v>0.012297632340849995</x:v>
      </x:c>
      <x:c r="L108" t="n">
        <x:f>IF(ISNUMBER(K108),L107+LN(K108),"")</x:f>
        <x:v>-425.053864562999</x:v>
      </x:c>
    </x:row>
    <x:row r="109">
      <x:c r="J109" t="n">
        <x:f>105</x:f>
        <x:v>105</x:v>
      </x:c>
      <x:c r="K109" t="n">
        <x:f>IF(J109&lt;=$B$6,LARGE('계산'!$K$2:$K$2001,J109),"")</x:f>
        <x:v>0.012281149017812439</x:v>
      </x:c>
      <x:c r="L109" t="n">
        <x:f>IF(ISNUMBER(K109),L108+LN(K109),"")</x:f>
        <x:v>-429.45355435541364</x:v>
      </x:c>
    </x:row>
    <x:row r="110">
      <x:c r="J110" t="n">
        <x:f>106</x:f>
        <x:v>106</x:v>
      </x:c>
      <x:c r="K110" t="n">
        <x:f>IF(J110&lt;=$B$6,LARGE('계산'!$K$2:$K$2001,J110),"")</x:f>
        <x:v>0.01224791606337454</x:v>
      </x:c>
      <x:c r="L110" t="n">
        <x:f>IF(ISNUMBER(K110),L109+LN(K110),"")</x:f>
        <x:v>-433.85595382915216</x:v>
      </x:c>
    </x:row>
    <x:row r="111">
      <x:c r="J111" t="n">
        <x:f>107</x:f>
        <x:v>107</x:v>
      </x:c>
      <x:c r="K111" t="n">
        <x:f>IF(J111&lt;=$B$6,LARGE('계산'!$K$2:$K$2001,J111),"")</x:f>
        <x:v>0.012238951881390814</x:v>
      </x:c>
      <x:c r="L111" t="n">
        <x:f>IF(ISNUMBER(K111),L110+LN(K111),"")</x:f>
        <x:v>-438.25908546532196</x:v>
      </x:c>
    </x:row>
    <x:row r="112">
      <x:c r="J112" t="n">
        <x:f>108</x:f>
        <x:v>108</x:v>
      </x:c>
      <x:c r="K112" t="n">
        <x:f>IF(J112&lt;=$B$6,LARGE('계산'!$K$2:$K$2001,J112),"")</x:f>
        <x:v>0.01220507330320048</x:v>
      </x:c>
      <x:c r="L112" t="n">
        <x:f>IF(ISNUMBER(K112),L111+LN(K112),"")</x:f>
        <x:v>-442.6649890344796</x:v>
      </x:c>
    </x:row>
    <x:row r="113">
      <x:c r="J113" t="n">
        <x:f>109</x:f>
        <x:v>109</x:v>
      </x:c>
      <x:c r="K113" t="n">
        <x:f>IF(J113&lt;=$B$6,LARGE('계산'!$K$2:$K$2001,J113),"")</x:f>
        <x:v>0.012192515091625097</x:v>
      </x:c>
      <x:c r="L113" t="n">
        <x:f>IF(ISNUMBER(K113),L112+LN(K113),"")</x:f>
        <x:v>-447.07192206708106</x:v>
      </x:c>
    </x:row>
    <x:row r="114">
      <x:c r="J114" t="n">
        <x:f>110</x:f>
        <x:v>110</x:v>
      </x:c>
      <x:c r="K114" t="n">
        <x:f>IF(J114&lt;=$B$6,LARGE('계산'!$K$2:$K$2001,J114),"")</x:f>
        <x:v>0.012171186897808947</x:v>
      </x:c>
      <x:c r="L114" t="n">
        <x:f>IF(ISNUMBER(K114),L113+LN(K114),"")</x:f>
        <x:v>-451.4806059172942</x:v>
      </x:c>
    </x:row>
    <x:row r="115">
      <x:c r="J115" t="n">
        <x:f>111</x:f>
        <x:v>111</x:v>
      </x:c>
      <x:c r="K115" t="n">
        <x:f>IF(J115&lt;=$B$6,LARGE('계산'!$K$2:$K$2001,J115),"")</x:f>
        <x:v>0.012119430629571461</x:v>
      </x:c>
      <x:c r="L115" t="n">
        <x:f>IF(ISNUMBER(K115),L114+LN(K115),"")</x:f>
        <x:v>-455.8935511944968</x:v>
      </x:c>
    </x:row>
    <x:row r="116">
      <x:c r="J116" t="n">
        <x:f>112</x:f>
        <x:v>112</x:v>
      </x:c>
      <x:c r="K116" t="n">
        <x:f>IF(J116&lt;=$B$6,LARGE('계산'!$K$2:$K$2001,J116),"")</x:f>
        <x:v>0.012035719684470297</x:v>
      </x:c>
      <x:c r="L116" t="n">
        <x:f>IF(ISNUMBER(K116),L115+LN(K116),"")</x:f>
        <x:v>-460.3134276047406</x:v>
      </x:c>
    </x:row>
    <x:row r="117">
      <x:c r="J117" t="n">
        <x:f>113</x:f>
        <x:v>113</x:v>
      </x:c>
      <x:c r="K117" t="n">
        <x:f>IF(J117&lt;=$B$6,LARGE('계산'!$K$2:$K$2001,J117),"")</x:f>
        <x:v>0.011999001531627779</x:v>
      </x:c>
      <x:c r="L117" t="n">
        <x:f>IF(ISNUMBER(K117),L116+LN(K117),"")</x:f>
        <x:v>-464.7363594430942</x:v>
      </x:c>
    </x:row>
    <x:row r="118">
      <x:c r="J118" t="n">
        <x:f>114</x:f>
        <x:v>114</x:v>
      </x:c>
      <x:c r="K118" t="n">
        <x:f>IF(J118&lt;=$B$6,LARGE('계산'!$K$2:$K$2001,J118),"")</x:f>
        <x:v>0.011884766951783398</x:v>
      </x:c>
      <x:c r="L118" t="n">
        <x:f>IF(ISNUMBER(K118),L117+LN(K118),"")</x:f>
        <x:v>-469.1688572300569</x:v>
      </x:c>
    </x:row>
    <x:row r="119">
      <x:c r="J119" t="n">
        <x:f>115</x:f>
        <x:v>115</x:v>
      </x:c>
      <x:c r="K119" t="n">
        <x:f>IF(J119&lt;=$B$6,LARGE('계산'!$K$2:$K$2001,J119),"")</x:f>
        <x:v>0.011795655861963667</x:v>
      </x:c>
      <x:c r="L119" t="n">
        <x:f>IF(ISNUMBER(K119),L118+LN(K119),"")</x:f>
        <x:v>-473.6088811926415</x:v>
      </x:c>
    </x:row>
    <x:row r="120">
      <x:c r="J120" t="n">
        <x:f>116</x:f>
        <x:v>116</x:v>
      </x:c>
      <x:c r="K120" t="n">
        <x:f>IF(J120&lt;=$B$6,LARGE('계산'!$K$2:$K$2001,J120),"")</x:f>
        <x:v>0.011700217715819828</x:v>
      </x:c>
      <x:c r="L120" t="n">
        <x:f>IF(ISNUMBER(K120),L119+LN(K120),"")</x:f>
        <x:v>-478.0570290218033</x:v>
      </x:c>
    </x:row>
    <x:row r="121">
      <x:c r="J121" t="n">
        <x:f>117</x:f>
        <x:v>117</x:v>
      </x:c>
      <x:c r="K121" t="n">
        <x:f>IF(J121&lt;=$B$6,LARGE('계산'!$K$2:$K$2001,J121),"")</x:f>
        <x:v>0.011680023219213822</x:v>
      </x:c>
      <x:c r="L121" t="n">
        <x:f>IF(ISNUMBER(K121),L120+LN(K121),"")</x:f>
        <x:v>-482.50690433544094</x:v>
      </x:c>
    </x:row>
    <x:row r="122">
      <x:c r="J122" t="n">
        <x:f>118</x:f>
        <x:v>118</x:v>
      </x:c>
      <x:c r="K122" t="n">
        <x:f>IF(J122&lt;=$B$6,LARGE('계산'!$K$2:$K$2001,J122),"")</x:f>
        <x:v>0.011592217970907518</x:v>
      </x:c>
      <x:c r="L122" t="n">
        <x:f>IF(ISNUMBER(K122),L121+LN(K122),"")</x:f>
        <x:v>-486.964325606018</x:v>
      </x:c>
    </x:row>
    <x:row r="123">
      <x:c r="J123" t="n">
        <x:f>119</x:f>
        <x:v>119</x:v>
      </x:c>
      <x:c r="K123" t="n">
        <x:f>IF(J123&lt;=$B$6,LARGE('계산'!$K$2:$K$2001,J123),"")</x:f>
        <x:v>0.011584169029546626</x:v>
      </x:c>
      <x:c r="L123" t="n">
        <x:f>IF(ISNUMBER(K123),L122+LN(K123),"")</x:f>
        <x:v>-491.4224414578242</x:v>
      </x:c>
    </x:row>
    <x:row r="124">
      <x:c r="J124" t="n">
        <x:f>120</x:f>
        <x:v>120</x:v>
      </x:c>
      <x:c r="K124" t="n">
        <x:f>IF(J124&lt;=$B$6,LARGE('계산'!$K$2:$K$2001,J124),"")</x:f>
        <x:v>0.011561577387990374</x:v>
      </x:c>
      <x:c r="L124" t="n">
        <x:f>IF(ISNUMBER(K124),L123+LN(K124),"")</x:f>
        <x:v>-495.8825094306226</x:v>
      </x:c>
    </x:row>
    <x:row r="125">
      <x:c r="J125" t="n">
        <x:f>121</x:f>
        <x:v>121</x:v>
      </x:c>
      <x:c r="K125" t="n">
        <x:f>IF(J125&lt;=$B$6,LARGE('계산'!$K$2:$K$2001,J125),"")</x:f>
        <x:v>0.01153211691131885</x:v>
      </x:c>
      <x:c r="L125" t="n">
        <x:f>IF(ISNUMBER(K125),L124+LN(K125),"")</x:f>
        <x:v>-500.3451287918884</x:v>
      </x:c>
    </x:row>
    <x:row r="126">
      <x:c r="J126" t="n">
        <x:f>122</x:f>
        <x:v>122</x:v>
      </x:c>
      <x:c r="K126" t="n">
        <x:f>IF(J126&lt;=$B$6,LARGE('계산'!$K$2:$K$2001,J126),"")</x:f>
        <x:v>0.011507636855559483</x:v>
      </x:c>
      <x:c r="L126" t="n">
        <x:f>IF(ISNUMBER(K126),L125+LN(K126),"")</x:f>
        <x:v>-504.80987318150466</x:v>
      </x:c>
    </x:row>
    <x:row r="127">
      <x:c r="J127" t="n">
        <x:f>123</x:f>
        <x:v>123</x:v>
      </x:c>
      <x:c r="K127" t="n">
        <x:f>IF(J127&lt;=$B$6,LARGE('계산'!$K$2:$K$2001,J127),"")</x:f>
        <x:v>0.011460948654318601</x:v>
      </x:c>
      <x:c r="L127" t="n">
        <x:f>IF(ISNUMBER(K127),L126+LN(K127),"")</x:f>
        <x:v>-509.2786829730173</x:v>
      </x:c>
    </x:row>
    <x:row r="128">
      <x:c r="J128" t="n">
        <x:f>124</x:f>
        <x:v>124</x:v>
      </x:c>
      <x:c r="K128" t="n">
        <x:f>IF(J128&lt;=$B$6,LARGE('계산'!$K$2:$K$2001,J128),"")</x:f>
        <x:v>0.011417156519739553</x:v>
      </x:c>
      <x:c r="L128" t="n">
        <x:f>IF(ISNUMBER(K128),L127+LN(K128),"")</x:f>
        <x:v>-513.7513210700413</x:v>
      </x:c>
    </x:row>
    <x:row r="129">
      <x:c r="J129" t="n">
        <x:f>125</x:f>
        <x:v>125</x:v>
      </x:c>
      <x:c r="K129" t="n">
        <x:f>IF(J129&lt;=$B$6,LARGE('계산'!$K$2:$K$2001,J129),"")</x:f>
        <x:v>0.011399391753293193</x:v>
      </x:c>
      <x:c r="L129" t="n">
        <x:f>IF(ISNUMBER(K129),L128+LN(K129),"")</x:f>
        <x:v>-518.2255163500207</x:v>
      </x:c>
    </x:row>
    <x:row r="130">
      <x:c r="J130" t="n">
        <x:f>126</x:f>
        <x:v>126</x:v>
      </x:c>
      <x:c r="K130" t="n">
        <x:f>IF(J130&lt;=$B$6,LARGE('계산'!$K$2:$K$2001,J130),"")</x:f>
        <x:v>0.011324460803793483</x:v>
      </x:c>
      <x:c r="L130" t="n">
        <x:f>IF(ISNUMBER(K130),L129+LN(K130),"")</x:f>
        <x:v>-522.7063065699112</x:v>
      </x:c>
    </x:row>
    <x:row r="131">
      <x:c r="J131" t="n">
        <x:f>127</x:f>
        <x:v>127</x:v>
      </x:c>
      <x:c r="K131" t="n">
        <x:f>IF(J131&lt;=$B$6,LARGE('계산'!$K$2:$K$2001,J131),"")</x:f>
        <x:v>0.0113001286827499</x:v>
      </x:c>
      <x:c r="L131" t="n">
        <x:f>IF(ISNUMBER(K131),L130+LN(K131),"")</x:f>
        <x:v>-527.189247735386</x:v>
      </x:c>
    </x:row>
    <x:row r="132">
      <x:c r="J132" t="n">
        <x:f>128</x:f>
        <x:v>128</x:v>
      </x:c>
      <x:c r="K132" t="n">
        <x:f>IF(J132&lt;=$B$6,LARGE('계산'!$K$2:$K$2001,J132),"")</x:f>
        <x:v>0.011298810995046043</x:v>
      </x:c>
      <x:c r="L132" t="n">
        <x:f>IF(ISNUMBER(K132),L131+LN(K132),"")</x:f>
        <x:v>-531.6723055158633</x:v>
      </x:c>
    </x:row>
    <x:row r="133">
      <x:c r="J133" t="n">
        <x:f>129</x:f>
        <x:v>129</x:v>
      </x:c>
      <x:c r="K133" t="n">
        <x:f>IF(J133&lt;=$B$6,LARGE('계산'!$K$2:$K$2001,J133),"")</x:f>
        <x:v>0.011238440165744872</x:v>
      </x:c>
      <x:c r="L133" t="n">
        <x:f>IF(ISNUMBER(K133),L132+LN(K133),"")</x:f>
        <x:v>-536.1607207352996</x:v>
      </x:c>
    </x:row>
    <x:row r="134">
      <x:c r="J134" t="n">
        <x:f>130</x:f>
        <x:v>130</x:v>
      </x:c>
      <x:c r="K134" t="n">
        <x:f>IF(J134&lt;=$B$6,LARGE('계산'!$K$2:$K$2001,J134),"")</x:f>
        <x:v>0.011133313394571511</x:v>
      </x:c>
      <x:c r="L134" t="n">
        <x:f>IF(ISNUMBER(K134),L133+LN(K134),"")</x:f>
        <x:v>-540.6585341938755</x:v>
      </x:c>
    </x:row>
    <x:row r="135">
      <x:c r="J135" t="n">
        <x:f>131</x:f>
        <x:v>131</x:v>
      </x:c>
      <x:c r="K135" t="n">
        <x:f>IF(J135&lt;=$B$6,LARGE('계산'!$K$2:$K$2001,J135),"")</x:f>
        <x:v>0.011077821639914292</x:v>
      </x:c>
      <x:c r="L135" t="n">
        <x:f>IF(ISNUMBER(K135),L134+LN(K135),"")</x:f>
        <x:v>-545.1613444137632</x:v>
      </x:c>
    </x:row>
    <x:row r="136">
      <x:c r="J136" t="n">
        <x:f>132</x:f>
        <x:v>132</x:v>
      </x:c>
      <x:c r="K136" t="n">
        <x:f>IF(J136&lt;=$B$6,LARGE('계산'!$K$2:$K$2001,J136),"")</x:f>
        <x:v>0.011058522815023246</x:v>
      </x:c>
      <x:c r="L136" t="n">
        <x:f>IF(ISNUMBER(K136),L135+LN(K136),"")</x:f>
        <x:v>-549.6658982665999</x:v>
      </x:c>
    </x:row>
    <x:row r="137">
      <x:c r="J137" t="n">
        <x:f>133</x:f>
        <x:v>133</x:v>
      </x:c>
      <x:c r="K137" t="n">
        <x:f>IF(J137&lt;=$B$6,LARGE('계산'!$K$2:$K$2001,J137),"")</x:f>
        <x:v>0.011045980723211134</x:v>
      </x:c>
      <x:c r="L137" t="n">
        <x:f>IF(ISNUMBER(K137),L136+LN(K137),"")</x:f>
        <x:v>-554.1715869192421</x:v>
      </x:c>
    </x:row>
    <x:row r="138">
      <x:c r="J138" t="n">
        <x:f>134</x:f>
        <x:v>134</x:v>
      </x:c>
      <x:c r="K138" t="n">
        <x:f>IF(J138&lt;=$B$6,LARGE('계산'!$K$2:$K$2001,J138),"")</x:f>
        <x:v>0.011025338339459883</x:v>
      </x:c>
      <x:c r="L138" t="n">
        <x:f>IF(ISNUMBER(K138),L137+LN(K138),"")</x:f>
        <x:v>-558.6791460889758</x:v>
      </x:c>
    </x:row>
    <x:row r="139">
      <x:c r="J139" t="n">
        <x:f>135</x:f>
        <x:v>135</x:v>
      </x:c>
      <x:c r="K139" t="n">
        <x:f>IF(J139&lt;=$B$6,LARGE('계산'!$K$2:$K$2001,J139),"")</x:f>
        <x:v>0.010925087586902362</x:v>
      </x:c>
      <x:c r="L139" t="n">
        <x:f>IF(ISNUMBER(K139),L138+LN(K139),"")</x:f>
        <x:v>-563.1958396099006</x:v>
      </x:c>
    </x:row>
    <x:row r="140">
      <x:c r="J140" t="n">
        <x:f>136</x:f>
        <x:v>136</x:v>
      </x:c>
      <x:c r="K140" t="n">
        <x:f>IF(J140&lt;=$B$6,LARGE('계산'!$K$2:$K$2001,J140),"")</x:f>
        <x:v>0.010894848913916606</x:v>
      </x:c>
      <x:c r="L140" t="n">
        <x:f>IF(ISNUMBER(K140),L139+LN(K140),"")</x:f>
        <x:v>-567.7153047880521</x:v>
      </x:c>
    </x:row>
    <x:row r="141">
      <x:c r="J141" t="n">
        <x:f>137</x:f>
        <x:v>137</x:v>
      </x:c>
      <x:c r="K141" t="n">
        <x:f>IF(J141&lt;=$B$6,LARGE('계산'!$K$2:$K$2001,J141),"")</x:f>
        <x:v>0.010856221874915431</x:v>
      </x:c>
      <x:c r="L141" t="n">
        <x:f>IF(ISNUMBER(K141),L140+LN(K141),"")</x:f>
        <x:v>-572.2383217067116</x:v>
      </x:c>
    </x:row>
    <x:row r="142">
      <x:c r="J142" t="n">
        <x:f>138</x:f>
        <x:v>138</x:v>
      </x:c>
      <x:c r="K142" t="n">
        <x:f>IF(J142&lt;=$B$6,LARGE('계산'!$K$2:$K$2001,J142),"")</x:f>
        <x:v>0.010838453319869696</x:v>
      </x:c>
      <x:c r="L142" t="n">
        <x:f>IF(ISNUMBER(K142),L141+LN(K142),"")</x:f>
        <x:v>-576.7629766825313</x:v>
      </x:c>
    </x:row>
    <x:row r="143">
      <x:c r="J143" t="n">
        <x:f>139</x:f>
        <x:v>139</x:v>
      </x:c>
      <x:c r="K143" t="n">
        <x:f>IF(J143&lt;=$B$6,LARGE('계산'!$K$2:$K$2001,J143),"")</x:f>
        <x:v>0.010808632615040524</x:v>
      </x:c>
      <x:c r="L143" t="n">
        <x:f>IF(ISNUMBER(K143),L142+LN(K143),"")</x:f>
        <x:v>-581.2903868304588</x:v>
      </x:c>
    </x:row>
    <x:row r="144">
      <x:c r="J144" t="n">
        <x:f>140</x:f>
        <x:v>140</x:v>
      </x:c>
      <x:c r="K144" t="n">
        <x:f>IF(J144&lt;=$B$6,LARGE('계산'!$K$2:$K$2001,J144),"")</x:f>
        <x:v>0.01080844862566199</x:v>
      </x:c>
      <x:c r="L144" t="n">
        <x:f>IF(ISNUMBER(K144),L143+LN(K144),"")</x:f>
        <x:v>-585.8178140009785</x:v>
      </x:c>
    </x:row>
    <x:row r="145">
      <x:c r="J145" t="n">
        <x:f>141</x:f>
        <x:v>141</x:v>
      </x:c>
      <x:c r="K145" t="n">
        <x:f>IF(J145&lt;=$B$6,LARGE('계산'!$K$2:$K$2001,J145),"")</x:f>
        <x:v>0.010768551730769215</x:v>
      </x:c>
      <x:c r="L145" t="n">
        <x:f>IF(ISNUMBER(K145),L144+LN(K145),"")</x:f>
        <x:v>-590.3489392703723</x:v>
      </x:c>
    </x:row>
    <x:row r="146">
      <x:c r="J146" t="n">
        <x:f>142</x:f>
        <x:v>142</x:v>
      </x:c>
      <x:c r="K146" t="n">
        <x:f>IF(J146&lt;=$B$6,LARGE('계산'!$K$2:$K$2001,J146),"")</x:f>
        <x:v>0.01070903899846889</x:v>
      </x:c>
      <x:c r="L146" t="n">
        <x:f>IF(ISNUMBER(K146),L145+LN(K146),"")</x:f>
        <x:v>-594.8856063982887</x:v>
      </x:c>
    </x:row>
    <x:row r="147">
      <x:c r="J147" t="n">
        <x:f>143</x:f>
        <x:v>143</x:v>
      </x:c>
      <x:c r="K147" t="n">
        <x:f>IF(J147&lt;=$B$6,LARGE('계산'!$K$2:$K$2001,J147),"")</x:f>
        <x:v>0.010516217448162361</x:v>
      </x:c>
      <x:c r="L147" t="n">
        <x:f>IF(ISNUMBER(K147),L146+LN(K147),"")</x:f>
        <x:v>-599.4404430927773</x:v>
      </x:c>
    </x:row>
    <x:row r="148">
      <x:c r="J148" t="n">
        <x:f>144</x:f>
        <x:v>144</x:v>
      </x:c>
      <x:c r="K148" t="n">
        <x:f>IF(J148&lt;=$B$6,LARGE('계산'!$K$2:$K$2001,J148),"")</x:f>
        <x:v>0.010512687699501049</x:v>
      </x:c>
      <x:c r="L148" t="n">
        <x:f>IF(ISNUMBER(K148),L147+LN(K148),"")</x:f>
        <x:v>-603.9956154917326</x:v>
      </x:c>
    </x:row>
    <x:row r="149">
      <x:c r="J149" t="n">
        <x:f>145</x:f>
        <x:v>145</x:v>
      </x:c>
      <x:c r="K149" t="n">
        <x:f>IF(J149&lt;=$B$6,LARGE('계산'!$K$2:$K$2001,J149),"")</x:f>
        <x:v>0.010493062802994836</x:v>
      </x:c>
      <x:c r="L149" t="n">
        <x:f>IF(ISNUMBER(K149),L148+LN(K149),"")</x:f>
        <x:v>-608.5526564173291</x:v>
      </x:c>
    </x:row>
    <x:row r="150">
      <x:c r="J150" t="n">
        <x:f>146</x:f>
        <x:v>146</x:v>
      </x:c>
      <x:c r="K150" t="n">
        <x:f>IF(J150&lt;=$B$6,LARGE('계산'!$K$2:$K$2001,J150),"")</x:f>
        <x:v>0.010443985535068829</x:v>
      </x:c>
      <x:c r="L150" t="n">
        <x:f>IF(ISNUMBER(K150),L149+LN(K150),"")</x:f>
        <x:v>-613.1143854304745</x:v>
      </x:c>
    </x:row>
    <x:row r="151">
      <x:c r="J151" t="n">
        <x:f>147</x:f>
        <x:v>147</x:v>
      </x:c>
      <x:c r="K151" t="n">
        <x:f>IF(J151&lt;=$B$6,LARGE('계산'!$K$2:$K$2001,J151),"")</x:f>
        <x:v>0.010358805363237729</x:v>
      </x:c>
      <x:c r="L151" t="n">
        <x:f>IF(ISNUMBER(K151),L150+LN(K151),"")</x:f>
        <x:v>-617.6843037917031</x:v>
      </x:c>
    </x:row>
    <x:row r="152">
      <x:c r="J152" t="n">
        <x:f>148</x:f>
        <x:v>148</x:v>
      </x:c>
      <x:c r="K152" t="n">
        <x:f>IF(J152&lt;=$B$6,LARGE('계산'!$K$2:$K$2001,J152),"")</x:f>
        <x:v>0.010317504394273551</x:v>
      </x:c>
      <x:c r="L152" t="n">
        <x:f>IF(ISNUMBER(K152),L151+LN(K152),"")</x:f>
        <x:v>-622.2582171621358</x:v>
      </x:c>
    </x:row>
    <x:row r="153">
      <x:c r="J153" t="n">
        <x:f>149</x:f>
        <x:v>149</x:v>
      </x:c>
      <x:c r="K153" t="n">
        <x:f>IF(J153&lt;=$B$6,LARGE('계산'!$K$2:$K$2001,J153),"")</x:f>
        <x:v>0.010295261224739331</x:v>
      </x:c>
      <x:c r="L153" t="n">
        <x:f>IF(ISNUMBER(K153),L152+LN(K153),"")</x:f>
        <x:v>-626.8342887270175</x:v>
      </x:c>
    </x:row>
    <x:row r="154">
      <x:c r="J154" t="n">
        <x:f>150</x:f>
        <x:v>150</x:v>
      </x:c>
      <x:c r="K154" t="n">
        <x:f>IF(J154&lt;=$B$6,LARGE('계산'!$K$2:$K$2001,J154),"")</x:f>
        <x:v>0.010293615354681622</x:v>
      </x:c>
      <x:c r="L154" t="n">
        <x:f>IF(ISNUMBER(K154),L153+LN(K154),"")</x:f>
        <x:v>-631.4105201714394</x:v>
      </x:c>
    </x:row>
    <x:row r="155">
      <x:c r="J155" t="n">
        <x:f>151</x:f>
        <x:v>151</x:v>
      </x:c>
      <x:c r="K155" t="n">
        <x:f>IF(J155&lt;=$B$6,LARGE('계산'!$K$2:$K$2001,J155),"")</x:f>
        <x:v>0.010288671787853945</x:v>
      </x:c>
      <x:c r="L155" t="n">
        <x:f>IF(ISNUMBER(K155),L154+LN(K155),"")</x:f>
        <x:v>-635.9872319868608</x:v>
      </x:c>
    </x:row>
    <x:row r="156">
      <x:c r="J156" t="n">
        <x:f>152</x:f>
        <x:v>152</x:v>
      </x:c>
      <x:c r="K156" t="n">
        <x:f>IF(J156&lt;=$B$6,LARGE('계산'!$K$2:$K$2001,J156),"")</x:f>
        <x:v>0.010212082191505788</x:v>
      </x:c>
      <x:c r="L156" t="n">
        <x:f>IF(ISNUMBER(K156),L155+LN(K156),"")</x:f>
        <x:v>-640.5714157179742</x:v>
      </x:c>
    </x:row>
    <x:row r="157">
      <x:c r="J157" t="n">
        <x:f>153</x:f>
        <x:v>153</x:v>
      </x:c>
      <x:c r="K157" t="n">
        <x:f>IF(J157&lt;=$B$6,LARGE('계산'!$K$2:$K$2001,J157),"")</x:f>
        <x:v>0.010124607523271972</x:v>
      </x:c>
      <x:c r="L157" t="n">
        <x:f>IF(ISNUMBER(K157),L156+LN(K157),"")</x:f>
        <x:v>-645.1642021478486</x:v>
      </x:c>
    </x:row>
    <x:row r="158">
      <x:c r="J158" t="n">
        <x:f>154</x:f>
        <x:v>154</x:v>
      </x:c>
      <x:c r="K158" t="n">
        <x:f>IF(J158&lt;=$B$6,LARGE('계산'!$K$2:$K$2001,J158),"")</x:f>
        <x:v>0.010110507199385974</x:v>
      </x:c>
      <x:c r="L158" t="n">
        <x:f>IF(ISNUMBER(K158),L157+LN(K158),"")</x:f>
        <x:v>-649.7583822269671</x:v>
      </x:c>
    </x:row>
    <x:row r="159">
      <x:c r="J159" t="n">
        <x:f>155</x:f>
        <x:v>155</x:v>
      </x:c>
      <x:c r="K159" t="n">
        <x:f>IF(J159&lt;=$B$6,LARGE('계산'!$K$2:$K$2001,J159),"")</x:f>
        <x:v>0.010045365538607227</x:v>
      </x:c>
      <x:c r="L159" t="n">
        <x:f>IF(ISNUMBER(K159),L158+LN(K159),"")</x:f>
        <x:v>-654.3590261182392</x:v>
      </x:c>
    </x:row>
    <x:row r="160">
      <x:c r="J160" t="n">
        <x:f>156</x:f>
        <x:v>156</x:v>
      </x:c>
      <x:c r="K160" t="n">
        <x:f>IF(J160&lt;=$B$6,LARGE('계산'!$K$2:$K$2001,J160),"")</x:f>
        <x:v>0.010035721851599544</x:v>
      </x:c>
      <x:c r="L160" t="n">
        <x:f>IF(ISNUMBER(K160),L159+LN(K160),"")</x:f>
        <x:v>-658.960630484167</x:v>
      </x:c>
    </x:row>
    <x:row r="161">
      <x:c r="J161" t="n">
        <x:f>157</x:f>
        <x:v>157</x:v>
      </x:c>
      <x:c r="K161" t="n">
        <x:f>IF(J161&lt;=$B$6,LARGE('계산'!$K$2:$K$2001,J161),"")</x:f>
        <x:v>0.009954499120917018</x:v>
      </x:c>
      <x:c r="L161" t="n">
        <x:f>IF(ISNUMBER(K161),L160+LN(K161),"")</x:f>
        <x:v>-663.5703611412216</x:v>
      </x:c>
    </x:row>
    <x:row r="162">
      <x:c r="J162" t="n">
        <x:f>158</x:f>
        <x:v>158</x:v>
      </x:c>
      <x:c r="K162" t="n">
        <x:f>IF(J162&lt;=$B$6,LARGE('계산'!$K$2:$K$2001,J162),"")</x:f>
        <x:v>0.00984843448626662</x:v>
      </x:c>
      <x:c r="L162" t="n">
        <x:f>IF(ISNUMBER(K162),L161+LN(K162),"")</x:f>
        <x:v>-668.1908039130557</x:v>
      </x:c>
    </x:row>
    <x:row r="163">
      <x:c r="J163" t="n">
        <x:f>159</x:f>
        <x:v>159</x:v>
      </x:c>
      <x:c r="K163" t="n">
        <x:f>IF(J163&lt;=$B$6,LARGE('계산'!$K$2:$K$2001,J163),"")</x:f>
        <x:v>0.009789674868476535</x:v>
      </x:c>
      <x:c r="L163" t="n">
        <x:f>IF(ISNUMBER(K163),L162+LN(K163),"")</x:f>
        <x:v>-672.8172309466213</x:v>
      </x:c>
    </x:row>
    <x:row r="164">
      <x:c r="J164" t="n">
        <x:f>160</x:f>
        <x:v>160</x:v>
      </x:c>
      <x:c r="K164" t="n">
        <x:f>IF(J164&lt;=$B$6,LARGE('계산'!$K$2:$K$2001,J164),"")</x:f>
        <x:v>0.00977685738909601</x:v>
      </x:c>
      <x:c r="L164" t="n">
        <x:f>IF(ISNUMBER(K164),L163+LN(K164),"")</x:f>
        <x:v>-677.4449681235526</x:v>
      </x:c>
    </x:row>
    <x:row r="165">
      <x:c r="J165" t="n">
        <x:f>161</x:f>
        <x:v>161</x:v>
      </x:c>
      <x:c r="K165" t="n">
        <x:f>IF(J165&lt;=$B$6,LARGE('계산'!$K$2:$K$2001,J165),"")</x:f>
        <x:v>0.009750305965952211</x:v>
      </x:c>
      <x:c r="L165" t="n">
        <x:f>IF(ISNUMBER(K165),L164+LN(K165),"")</x:f>
        <x:v>-682.0754247368941</x:v>
      </x:c>
    </x:row>
    <x:row r="166">
      <x:c r="J166" t="n">
        <x:f>162</x:f>
        <x:v>162</x:v>
      </x:c>
      <x:c r="K166" t="n">
        <x:f>IF(J166&lt;=$B$6,LARGE('계산'!$K$2:$K$2001,J166),"")</x:f>
        <x:v>0.009716430016534218</x:v>
      </x:c>
      <x:c r="L166" t="n">
        <x:f>IF(ISNUMBER(K166),L165+LN(K166),"")</x:f>
        <x:v>-686.7093617471181</x:v>
      </x:c>
    </x:row>
    <x:row r="167">
      <x:c r="J167" t="n">
        <x:f>163</x:f>
        <x:v>163</x:v>
      </x:c>
      <x:c r="K167" t="n">
        <x:f>IF(J167&lt;=$B$6,LARGE('계산'!$K$2:$K$2001,J167),"")</x:f>
        <x:v>0.00969287959339782</x:v>
      </x:c>
      <x:c r="L167" t="n">
        <x:f>IF(ISNUMBER(K167),L166+LN(K167),"")</x:f>
        <x:v>-691.3457254726831</x:v>
      </x:c>
    </x:row>
    <x:row r="168">
      <x:c r="J168" t="n">
        <x:f>164</x:f>
        <x:v>164</x:v>
      </x:c>
      <x:c r="K168" t="n">
        <x:f>IF(J168&lt;=$B$6,LARGE('계산'!$K$2:$K$2001,J168),"")</x:f>
        <x:v>0.00967205062806602</x:v>
      </x:c>
      <x:c r="L168" t="n">
        <x:f>IF(ISNUMBER(K168),L167+LN(K168),"")</x:f>
        <x:v>-695.9842404038683</x:v>
      </x:c>
    </x:row>
    <x:row r="169">
      <x:c r="J169" t="n">
        <x:f>165</x:f>
        <x:v>165</x:v>
      </x:c>
      <x:c r="K169" t="n">
        <x:f>IF(J169&lt;=$B$6,LARGE('계산'!$K$2:$K$2001,J169),"")</x:f>
        <x:v>0.009638241576567513</x:v>
      </x:c>
      <x:c r="L169" t="n">
        <x:f>IF(ISNUMBER(K169),L168+LN(K169),"")</x:f>
        <x:v>-700.6262569999362</x:v>
      </x:c>
    </x:row>
    <x:row r="170">
      <x:c r="J170" t="n">
        <x:f>166</x:f>
        <x:v>166</x:v>
      </x:c>
      <x:c r="K170" t="n">
        <x:f>IF(J170&lt;=$B$6,LARGE('계산'!$K$2:$K$2001,J170),"")</x:f>
        <x:v>0.009630961632016401</x:v>
      </x:c>
      <x:c r="L170" t="n">
        <x:f>IF(ISNUMBER(K170),L169+LN(K170),"")</x:f>
        <x:v>-705.2690292001482</x:v>
      </x:c>
    </x:row>
    <x:row r="171">
      <x:c r="J171" t="n">
        <x:f>167</x:f>
        <x:v>167</x:v>
      </x:c>
      <x:c r="K171" t="n">
        <x:f>IF(J171&lt;=$B$6,LARGE('계산'!$K$2:$K$2001,J171),"")</x:f>
        <x:v>0.00961855981909022</x:v>
      </x:c>
      <x:c r="L171" t="n">
        <x:f>IF(ISNUMBER(K171),L170+LN(K171),"")</x:f>
        <x:v>-709.9130899326152</x:v>
      </x:c>
    </x:row>
    <x:row r="172">
      <x:c r="J172" t="n">
        <x:f>168</x:f>
        <x:v>168</x:v>
      </x:c>
      <x:c r="K172" t="n">
        <x:f>IF(J172&lt;=$B$6,LARGE('계산'!$K$2:$K$2001,J172),"")</x:f>
        <x:v>0.009456287225166796</x:v>
      </x:c>
      <x:c r="L172" t="n">
        <x:f>IF(ISNUMBER(K172),L171+LN(K172),"")</x:f>
        <x:v>-714.574165376483</x:v>
      </x:c>
    </x:row>
    <x:row r="173">
      <x:c r="J173" t="n">
        <x:f>169</x:f>
        <x:v>169</x:v>
      </x:c>
      <x:c r="K173" t="n">
        <x:f>IF(J173&lt;=$B$6,LARGE('계산'!$K$2:$K$2001,J173),"")</x:f>
        <x:v>0.009455498527692903</x:v>
      </x:c>
      <x:c r="L173" t="n">
        <x:f>IF(ISNUMBER(K173),L172+LN(K173),"")</x:f>
        <x:v>-719.2353242283891</x:v>
      </x:c>
    </x:row>
    <x:row r="174">
      <x:c r="J174" t="n">
        <x:f>170</x:f>
        <x:v>170</x:v>
      </x:c>
      <x:c r="K174" t="n">
        <x:f>IF(J174&lt;=$B$6,LARGE('계산'!$K$2:$K$2001,J174),"")</x:f>
        <x:v>0.009419201440497231</x:v>
      </x:c>
      <x:c r="L174" t="n">
        <x:f>IF(ISNUMBER(K174),L173+LN(K174),"")</x:f>
        <x:v>-723.9003291951474</x:v>
      </x:c>
    </x:row>
    <x:row r="175">
      <x:c r="J175" t="n">
        <x:f>171</x:f>
        <x:v>171</x:v>
      </x:c>
      <x:c r="K175" t="n">
        <x:f>IF(J175&lt;=$B$6,LARGE('계산'!$K$2:$K$2001,J175),"")</x:f>
        <x:v>0.009412529290152941</x:v>
      </x:c>
      <x:c r="L175" t="n">
        <x:f>IF(ISNUMBER(K175),L174+LN(K175),"")</x:f>
        <x:v>-728.5660427691727</x:v>
      </x:c>
    </x:row>
    <x:row r="176">
      <x:c r="J176" t="n">
        <x:f>172</x:f>
        <x:v>172</x:v>
      </x:c>
      <x:c r="K176" t="n">
        <x:f>IF(J176&lt;=$B$6,LARGE('계산'!$K$2:$K$2001,J176),"")</x:f>
        <x:v>0.009352954384908477</x:v>
      </x:c>
      <x:c r="L176" t="n">
        <x:f>IF(ISNUMBER(K176),L175+LN(K176),"")</x:f>
        <x:v>-733.2381057777689</x:v>
      </x:c>
    </x:row>
    <x:row r="177">
      <x:c r="J177" t="n">
        <x:f>173</x:f>
        <x:v>173</x:v>
      </x:c>
      <x:c r="K177" t="n">
        <x:f>IF(J177&lt;=$B$6,LARGE('계산'!$K$2:$K$2001,J177),"")</x:f>
        <x:v>0.009263278301018371</x:v>
      </x:c>
      <x:c r="L177" t="n">
        <x:f>IF(ISNUMBER(K177),L176+LN(K177),"")</x:f>
        <x:v>-737.9198030425583</x:v>
      </x:c>
    </x:row>
    <x:row r="178">
      <x:c r="J178" t="n">
        <x:f>174</x:f>
        <x:v>174</x:v>
      </x:c>
      <x:c r="K178" t="n">
        <x:f>IF(J178&lt;=$B$6,LARGE('계산'!$K$2:$K$2001,J178),"")</x:f>
        <x:v>0.00925299042259414</x:v>
      </x:c>
      <x:c r="L178" t="n">
        <x:f>IF(ISNUMBER(K178),L177+LN(K178),"")</x:f>
        <x:v>-742.6026115333336</x:v>
      </x:c>
    </x:row>
    <x:row r="179">
      <x:c r="J179" t="n">
        <x:f>175</x:f>
        <x:v>175</x:v>
      </x:c>
      <x:c r="K179" t="n">
        <x:f>IF(J179&lt;=$B$6,LARGE('계산'!$K$2:$K$2001,J179),"")</x:f>
        <x:v>0.009225371667586047</x:v>
      </x:c>
      <x:c r="L179" t="n">
        <x:f>IF(ISNUMBER(K179),L178+LN(K179),"")</x:f>
        <x:v>-747.2884093340316</x:v>
      </x:c>
    </x:row>
    <x:row r="180">
      <x:c r="J180" t="n">
        <x:f>176</x:f>
        <x:v>176</x:v>
      </x:c>
      <x:c r="K180" t="n">
        <x:f>IF(J180&lt;=$B$6,LARGE('계산'!$K$2:$K$2001,J180),"")</x:f>
        <x:v>0.009175004662843218</x:v>
      </x:c>
      <x:c r="L180" t="n">
        <x:f>IF(ISNUMBER(K180),L179+LN(K180),"")</x:f>
        <x:v>-751.9796817108614</x:v>
      </x:c>
    </x:row>
    <x:row r="181">
      <x:c r="J181" t="n">
        <x:f>177</x:f>
        <x:v>177</x:v>
      </x:c>
      <x:c r="K181" t="n">
        <x:f>IF(J181&lt;=$B$6,LARGE('계산'!$K$2:$K$2001,J181),"")</x:f>
        <x:v>0.009157658504444171</x:v>
      </x:c>
      <x:c r="L181" t="n">
        <x:f>IF(ISNUMBER(K181),L180+LN(K181),"")</x:f>
        <x:v>-756.67284646562</x:v>
      </x:c>
    </x:row>
    <x:row r="182">
      <x:c r="J182" t="n">
        <x:f>178</x:f>
        <x:v>178</x:v>
      </x:c>
      <x:c r="K182" t="n">
        <x:f>IF(J182&lt;=$B$6,LARGE('계산'!$K$2:$K$2001,J182),"")</x:f>
        <x:v>0.009076212647084138</x:v>
      </x:c>
      <x:c r="L182" t="n">
        <x:f>IF(ISNUMBER(K182),L181+LN(K182),"")</x:f>
        <x:v>-761.3749447483551</x:v>
      </x:c>
    </x:row>
    <x:row r="183">
      <x:c r="J183" t="n">
        <x:f>179</x:f>
        <x:v>179</x:v>
      </x:c>
      <x:c r="K183" t="n">
        <x:f>IF(J183&lt;=$B$6,LARGE('계산'!$K$2:$K$2001,J183),"")</x:f>
        <x:v>0.009022689607352995</x:v>
      </x:c>
      <x:c r="L183" t="n">
        <x:f>IF(ISNUMBER(K183),L182+LN(K183),"")</x:f>
        <x:v>-766.082957555077</x:v>
      </x:c>
    </x:row>
    <x:row r="184">
      <x:c r="J184" t="n">
        <x:f>180</x:f>
        <x:v>180</x:v>
      </x:c>
      <x:c r="K184" t="n">
        <x:f>IF(J184&lt;=$B$6,LARGE('계산'!$K$2:$K$2001,J184),"")</x:f>
        <x:v>0.009003455307806425</x:v>
      </x:c>
      <x:c r="L184" t="n">
        <x:f>IF(ISNUMBER(K184),L183+LN(K184),"")</x:f>
        <x:v>-770.7931044073129</x:v>
      </x:c>
    </x:row>
    <x:row r="185">
      <x:c r="J185" t="n">
        <x:f>181</x:f>
        <x:v>181</x:v>
      </x:c>
      <x:c r="K185" t="n">
        <x:f>IF(J185&lt;=$B$6,LARGE('계산'!$K$2:$K$2001,J185),"")</x:f>
        <x:v>0.008889511854668509</x:v>
      </x:c>
      <x:c r="L185" t="n">
        <x:f>IF(ISNUMBER(K185),L184+LN(K185),"")</x:f>
        <x:v>-775.5159875477628</x:v>
      </x:c>
    </x:row>
    <x:row r="186">
      <x:c r="J186" t="n">
        <x:f>182</x:f>
        <x:v>182</x:v>
      </x:c>
      <x:c r="K186" t="n">
        <x:f>IF(J186&lt;=$B$6,LARGE('계산'!$K$2:$K$2001,J186),"")</x:f>
        <x:v>0.008831265310285604</x:v>
      </x:c>
      <x:c r="L186" t="n">
        <x:f>IF(ISNUMBER(K186),L185+LN(K186),"")</x:f>
        <x:v>-780.245444525647</x:v>
      </x:c>
    </x:row>
    <x:row r="187">
      <x:c r="J187" t="n">
        <x:f>183</x:f>
        <x:v>183</x:v>
      </x:c>
      <x:c r="K187" t="n">
        <x:f>IF(J187&lt;=$B$6,LARGE('계산'!$K$2:$K$2001,J187),"")</x:f>
        <x:v>0.008830179291464811</x:v>
      </x:c>
      <x:c r="L187" t="n">
        <x:f>IF(ISNUMBER(K187),L186+LN(K187),"")</x:f>
        <x:v>-784.9750244854102</x:v>
      </x:c>
    </x:row>
    <x:row r="188">
      <x:c r="J188" t="n">
        <x:f>184</x:f>
        <x:v>184</x:v>
      </x:c>
      <x:c r="K188" t="n">
        <x:f>IF(J188&lt;=$B$6,LARGE('계산'!$K$2:$K$2001,J188),"")</x:f>
        <x:v>0.008822918079933174</x:v>
      </x:c>
      <x:c r="L188" t="n">
        <x:f>IF(ISNUMBER(K188),L187+LN(K188),"")</x:f>
        <x:v>-789.7054271010269</x:v>
      </x:c>
    </x:row>
    <x:row r="189">
      <x:c r="J189" t="n">
        <x:f>185</x:f>
        <x:v>185</x:v>
      </x:c>
      <x:c r="K189" t="n">
        <x:f>IF(J189&lt;=$B$6,LARGE('계산'!$K$2:$K$2001,J189),"")</x:f>
        <x:v>0.008792378989518323</x:v>
      </x:c>
      <x:c r="L189" t="n">
        <x:f>IF(ISNUMBER(K189),L188+LN(K189),"")</x:f>
        <x:v>-794.4392970576586</x:v>
      </x:c>
    </x:row>
    <x:row r="190">
      <x:c r="J190" t="n">
        <x:f>186</x:f>
        <x:v>186</x:v>
      </x:c>
      <x:c r="K190" t="n">
        <x:f>IF(J190&lt;=$B$6,LARGE('계산'!$K$2:$K$2001,J190),"")</x:f>
        <x:v>0.008773633438673836</x:v>
      </x:c>
      <x:c r="L190" t="n">
        <x:f>IF(ISNUMBER(K190),L189+LN(K190),"")</x:f>
        <x:v>-799.175301312901</x:v>
      </x:c>
    </x:row>
    <x:row r="191">
      <x:c r="J191" t="n">
        <x:f>187</x:f>
        <x:v>187</x:v>
      </x:c>
      <x:c r="K191" t="n">
        <x:f>IF(J191&lt;=$B$6,LARGE('계산'!$K$2:$K$2001,J191),"")</x:f>
        <x:v>0.00875128570897251</x:v>
      </x:c>
      <x:c r="L191" t="n">
        <x:f>IF(ISNUMBER(K191),L190+LN(K191),"")</x:f>
        <x:v>-803.9138559641397</x:v>
      </x:c>
    </x:row>
    <x:row r="192">
      <x:c r="J192" t="n">
        <x:f>188</x:f>
        <x:v>188</x:v>
      </x:c>
      <x:c r="K192" t="n">
        <x:f>IF(J192&lt;=$B$6,LARGE('계산'!$K$2:$K$2001,J192),"")</x:f>
        <x:v>0.008737237352907507</x:v>
      </x:c>
      <x:c r="L192" t="n">
        <x:f>IF(ISNUMBER(K192),L191+LN(K192),"")</x:f>
        <x:v>-808.6540171957668</x:v>
      </x:c>
    </x:row>
    <x:row r="193">
      <x:c r="J193" t="n">
        <x:f>189</x:f>
        <x:v>189</x:v>
      </x:c>
      <x:c r="K193" t="n">
        <x:f>IF(J193&lt;=$B$6,LARGE('계산'!$K$2:$K$2001,J193),"")</x:f>
        <x:v>0.008707003521318184</x:v>
      </x:c>
      <x:c r="L193" t="n">
        <x:f>IF(ISNUMBER(K193),L192+LN(K193),"")</x:f>
        <x:v>-813.3976447704787</x:v>
      </x:c>
    </x:row>
    <x:row r="194">
      <x:c r="J194" t="n">
        <x:f>190</x:f>
        <x:v>190</x:v>
      </x:c>
      <x:c r="K194" t="n">
        <x:f>IF(J194&lt;=$B$6,LARGE('계산'!$K$2:$K$2001,J194),"")</x:f>
        <x:v>0.008647264487774147</x:v>
      </x:c>
      <x:c r="L194" t="n">
        <x:f>IF(ISNUMBER(K194),L193+LN(K194),"")</x:f>
        <x:v>-818.1481570227207</x:v>
      </x:c>
    </x:row>
    <x:row r="195">
      <x:c r="J195" t="n">
        <x:f>191</x:f>
        <x:v>191</x:v>
      </x:c>
      <x:c r="K195" t="n">
        <x:f>IF(J195&lt;=$B$6,LARGE('계산'!$K$2:$K$2001,J195),"")</x:f>
        <x:v>0.008595677849985824</x:v>
      </x:c>
      <x:c r="L195" t="n">
        <x:f>IF(ISNUMBER(K195),L194+LN(K195),"")</x:f>
        <x:v>-822.9046528003599</x:v>
      </x:c>
    </x:row>
    <x:row r="196">
      <x:c r="J196" t="n">
        <x:f>192</x:f>
        <x:v>192</x:v>
      </x:c>
      <x:c r="K196" t="n">
        <x:f>IF(J196&lt;=$B$6,LARGE('계산'!$K$2:$K$2001,J196),"")</x:f>
        <x:v>0.008593697066977024</x:v>
      </x:c>
      <x:c r="L196" t="n">
        <x:f>IF(ISNUMBER(K196),L195+LN(K196),"")</x:f>
        <x:v>-827.6613790439733</x:v>
      </x:c>
    </x:row>
    <x:row r="197">
      <x:c r="J197" t="n">
        <x:f>193</x:f>
        <x:v>193</x:v>
      </x:c>
      <x:c r="K197" t="n">
        <x:f>IF(J197&lt;=$B$6,LARGE('계산'!$K$2:$K$2001,J197),"")</x:f>
        <x:v>0.008590043760813513</x:v>
      </x:c>
      <x:c r="L197" t="n">
        <x:f>IF(ISNUMBER(K197),L196+LN(K197),"")</x:f>
        <x:v>-832.4185304925818</x:v>
      </x:c>
    </x:row>
    <x:row r="198">
      <x:c r="J198" t="n">
        <x:f>194</x:f>
        <x:v>194</x:v>
      </x:c>
      <x:c r="K198" t="n">
        <x:f>IF(J198&lt;=$B$6,LARGE('계산'!$K$2:$K$2001,J198),"")</x:f>
        <x:v>0.008574695036646074</x:v>
      </x:c>
      <x:c r="L198" t="n">
        <x:f>IF(ISNUMBER(K198),L197+LN(K198),"")</x:f>
        <x:v>-837.1774703433839</x:v>
      </x:c>
    </x:row>
    <x:row r="199">
      <x:c r="J199" t="n">
        <x:f>195</x:f>
        <x:v>195</x:v>
      </x:c>
      <x:c r="K199" t="n">
        <x:f>IF(J199&lt;=$B$6,LARGE('계산'!$K$2:$K$2001,J199),"")</x:f>
        <x:v>0.008553057330325532</x:v>
      </x:c>
      <x:c r="L199" t="n">
        <x:f>IF(ISNUMBER(K199),L198+LN(K199),"")</x:f>
        <x:v>-841.9389368208406</x:v>
      </x:c>
    </x:row>
    <x:row r="200">
      <x:c r="J200" t="n">
        <x:f>196</x:f>
        <x:v>196</x:v>
      </x:c>
      <x:c r="K200" t="n">
        <x:f>IF(J200&lt;=$B$6,LARGE('계산'!$K$2:$K$2001,J200),"")</x:f>
        <x:v>0.008550518590530052</x:v>
      </x:c>
      <x:c r="L200" t="n">
        <x:f>IF(ISNUMBER(K200),L199+LN(K200),"")</x:f>
        <x:v>-846.7007001648502</x:v>
      </x:c>
    </x:row>
    <x:row r="201">
      <x:c r="J201" t="n">
        <x:f>197</x:f>
        <x:v>197</x:v>
      </x:c>
      <x:c r="K201" t="n">
        <x:f>IF(J201&lt;=$B$6,LARGE('계산'!$K$2:$K$2001,J201),"")</x:f>
        <x:v>0.008548816400578656</x:v>
      </x:c>
      <x:c r="L201" t="n">
        <x:f>IF(ISNUMBER(K201),L200+LN(K201),"")</x:f>
        <x:v>-851.4626626031472</x:v>
      </x:c>
    </x:row>
    <x:row r="202">
      <x:c r="J202" t="n">
        <x:f>198</x:f>
        <x:v>198</x:v>
      </x:c>
      <x:c r="K202" t="n">
        <x:f>IF(J202&lt;=$B$6,LARGE('계산'!$K$2:$K$2001,J202),"")</x:f>
        <x:v>0.008502926312635313</x:v>
      </x:c>
      <x:c r="L202" t="n">
        <x:f>IF(ISNUMBER(K202),L201+LN(K202),"")</x:f>
        <x:v>-856.2300075058064</x:v>
      </x:c>
    </x:row>
    <x:row r="203">
      <x:c r="J203" t="n">
        <x:f>199</x:f>
        <x:v>199</x:v>
      </x:c>
      <x:c r="K203" t="n">
        <x:f>IF(J203&lt;=$B$6,LARGE('계산'!$K$2:$K$2001,J203),"")</x:f>
        <x:v>0.008483570704801905</x:v>
      </x:c>
      <x:c r="L203" t="n">
        <x:f>IF(ISNUMBER(K203),L202+LN(K203),"")</x:f>
        <x:v>-860.9996313499319</x:v>
      </x:c>
    </x:row>
    <x:row r="204">
      <x:c r="J204" t="n">
        <x:f>200</x:f>
        <x:v>200</x:v>
      </x:c>
      <x:c r="K204" t="n">
        <x:f>IF(J204&lt;=$B$6,LARGE('계산'!$K$2:$K$2001,J204),"")</x:f>
        <x:v>0.008458274261792556</x:v>
      </x:c>
      <x:c r="L204" t="n">
        <x:f>IF(ISNUMBER(K204),L203+LN(K204),"")</x:f>
        <x:v>-865.7722414640721</x:v>
      </x:c>
    </x:row>
    <x:row r="205">
      <x:c r="J205" t="n">
        <x:f>201</x:f>
        <x:v>201</x:v>
      </x:c>
      <x:c r="K205" t="n">
        <x:f>IF(J205&lt;=$B$6,LARGE('계산'!$K$2:$K$2001,J205),"")</x:f>
        <x:v>0.008451322765017855</x:v>
      </x:c>
      <x:c r="L205" t="n">
        <x:f>IF(ISNUMBER(K205),L204+LN(K205),"")</x:f>
        <x:v>-870.5456737736974</x:v>
      </x:c>
    </x:row>
    <x:row r="206">
      <x:c r="J206" t="n">
        <x:f>202</x:f>
        <x:v>202</x:v>
      </x:c>
      <x:c r="K206" t="n">
        <x:f>IF(J206&lt;=$B$6,LARGE('계산'!$K$2:$K$2001,J206),"")</x:f>
        <x:v>0.008431068396385643</x:v>
      </x:c>
      <x:c r="L206" t="n">
        <x:f>IF(ISNUMBER(K206),L205+LN(K206),"")</x:f>
        <x:v>-875.3215055512841</x:v>
      </x:c>
    </x:row>
    <x:row r="207">
      <x:c r="J207" t="n">
        <x:f>203</x:f>
        <x:v>203</x:v>
      </x:c>
      <x:c r="K207" t="n">
        <x:f>IF(J207&lt;=$B$6,LARGE('계산'!$K$2:$K$2001,J207),"")</x:f>
        <x:v>0.008406605770230294</x:v>
      </x:c>
      <x:c r="L207" t="n">
        <x:f>IF(ISNUMBER(K207),L206+LN(K207),"")</x:f>
        <x:v>-880.1002430322504</x:v>
      </x:c>
    </x:row>
    <x:row r="208">
      <x:c r="J208" t="n">
        <x:f>204</x:f>
        <x:v>204</x:v>
      </x:c>
      <x:c r="K208" t="n">
        <x:f>IF(J208&lt;=$B$6,LARGE('계산'!$K$2:$K$2001,J208),"")</x:f>
        <x:v>0.008396441913414777</x:v>
      </x:c>
      <x:c r="L208" t="n">
        <x:f>IF(ISNUMBER(K208),L207+LN(K208),"")</x:f>
        <x:v>-884.8801902768557</x:v>
      </x:c>
    </x:row>
    <x:row r="209">
      <x:c r="J209" t="n">
        <x:f>205</x:f>
        <x:v>205</x:v>
      </x:c>
      <x:c r="K209" t="n">
        <x:f>IF(J209&lt;=$B$6,LARGE('계산'!$K$2:$K$2001,J209),"")</x:f>
        <x:v>0.008289062808404937</x:v>
      </x:c>
      <x:c r="L209" t="n">
        <x:f>IF(ISNUMBER(K209),L208+LN(K209),"")</x:f>
        <x:v>-889.6730086439372</x:v>
      </x:c>
    </x:row>
    <x:row r="210">
      <x:c r="J210" t="n">
        <x:f>206</x:f>
        <x:v>206</x:v>
      </x:c>
      <x:c r="K210" t="n">
        <x:f>IF(J210&lt;=$B$6,LARGE('계산'!$K$2:$K$2001,J210),"")</x:f>
        <x:v>0.008277830100517882</x:v>
      </x:c>
      <x:c r="L210" t="n">
        <x:f>IF(ISNUMBER(K210),L209+LN(K210),"")</x:f>
        <x:v>-894.4671830540221</x:v>
      </x:c>
    </x:row>
    <x:row r="211">
      <x:c r="J211" t="n">
        <x:f>207</x:f>
        <x:v>207</x:v>
      </x:c>
      <x:c r="K211" t="n">
        <x:f>IF(J211&lt;=$B$6,LARGE('계산'!$K$2:$K$2001,J211),"")</x:f>
        <x:v>0.008277394858336774</x:v>
      </x:c>
      <x:c r="L211" t="n">
        <x:f>IF(ISNUMBER(K211),L210+LN(K211),"")</x:f>
        <x:v>-899.2614100447494</x:v>
      </x:c>
    </x:row>
    <x:row r="212">
      <x:c r="J212" t="n">
        <x:f>208</x:f>
        <x:v>208</x:v>
      </x:c>
      <x:c r="K212" t="n">
        <x:f>IF(J212&lt;=$B$6,LARGE('계산'!$K$2:$K$2001,J212),"")</x:f>
        <x:v>0.008258985331493787</x:v>
      </x:c>
      <x:c r="L212" t="n">
        <x:f>IF(ISNUMBER(K212),L211+LN(K212),"")</x:f>
        <x:v>-904.0578635849678</x:v>
      </x:c>
    </x:row>
    <x:row r="213">
      <x:c r="J213" t="n">
        <x:f>209</x:f>
        <x:v>209</x:v>
      </x:c>
      <x:c r="K213" t="n">
        <x:f>IF(J213&lt;=$B$6,LARGE('계산'!$K$2:$K$2001,J213),"")</x:f>
        <x:v>0.008180096948342581</x:v>
      </x:c>
      <x:c r="L213" t="n">
        <x:f>IF(ISNUMBER(K213),L212+LN(K213),"")</x:f>
        <x:v>-908.8639148615299</x:v>
      </x:c>
    </x:row>
    <x:row r="214">
      <x:c r="J214" t="n">
        <x:f>210</x:f>
        <x:v>210</x:v>
      </x:c>
      <x:c r="K214" t="n">
        <x:f>IF(J214&lt;=$B$6,LARGE('계산'!$K$2:$K$2001,J214),"")</x:f>
        <x:v>0.008115341611531341</x:v>
      </x:c>
      <x:c r="L214" t="n">
        <x:f>IF(ISNUMBER(K214),L213+LN(K214),"")</x:f>
        <x:v>-913.6779138441245</x:v>
      </x:c>
    </x:row>
    <x:row r="215">
      <x:c r="J215" t="n">
        <x:f>211</x:f>
        <x:v>211</x:v>
      </x:c>
      <x:c r="K215" t="n">
        <x:f>IF(J215&lt;=$B$6,LARGE('계산'!$K$2:$K$2001,J215),"")</x:f>
        <x:v>0.008072665125021732</x:v>
      </x:c>
      <x:c r="L215" t="n">
        <x:f>IF(ISNUMBER(K215),L214+LN(K215),"")</x:f>
        <x:v>-918.4971854444136</x:v>
      </x:c>
    </x:row>
    <x:row r="216">
      <x:c r="J216" t="n">
        <x:f>212</x:f>
        <x:v>212</x:v>
      </x:c>
      <x:c r="K216" t="n">
        <x:f>IF(J216&lt;=$B$6,LARGE('계산'!$K$2:$K$2001,J216),"")</x:f>
        <x:v>0.008050427168993625</x:v>
      </x:c>
      <x:c r="L216" t="n">
        <x:f>IF(ISNUMBER(K216),L215+LN(K216),"")</x:f>
        <x:v>-923.3192155689019</x:v>
      </x:c>
    </x:row>
    <x:row r="217">
      <x:c r="J217" t="n">
        <x:f>213</x:f>
        <x:v>213</x:v>
      </x:c>
      <x:c r="K217" t="n">
        <x:f>IF(J217&lt;=$B$6,LARGE('계산'!$K$2:$K$2001,J217),"")</x:f>
        <x:v>0.008037688466360481</x:v>
      </x:c>
      <x:c r="L217" t="n">
        <x:f>IF(ISNUMBER(K217),L216+LN(K217),"")</x:f>
        <x:v>-928.1428293102144</x:v>
      </x:c>
    </x:row>
    <x:row r="218">
      <x:c r="J218" t="n">
        <x:f>214</x:f>
        <x:v>214</x:v>
      </x:c>
      <x:c r="K218" t="n">
        <x:f>IF(J218&lt;=$B$6,LARGE('계산'!$K$2:$K$2001,J218),"")</x:f>
        <x:v>0.008018054692380065</x:v>
      </x:c>
      <x:c r="L218" t="n">
        <x:f>IF(ISNUMBER(K218),L217+LN(K218),"")</x:f>
        <x:v>-932.9688887537997</x:v>
      </x:c>
    </x:row>
    <x:row r="219">
      <x:c r="J219" t="n">
        <x:f>215</x:f>
        <x:v>215</x:v>
      </x:c>
      <x:c r="K219" t="n">
        <x:f>IF(J219&lt;=$B$6,LARGE('계산'!$K$2:$K$2001,J219),"")</x:f>
        <x:v>0.00800114974729938</x:v>
      </x:c>
      <x:c r="L219" t="n">
        <x:f>IF(ISNUMBER(K219),L218+LN(K219),"")</x:f>
        <x:v>-937.797058783016</x:v>
      </x:c>
    </x:row>
    <x:row r="220">
      <x:c r="J220" t="n">
        <x:f>216</x:f>
        <x:v>216</x:v>
      </x:c>
      <x:c r="K220" t="n">
        <x:f>IF(J220&lt;=$B$6,LARGE('계산'!$K$2:$K$2001,J220),"")</x:f>
        <x:v>0.007993256619348387</x:v>
      </x:c>
      <x:c r="L220" t="n">
        <x:f>IF(ISNUMBER(K220),L219+LN(K220),"")</x:f>
        <x:v>-942.6262157983588</x:v>
      </x:c>
    </x:row>
    <x:row r="221">
      <x:c r="J221" t="n">
        <x:f>217</x:f>
        <x:v>217</x:v>
      </x:c>
      <x:c r="K221" t="n">
        <x:f>IF(J221&lt;=$B$6,LARGE('계산'!$K$2:$K$2001,J221),"")</x:f>
        <x:v>0.007990078699675756</x:v>
      </x:c>
      <x:c r="L221" t="n">
        <x:f>IF(ISNUMBER(K221),L220+LN(K221),"")</x:f>
        <x:v>-947.4557704678396</x:v>
      </x:c>
    </x:row>
    <x:row r="222">
      <x:c r="J222" t="n">
        <x:f>218</x:f>
        <x:v>218</x:v>
      </x:c>
      <x:c r="K222" t="n">
        <x:f>IF(J222&lt;=$B$6,LARGE('계산'!$K$2:$K$2001,J222),"")</x:f>
        <x:v>0.00797323069679752</x:v>
      </x:c>
      <x:c r="L222" t="n">
        <x:f>IF(ISNUMBER(K222),L221+LN(K222),"")</x:f>
        <x:v>-952.2874359789655</x:v>
      </x:c>
    </x:row>
    <x:row r="223">
      <x:c r="J223" t="n">
        <x:f>219</x:f>
        <x:v>219</x:v>
      </x:c>
      <x:c r="K223" t="n">
        <x:f>IF(J223&lt;=$B$6,LARGE('계산'!$K$2:$K$2001,J223),"")</x:f>
        <x:v>0.007964048034079603</x:v>
      </x:c>
      <x:c r="L223" t="n">
        <x:f>IF(ISNUMBER(K223),L222+LN(K223),"")</x:f>
        <x:v>-957.1202538403626</x:v>
      </x:c>
    </x:row>
    <x:row r="224">
      <x:c r="J224" t="n">
        <x:f>220</x:f>
        <x:v>220</x:v>
      </x:c>
      <x:c r="K224" t="n">
        <x:f>IF(J224&lt;=$B$6,LARGE('계산'!$K$2:$K$2001,J224),"")</x:f>
        <x:v>0.007922188547745606</x:v>
      </x:c>
      <x:c r="L224" t="n">
        <x:f>IF(ISNUMBER(K224),L223+LN(K224),"")</x:f>
        <x:v>-961.9583416199049</x:v>
      </x:c>
    </x:row>
    <x:row r="225">
      <x:c r="J225" t="n">
        <x:f>221</x:f>
        <x:v>221</x:v>
      </x:c>
      <x:c r="K225" t="n">
        <x:f>IF(J225&lt;=$B$6,LARGE('계산'!$K$2:$K$2001,J225),"")</x:f>
        <x:v>0.007919744203596568</x:v>
      </x:c>
      <x:c r="L225" t="n">
        <x:f>IF(ISNUMBER(K225),L224+LN(K225),"")</x:f>
        <x:v>-966.796737991108</x:v>
      </x:c>
    </x:row>
    <x:row r="226">
      <x:c r="J226" t="n">
        <x:f>222</x:f>
        <x:v>222</x:v>
      </x:c>
      <x:c r="K226" t="n">
        <x:f>IF(J226&lt;=$B$6,LARGE('계산'!$K$2:$K$2001,J226),"")</x:f>
        <x:v>0.007896436074829398</x:v>
      </x:c>
      <x:c r="L226" t="n">
        <x:f>IF(ISNUMBER(K226),L225+LN(K226),"")</x:f>
        <x:v>-971.6380817421752</x:v>
      </x:c>
    </x:row>
    <x:row r="227">
      <x:c r="J227" t="n">
        <x:f>223</x:f>
        <x:v>223</x:v>
      </x:c>
      <x:c r="K227" t="n">
        <x:f>IF(J227&lt;=$B$6,LARGE('계산'!$K$2:$K$2001,J227),"")</x:f>
        <x:v>0.007851642431328696</x:v>
      </x:c>
      <x:c r="L227" t="n">
        <x:f>IF(ISNUMBER(K227),L226+LN(K227),"")</x:f>
        <x:v>-976.4851142843271</x:v>
      </x:c>
    </x:row>
    <x:row r="228">
      <x:c r="J228" t="n">
        <x:f>224</x:f>
        <x:v>224</x:v>
      </x:c>
      <x:c r="K228" t="n">
        <x:f>IF(J228&lt;=$B$6,LARGE('계산'!$K$2:$K$2001,J228),"")</x:f>
        <x:v>0.007830266356353546</x:v>
      </x:c>
      <x:c r="L228" t="n">
        <x:f>IF(ISNUMBER(K228),L227+LN(K228),"")</x:f>
        <x:v>-981.3348730364709</x:v>
      </x:c>
    </x:row>
    <x:row r="229">
      <x:c r="J229" t="n">
        <x:f>225</x:f>
        <x:v>225</x:v>
      </x:c>
      <x:c r="K229" t="n">
        <x:f>IF(J229&lt;=$B$6,LARGE('계산'!$K$2:$K$2001,J229),"")</x:f>
        <x:v>0.007792076239436539</x:v>
      </x:c>
      <x:c r="L229" t="n">
        <x:f>IF(ISNUMBER(K229),L228+LN(K229),"")</x:f>
        <x:v>-986.1895209648387</x:v>
      </x:c>
    </x:row>
    <x:row r="230">
      <x:c r="J230" t="n">
        <x:f>226</x:f>
        <x:v>226</x:v>
      </x:c>
      <x:c r="K230" t="n">
        <x:f>IF(J230&lt;=$B$6,LARGE('계산'!$K$2:$K$2001,J230),"")</x:f>
        <x:v>0.007763835634602245</x:v>
      </x:c>
      <x:c r="L230" t="n">
        <x:f>IF(ISNUMBER(K230),L229+LN(K230),"")</x:f>
        <x:v>-991.0477997489337</x:v>
      </x:c>
    </x:row>
    <x:row r="231">
      <x:c r="J231" t="n">
        <x:f>227</x:f>
        <x:v>227</x:v>
      </x:c>
      <x:c r="K231" t="n">
        <x:f>IF(J231&lt;=$B$6,LARGE('계산'!$K$2:$K$2001,J231),"")</x:f>
        <x:v>0.007734758953231581</x:v>
      </x:c>
      <x:c r="L231" t="n">
        <x:f>IF(ISNUMBER(K231),L230+LN(K231),"")</x:f>
        <x:v>-995.909830707501</x:v>
      </x:c>
    </x:row>
    <x:row r="232">
      <x:c r="J232" t="n">
        <x:f>228</x:f>
        <x:v>228</x:v>
      </x:c>
      <x:c r="K232" t="n">
        <x:f>IF(J232&lt;=$B$6,LARGE('계산'!$K$2:$K$2001,J232),"")</x:f>
        <x:v>0.007644124254867755</x:v>
      </x:c>
      <x:c r="L232" t="n">
        <x:f>IF(ISNUMBER(K232),L231+LN(K232),"")</x:f>
        <x:v>-1000.7836487050216</x:v>
      </x:c>
    </x:row>
    <x:row r="233">
      <x:c r="J233" t="n">
        <x:f>229</x:f>
        <x:v>229</x:v>
      </x:c>
      <x:c r="K233" t="n">
        <x:f>IF(J233&lt;=$B$6,LARGE('계산'!$K$2:$K$2001,J233),"")</x:f>
        <x:v>0.007630320758926683</x:v>
      </x:c>
      <x:c r="L233" t="n">
        <x:f>IF(ISNUMBER(K233),L232+LN(K233),"")</x:f>
        <x:v>-1005.6592741004132</x:v>
      </x:c>
    </x:row>
    <x:row r="234">
      <x:c r="J234" t="n">
        <x:f>230</x:f>
        <x:v>230</x:v>
      </x:c>
      <x:c r="K234" t="n">
        <x:f>IF(J234&lt;=$B$6,LARGE('계산'!$K$2:$K$2001,J234),"")</x:f>
        <x:v>0.007608562069370647</x:v>
      </x:c>
      <x:c r="L234" t="n">
        <x:f>IF(ISNUMBER(K234),L233+LN(K234),"")</x:f>
        <x:v>-1010.5377551781521</x:v>
      </x:c>
    </x:row>
    <x:row r="235">
      <x:c r="J235" t="n">
        <x:f>231</x:f>
        <x:v>231</x:v>
      </x:c>
      <x:c r="K235" t="n">
        <x:f>IF(J235&lt;=$B$6,LARGE('계산'!$K$2:$K$2001,J235),"")</x:f>
        <x:v>0.007582590845727778</x:v>
      </x:c>
      <x:c r="L235" t="n">
        <x:f>IF(ISNUMBER(K235),L234+LN(K235),"")</x:f>
        <x:v>-1015.4196555156524</x:v>
      </x:c>
    </x:row>
    <x:row r="236">
      <x:c r="J236" t="n">
        <x:f>232</x:f>
        <x:v>232</x:v>
      </x:c>
      <x:c r="K236" t="n">
        <x:f>IF(J236&lt;=$B$6,LARGE('계산'!$K$2:$K$2001,J236),"")</x:f>
        <x:v>0.007525565654405688</x:v>
      </x:c>
      <x:c r="L236" t="n">
        <x:f>IF(ISNUMBER(K236),L235+LN(K236),"")</x:f>
        <x:v>-1020.309104816804</x:v>
      </x:c>
    </x:row>
    <x:row r="237">
      <x:c r="J237" t="n">
        <x:f>233</x:f>
        <x:v>233</x:v>
      </x:c>
      <x:c r="K237" t="n">
        <x:f>IF(J237&lt;=$B$6,LARGE('계산'!$K$2:$K$2001,J237),"")</x:f>
        <x:v>0.007469271847543831</x:v>
      </x:c>
      <x:c r="L237" t="n">
        <x:f>IF(ISNUMBER(K237),L236+LN(K237),"")</x:f>
        <x:v>-1025.2060625782944</x:v>
      </x:c>
    </x:row>
    <x:row r="238">
      <x:c r="J238" t="n">
        <x:f>234</x:f>
        <x:v>234</x:v>
      </x:c>
      <x:c r="K238" t="n">
        <x:f>IF(J238&lt;=$B$6,LARGE('계산'!$K$2:$K$2001,J238),"")</x:f>
        <x:v>0.007425262842185186</x:v>
      </x:c>
      <x:c r="L238" t="n">
        <x:f>IF(ISNUMBER(K238),L237+LN(K238),"")</x:f>
        <x:v>-1030.1089297735934</x:v>
      </x:c>
    </x:row>
    <x:row r="239">
      <x:c r="J239" t="n">
        <x:f>235</x:f>
        <x:v>235</x:v>
      </x:c>
      <x:c r="K239" t="n">
        <x:f>IF(J239&lt;=$B$6,LARGE('계산'!$K$2:$K$2001,J239),"")</x:f>
        <x:v>0.007417078829285955</x:v>
      </x:c>
      <x:c r="L239" t="n">
        <x:f>IF(ISNUMBER(K239),L238+LN(K239),"")</x:f>
        <x:v>-1035.0128997616875</x:v>
      </x:c>
    </x:row>
    <x:row r="240">
      <x:c r="J240" t="n">
        <x:f>236</x:f>
        <x:v>236</x:v>
      </x:c>
      <x:c r="K240" t="n">
        <x:f>IF(J240&lt;=$B$6,LARGE('계산'!$K$2:$K$2001,J240),"")</x:f>
        <x:v>0.007397888248251403</x:v>
      </x:c>
      <x:c r="L240" t="n">
        <x:f>IF(ISNUMBER(K240),L239+LN(K240),"")</x:f>
        <x:v>-1039.9194604530437</x:v>
      </x:c>
    </x:row>
    <x:row r="241">
      <x:c r="J241" t="n">
        <x:f>237</x:f>
        <x:v>237</x:v>
      </x:c>
      <x:c r="K241" t="n">
        <x:f>IF(J241&lt;=$B$6,LARGE('계산'!$K$2:$K$2001,J241),"")</x:f>
        <x:v>0.007375015349296976</x:v>
      </x:c>
      <x:c r="L241" t="n">
        <x:f>IF(ISNUMBER(K241),L240+LN(K241),"")</x:f>
        <x:v>-1044.8291177485414</x:v>
      </x:c>
    </x:row>
    <x:row r="242">
      <x:c r="J242" t="n">
        <x:f>238</x:f>
        <x:v>238</x:v>
      </x:c>
      <x:c r="K242" t="n">
        <x:f>IF(J242&lt;=$B$6,LARGE('계산'!$K$2:$K$2001,J242),"")</x:f>
        <x:v>0.007345228619228224</x:v>
      </x:c>
      <x:c r="L242" t="n">
        <x:f>IF(ISNUMBER(K242),L241+LN(K242),"")</x:f>
        <x:v>-1049.7428220925513</x:v>
      </x:c>
    </x:row>
    <x:row r="243">
      <x:c r="J243" t="n">
        <x:f>239</x:f>
        <x:v>239</x:v>
      </x:c>
      <x:c r="K243" t="n">
        <x:f>IF(J243&lt;=$B$6,LARGE('계산'!$K$2:$K$2001,J243),"")</x:f>
        <x:v>0.007316880683818478</x:v>
      </x:c>
      <x:c r="L243" t="n">
        <x:f>IF(ISNUMBER(K243),L242+LN(K243),"")</x:f>
        <x:v>-1054.6603932704722</x:v>
      </x:c>
    </x:row>
    <x:row r="244">
      <x:c r="J244" t="n">
        <x:f>240</x:f>
        <x:v>240</x:v>
      </x:c>
      <x:c r="K244" t="n">
        <x:f>IF(J244&lt;=$B$6,LARGE('계산'!$K$2:$K$2001,J244),"")</x:f>
        <x:v>0.007285507868452679</x:v>
      </x:c>
      <x:c r="L244" t="n">
        <x:f>IF(ISNUMBER(K244),L243+LN(K244),"")</x:f>
        <x:v>-1059.5822613979676</x:v>
      </x:c>
    </x:row>
    <x:row r="245">
      <x:c r="J245" t="n">
        <x:f>241</x:f>
        <x:v>241</x:v>
      </x:c>
      <x:c r="K245" t="n">
        <x:f>IF(J245&lt;=$B$6,LARGE('계산'!$K$2:$K$2001,J245),"")</x:f>
        <x:v>0.0072422806375099045</x:v>
      </x:c>
      <x:c r="L245" t="n">
        <x:f>IF(ISNUMBER(K245),L244+LN(K245),"")</x:f>
        <x:v>-1064.510080514975</x:v>
      </x:c>
    </x:row>
    <x:row r="246">
      <x:c r="J246" t="n">
        <x:f>242</x:f>
        <x:v>242</x:v>
      </x:c>
      <x:c r="K246" t="n">
        <x:f>IF(J246&lt;=$B$6,LARGE('계산'!$K$2:$K$2001,J246),"")</x:f>
        <x:v>0.007239515332291735</x:v>
      </x:c>
      <x:c r="L246" t="n">
        <x:f>IF(ISNUMBER(K246),L245+LN(K246),"")</x:f>
        <x:v>-1069.438281532854</x:v>
      </x:c>
    </x:row>
    <x:row r="247">
      <x:c r="J247" t="n">
        <x:f>243</x:f>
        <x:v>243</x:v>
      </x:c>
      <x:c r="K247" t="n">
        <x:f>IF(J247&lt;=$B$6,LARGE('계산'!$K$2:$K$2001,J247),"")</x:f>
        <x:v>0.0072027529866195055</x:v>
      </x:c>
      <x:c r="L247" t="n">
        <x:f>IF(ISNUMBER(K247),L246+LN(K247),"")</x:f>
        <x:v>-1074.3715734996422</x:v>
      </x:c>
    </x:row>
    <x:row r="248">
      <x:c r="J248" t="n">
        <x:f>244</x:f>
        <x:v>244</x:v>
      </x:c>
      <x:c r="K248" t="n">
        <x:f>IF(J248&lt;=$B$6,LARGE('계산'!$K$2:$K$2001,J248),"")</x:f>
        <x:v>0.007140449531146658</x:v>
      </x:c>
      <x:c r="L248" t="n">
        <x:f>IF(ISNUMBER(K248),L247+LN(K248),"")</x:f>
        <x:v>-1079.3135530447103</x:v>
      </x:c>
    </x:row>
    <x:row r="249">
      <x:c r="J249" t="n">
        <x:f>245</x:f>
        <x:v>245</x:v>
      </x:c>
      <x:c r="K249" t="n">
        <x:f>IF(J249&lt;=$B$6,LARGE('계산'!$K$2:$K$2001,J249),"")</x:f>
        <x:v>0.00706203836748955</x:v>
      </x:c>
      <x:c r="L249" t="n">
        <x:f>IF(ISNUMBER(K249),L248+LN(K249),"")</x:f>
        <x:v>-1084.2665745932513</x:v>
      </x:c>
    </x:row>
    <x:row r="250">
      <x:c r="J250" t="n">
        <x:f>246</x:f>
        <x:v>246</x:v>
      </x:c>
      <x:c r="K250" t="n">
        <x:f>IF(J250&lt;=$B$6,LARGE('계산'!$K$2:$K$2001,J250),"")</x:f>
        <x:v>0.007051861423648121</x:v>
      </x:c>
      <x:c r="L250" t="n">
        <x:f>IF(ISNUMBER(K250),L249+LN(K250),"")</x:f>
        <x:v>-1089.2210382585365</x:v>
      </x:c>
    </x:row>
    <x:row r="251">
      <x:c r="J251" t="n">
        <x:f>247</x:f>
        <x:v>247</x:v>
      </x:c>
      <x:c r="K251" t="n">
        <x:f>IF(J251&lt;=$B$6,LARGE('계산'!$K$2:$K$2001,J251),"")</x:f>
        <x:v>0.007032001934181405</x:v>
      </x:c>
      <x:c r="L251" t="n">
        <x:f>IF(ISNUMBER(K251),L250+LN(K251),"")</x:f>
        <x:v>-1094.1783221020817</x:v>
      </x:c>
    </x:row>
    <x:row r="252">
      <x:c r="J252" t="n">
        <x:f>248</x:f>
        <x:v>248</x:v>
      </x:c>
      <x:c r="K252" t="n">
        <x:f>IF(J252&lt;=$B$6,LARGE('계산'!$K$2:$K$2001,J252),"")</x:f>
        <x:v>0.00701350502314395</x:v>
      </x:c>
      <x:c r="L252" t="n">
        <x:f>IF(ISNUMBER(K252),L251+LN(K252),"")</x:f>
        <x:v>-1099.1382398016758</x:v>
      </x:c>
    </x:row>
    <x:row r="253">
      <x:c r="J253" t="n">
        <x:f>249</x:f>
        <x:v>249</x:v>
      </x:c>
      <x:c r="K253" t="n">
        <x:f>IF(J253&lt;=$B$6,LARGE('계산'!$K$2:$K$2001,J253),"")</x:f>
        <x:v>0.007007807321879418</x:v>
      </x:c>
      <x:c r="L253" t="n">
        <x:f>IF(ISNUMBER(K253),L252+LN(K253),"")</x:f>
        <x:v>-1104.0989702214258</x:v>
      </x:c>
    </x:row>
    <x:row r="254">
      <x:c r="J254" t="n">
        <x:f>250</x:f>
        <x:v>250</x:v>
      </x:c>
      <x:c r="K254" t="n">
        <x:f>IF(J254&lt;=$B$6,LARGE('계산'!$K$2:$K$2001,J254),"")</x:f>
        <x:v>0.007007680495393634</x:v>
      </x:c>
      <x:c r="L254" t="n">
        <x:f>IF(ISNUMBER(K254),L253+LN(K254),"")</x:f>
        <x:v>-1109.0597187392239</x:v>
      </x:c>
    </x:row>
    <x:row r="255">
      <x:c r="J255" t="n">
        <x:f>251</x:f>
        <x:v>251</x:v>
      </x:c>
      <x:c r="K255" t="n">
        <x:f>IF(J255&lt;=$B$6,LARGE('계산'!$K$2:$K$2001,J255),"")</x:f>
        <x:v>0.006995953976207455</x:v>
      </x:c>
      <x:c r="L255" t="n">
        <x:f>IF(ISNUMBER(K255),L254+LN(K255),"")</x:f>
        <x:v>-1114.0221420396579</x:v>
      </x:c>
    </x:row>
    <x:row r="256">
      <x:c r="J256" t="n">
        <x:f>252</x:f>
        <x:v>252</x:v>
      </x:c>
      <x:c r="K256" t="n">
        <x:f>IF(J256&lt;=$B$6,LARGE('계산'!$K$2:$K$2001,J256),"")</x:f>
        <x:v>0.006981930250999928</x:v>
      </x:c>
      <x:c r="L256" t="n">
        <x:f>IF(ISNUMBER(K256),L255+LN(K256),"")</x:f>
        <x:v>-1118.986571899838</x:v>
      </x:c>
    </x:row>
    <x:row r="257">
      <x:c r="J257" t="n">
        <x:f>253</x:f>
        <x:v>253</x:v>
      </x:c>
      <x:c r="K257" t="n">
        <x:f>IF(J257&lt;=$B$6,LARGE('계산'!$K$2:$K$2001,J257),"")</x:f>
        <x:v>0.006969714716492811</x:v>
      </x:c>
      <x:c r="L257" t="n">
        <x:f>IF(ISNUMBER(K257),L256+LN(K257),"")</x:f>
        <x:v>-1123.9527528850874</x:v>
      </x:c>
    </x:row>
    <x:row r="258">
      <x:c r="J258" t="n">
        <x:f>254</x:f>
        <x:v>254</x:v>
      </x:c>
      <x:c r="K258" t="n">
        <x:f>IF(J258&lt;=$B$6,LARGE('계산'!$K$2:$K$2001,J258),"")</x:f>
        <x:v>0.006921698386284776</x:v>
      </x:c>
      <x:c r="L258" t="n">
        <x:f>IF(ISNUMBER(K258),L257+LN(K258),"")</x:f>
        <x:v>-1128.9258469930094</x:v>
      </x:c>
    </x:row>
    <x:row r="259">
      <x:c r="J259" t="n">
        <x:f>255</x:f>
        <x:v>255</x:v>
      </x:c>
      <x:c r="K259" t="n">
        <x:f>IF(J259&lt;=$B$6,LARGE('계산'!$K$2:$K$2001,J259),"")</x:f>
        <x:v>0.006897774578512264</x:v>
      </x:c>
      <x:c r="L259" t="n">
        <x:f>IF(ISNUMBER(K259),L258+LN(K259),"")</x:f>
        <x:v>-1133.902403437264</x:v>
      </x:c>
    </x:row>
    <x:row r="260">
      <x:c r="J260" t="n">
        <x:f>256</x:f>
        <x:v>256</x:v>
      </x:c>
      <x:c r="K260" t="n">
        <x:f>IF(J260&lt;=$B$6,LARGE('계산'!$K$2:$K$2001,J260),"")</x:f>
        <x:v>0.006886688238085468</x:v>
      </x:c>
      <x:c r="L260" t="n">
        <x:f>IF(ISNUMBER(K260),L259+LN(K260),"")</x:f>
        <x:v>-1138.8805684088823</x:v>
      </x:c>
    </x:row>
    <x:row r="261">
      <x:c r="J261" t="n">
        <x:f>257</x:f>
        <x:v>257</x:v>
      </x:c>
      <x:c r="K261" t="n">
        <x:f>IF(J261&lt;=$B$6,LARGE('계산'!$K$2:$K$2001,J261),"")</x:f>
        <x:v>0.0068454659014370745</x:v>
      </x:c>
      <x:c r="L261" t="n">
        <x:f>IF(ISNUMBER(K261),L260+LN(K261),"")</x:f>
        <x:v>-1143.86473716695</x:v>
      </x:c>
    </x:row>
    <x:row r="262">
      <x:c r="J262" t="n">
        <x:f>258</x:f>
        <x:v>258</x:v>
      </x:c>
      <x:c r="K262" t="n">
        <x:f>IF(J262&lt;=$B$6,LARGE('계산'!$K$2:$K$2001,J262),"")</x:f>
        <x:v>0.006815139889037774</x:v>
      </x:c>
      <x:c r="L262" t="n">
        <x:f>IF(ISNUMBER(K262),L261+LN(K262),"")</x:f>
        <x:v>-1148.8533458543563</x:v>
      </x:c>
    </x:row>
    <x:row r="263">
      <x:c r="J263" t="n">
        <x:f>259</x:f>
        <x:v>259</x:v>
      </x:c>
      <x:c r="K263" t="n">
        <x:f>IF(J263&lt;=$B$6,LARGE('계산'!$K$2:$K$2001,J263),"")</x:f>
        <x:v>0.006787858584820564</x:v>
      </x:c>
      <x:c r="L263" t="n">
        <x:f>IF(ISNUMBER(K263),L262+LN(K263),"")</x:f>
        <x:v>-1153.8459656192977</x:v>
      </x:c>
    </x:row>
    <x:row r="264">
      <x:c r="J264" t="n">
        <x:f>260</x:f>
        <x:v>260</x:v>
      </x:c>
      <x:c r="K264" t="n">
        <x:f>IF(J264&lt;=$B$6,LARGE('계산'!$K$2:$K$2001,J264),"")</x:f>
        <x:v>0.006739668425856036</x:v>
      </x:c>
      <x:c r="L264" t="n">
        <x:f>IF(ISNUMBER(K264),L263+LN(K264),"")</x:f>
        <x:v>-1158.8457101695426</x:v>
      </x:c>
    </x:row>
    <x:row r="265">
      <x:c r="J265" t="n">
        <x:f>261</x:f>
        <x:v>261</x:v>
      </x:c>
      <x:c r="K265" t="n">
        <x:f>IF(J265&lt;=$B$6,LARGE('계산'!$K$2:$K$2001,J265),"")</x:f>
        <x:v>0.0066185057407183705</x:v>
      </x:c>
      <x:c r="L265" t="n">
        <x:f>IF(ISNUMBER(K265),L264+LN(K265),"")</x:f>
        <x:v>-1163.8635958229788</x:v>
      </x:c>
    </x:row>
    <x:row r="266">
      <x:c r="J266" t="n">
        <x:f>262</x:f>
        <x:v>262</x:v>
      </x:c>
      <x:c r="K266" t="n">
        <x:f>IF(J266&lt;=$B$6,LARGE('계산'!$K$2:$K$2001,J266),"")</x:f>
        <x:v>0.0066181082904175495</x:v>
      </x:c>
      <x:c r="L266" t="n">
        <x:f>IF(ISNUMBER(K266),L265+LN(K266),"")</x:f>
        <x:v>-1168.8815415295828</x:v>
      </x:c>
    </x:row>
    <x:row r="267">
      <x:c r="J267" t="n">
        <x:f>263</x:f>
        <x:v>263</x:v>
      </x:c>
      <x:c r="K267" t="n">
        <x:f>IF(J267&lt;=$B$6,LARGE('계산'!$K$2:$K$2001,J267),"")</x:f>
        <x:v>0.006532494112654123</x:v>
      </x:c>
      <x:c r="L267" t="n">
        <x:f>IF(ISNUMBER(K267),L266+LN(K267),"")</x:f>
        <x:v>-1173.912507991392</x:v>
      </x:c>
    </x:row>
    <x:row r="268">
      <x:c r="J268" t="n">
        <x:f>264</x:f>
        <x:v>264</x:v>
      </x:c>
      <x:c r="K268" t="n">
        <x:f>IF(J268&lt;=$B$6,LARGE('계산'!$K$2:$K$2001,J268),"")</x:f>
        <x:v>0.00647121690529412</x:v>
      </x:c>
      <x:c r="L268" t="n">
        <x:f>IF(ISNUMBER(K268),L267+LN(K268),"")</x:f>
        <x:v>-1178.9528990952665</x:v>
      </x:c>
    </x:row>
    <x:row r="269">
      <x:c r="J269" t="n">
        <x:f>265</x:f>
        <x:v>265</x:v>
      </x:c>
      <x:c r="K269" t="n">
        <x:f>IF(J269&lt;=$B$6,LARGE('계산'!$K$2:$K$2001,J269),"")</x:f>
        <x:v>0.0064610243512319655</x:v>
      </x:c>
      <x:c r="L269" t="n">
        <x:f>IF(ISNUMBER(K269),L268+LN(K269),"")</x:f>
        <x:v>-1183.9948665007225</x:v>
      </x:c>
    </x:row>
    <x:row r="270">
      <x:c r="J270" t="n">
        <x:f>266</x:f>
        <x:v>266</x:v>
      </x:c>
      <x:c r="K270" t="n">
        <x:f>IF(J270&lt;=$B$6,LARGE('계산'!$K$2:$K$2001,J270),"")</x:f>
        <x:v>0.006432104934311018</x:v>
      </x:c>
      <x:c r="L270" t="n">
        <x:f>IF(ISNUMBER(K270),L269+LN(K270),"")</x:f>
        <x:v>-1189.0413199335471</x:v>
      </x:c>
    </x:row>
    <x:row r="271">
      <x:c r="J271" t="n">
        <x:f>267</x:f>
        <x:v>267</x:v>
      </x:c>
      <x:c r="K271" t="n">
        <x:f>IF(J271&lt;=$B$6,LARGE('계산'!$K$2:$K$2001,J271),"")</x:f>
        <x:v>0.006405921443340147</x:v>
      </x:c>
      <x:c r="L271" t="n">
        <x:f>IF(ISNUMBER(K271),L270+LN(K271),"")</x:f>
        <x:v>-1194.0918524243991</x:v>
      </x:c>
    </x:row>
    <x:row r="272">
      <x:c r="J272" t="n">
        <x:f>268</x:f>
        <x:v>268</x:v>
      </x:c>
      <x:c r="K272" t="n">
        <x:f>IF(J272&lt;=$B$6,LARGE('계산'!$K$2:$K$2001,J272),"")</x:f>
        <x:v>0.006296486517157595</x:v>
      </x:c>
      <x:c r="L272" t="n">
        <x:f>IF(ISNUMBER(K272),L271+LN(K272),"")</x:f>
        <x:v>-1199.1596159212431</x:v>
      </x:c>
    </x:row>
    <x:row r="273">
      <x:c r="J273" t="n">
        <x:f>269</x:f>
        <x:v>269</x:v>
      </x:c>
      <x:c r="K273" t="n">
        <x:f>IF(J273&lt;=$B$6,LARGE('계산'!$K$2:$K$2001,J273),"")</x:f>
        <x:v>0.006247240928762026</x:v>
      </x:c>
      <x:c r="L273" t="n">
        <x:f>IF(ISNUMBER(K273),L272+LN(K273),"")</x:f>
        <x:v>-1204.2352312853434</x:v>
      </x:c>
    </x:row>
    <x:row r="274">
      <x:c r="J274" t="n">
        <x:f>270</x:f>
        <x:v>270</x:v>
      </x:c>
      <x:c r="K274" t="n">
        <x:f>IF(J274&lt;=$B$6,LARGE('계산'!$K$2:$K$2001,J274),"")</x:f>
        <x:v>0.006234856743304114</x:v>
      </x:c>
      <x:c r="L274" t="n">
        <x:f>IF(ISNUMBER(K274),L273+LN(K274),"")</x:f>
        <x:v>-1209.3128309616718</x:v>
      </x:c>
    </x:row>
    <x:row r="275">
      <x:c r="J275" t="n">
        <x:f>271</x:f>
        <x:v>271</x:v>
      </x:c>
      <x:c r="K275" t="n">
        <x:f>IF(J275&lt;=$B$6,LARGE('계산'!$K$2:$K$2001,J275),"")</x:f>
        <x:v>0.006194379515585214</x:v>
      </x:c>
      <x:c r="L275" t="n">
        <x:f>IF(ISNUMBER(K275),L274+LN(K275),"")</x:f>
        <x:v>-1214.3969438894937</x:v>
      </x:c>
    </x:row>
    <x:row r="276">
      <x:c r="J276" t="n">
        <x:f>272</x:f>
        <x:v>272</x:v>
      </x:c>
      <x:c r="K276" t="n">
        <x:f>IF(J276&lt;=$B$6,LARGE('계산'!$K$2:$K$2001,J276),"")</x:f>
        <x:v>0.006185430945076251</x:v>
      </x:c>
      <x:c r="L276" t="n">
        <x:f>IF(ISNUMBER(K276),L275+LN(K276),"")</x:f>
        <x:v>-1219.4825024892177</x:v>
      </x:c>
    </x:row>
    <x:row r="277">
      <x:c r="J277" t="n">
        <x:f>273</x:f>
        <x:v>273</x:v>
      </x:c>
      <x:c r="K277" t="n">
        <x:f>IF(J277&lt;=$B$6,LARGE('계산'!$K$2:$K$2001,J277),"")</x:f>
        <x:v>0.006177616727879947</x:v>
      </x:c>
      <x:c r="L277" t="n">
        <x:f>IF(ISNUMBER(K277),L276+LN(K277),"")</x:f>
        <x:v>-1224.5693252138474</x:v>
      </x:c>
    </x:row>
    <x:row r="278">
      <x:c r="J278" t="n">
        <x:f>274</x:f>
        <x:v>274</x:v>
      </x:c>
      <x:c r="K278" t="n">
        <x:f>IF(J278&lt;=$B$6,LARGE('계산'!$K$2:$K$2001,J278),"")</x:f>
        <x:v>0.006123143287965661</x:v>
      </x:c>
      <x:c r="L278" t="n">
        <x:f>IF(ISNUMBER(K278),L277+LN(K278),"")</x:f>
        <x:v>-1229.6650049190125</x:v>
      </x:c>
    </x:row>
    <x:row r="279">
      <x:c r="J279" t="n">
        <x:f>275</x:f>
        <x:v>275</x:v>
      </x:c>
      <x:c r="K279" t="n">
        <x:f>IF(J279&lt;=$B$6,LARGE('계산'!$K$2:$K$2001,J279),"")</x:f>
        <x:v>0.006118555651509669</x:v>
      </x:c>
      <x:c r="L279" t="n">
        <x:f>IF(ISNUMBER(K279),L278+LN(K279),"")</x:f>
        <x:v>-1234.7614341339793</x:v>
      </x:c>
    </x:row>
    <x:row r="280">
      <x:c r="J280" t="n">
        <x:f>276</x:f>
        <x:v>276</x:v>
      </x:c>
      <x:c r="K280" t="n">
        <x:f>IF(J280&lt;=$B$6,LARGE('계산'!$K$2:$K$2001,J280),"")</x:f>
        <x:v>0.006072930009955434</x:v>
      </x:c>
      <x:c r="L280" t="n">
        <x:f>IF(ISNUMBER(K280),L279+LN(K280),"")</x:f>
        <x:v>-1239.8653482209015</x:v>
      </x:c>
    </x:row>
    <x:row r="281">
      <x:c r="J281" t="n">
        <x:f>277</x:f>
        <x:v>277</x:v>
      </x:c>
      <x:c r="K281" t="n">
        <x:f>IF(J281&lt;=$B$6,LARGE('계산'!$K$2:$K$2001,J281),"")</x:f>
        <x:v>0.006030299255683936</x:v>
      </x:c>
      <x:c r="L281" t="n">
        <x:f>IF(ISNUMBER(K281),L280+LN(K281),"")</x:f>
        <x:v>-1244.9763068625678</x:v>
      </x:c>
    </x:row>
    <x:row r="282">
      <x:c r="J282" t="n">
        <x:f>278</x:f>
        <x:v>278</x:v>
      </x:c>
      <x:c r="K282" t="n">
        <x:f>IF(J282&lt;=$B$6,LARGE('계산'!$K$2:$K$2001,J282),"")</x:f>
        <x:v>0.005991602839611443</x:v>
      </x:c>
      <x:c r="L282" t="n">
        <x:f>IF(ISNUMBER(K282),L281+LN(K282),"")</x:f>
        <x:v>-1250.0937031793055</x:v>
      </x:c>
    </x:row>
    <x:row r="283">
      <x:c r="J283" t="n">
        <x:f>279</x:f>
        <x:v>279</x:v>
      </x:c>
      <x:c r="K283" t="n">
        <x:f>IF(J283&lt;=$B$6,LARGE('계산'!$K$2:$K$2001,J283),"")</x:f>
        <x:v>0.005949323433995082</x:v>
      </x:c>
      <x:c r="L283" t="n">
        <x:f>IF(ISNUMBER(K283),L282+LN(K283),"")</x:f>
        <x:v>-1255.2181809537676</x:v>
      </x:c>
    </x:row>
    <x:row r="284">
      <x:c r="J284" t="n">
        <x:f>280</x:f>
        <x:v>280</x:v>
      </x:c>
      <x:c r="K284" t="n">
        <x:f>IF(J284&lt;=$B$6,LARGE('계산'!$K$2:$K$2001,J284),"")</x:f>
        <x:v>0.005915572383946437</x:v>
      </x:c>
      <x:c r="L284" t="n">
        <x:f>IF(ISNUMBER(K284),L283+LN(K284),"")</x:f>
        <x:v>-1260.3483479717938</x:v>
      </x:c>
    </x:row>
    <x:row r="285">
      <x:c r="J285" t="n">
        <x:f>281</x:f>
        <x:v>281</x:v>
      </x:c>
      <x:c r="K285" t="n">
        <x:f>IF(J285&lt;=$B$6,LARGE('계산'!$K$2:$K$2001,J285),"")</x:f>
        <x:v>0.005908581046529403</x:v>
      </x:c>
      <x:c r="L285" t="n">
        <x:f>IF(ISNUMBER(K285),L284+LN(K285),"")</x:f>
        <x:v>-1265.4796975418349</x:v>
      </x:c>
    </x:row>
    <x:row r="286">
      <x:c r="J286" t="n">
        <x:f>282</x:f>
        <x:v>282</x:v>
      </x:c>
      <x:c r="K286" t="n">
        <x:f>IF(J286&lt;=$B$6,LARGE('계산'!$K$2:$K$2001,J286),"")</x:f>
        <x:v>0.005901773984809481</x:v>
      </x:c>
      <x:c r="L286" t="n">
        <x:f>IF(ISNUMBER(K286),L285+LN(K286),"")</x:f>
        <x:v>-1270.6121998397077</x:v>
      </x:c>
    </x:row>
    <x:row r="287">
      <x:c r="J287" t="n">
        <x:f>283</x:f>
        <x:v>283</x:v>
      </x:c>
      <x:c r="K287" t="n">
        <x:f>IF(J287&lt;=$B$6,LARGE('계산'!$K$2:$K$2001,J287),"")</x:f>
        <x:v>0.005884728193739775</x:v>
      </x:c>
      <x:c r="L287" t="n">
        <x:f>IF(ISNUMBER(K287),L286+LN(K287),"")</x:f>
        <x:v>-1275.7475945653246</x:v>
      </x:c>
    </x:row>
    <x:row r="288">
      <x:c r="J288" t="n">
        <x:f>284</x:f>
        <x:v>284</x:v>
      </x:c>
      <x:c r="K288" t="n">
        <x:f>IF(J288&lt;=$B$6,LARGE('계산'!$K$2:$K$2001,J288),"")</x:f>
        <x:v>0.005834105854617697</x:v>
      </x:c>
      <x:c r="L288" t="n">
        <x:f>IF(ISNUMBER(K288),L287+LN(K288),"")</x:f>
        <x:v>-1280.8916288285936</x:v>
      </x:c>
    </x:row>
    <x:row r="289">
      <x:c r="J289" t="n">
        <x:f>285</x:f>
        <x:v>285</x:v>
      </x:c>
      <x:c r="K289" t="n">
        <x:f>IF(J289&lt;=$B$6,LARGE('계산'!$K$2:$K$2001,J289),"")</x:f>
        <x:v>0.005832099312123247</x:v>
      </x:c>
      <x:c r="L289" t="n">
        <x:f>IF(ISNUMBER(K289),L288+LN(K289),"")</x:f>
        <x:v>-1286.0360070841866</x:v>
      </x:c>
    </x:row>
    <x:row r="290">
      <x:c r="J290" t="n">
        <x:f>286</x:f>
        <x:v>286</x:v>
      </x:c>
      <x:c r="K290" t="n">
        <x:f>IF(J290&lt;=$B$6,LARGE('계산'!$K$2:$K$2001,J290),"")</x:f>
        <x:v>0.005821821321266387</x:v>
      </x:c>
      <x:c r="L290" t="n">
        <x:f>IF(ISNUMBER(K290),L289+LN(K290),"")</x:f>
        <x:v>-1291.182149208583</x:v>
      </x:c>
    </x:row>
    <x:row r="291">
      <x:c r="J291" t="n">
        <x:f>287</x:f>
        <x:v>287</x:v>
      </x:c>
      <x:c r="K291" t="n">
        <x:f>IF(J291&lt;=$B$6,LARGE('계산'!$K$2:$K$2001,J291),"")</x:f>
        <x:v>0.0058095531740345145</x:v>
      </x:c>
      <x:c r="L291" t="n">
        <x:f>IF(ISNUMBER(K291),L290+LN(K291),"")</x:f>
        <x:v>-1296.330400826021</x:v>
      </x:c>
    </x:row>
    <x:row r="292">
      <x:c r="J292" t="n">
        <x:f>288</x:f>
        <x:v>288</x:v>
      </x:c>
      <x:c r="K292" t="n">
        <x:f>IF(J292&lt;=$B$6,LARGE('계산'!$K$2:$K$2001,J292),"")</x:f>
        <x:v>0.005792849774608779</x:v>
      </x:c>
      <x:c r="L292" t="n">
        <x:f>IF(ISNUMBER(K292),L291+LN(K292),"")</x:f>
        <x:v>-1301.481531745452</x:v>
      </x:c>
    </x:row>
    <x:row r="293">
      <x:c r="J293" t="n">
        <x:f>289</x:f>
        <x:v>289</x:v>
      </x:c>
      <x:c r="K293" t="n">
        <x:f>IF(J293&lt;=$B$6,LARGE('계산'!$K$2:$K$2001,J293),"")</x:f>
        <x:v>0.0057897424898058405</x:v>
      </x:c>
      <x:c r="L293" t="n">
        <x:f>IF(ISNUMBER(K293),L292+LN(K293),"")</x:f>
        <x:v>-1306.6331992088287</x:v>
      </x:c>
    </x:row>
    <x:row r="294">
      <x:c r="J294" t="n">
        <x:f>290</x:f>
        <x:v>290</x:v>
      </x:c>
      <x:c r="K294" t="n">
        <x:f>IF(J294&lt;=$B$6,LARGE('계산'!$K$2:$K$2001,J294),"")</x:f>
        <x:v>0.005764510812255913</x:v>
      </x:c>
      <x:c r="L294" t="n">
        <x:f>IF(ISNUMBER(K294),L293+LN(K294),"")</x:f>
        <x:v>-1311.7892341924594</x:v>
      </x:c>
    </x:row>
    <x:row r="295">
      <x:c r="J295" t="n">
        <x:f>291</x:f>
        <x:v>291</x:v>
      </x:c>
      <x:c r="K295" t="n">
        <x:f>IF(J295&lt;=$B$6,LARGE('계산'!$K$2:$K$2001,J295),"")</x:f>
        <x:v>0.005760949010888349</x:v>
      </x:c>
      <x:c r="L295" t="n">
        <x:f>IF(ISNUMBER(K295),L294+LN(K295),"")</x:f>
        <x:v>-1316.9458872514701</x:v>
      </x:c>
    </x:row>
    <x:row r="296">
      <x:c r="J296" t="n">
        <x:f>292</x:f>
        <x:v>292</x:v>
      </x:c>
      <x:c r="K296" t="n">
        <x:f>IF(J296&lt;=$B$6,LARGE('계산'!$K$2:$K$2001,J296),"")</x:f>
        <x:v>0.005748884340584213</x:v>
      </x:c>
      <x:c r="L296" t="n">
        <x:f>IF(ISNUMBER(K296),L295+LN(K296),"")</x:f>
        <x:v>-1322.1046367221934</x:v>
      </x:c>
    </x:row>
    <x:row r="297">
      <x:c r="J297" t="n">
        <x:f>293</x:f>
        <x:v>293</x:v>
      </x:c>
      <x:c r="K297" t="n">
        <x:f>IF(J297&lt;=$B$6,LARGE('계산'!$K$2:$K$2001,J297),"")</x:f>
        <x:v>0.00574497242744399</x:v>
      </x:c>
      <x:c r="L297" t="n">
        <x:f>IF(ISNUMBER(K297),L296+LN(K297),"")</x:f>
        <x:v>-1327.2640668892868</x:v>
      </x:c>
    </x:row>
    <x:row r="298">
      <x:c r="J298" t="n">
        <x:f>294</x:f>
        <x:v>294</x:v>
      </x:c>
      <x:c r="K298" t="n">
        <x:f>IF(J298&lt;=$B$6,LARGE('계산'!$K$2:$K$2001,J298),"")</x:f>
        <x:v>0.005697022555550598</x:v>
      </x:c>
      <x:c r="L298" t="n">
        <x:f>IF(ISNUMBER(K298),L297+LN(K298),"")</x:f>
        <x:v>-1332.4318784885807</x:v>
      </x:c>
    </x:row>
    <x:row r="299">
      <x:c r="J299" t="n">
        <x:f>295</x:f>
        <x:v>295</x:v>
      </x:c>
      <x:c r="K299" t="n">
        <x:f>IF(J299&lt;=$B$6,LARGE('계산'!$K$2:$K$2001,J299),"")</x:f>
        <x:v>0.0056812645345842286</x:v>
      </x:c>
      <x:c r="L299" t="n">
        <x:f>IF(ISNUMBER(K299),L298+LN(K299),"")</x:f>
        <x:v>-1337.6024599302798</x:v>
      </x:c>
    </x:row>
    <x:row r="300">
      <x:c r="J300" t="n">
        <x:f>296</x:f>
        <x:v>296</x:v>
      </x:c>
      <x:c r="K300" t="n">
        <x:f>IF(J300&lt;=$B$6,LARGE('계산'!$K$2:$K$2001,J300),"")</x:f>
        <x:v>0.005650332994904559</x:v>
      </x:c>
      <x:c r="L300" t="n">
        <x:f>IF(ISNUMBER(K300),L299+LN(K300),"")</x:f>
        <x:v>-1342.778500728689</x:v>
      </x:c>
    </x:row>
    <x:row r="301">
      <x:c r="J301" t="n">
        <x:f>297</x:f>
        <x:v>297</x:v>
      </x:c>
      <x:c r="K301" t="n">
        <x:f>IF(J301&lt;=$B$6,LARGE('계산'!$K$2:$K$2001,J301),"")</x:f>
        <x:v>0.005621518914093455</x:v>
      </x:c>
      <x:c r="L301" t="n">
        <x:f>IF(ISNUMBER(K301),L300+LN(K301),"")</x:f>
        <x:v>-1347.9596541108701</x:v>
      </x:c>
    </x:row>
    <x:row r="302">
      <x:c r="J302" t="n">
        <x:f>298</x:f>
        <x:v>298</x:v>
      </x:c>
      <x:c r="K302" t="n">
        <x:f>IF(J302&lt;=$B$6,LARGE('계산'!$K$2:$K$2001,J302),"")</x:f>
        <x:v>0.005613439069050119</x:v>
      </x:c>
      <x:c r="L302" t="n">
        <x:f>IF(ISNUMBER(K302),L301+LN(K302),"")</x:f>
        <x:v>-1353.1422458333545</x:v>
      </x:c>
    </x:row>
    <x:row r="303">
      <x:c r="J303" t="n">
        <x:f>299</x:f>
        <x:v>299</x:v>
      </x:c>
      <x:c r="K303" t="n">
        <x:f>IF(J303&lt;=$B$6,LARGE('계산'!$K$2:$K$2001,J303),"")</x:f>
        <x:v>0.005599517875712533</x:v>
      </x:c>
      <x:c r="L303" t="n">
        <x:f>IF(ISNUMBER(K303),L302+LN(K303),"")</x:f>
        <x:v>-1358.3273206119245</x:v>
      </x:c>
    </x:row>
    <x:row r="304">
      <x:c r="J304" t="n">
        <x:f>300</x:f>
        <x:v>300</x:v>
      </x:c>
      <x:c r="K304" t="n">
        <x:f>IF(J304&lt;=$B$6,LARGE('계산'!$K$2:$K$2001,J304),"")</x:f>
        <x:v>0.005567635335377267</x:v>
      </x:c>
      <x:c r="L304" t="n">
        <x:f>IF(ISNUMBER(K304),L303+LN(K304),"")</x:f>
        <x:v>-1363.5181054629472</x:v>
      </x:c>
    </x:row>
    <x:row r="305">
      <x:c r="J305" t="n">
        <x:f>301</x:f>
        <x:v>301</x:v>
      </x:c>
      <x:c r="K305" t="n">
        <x:f>IF(J305&lt;=$B$6,LARGE('계산'!$K$2:$K$2001,J305),"")</x:f>
        <x:v>0.005563088354444784</x:v>
      </x:c>
      <x:c r="L305" t="n">
        <x:f>IF(ISNUMBER(K305),L304+LN(K305),"")</x:f>
        <x:v>-1368.709707328445</x:v>
      </x:c>
    </x:row>
    <x:row r="306">
      <x:c r="J306" t="n">
        <x:f>302</x:f>
        <x:v>302</x:v>
      </x:c>
      <x:c r="K306" t="n">
        <x:f>IF(J306&lt;=$B$6,LARGE('계산'!$K$2:$K$2001,J306),"")</x:f>
        <x:v>0.005524640905539889</x:v>
      </x:c>
      <x:c r="L306" t="n">
        <x:f>IF(ISNUMBER(K306),L305+LN(K306),"")</x:f>
        <x:v>-1373.9082443566078</x:v>
      </x:c>
    </x:row>
    <x:row r="307">
      <x:c r="J307" t="n">
        <x:f>303</x:f>
        <x:v>303</x:v>
      </x:c>
      <x:c r="K307" t="n">
        <x:f>IF(J307&lt;=$B$6,LARGE('계산'!$K$2:$K$2001,J307),"")</x:f>
        <x:v>0.005469051575921468</x:v>
      </x:c>
      <x:c r="L307" t="n">
        <x:f>IF(ISNUMBER(K307),L306+LN(K307),"")</x:f>
        <x:v>-1379.1168944206752</x:v>
      </x:c>
    </x:row>
    <x:row r="308">
      <x:c r="J308" t="n">
        <x:f>304</x:f>
        <x:v>304</x:v>
      </x:c>
      <x:c r="K308" t="n">
        <x:f>IF(J308&lt;=$B$6,LARGE('계산'!$K$2:$K$2001,J308),"")</x:f>
        <x:v>0.005456159796781647</x:v>
      </x:c>
      <x:c r="L308" t="n">
        <x:f>IF(ISNUMBER(K308),L307+LN(K308),"")</x:f>
        <x:v>-1384.3279044912786</x:v>
      </x:c>
    </x:row>
    <x:row r="309">
      <x:c r="J309" t="n">
        <x:f>305</x:f>
        <x:v>305</x:v>
      </x:c>
      <x:c r="K309" t="n">
        <x:f>IF(J309&lt;=$B$6,LARGE('계산'!$K$2:$K$2001,J309),"")</x:f>
        <x:v>0.005409876655383346</x:v>
      </x:c>
      <x:c r="L309" t="n">
        <x:f>IF(ISNUMBER(K309),L308+LN(K309),"")</x:f>
        <x:v>-1389.5474334770367</x:v>
      </x:c>
    </x:row>
    <x:row r="310">
      <x:c r="J310" t="n">
        <x:f>306</x:f>
        <x:v>306</x:v>
      </x:c>
      <x:c r="K310" t="n">
        <x:f>IF(J310&lt;=$B$6,LARGE('계산'!$K$2:$K$2001,J310),"")</x:f>
        <x:v>0.0054032635298660895</x:v>
      </x:c>
      <x:c r="L310" t="n">
        <x:f>IF(ISNUMBER(K310),L309+LN(K310),"")</x:f>
        <x:v>-1394.7681856276165</x:v>
      </x:c>
    </x:row>
    <x:row r="311">
      <x:c r="J311" t="n">
        <x:f>307</x:f>
        <x:v>307</x:v>
      </x:c>
      <x:c r="K311" t="n">
        <x:f>IF(J311&lt;=$B$6,LARGE('계산'!$K$2:$K$2001,J311),"")</x:f>
        <x:v>0.005395700422384599</x:v>
      </x:c>
      <x:c r="L311" t="n">
        <x:f>IF(ISNUMBER(K311),L310+LN(K311),"")</x:f>
        <x:v>-1399.9903384882552</x:v>
      </x:c>
    </x:row>
    <x:row r="312">
      <x:c r="J312" t="n">
        <x:f>308</x:f>
        <x:v>308</x:v>
      </x:c>
      <x:c r="K312" t="n">
        <x:f>IF(J312&lt;=$B$6,LARGE('계산'!$K$2:$K$2001,J312),"")</x:f>
        <x:v>0.005327816639710119</x:v>
      </x:c>
      <x:c r="L312" t="n">
        <x:f>IF(ISNUMBER(K312),L311+LN(K312),"")</x:f>
        <x:v>-1405.2251522490603</x:v>
      </x:c>
    </x:row>
    <x:row r="313">
      <x:c r="J313" t="n">
        <x:f>309</x:f>
        <x:v>309</x:v>
      </x:c>
      <x:c r="K313" t="n">
        <x:f>IF(J313&lt;=$B$6,LARGE('계산'!$K$2:$K$2001,J313),"")</x:f>
        <x:v>0.0053118542652201214</x:v>
      </x:c>
      <x:c r="L313" t="n">
        <x:f>IF(ISNUMBER(K313),L312+LN(K313),"")</x:f>
        <x:v>-1410.462966551256</x:v>
      </x:c>
    </x:row>
    <x:row r="314">
      <x:c r="J314" t="n">
        <x:f>310</x:f>
        <x:v>310</x:v>
      </x:c>
      <x:c r="K314" t="n">
        <x:f>IF(J314&lt;=$B$6,LARGE('계산'!$K$2:$K$2001,J314),"")</x:f>
        <x:v>0.005306209816711059</x:v>
      </x:c>
      <x:c r="L314" t="n">
        <x:f>IF(ISNUMBER(K314),L313+LN(K314),"")</x:f>
        <x:v>-1415.7018440320116</x:v>
      </x:c>
    </x:row>
    <x:row r="315">
      <x:c r="J315" t="n">
        <x:f>311</x:f>
        <x:v>311</x:v>
      </x:c>
      <x:c r="K315" t="n">
        <x:f>IF(J315&lt;=$B$6,LARGE('계산'!$K$2:$K$2001,J315),"")</x:f>
        <x:v>0.005293029398187518</x:v>
      </x:c>
      <x:c r="L315" t="n">
        <x:f>IF(ISNUMBER(K315),L314+LN(K315),"")</x:f>
        <x:v>-1420.9432085639698</x:v>
      </x:c>
    </x:row>
    <x:row r="316">
      <x:c r="J316" t="n">
        <x:f>312</x:f>
        <x:v>312</x:v>
      </x:c>
      <x:c r="K316" t="n">
        <x:f>IF(J316&lt;=$B$6,LARGE('계산'!$K$2:$K$2001,J316),"")</x:f>
        <x:v>0.005281377898661701</x:v>
      </x:c>
      <x:c r="L316" t="n">
        <x:f>IF(ISNUMBER(K316),L315+LN(K316),"")</x:f>
        <x:v>-1426.1867768136237</x:v>
      </x:c>
    </x:row>
    <x:row r="317">
      <x:c r="J317" t="n">
        <x:f>313</x:f>
        <x:v>313</x:v>
      </x:c>
      <x:c r="K317" t="n">
        <x:f>IF(J317&lt;=$B$6,LARGE('계산'!$K$2:$K$2001,J317),"")</x:f>
        <x:v>0.005269958753779177</x:v>
      </x:c>
      <x:c r="L317" t="n">
        <x:f>IF(ISNUMBER(K317),L316+LN(K317),"")</x:f>
        <x:v>-1431.4325095566905</x:v>
      </x:c>
    </x:row>
    <x:row r="318">
      <x:c r="J318" t="n">
        <x:f>314</x:f>
        <x:v>314</x:v>
      </x:c>
      <x:c r="K318" t="n">
        <x:f>IF(J318&lt;=$B$6,LARGE('계산'!$K$2:$K$2001,J318),"")</x:f>
        <x:v>0.00526582240860342</x:v>
      </x:c>
      <x:c r="L318" t="n">
        <x:f>IF(ISNUMBER(K318),L317+LN(K318),"")</x:f>
        <x:v>-1436.6790274993216</x:v>
      </x:c>
    </x:row>
    <x:row r="319">
      <x:c r="J319" t="n">
        <x:f>315</x:f>
        <x:v>315</x:v>
      </x:c>
      <x:c r="K319" t="n">
        <x:f>IF(J319&lt;=$B$6,LARGE('계산'!$K$2:$K$2001,J319),"")</x:f>
        <x:v>0.00525082313337429</x:v>
      </x:c>
      <x:c r="L319" t="n">
        <x:f>IF(ISNUMBER(K319),L318+LN(K319),"")</x:f>
        <x:v>-1441.9283979266806</x:v>
      </x:c>
    </x:row>
    <x:row r="320">
      <x:c r="J320" t="n">
        <x:f>316</x:f>
        <x:v>316</x:v>
      </x:c>
      <x:c r="K320" t="n">
        <x:f>IF(J320&lt;=$B$6,LARGE('계산'!$K$2:$K$2001,J320),"")</x:f>
        <x:v>0.0051784821596471175</x:v>
      </x:c>
      <x:c r="L320" t="n">
        <x:f>IF(ISNUMBER(K320),L319+LN(K320),"")</x:f>
        <x:v>-1447.1916412117032</x:v>
      </x:c>
    </x:row>
    <x:row r="321">
      <x:c r="J321" t="n">
        <x:f>317</x:f>
        <x:v>317</x:v>
      </x:c>
      <x:c r="K321" t="n">
        <x:f>IF(J321&lt;=$B$6,LARGE('계산'!$K$2:$K$2001,J321),"")</x:f>
        <x:v>0.00514978285043289</x:v>
      </x:c>
      <x:c r="L321" t="n">
        <x:f>IF(ISNUMBER(K321),L320+LN(K321),"")</x:f>
        <x:v>-1452.460441941863</x:v>
      </x:c>
    </x:row>
    <x:row r="322">
      <x:c r="J322" t="n">
        <x:f>318</x:f>
        <x:v>318</x:v>
      </x:c>
      <x:c r="K322" t="n">
        <x:f>IF(J322&lt;=$B$6,LARGE('계산'!$K$2:$K$2001,J322),"")</x:f>
        <x:v>0.005138549724051736</x:v>
      </x:c>
      <x:c r="L322" t="n">
        <x:f>IF(ISNUMBER(K322),L321+LN(K322),"")</x:f>
        <x:v>-1457.7314263360452</x:v>
      </x:c>
    </x:row>
    <x:row r="323">
      <x:c r="J323" t="n">
        <x:f>319</x:f>
        <x:v>319</x:v>
      </x:c>
      <x:c r="K323" t="n">
        <x:f>IF(J323&lt;=$B$6,LARGE('계산'!$K$2:$K$2001,J323),"")</x:f>
        <x:v>0.005129297103209032</x:v>
      </x:c>
      <x:c r="L323" t="n">
        <x:f>IF(ISNUMBER(K323),L322+LN(K323),"")</x:f>
        <x:v>-1463.0042129821506</x:v>
      </x:c>
    </x:row>
    <x:row r="324">
      <x:c r="J324" t="n">
        <x:f>320</x:f>
        <x:v>320</x:v>
      </x:c>
      <x:c r="K324" t="n">
        <x:f>IF(J324&lt;=$B$6,LARGE('계산'!$K$2:$K$2001,J324),"")</x:f>
        <x:v>0.005098827535173896</x:v>
      </x:c>
      <x:c r="L324" t="n">
        <x:f>IF(ISNUMBER(K324),L323+LN(K324),"")</x:f>
        <x:v>-1468.2829576428965</x:v>
      </x:c>
    </x:row>
    <x:row r="325">
      <x:c r="J325" t="n">
        <x:f>321</x:f>
        <x:v>321</x:v>
      </x:c>
      <x:c r="K325" t="n">
        <x:f>IF(J325&lt;=$B$6,LARGE('계산'!$K$2:$K$2001,J325),"")</x:f>
        <x:v>0.005082566848025149</x:v>
      </x:c>
      <x:c r="L325" t="n">
        <x:f>IF(ISNUMBER(K325),L324+LN(K325),"")</x:f>
        <x:v>-1473.5648965028574</x:v>
      </x:c>
    </x:row>
    <x:row r="326">
      <x:c r="J326" t="n">
        <x:f>322</x:f>
        <x:v>322</x:v>
      </x:c>
      <x:c r="K326" t="n">
        <x:f>IF(J326&lt;=$B$6,LARGE('계산'!$K$2:$K$2001,J326),"")</x:f>
        <x:v>0.0050729456075886085</x:v>
      </x:c>
      <x:c r="L326" t="n">
        <x:f>IF(ISNUMBER(K326),L325+LN(K326),"")</x:f>
        <x:v>-1478.8487301452544</x:v>
      </x:c>
    </x:row>
    <x:row r="327">
      <x:c r="J327" t="n">
        <x:f>323</x:f>
        <x:v>323</x:v>
      </x:c>
      <x:c r="K327" t="n">
        <x:f>IF(J327&lt;=$B$6,LARGE('계산'!$K$2:$K$2001,J327),"")</x:f>
        <x:v>0.0050238476969218975</x:v>
      </x:c>
      <x:c r="L327" t="n">
        <x:f>IF(ISNUMBER(K327),L326+LN(K327),"")</x:f>
        <x:v>-1484.1422893106333</x:v>
      </x:c>
    </x:row>
    <x:row r="328">
      <x:c r="J328" t="n">
        <x:f>324</x:f>
        <x:v>324</x:v>
      </x:c>
      <x:c r="K328" t="n">
        <x:f>IF(J328&lt;=$B$6,LARGE('계산'!$K$2:$K$2001,J328),"")</x:f>
        <x:v>0.005001267226887378</x:v>
      </x:c>
      <x:c r="L328" t="n">
        <x:f>IF(ISNUMBER(K328),L327+LN(K328),"")</x:f>
        <x:v>-1489.4403532639158</x:v>
      </x:c>
    </x:row>
    <x:row r="329">
      <x:c r="J329" t="n">
        <x:f>325</x:f>
        <x:v>325</x:v>
      </x:c>
      <x:c r="K329" t="n">
        <x:f>IF(J329&lt;=$B$6,LARGE('계산'!$K$2:$K$2001,J329),"")</x:f>
        <x:v>0.004934857127770907</x:v>
      </x:c>
      <x:c r="L329" t="n">
        <x:f>IF(ISNUMBER(K329),L328+LN(K329),"")</x:f>
        <x:v>-1494.7517848212378</x:v>
      </x:c>
    </x:row>
    <x:row r="330">
      <x:c r="J330" t="n">
        <x:f>326</x:f>
        <x:v>326</x:v>
      </x:c>
      <x:c r="K330" t="n">
        <x:f>IF(J330&lt;=$B$6,LARGE('계산'!$K$2:$K$2001,J330),"")</x:f>
        <x:v>0.0048624143260089445</x:v>
      </x:c>
      <x:c r="L330" t="n">
        <x:f>IF(ISNUMBER(K330),L329+LN(K330),"")</x:f>
        <x:v>-1500.0780050107603</x:v>
      </x:c>
    </x:row>
    <x:row r="331">
      <x:c r="J331" t="n">
        <x:f>327</x:f>
        <x:v>327</x:v>
      </x:c>
      <x:c r="K331" t="n">
        <x:f>IF(J331&lt;=$B$6,LARGE('계산'!$K$2:$K$2001,J331),"")</x:f>
        <x:v>0.00485629690045672</x:v>
      </x:c>
      <x:c r="L331" t="n">
        <x:f>IF(ISNUMBER(K331),L330+LN(K331),"")</x:f>
        <x:v>-1505.4054840969036</x:v>
      </x:c>
    </x:row>
    <x:row r="332">
      <x:c r="J332" t="n">
        <x:f>328</x:f>
        <x:v>328</x:v>
      </x:c>
      <x:c r="K332" t="n">
        <x:f>IF(J332&lt;=$B$6,LARGE('계산'!$K$2:$K$2001,J332),"")</x:f>
        <x:v>0.004835117258516478</x:v>
      </x:c>
      <x:c r="L332" t="n">
        <x:f>IF(ISNUMBER(K332),L331+LN(K332),"")</x:f>
        <x:v>-1510.7373339952546</x:v>
      </x:c>
    </x:row>
    <x:row r="333">
      <x:c r="J333" t="n">
        <x:f>329</x:f>
        <x:v>329</x:v>
      </x:c>
      <x:c r="K333" t="n">
        <x:f>IF(J333&lt;=$B$6,LARGE('계산'!$K$2:$K$2001,J333),"")</x:f>
        <x:v>0.004800524020877993</x:v>
      </x:c>
      <x:c r="L333" t="n">
        <x:f>IF(ISNUMBER(K333),L332+LN(K333),"")</x:f>
        <x:v>-1516.0763641912654</x:v>
      </x:c>
    </x:row>
    <x:row r="334">
      <x:c r="J334" t="n">
        <x:f>330</x:f>
        <x:v>330</x:v>
      </x:c>
      <x:c r="K334" t="n">
        <x:f>IF(J334&lt;=$B$6,LARGE('계산'!$K$2:$K$2001,J334),"")</x:f>
        <x:v>0.004795544534613346</x:v>
      </x:c>
      <x:c r="L334" t="n">
        <x:f>IF(ISNUMBER(K334),L333+LN(K334),"")</x:f>
        <x:v>-1521.4164322053539</x:v>
      </x:c>
    </x:row>
    <x:row r="335">
      <x:c r="J335" t="n">
        <x:f>331</x:f>
        <x:v>331</x:v>
      </x:c>
      <x:c r="K335" t="n">
        <x:f>IF(J335&lt;=$B$6,LARGE('계산'!$K$2:$K$2001,J335),"")</x:f>
        <x:v>0.004747960628400405</x:v>
      </x:c>
      <x:c r="L335" t="n">
        <x:f>IF(ISNUMBER(K335),L334+LN(K335),"")</x:f>
        <x:v>-1526.7664722998722</x:v>
      </x:c>
    </x:row>
    <x:row r="336">
      <x:c r="J336" t="n">
        <x:f>332</x:f>
        <x:v>332</x:v>
      </x:c>
      <x:c r="K336" t="n">
        <x:f>IF(J336&lt;=$B$6,LARGE('계산'!$K$2:$K$2001,J336),"")</x:f>
        <x:v>0.004745797998132663</x:v>
      </x:c>
      <x:c r="L336" t="n">
        <x:f>IF(ISNUMBER(K336),L335+LN(K336),"")</x:f>
        <x:v>-1532.1169679842976</x:v>
      </x:c>
    </x:row>
    <x:row r="337">
      <x:c r="J337" t="n">
        <x:f>333</x:f>
        <x:v>333</x:v>
      </x:c>
      <x:c r="K337" t="n">
        <x:f>IF(J337&lt;=$B$6,LARGE('계산'!$K$2:$K$2001,J337),"")</x:f>
        <x:v>0.00471256215662566</x:v>
      </x:c>
      <x:c r="L337" t="n">
        <x:f>IF(ISNUMBER(K337),L336+LN(K337),"")</x:f>
        <x:v>-1537.4744915208578</x:v>
      </x:c>
    </x:row>
    <x:row r="338">
      <x:c r="J338" t="n">
        <x:f>334</x:f>
        <x:v>334</x:v>
      </x:c>
      <x:c r="K338" t="n">
        <x:f>IF(J338&lt;=$B$6,LARGE('계산'!$K$2:$K$2001,J338),"")</x:f>
        <x:v>0.004686771536345569</x:v>
      </x:c>
      <x:c r="L338" t="n">
        <x:f>IF(ISNUMBER(K338),L337+LN(K338),"")</x:f>
        <x:v>-1542.8375028261996</x:v>
      </x:c>
    </x:row>
    <x:row r="339">
      <x:c r="J339" t="n">
        <x:f>335</x:f>
        <x:v>335</x:v>
      </x:c>
      <x:c r="K339" t="n">
        <x:f>IF(J339&lt;=$B$6,LARGE('계산'!$K$2:$K$2001,J339),"")</x:f>
        <x:v>0.004641377681978425</x:v>
      </x:c>
      <x:c r="L339" t="n">
        <x:f>IF(ISNUMBER(K339),L338+LN(K339),"")</x:f>
        <x:v>-1548.2102468687945</x:v>
      </x:c>
    </x:row>
    <x:row r="340">
      <x:c r="J340" t="n">
        <x:f>336</x:f>
        <x:v>336</x:v>
      </x:c>
      <x:c r="K340" t="n">
        <x:f>IF(J340&lt;=$B$6,LARGE('계산'!$K$2:$K$2001,J340),"")</x:f>
        <x:v>0.004623375552676866</x:v>
      </x:c>
      <x:c r="L340" t="n">
        <x:f>IF(ISNUMBER(K340),L339+LN(K340),"")</x:f>
        <x:v>-1553.586877070362</x:v>
      </x:c>
    </x:row>
    <x:row r="341">
      <x:c r="J341" t="n">
        <x:f>337</x:f>
        <x:v>337</x:v>
      </x:c>
      <x:c r="K341" t="n">
        <x:f>IF(J341&lt;=$B$6,LARGE('계산'!$K$2:$K$2001,J341),"")</x:f>
        <x:v>0.004586716138183455</x:v>
      </x:c>
      <x:c r="L341" t="n">
        <x:f>IF(ISNUMBER(K341),L340+LN(K341),"")</x:f>
        <x:v>-1558.9714680196241</x:v>
      </x:c>
    </x:row>
    <x:row r="342">
      <x:c r="J342" t="n">
        <x:f>338</x:f>
        <x:v>338</x:v>
      </x:c>
      <x:c r="K342" t="n">
        <x:f>IF(J342&lt;=$B$6,LARGE('계산'!$K$2:$K$2001,J342),"")</x:f>
        <x:v>0.004559077131881404</x:v>
      </x:c>
      <x:c r="L342" t="n">
        <x:f>IF(ISNUMBER(K342),L341+LN(K342),"")</x:f>
        <x:v>-1564.3621030789216</x:v>
      </x:c>
    </x:row>
    <x:row r="343">
      <x:c r="J343" t="n">
        <x:f>339</x:f>
        <x:v>339</x:v>
      </x:c>
      <x:c r="K343" t="n">
        <x:f>IF(J343&lt;=$B$6,LARGE('계산'!$K$2:$K$2001,J343),"")</x:f>
        <x:v>0.004536128668631163</x:v>
      </x:c>
      <x:c r="L343" t="n">
        <x:f>IF(ISNUMBER(K343),L342+LN(K343),"")</x:f>
        <x:v>-1569.7577844257803</x:v>
      </x:c>
    </x:row>
    <x:row r="344">
      <x:c r="J344" t="n">
        <x:f>340</x:f>
        <x:v>340</x:v>
      </x:c>
      <x:c r="K344" t="n">
        <x:f>IF(J344&lt;=$B$6,LARGE('계산'!$K$2:$K$2001,J344),"")</x:f>
        <x:v>0.004468691293201363</x:v>
      </x:c>
      <x:c r="L344" t="n">
        <x:f>IF(ISNUMBER(K344),L343+LN(K344),"")</x:f>
        <x:v>-1575.1684441145742</x:v>
      </x:c>
    </x:row>
    <x:row r="345">
      <x:c r="J345" t="n">
        <x:f>341</x:f>
        <x:v>341</x:v>
      </x:c>
      <x:c r="K345" t="n">
        <x:f>IF(J345&lt;=$B$6,LARGE('계산'!$K$2:$K$2001,J345),"")</x:f>
        <x:v>0.0044655696593354525</x:v>
      </x:c>
      <x:c r="L345" t="n">
        <x:f>IF(ISNUMBER(K345),L344+LN(K345),"")</x:f>
        <x:v>-1580.5798026040882</x:v>
      </x:c>
    </x:row>
    <x:row r="346">
      <x:c r="J346" t="n">
        <x:f>342</x:f>
        <x:v>342</x:v>
      </x:c>
      <x:c r="K346" t="n">
        <x:f>IF(J346&lt;=$B$6,LARGE('계산'!$K$2:$K$2001,J346),"")</x:f>
        <x:v>0.004441287657977122</x:v>
      </x:c>
      <x:c r="L346" t="n">
        <x:f>IF(ISNUMBER(K346),L345+LN(K346),"")</x:f>
        <x:v>-1585.996613535614</x:v>
      </x:c>
    </x:row>
    <x:row r="347">
      <x:c r="J347" t="n">
        <x:f>343</x:f>
        <x:v>343</x:v>
      </x:c>
      <x:c r="K347" t="n">
        <x:f>IF(J347&lt;=$B$6,LARGE('계산'!$K$2:$K$2001,J347),"")</x:f>
        <x:v>0.004416813833649036</x:v>
      </x:c>
      <x:c r="L347" t="n">
        <x:f>IF(ISNUMBER(K347),L346+LN(K347),"")</x:f>
        <x:v>-1591.418950230561</x:v>
      </x:c>
    </x:row>
    <x:row r="348">
      <x:c r="J348" t="n">
        <x:f>344</x:f>
        <x:v>344</x:v>
      </x:c>
      <x:c r="K348" t="n">
        <x:f>IF(J348&lt;=$B$6,LARGE('계산'!$K$2:$K$2001,J348),"")</x:f>
        <x:v>0.004302526822069905</x:v>
      </x:c>
      <x:c r="L348" t="n">
        <x:f>IF(ISNUMBER(K348),L347+LN(K348),"")</x:f>
        <x:v>-1596.8675030263928</x:v>
      </x:c>
    </x:row>
    <x:row r="349">
      <x:c r="J349" t="n">
        <x:f>345</x:f>
        <x:v>345</x:v>
      </x:c>
      <x:c r="K349" t="n">
        <x:f>IF(J349&lt;=$B$6,LARGE('계산'!$K$2:$K$2001,J349),"")</x:f>
        <x:v>0.004264639790131049</x:v>
      </x:c>
      <x:c r="L349" t="n">
        <x:f>IF(ISNUMBER(K349),L348+LN(K349),"")</x:f>
        <x:v>-1602.3249005851771</x:v>
      </x:c>
    </x:row>
    <x:row r="350">
      <x:c r="J350" t="n">
        <x:f>346</x:f>
        <x:v>346</x:v>
      </x:c>
      <x:c r="K350" t="n">
        <x:f>IF(J350&lt;=$B$6,LARGE('계산'!$K$2:$K$2001,J350),"")</x:f>
        <x:v>0.00425355798594773</x:v>
      </x:c>
      <x:c r="L350" t="n">
        <x:f>IF(ISNUMBER(K350),L349+LN(K350),"")</x:f>
        <x:v>-1607.7849000582928</x:v>
      </x:c>
    </x:row>
    <x:row r="351">
      <x:c r="J351" t="n">
        <x:f>347</x:f>
        <x:v>347</x:v>
      </x:c>
      <x:c r="K351" t="n">
        <x:f>IF(J351&lt;=$B$6,LARGE('계산'!$K$2:$K$2001,J351),"")</x:f>
        <x:v>0.004207163854700712</x:v>
      </x:c>
      <x:c r="L351" t="n">
        <x:f>IF(ISNUMBER(K351),L350+LN(K351),"")</x:f>
        <x:v>-1613.2558665853146</x:v>
      </x:c>
    </x:row>
    <x:row r="352">
      <x:c r="J352" t="n">
        <x:f>348</x:f>
        <x:v>348</x:v>
      </x:c>
      <x:c r="K352" t="n">
        <x:f>IF(J352&lt;=$B$6,LARGE('계산'!$K$2:$K$2001,J352),"")</x:f>
        <x:v>0.00406797832798722</x:v>
      </x:c>
      <x:c r="L352" t="n">
        <x:f>IF(ISNUMBER(K352),L351+LN(K352),"")</x:f>
        <x:v>-1618.7604757135614</x:v>
      </x:c>
    </x:row>
    <x:row r="353">
      <x:c r="J353" t="n">
        <x:f>349</x:f>
        <x:v>349</x:v>
      </x:c>
      <x:c r="K353" t="n">
        <x:f>IF(J353&lt;=$B$6,LARGE('계산'!$K$2:$K$2001,J353),"")</x:f>
        <x:v>0.0040168915688236755</x:v>
      </x:c>
      <x:c r="L353" t="n">
        <x:f>IF(ISNUMBER(K353),L352+LN(K353),"")</x:f>
        <x:v>-1624.2777226306043</x:v>
      </x:c>
    </x:row>
    <x:row r="354">
      <x:c r="J354" t="n">
        <x:f>350</x:f>
        <x:v>350</x:v>
      </x:c>
      <x:c r="K354" t="n">
        <x:f>IF(J354&lt;=$B$6,LARGE('계산'!$K$2:$K$2001,J354),"")</x:f>
        <x:v>0.003981063101434524</x:v>
      </x:c>
      <x:c r="L354" t="n">
        <x:f>IF(ISNUMBER(K354),L353+LN(K354),"")</x:f>
        <x:v>-1629.8039290150448</x:v>
      </x:c>
    </x:row>
    <x:row r="355">
      <x:c r="J355" t="n">
        <x:f>351</x:f>
        <x:v>351</x:v>
      </x:c>
      <x:c r="K355" t="n">
        <x:f>IF(J355&lt;=$B$6,LARGE('계산'!$K$2:$K$2001,J355),"")</x:f>
        <x:v>0.003972720292914435</x:v>
      </x:c>
      <x:c r="L355" t="n">
        <x:f>IF(ISNUMBER(K355),L354+LN(K355),"")</x:f>
        <x:v>-1635.3322332216576</x:v>
      </x:c>
    </x:row>
    <x:row r="356">
      <x:c r="J356" t="n">
        <x:f>352</x:f>
        <x:v>352</x:v>
      </x:c>
      <x:c r="K356" t="n">
        <x:f>IF(J356&lt;=$B$6,LARGE('계산'!$K$2:$K$2001,J356),"")</x:f>
        <x:v>0.0038428280509251907</x:v>
      </x:c>
      <x:c r="L356" t="n">
        <x:f>IF(ISNUMBER(K356),L355+LN(K356),"")</x:f>
        <x:v>-1640.8937799335072</x:v>
      </x:c>
    </x:row>
    <x:row r="357">
      <x:c r="J357" t="n">
        <x:f>353</x:f>
        <x:v>353</x:v>
      </x:c>
      <x:c r="K357" t="n">
        <x:f>IF(J357&lt;=$B$6,LARGE('계산'!$K$2:$K$2001,J357),"")</x:f>
        <x:v>0.0038190358422596354</x:v>
      </x:c>
      <x:c r="L357" t="n">
        <x:f>IF(ISNUMBER(K357),L356+LN(K357),"")</x:f>
        <x:v>-1646.4615372190426</x:v>
      </x:c>
    </x:row>
    <x:row r="358">
      <x:c r="J358" t="n">
        <x:f>354</x:f>
        <x:v>354</x:v>
      </x:c>
      <x:c r="K358" t="n">
        <x:f>IF(J358&lt;=$B$6,LARGE('계산'!$K$2:$K$2001,J358),"")</x:f>
        <x:v>0.0038184077088340234</x:v>
      </x:c>
      <x:c r="L358" t="n">
        <x:f>IF(ISNUMBER(K358),L357+LN(K358),"")</x:f>
        <x:v>-1652.0294589924522</x:v>
      </x:c>
    </x:row>
    <x:row r="359">
      <x:c r="J359" t="n">
        <x:f>355</x:f>
        <x:v>355</x:v>
      </x:c>
      <x:c r="K359" t="n">
        <x:f>IF(J359&lt;=$B$6,LARGE('계산'!$K$2:$K$2001,J359),"")</x:f>
        <x:v>0.0038117715128138854</x:v>
      </x:c>
      <x:c r="L359" t="n">
        <x:f>IF(ISNUMBER(K359),L358+LN(K359),"")</x:f>
        <x:v>-1657.599120226365</x:v>
      </x:c>
    </x:row>
    <x:row r="360">
      <x:c r="J360" t="n">
        <x:f>356</x:f>
        <x:v>356</x:v>
      </x:c>
      <x:c r="K360" t="n">
        <x:f>IF(J360&lt;=$B$6,LARGE('계산'!$K$2:$K$2001,J360),"")</x:f>
        <x:v>0.003798618200648166</x:v>
      </x:c>
      <x:c r="L360" t="n">
        <x:f>IF(ISNUMBER(K360),L359+LN(K360),"")</x:f>
        <x:v>-1663.172238136153</x:v>
      </x:c>
    </x:row>
    <x:row r="361">
      <x:c r="J361" t="n">
        <x:f>357</x:f>
        <x:v>357</x:v>
      </x:c>
      <x:c r="K361" t="n">
        <x:f>IF(J361&lt;=$B$6,LARGE('계산'!$K$2:$K$2001,J361),"")</x:f>
        <x:v>0.0037937702695647843</x:v>
      </x:c>
      <x:c r="L361" t="n">
        <x:f>IF(ISNUMBER(K361),L360+LN(K361),"")</x:f>
        <x:v>-1668.74663309644</x:v>
      </x:c>
    </x:row>
    <x:row r="362">
      <x:c r="J362" t="n">
        <x:f>358</x:f>
        <x:v>358</x:v>
      </x:c>
      <x:c r="K362" t="n">
        <x:f>IF(J362&lt;=$B$6,LARGE('계산'!$K$2:$K$2001,J362),"")</x:f>
        <x:v>0.003791382567076844</x:v>
      </x:c>
      <x:c r="L362" t="n">
        <x:f>IF(ISNUMBER(K362),L361+LN(K362),"")</x:f>
        <x:v>-1674.3216576294249</x:v>
      </x:c>
    </x:row>
    <x:row r="363">
      <x:c r="J363" t="n">
        <x:f>359</x:f>
        <x:v>359</x:v>
      </x:c>
      <x:c r="K363" t="n">
        <x:f>IF(J363&lt;=$B$6,LARGE('계산'!$K$2:$K$2001,J363),"")</x:f>
        <x:v>0.00374451760594855</x:v>
      </x:c>
      <x:c r="L363" t="n">
        <x:f>IF(ISNUMBER(K363),L362+LN(K363),"")</x:f>
        <x:v>-1679.9091201098952</x:v>
      </x:c>
    </x:row>
    <x:row r="364">
      <x:c r="J364" t="n">
        <x:f>360</x:f>
        <x:v>360</x:v>
      </x:c>
      <x:c r="K364" t="n">
        <x:f>IF(J364&lt;=$B$6,LARGE('계산'!$K$2:$K$2001,J364),"")</x:f>
        <x:v>0.003720523797651686</x:v>
      </x:c>
      <x:c r="L364" t="n">
        <x:f>IF(ISNUMBER(K364),L363+LN(K364),"")</x:f>
        <x:v>-1685.503010924684</x:v>
      </x:c>
    </x:row>
    <x:row r="365">
      <x:c r="J365" t="n">
        <x:f>361</x:f>
        <x:v>361</x:v>
      </x:c>
      <x:c r="K365" t="n">
        <x:f>IF(J365&lt;=$B$6,LARGE('계산'!$K$2:$K$2001,J365),"")</x:f>
        <x:v>0.003713506742716031</x:v>
      </x:c>
      <x:c r="L365" t="n">
        <x:f>IF(ISNUMBER(K365),L364+LN(K365),"")</x:f>
        <x:v>-1691.09878955981</x:v>
      </x:c>
    </x:row>
    <x:row r="366">
      <x:c r="J366" t="n">
        <x:f>362</x:f>
        <x:v>362</x:v>
      </x:c>
      <x:c r="K366" t="n">
        <x:f>IF(J366&lt;=$B$6,LARGE('계산'!$K$2:$K$2001,J366),"")</x:f>
        <x:v>0.0036846177992957262</x:v>
      </x:c>
      <x:c r="L366" t="n">
        <x:f>IF(ISNUMBER(K366),L365+LN(K366),"")</x:f>
        <x:v>-1696.702378036496</x:v>
      </x:c>
    </x:row>
    <x:row r="367">
      <x:c r="J367" t="n">
        <x:f>363</x:f>
        <x:v>363</x:v>
      </x:c>
      <x:c r="K367" t="n">
        <x:f>IF(J367&lt;=$B$6,LARGE('계산'!$K$2:$K$2001,J367),"")</x:f>
        <x:v>0.003578415567973179</x:v>
      </x:c>
      <x:c r="L367" t="n">
        <x:f>IF(ISNUMBER(K367),L366+LN(K367),"")</x:f>
        <x:v>-1702.3352131918107</x:v>
      </x:c>
    </x:row>
    <x:row r="368">
      <x:c r="J368" t="n">
        <x:f>364</x:f>
        <x:v>364</x:v>
      </x:c>
      <x:c r="K368" t="n">
        <x:f>IF(J368&lt;=$B$6,LARGE('계산'!$K$2:$K$2001,J368),"")</x:f>
        <x:v>0.003507510065242051</x:v>
      </x:c>
      <x:c r="L368" t="n">
        <x:f>IF(ISNUMBER(K368),L367+LN(K368),"")</x:f>
        <x:v>-1707.9880620681681</x:v>
      </x:c>
    </x:row>
    <x:row r="369">
      <x:c r="J369" t="n">
        <x:f>365</x:f>
        <x:v>365</x:v>
      </x:c>
      <x:c r="K369" t="n">
        <x:f>IF(J369&lt;=$B$6,LARGE('계산'!$K$2:$K$2001,J369),"")</x:f>
        <x:v>0.0034637503690971893</x:v>
      </x:c>
      <x:c r="L369" t="n">
        <x:f>IF(ISNUMBER(K369),L368+LN(K369),"")</x:f>
        <x:v>-1713.6534654233951</x:v>
      </x:c>
    </x:row>
    <x:row r="370">
      <x:c r="J370" t="n">
        <x:f>366</x:f>
        <x:v>366</x:v>
      </x:c>
      <x:c r="K370" t="n">
        <x:f>IF(J370&lt;=$B$6,LARGE('계산'!$K$2:$K$2001,J370),"")</x:f>
        <x:v>0.0034274023718717057</x:v>
      </x:c>
      <x:c r="L370" t="n">
        <x:f>IF(ISNUMBER(K370),L369+LN(K370),"")</x:f>
        <x:v>-1719.3294180541004</x:v>
      </x:c>
    </x:row>
    <x:row r="371">
      <x:c r="J371" t="n">
        <x:f>367</x:f>
        <x:v>367</x:v>
      </x:c>
      <x:c r="K371" t="n">
        <x:f>IF(J371&lt;=$B$6,LARGE('계산'!$K$2:$K$2001,J371),"")</x:f>
        <x:v>0.0034240077316593323</x:v>
      </x:c>
      <x:c r="L371" t="n">
        <x:f>IF(ISNUMBER(K371),L370+LN(K371),"")</x:f>
        <x:v>-1725.0063616167274</x:v>
      </x:c>
    </x:row>
    <x:row r="372">
      <x:c r="J372" t="n">
        <x:f>368</x:f>
        <x:v>368</x:v>
      </x:c>
      <x:c r="K372" t="n">
        <x:f>IF(J372&lt;=$B$6,LARGE('계산'!$K$2:$K$2001,J372),"")</x:f>
        <x:v>0.0033940898365148763</x:v>
      </x:c>
      <x:c r="L372" t="n">
        <x:f>IF(ISNUMBER(K372),L371+LN(K372),"")</x:f>
        <x:v>-1730.692081260033</x:v>
      </x:c>
    </x:row>
    <x:row r="373">
      <x:c r="J373" t="n">
        <x:f>369</x:f>
        <x:v>369</x:v>
      </x:c>
      <x:c r="K373" t="n">
        <x:f>IF(J373&lt;=$B$6,LARGE('계산'!$K$2:$K$2001,J373),"")</x:f>
        <x:v>0.0033803974599708225</x:v>
      </x:c>
      <x:c r="L373" t="n">
        <x:f>IF(ISNUMBER(K373),L372+LN(K373),"")</x:f>
        <x:v>-1736.3818432447263</x:v>
      </x:c>
    </x:row>
    <x:row r="374">
      <x:c r="J374" t="n">
        <x:f>370</x:f>
        <x:v>370</x:v>
      </x:c>
      <x:c r="K374" t="n">
        <x:f>IF(J374&lt;=$B$6,LARGE('계산'!$K$2:$K$2001,J374),"")</x:f>
        <x:v>0.0033596417507400717</x:v>
      </x:c>
      <x:c r="L374" t="n">
        <x:f>IF(ISNUMBER(K374),L373+LN(K374),"")</x:f>
        <x:v>-1742.0777641772213</x:v>
      </x:c>
    </x:row>
    <x:row r="375">
      <x:c r="J375" t="n">
        <x:f>371</x:f>
        <x:v>371</x:v>
      </x:c>
      <x:c r="K375" t="n">
        <x:f>IF(J375&lt;=$B$6,LARGE('계산'!$K$2:$K$2001,J375),"")</x:f>
        <x:v>0.0033505754849919973</x:v>
      </x:c>
      <x:c r="L375" t="n">
        <x:f>IF(ISNUMBER(K375),L374+LN(K375),"")</x:f>
        <x:v>-1747.7763873385552</x:v>
      </x:c>
    </x:row>
    <x:row r="376">
      <x:c r="J376" t="n">
        <x:f>372</x:f>
        <x:v>372</x:v>
      </x:c>
      <x:c r="K376" t="n">
        <x:f>IF(J376&lt;=$B$6,LARGE('계산'!$K$2:$K$2001,J376),"")</x:f>
        <x:v>0.003343110391344389</x:v>
      </x:c>
      <x:c r="L376" t="n">
        <x:f>IF(ISNUMBER(K376),L375+LN(K376),"")</x:f>
        <x:v>-1753.477240989004</x:v>
      </x:c>
    </x:row>
    <x:row r="377">
      <x:c r="J377" t="n">
        <x:f>373</x:f>
        <x:v>373</x:v>
      </x:c>
      <x:c r="K377" t="n">
        <x:f>IF(J377&lt;=$B$6,LARGE('계산'!$K$2:$K$2001,J377),"")</x:f>
        <x:v>0.003331363329018371</x:v>
      </x:c>
      <x:c r="L377" t="n">
        <x:f>IF(ISNUMBER(K377),L376+LN(K377),"")</x:f>
        <x:v>-1759.1816146396648</x:v>
      </x:c>
    </x:row>
    <x:row r="378">
      <x:c r="J378" t="n">
        <x:f>374</x:f>
        <x:v>374</x:v>
      </x:c>
      <x:c r="K378" t="n">
        <x:f>IF(J378&lt;=$B$6,LARGE('계산'!$K$2:$K$2001,J378),"")</x:f>
        <x:v>0.0033197245754116454</x:v>
      </x:c>
      <x:c r="L378" t="n">
        <x:f>IF(ISNUMBER(K378),L377+LN(K378),"")</x:f>
        <x:v>-1764.8894880983732</x:v>
      </x:c>
    </x:row>
    <x:row r="379">
      <x:c r="J379" t="n">
        <x:f>375</x:f>
        <x:v>375</x:v>
      </x:c>
      <x:c r="K379" t="n">
        <x:f>IF(J379&lt;=$B$6,LARGE('계산'!$K$2:$K$2001,J379),"")</x:f>
        <x:v>0.0032796736914583948</x:v>
      </x:c>
      <x:c r="L379" t="n">
        <x:f>IF(ISNUMBER(K379),L378+LN(K379),"")</x:f>
        <x:v>-1770.6094994442196</x:v>
      </x:c>
    </x:row>
    <x:row r="380">
      <x:c r="J380" t="n">
        <x:f>376</x:f>
        <x:v>376</x:v>
      </x:c>
      <x:c r="K380" t="n">
        <x:f>IF(J380&lt;=$B$6,LARGE('계산'!$K$2:$K$2001,J380),"")</x:f>
        <x:v>0.0032660214099032004</x:v>
      </x:c>
      <x:c r="L380" t="n">
        <x:f>IF(ISNUMBER(K380),L379+LN(K380),"")</x:f>
        <x:v>-1776.333682173285</x:v>
      </x:c>
    </x:row>
    <x:row r="381">
      <x:c r="J381" t="n">
        <x:f>377</x:f>
        <x:v>377</x:v>
      </x:c>
      <x:c r="K381" t="n">
        <x:f>IF(J381&lt;=$B$6,LARGE('계산'!$K$2:$K$2001,J381),"")</x:f>
        <x:v>0.0032556537024080235</x:v>
      </x:c>
      <x:c r="L381" t="n">
        <x:f>IF(ISNUMBER(K381),L380+LN(K381),"")</x:f>
        <x:v>-1782.0610443665375</x:v>
      </x:c>
    </x:row>
    <x:row r="382">
      <x:c r="J382" t="n">
        <x:f>378</x:f>
        <x:v>378</x:v>
      </x:c>
      <x:c r="K382" t="n">
        <x:f>IF(J382&lt;=$B$6,LARGE('계산'!$K$2:$K$2001,J382),"")</x:f>
        <x:v>0.0032492769523037248</x:v>
      </x:c>
      <x:c r="L382" t="n">
        <x:f>IF(ISNUMBER(K382),L381+LN(K382),"")</x:f>
        <x:v>-1787.7903671501438</x:v>
      </x:c>
    </x:row>
    <x:row r="383">
      <x:c r="J383" t="n">
        <x:f>379</x:f>
        <x:v>379</x:v>
      </x:c>
      <x:c r="K383" t="n">
        <x:f>IF(J383&lt;=$B$6,LARGE('계산'!$K$2:$K$2001,J383),"")</x:f>
        <x:v>0.0032231888301986786</x:v>
      </x:c>
      <x:c r="L383" t="n">
        <x:f>IF(ISNUMBER(K383),L382+LN(K383),"")</x:f>
        <x:v>-1793.5277512396754</x:v>
      </x:c>
    </x:row>
    <x:row r="384">
      <x:c r="J384" t="n">
        <x:f>380</x:f>
        <x:v>380</x:v>
      </x:c>
      <x:c r="K384" t="n">
        <x:f>IF(J384&lt;=$B$6,LARGE('계산'!$K$2:$K$2001,J384),"")</x:f>
        <x:v>0.0031960561413526822</x:v>
      </x:c>
      <x:c r="L384" t="n">
        <x:f>IF(ISNUMBER(K384),L383+LN(K384),"")</x:f>
        <x:v>-1799.2735889247774</x:v>
      </x:c>
    </x:row>
    <x:row r="385">
      <x:c r="J385" t="n">
        <x:f>381</x:f>
        <x:v>381</x:v>
      </x:c>
      <x:c r="K385" t="n">
        <x:f>IF(J385&lt;=$B$6,LARGE('계산'!$K$2:$K$2001,J385),"")</x:f>
        <x:v>0.0031306105711563386</x:v>
      </x:c>
      <x:c r="L385" t="n">
        <x:f>IF(ISNUMBER(K385),L384+LN(K385),"")</x:f>
        <x:v>-1805.0401161475743</x:v>
      </x:c>
    </x:row>
    <x:row r="386">
      <x:c r="J386" t="n">
        <x:f>382</x:f>
        <x:v>382</x:v>
      </x:c>
      <x:c r="K386" t="n">
        <x:f>IF(J386&lt;=$B$6,LARGE('계산'!$K$2:$K$2001,J386),"")</x:f>
        <x:v>0.0030982901190132455</x:v>
      </x:c>
      <x:c r="L386" t="n">
        <x:f>IF(ISNUMBER(K386),L385+LN(K386),"")</x:f>
        <x:v>-1810.8170210417504</x:v>
      </x:c>
    </x:row>
    <x:row r="387">
      <x:c r="J387" t="n">
        <x:f>383</x:f>
        <x:v>383</x:v>
      </x:c>
      <x:c r="K387" t="n">
        <x:f>IF(J387&lt;=$B$6,LARGE('계산'!$K$2:$K$2001,J387),"")</x:f>
        <x:v>0.0030788007841164888</x:v>
      </x:c>
      <x:c r="L387" t="n">
        <x:f>IF(ISNUMBER(K387),L386+LN(K387),"")</x:f>
        <x:v>-1816.6002361553722</x:v>
      </x:c>
    </x:row>
    <x:row r="388">
      <x:c r="J388" t="n">
        <x:f>384</x:f>
        <x:v>384</x:v>
      </x:c>
      <x:c r="K388" t="n">
        <x:f>IF(J388&lt;=$B$6,LARGE('계산'!$K$2:$K$2001,J388),"")</x:f>
        <x:v>0.0030577245886887544</x:v>
      </x:c>
      <x:c r="L388" t="n">
        <x:f>IF(ISNUMBER(K388),L387+LN(K388),"")</x:f>
        <x:v>-1822.3903203934642</x:v>
      </x:c>
    </x:row>
    <x:row r="389">
      <x:c r="J389" t="n">
        <x:f>385</x:f>
        <x:v>385</x:v>
      </x:c>
      <x:c r="K389" t="n">
        <x:f>IF(J389&lt;=$B$6,LARGE('계산'!$K$2:$K$2001,J389),"")</x:f>
        <x:v>0.0030390493784978774</x:v>
      </x:c>
      <x:c r="L389" t="n">
        <x:f>IF(ISNUMBER(K389),L388+LN(K389),"")</x:f>
        <x:v>-1828.1865309103719</x:v>
      </x:c>
    </x:row>
    <x:row r="390">
      <x:c r="J390" t="n">
        <x:f>386</x:f>
        <x:v>386</x:v>
      </x:c>
      <x:c r="K390" t="n">
        <x:f>IF(J390&lt;=$B$6,LARGE('계산'!$K$2:$K$2001,J390),"")</x:f>
        <x:v>0.0030048311450339973</x:v>
      </x:c>
      <x:c r="L390" t="n">
        <x:f>IF(ISNUMBER(K390),L389+LN(K390),"")</x:f>
        <x:v>-1833.994064814282</x:v>
      </x:c>
    </x:row>
    <x:row r="391">
      <x:c r="J391" t="n">
        <x:f>387</x:f>
        <x:v>387</x:v>
      </x:c>
      <x:c r="K391" t="n">
        <x:f>IF(J391&lt;=$B$6,LARGE('계산'!$K$2:$K$2001,J391),"")</x:f>
        <x:v>0.002951657080443583</x:v>
      </x:c>
      <x:c r="L391" t="n">
        <x:f>IF(ISNUMBER(K391),L390+LN(K391),"")</x:f>
        <x:v>-1839.8194533584349</x:v>
      </x:c>
    </x:row>
    <x:row r="392">
      <x:c r="J392" t="n">
        <x:f>388</x:f>
        <x:v>388</x:v>
      </x:c>
      <x:c r="K392" t="n">
        <x:f>IF(J392&lt;=$B$6,LARGE('계산'!$K$2:$K$2001,J392),"")</x:f>
        <x:v>0.0028966775374889785</x:v>
      </x:c>
      <x:c r="L392" t="n">
        <x:f>IF(ISNUMBER(K392),L391+LN(K392),"")</x:f>
        <x:v>-1845.6636442339418</x:v>
      </x:c>
    </x:row>
    <x:row r="393">
      <x:c r="J393" t="n">
        <x:f>389</x:f>
        <x:v>389</x:v>
      </x:c>
      <x:c r="K393" t="n">
        <x:f>IF(J393&lt;=$B$6,LARGE('계산'!$K$2:$K$2001,J393),"")</x:f>
        <x:v>0.002891786497149937</x:v>
      </x:c>
      <x:c r="L393" t="n">
        <x:f>IF(ISNUMBER(K393),L392+LN(K393),"")</x:f>
        <x:v>-1851.5095250366812</x:v>
      </x:c>
    </x:row>
    <x:row r="394">
      <x:c r="J394" t="n">
        <x:f>390</x:f>
        <x:v>390</x:v>
      </x:c>
      <x:c r="K394" t="n">
        <x:f>IF(J394&lt;=$B$6,LARGE('계산'!$K$2:$K$2001,J394),"")</x:f>
        <x:v>0.0028831880377310467</x:v>
      </x:c>
      <x:c r="L394" t="n">
        <x:f>IF(ISNUMBER(K394),L393+LN(K394),"")</x:f>
        <x:v>-1857.3583836761957</x:v>
      </x:c>
    </x:row>
    <x:row r="395">
      <x:c r="J395" t="n">
        <x:f>391</x:f>
        <x:v>391</x:v>
      </x:c>
      <x:c r="K395" t="n">
        <x:f>IF(J395&lt;=$B$6,LARGE('계산'!$K$2:$K$2001,J395),"")</x:f>
        <x:v>0.002855208455138448</x:v>
      </x:c>
      <x:c r="L395" t="n">
        <x:f>IF(ISNUMBER(K395),L394+LN(K395),"")</x:f>
        <x:v>-1863.2169941006762</x:v>
      </x:c>
    </x:row>
    <x:row r="396">
      <x:c r="J396" t="n">
        <x:f>392</x:f>
        <x:v>392</x:v>
      </x:c>
      <x:c r="K396" t="n">
        <x:f>IF(J396&lt;=$B$6,LARGE('계산'!$K$2:$K$2001,J396),"")</x:f>
        <x:v>0.0028446887006135634</x:v>
      </x:c>
      <x:c r="L396" t="n">
        <x:f>IF(ISNUMBER(K396),L395+LN(K396),"")</x:f>
        <x:v>-1869.0792957378862</x:v>
      </x:c>
    </x:row>
    <x:row r="397">
      <x:c r="J397" t="n">
        <x:f>393</x:f>
        <x:v>393</x:v>
      </x:c>
      <x:c r="K397" t="n">
        <x:f>IF(J397&lt;=$B$6,LARGE('계산'!$K$2:$K$2001,J397),"")</x:f>
        <x:v>0.0028420126724351584</x:v>
      </x:c>
      <x:c r="L397" t="n">
        <x:f>IF(ISNUMBER(K397),L396+LN(K397),"")</x:f>
        <x:v>-1874.9425385282184</x:v>
      </x:c>
    </x:row>
    <x:row r="398">
      <x:c r="J398" t="n">
        <x:f>394</x:f>
        <x:v>394</x:v>
      </x:c>
      <x:c r="K398" t="n">
        <x:f>IF(J398&lt;=$B$6,LARGE('계산'!$K$2:$K$2001,J398),"")</x:f>
        <x:v>0.002822212883262636</x:v>
      </x:c>
      <x:c r="L398" t="n">
        <x:f>IF(ISNUMBER(K398),L397+LN(K398),"")</x:f>
        <x:v>-1880.812772519598</x:v>
      </x:c>
    </x:row>
    <x:row r="399">
      <x:c r="J399" t="n">
        <x:f>395</x:f>
        <x:v>395</x:v>
      </x:c>
      <x:c r="K399" t="n">
        <x:f>IF(J399&lt;=$B$6,LARGE('계산'!$K$2:$K$2001,J399),"")</x:f>
        <x:v>0.002791956889417228</x:v>
      </x:c>
      <x:c r="L399" t="n">
        <x:f>IF(ISNUMBER(K399),L398+LN(K399),"")</x:f>
        <x:v>-1886.6937850545523</x:v>
      </x:c>
    </x:row>
    <x:row r="400">
      <x:c r="J400" t="n">
        <x:f>396</x:f>
        <x:v>396</x:v>
      </x:c>
      <x:c r="K400" t="n">
        <x:f>IF(J400&lt;=$B$6,LARGE('계산'!$K$2:$K$2001,J400),"")</x:f>
        <x:v>0.0027836475460032346</x:v>
      </x:c>
      <x:c r="L400" t="n">
        <x:f>IF(ISNUMBER(K400),L399+LN(K400),"")</x:f>
        <x:v>-1892.5777781989318</x:v>
      </x:c>
    </x:row>
    <x:row r="401">
      <x:c r="J401" t="n">
        <x:f>397</x:f>
        <x:v>397</x:v>
      </x:c>
      <x:c r="K401" t="n">
        <x:f>IF(J401&lt;=$B$6,LARGE('계산'!$K$2:$K$2001,J401),"")</x:f>
        <x:v>0.0026992374898124638</x:v>
      </x:c>
      <x:c r="L401" t="n">
        <x:f>IF(ISNUMBER(K401),L400+LN(K401),"")</x:f>
        <x:v>-1898.4925641559698</x:v>
      </x:c>
    </x:row>
    <x:row r="402">
      <x:c r="J402" t="n">
        <x:f>398</x:f>
        <x:v>398</x:v>
      </x:c>
      <x:c r="K402" t="n">
        <x:f>IF(J402&lt;=$B$6,LARGE('계산'!$K$2:$K$2001,J402),"")</x:f>
        <x:v>0.0026799185057129068</x:v>
      </x:c>
      <x:c r="L402" t="n">
        <x:f>IF(ISNUMBER(K402),L401+LN(K402),"")</x:f>
        <x:v>-1904.4145330492076</x:v>
      </x:c>
    </x:row>
    <x:row r="403">
      <x:c r="J403" t="n">
        <x:f>399</x:f>
        <x:v>399</x:v>
      </x:c>
      <x:c r="K403" t="n">
        <x:f>IF(J403&lt;=$B$6,LARGE('계산'!$K$2:$K$2001,J403),"")</x:f>
        <x:v>0.0026765144387034213</x:v>
      </x:c>
      <x:c r="L403" t="n">
        <x:f>IF(ISNUMBER(K403),L402+LN(K403),"")</x:f>
        <x:v>-1910.3377729627318</x:v>
      </x:c>
    </x:row>
    <x:row r="404">
      <x:c r="J404" t="n">
        <x:f>400</x:f>
        <x:v>400</x:v>
      </x:c>
      <x:c r="K404" t="n">
        <x:f>IF(J404&lt;=$B$6,LARGE('계산'!$K$2:$K$2001,J404),"")</x:f>
        <x:v>0.0026662932983682296</x:v>
      </x:c>
      <x:c r="L404" t="n">
        <x:f>IF(ISNUMBER(K404),L403+LN(K404),"")</x:f>
        <x:v>-1916.264839011617</x:v>
      </x:c>
    </x:row>
    <x:row r="405">
      <x:c r="J405" t="n">
        <x:f>401</x:f>
        <x:v>401</x:v>
      </x:c>
      <x:c r="K405" t="n">
        <x:f>IF(J405&lt;=$B$6,LARGE('계산'!$K$2:$K$2001,J405),"")</x:f>
        <x:v>0.0026355264236050534</x:v>
      </x:c>
      <x:c r="L405" t="n">
        <x:f>IF(ISNUMBER(K405),L404+LN(K405),"")</x:f>
        <x:v>-1922.203511347305</x:v>
      </x:c>
    </x:row>
    <x:row r="406">
      <x:c r="J406" t="n">
        <x:f>402</x:f>
        <x:v>402</x:v>
      </x:c>
      <x:c r="K406" t="n">
        <x:f>IF(J406&lt;=$B$6,LARGE('계산'!$K$2:$K$2001,J406),"")</x:f>
        <x:v>0.002614173142272831</x:v>
      </x:c>
      <x:c r="L406" t="n">
        <x:f>IF(ISNUMBER(K406),L405+LN(K406),"")</x:f>
        <x:v>-1928.150318776755</x:v>
      </x:c>
    </x:row>
    <x:row r="407">
      <x:c r="J407" t="n">
        <x:f>403</x:f>
        <x:v>403</x:v>
      </x:c>
      <x:c r="K407" t="n">
        <x:f>IF(J407&lt;=$B$6,LARGE('계산'!$K$2:$K$2001,J407),"")</x:f>
        <x:v>0.0026022879889856334</x:v>
      </x:c>
      <x:c r="L407" t="n">
        <x:f>IF(ISNUMBER(K407),L406+LN(K407),"")</x:f>
        <x:v>-1934.1016830019153</x:v>
      </x:c>
    </x:row>
    <x:row r="408">
      <x:c r="J408" t="n">
        <x:f>404</x:f>
        <x:v>404</x:v>
      </x:c>
      <x:c r="K408" t="n">
        <x:f>IF(J408&lt;=$B$6,LARGE('계산'!$K$2:$K$2001,J408),"")</x:f>
        <x:v>0.0025902813663348906</x:v>
      </x:c>
      <x:c r="L408" t="n">
        <x:f>IF(ISNUMBER(K408),L407+LN(K408),"")</x:f>
        <x:v>-1940.057671775436</x:v>
      </x:c>
    </x:row>
    <x:row r="409">
      <x:c r="J409" t="n">
        <x:f>405</x:f>
        <x:v>405</x:v>
      </x:c>
      <x:c r="K409" t="n">
        <x:f>IF(J409&lt;=$B$6,LARGE('계산'!$K$2:$K$2001,J409),"")</x:f>
        <x:v>0.0025775213335819634</x:v>
      </x:c>
      <x:c r="L409" t="n">
        <x:f>IF(ISNUMBER(K409),L408+LN(K409),"")</x:f>
        <x:v>-1946.018598840693</x:v>
      </x:c>
    </x:row>
    <x:row r="410">
      <x:c r="J410" t="n">
        <x:f>406</x:f>
        <x:v>406</x:v>
      </x:c>
      <x:c r="K410" t="n">
        <x:f>IF(J410&lt;=$B$6,LARGE('계산'!$K$2:$K$2001,J410),"")</x:f>
        <x:v>0.0025686037517112154</x:v>
      </x:c>
      <x:c r="L410" t="n">
        <x:f>IF(ISNUMBER(K410),L409+LN(K410),"")</x:f>
        <x:v>-1951.982991655674</x:v>
      </x:c>
    </x:row>
    <x:row r="411">
      <x:c r="J411" t="n">
        <x:f>407</x:f>
        <x:v>407</x:v>
      </x:c>
      <x:c r="K411" t="n">
        <x:f>IF(J411&lt;=$B$6,LARGE('계산'!$K$2:$K$2001,J411),"")</x:f>
        <x:v>0.0025183427905784254</x:v>
      </x:c>
      <x:c r="L411" t="n">
        <x:f>IF(ISNUMBER(K411),L410+LN(K411),"")</x:f>
        <x:v>-1957.9671458722478</x:v>
      </x:c>
    </x:row>
    <x:row r="412">
      <x:c r="J412" t="n">
        <x:f>408</x:f>
        <x:v>408</x:v>
      </x:c>
      <x:c r="K412" t="n">
        <x:f>IF(J412&lt;=$B$6,LARGE('계산'!$K$2:$K$2001,J412),"")</x:f>
        <x:v>0.0025132040198492943</x:v>
      </x:c>
      <x:c r="L412" t="n">
        <x:f>IF(ISNUMBER(K412),L411+LN(K412),"")</x:f>
        <x:v>-1963.95334271019</x:v>
      </x:c>
    </x:row>
    <x:row r="413">
      <x:c r="J413" t="n">
        <x:f>409</x:f>
        <x:v>409</x:v>
      </x:c>
      <x:c r="K413" t="n">
        <x:f>IF(J413&lt;=$B$6,LARGE('계산'!$K$2:$K$2001,J413),"")</x:f>
        <x:v>0.002495614018162474</x:v>
      </x:c>
      <x:c r="L413" t="n">
        <x:f>IF(ISNUMBER(K413),L412+LN(K413),"")</x:f>
        <x:v>-1969.9465631907824</x:v>
      </x:c>
    </x:row>
    <x:row r="414">
      <x:c r="J414" t="n">
        <x:f>410</x:f>
        <x:v>410</x:v>
      </x:c>
      <x:c r="K414" t="n">
        <x:f>IF(J414&lt;=$B$6,LARGE('계산'!$K$2:$K$2001,J414),"")</x:f>
        <x:v>0.002354332306926723</x:v>
      </x:c>
      <x:c r="L414" t="n">
        <x:f>IF(ISNUMBER(K414),L413+LN(K414),"")</x:f>
        <x:v>-1975.9980613039709</x:v>
      </x:c>
    </x:row>
    <x:row r="415">
      <x:c r="J415" t="n">
        <x:f>411</x:f>
        <x:v>411</x:v>
      </x:c>
      <x:c r="K415" t="n">
        <x:f>IF(J415&lt;=$B$6,LARGE('계산'!$K$2:$K$2001,J415),"")</x:f>
        <x:v>0.0023059546606393868</x:v>
      </x:c>
      <x:c r="L415" t="n">
        <x:f>IF(ISNUMBER(K415),L414+LN(K415),"")</x:f>
        <x:v>-1982.070321822774</x:v>
      </x:c>
    </x:row>
    <x:row r="416">
      <x:c r="J416" t="n">
        <x:f>412</x:f>
        <x:v>412</x:v>
      </x:c>
      <x:c r="K416" t="n">
        <x:f>IF(J416&lt;=$B$6,LARGE('계산'!$K$2:$K$2001,J416),"")</x:f>
        <x:v>0.0022957784734392813</x:v>
      </x:c>
      <x:c r="L416" t="n">
        <x:f>IF(ISNUMBER(K416),L415+LN(K416),"")</x:f>
        <x:v>-1988.1470051116473</x:v>
      </x:c>
    </x:row>
    <x:row r="417">
      <x:c r="J417" t="n">
        <x:f>413</x:f>
        <x:v>413</x:v>
      </x:c>
      <x:c r="K417" t="n">
        <x:f>IF(J417&lt;=$B$6,LARGE('계산'!$K$2:$K$2001,J417),"")</x:f>
        <x:v>0.0022946066631534534</x:v>
      </x:c>
      <x:c r="L417" t="n">
        <x:f>IF(ISNUMBER(K417),L416+LN(K417),"")</x:f>
        <x:v>-1994.2241989504098</x:v>
      </x:c>
    </x:row>
    <x:row r="418">
      <x:c r="J418" t="n">
        <x:f>414</x:f>
        <x:v>414</x:v>
      </x:c>
      <x:c r="K418" t="n">
        <x:f>IF(J418&lt;=$B$6,LARGE('계산'!$K$2:$K$2001,J418),"")</x:f>
        <x:v>0.0022837890920121466</x:v>
      </x:c>
      <x:c r="L418" t="n">
        <x:f>IF(ISNUMBER(K418),L417+LN(K418),"")</x:f>
        <x:v>-2000.3061182833628</x:v>
      </x:c>
    </x:row>
    <x:row r="419">
      <x:c r="J419" t="n">
        <x:f>415</x:f>
        <x:v>415</x:v>
      </x:c>
      <x:c r="K419" t="n">
        <x:f>IF(J419&lt;=$B$6,LARGE('계산'!$K$2:$K$2001,J419),"")</x:f>
        <x:v>0.0022743563093937332</x:v>
      </x:c>
      <x:c r="L419" t="n">
        <x:f>IF(ISNUMBER(K419),L418+LN(K419),"")</x:f>
        <x:v>-2006.3921764909032</x:v>
      </x:c>
    </x:row>
    <x:row r="420">
      <x:c r="J420" t="n">
        <x:f>416</x:f>
        <x:v>416</x:v>
      </x:c>
      <x:c r="K420" t="n">
        <x:f>IF(J420&lt;=$B$6,LARGE('계산'!$K$2:$K$2001,J420),"")</x:f>
        <x:v>0.0022601221219255914</x:v>
      </x:c>
      <x:c r="L420" t="n">
        <x:f>IF(ISNUMBER(K420),L419+LN(K420),"")</x:f>
        <x:v>-2012.4845129218108</x:v>
      </x:c>
    </x:row>
    <x:row r="421">
      <x:c r="J421" t="n">
        <x:f>417</x:f>
        <x:v>417</x:v>
      </x:c>
      <x:c r="K421" t="n">
        <x:f>IF(J421&lt;=$B$6,LARGE('계산'!$K$2:$K$2001,J421),"")</x:f>
        <x:v>0.0022542634025977844</x:v>
      </x:c>
      <x:c r="L421" t="n">
        <x:f>IF(ISNUMBER(K421),L420+LN(K421),"")</x:f>
        <x:v>-2018.579444931933</x:v>
      </x:c>
    </x:row>
    <x:row r="422">
      <x:c r="J422" t="n">
        <x:f>418</x:f>
        <x:v>418</x:v>
      </x:c>
      <x:c r="K422" t="n">
        <x:f>IF(J422&lt;=$B$6,LARGE('계산'!$K$2:$K$2001,J422),"")</x:f>
        <x:v>0.0022142628675288966</x:v>
      </x:c>
      <x:c r="L422" t="n">
        <x:f>IF(ISNUMBER(K422),L421+LN(K422),"")</x:f>
        <x:v>-2024.6922806539887</x:v>
      </x:c>
    </x:row>
    <x:row r="423">
      <x:c r="J423" t="n">
        <x:f>419</x:f>
        <x:v>419</x:v>
      </x:c>
      <x:c r="K423" t="n">
        <x:f>IF(J423&lt;=$B$6,LARGE('계산'!$K$2:$K$2001,J423),"")</x:f>
        <x:v>0.0021339705190328013</x:v>
      </x:c>
      <x:c r="L423" t="n">
        <x:f>IF(ISNUMBER(K423),L422+LN(K423),"")</x:f>
        <x:v>-2030.842051595073</x:v>
      </x:c>
    </x:row>
    <x:row r="424">
      <x:c r="J424" t="n">
        <x:f>420</x:f>
        <x:v>420</x:v>
      </x:c>
      <x:c r="K424" t="n">
        <x:f>IF(J424&lt;=$B$6,LARGE('계산'!$K$2:$K$2001,J424),"")</x:f>
        <x:v>0.0020963499064151816</x:v>
      </x:c>
      <x:c r="L424" t="n">
        <x:f>IF(ISNUMBER(K424),L423+LN(K424),"")</x:f>
        <x:v>-2037.0096091814455</x:v>
      </x:c>
    </x:row>
    <x:row r="425">
      <x:c r="J425" t="n">
        <x:f>421</x:f>
        <x:v>421</x:v>
      </x:c>
      <x:c r="K425" t="n">
        <x:f>IF(J425&lt;=$B$6,LARGE('계산'!$K$2:$K$2001,J425),"")</x:f>
        <x:v>0.002077633379291932</x:v>
      </x:c>
      <x:c r="L425" t="n">
        <x:f>IF(ISNUMBER(K425),L424+LN(K425),"")</x:f>
        <x:v>-2043.1861350129159</x:v>
      </x:c>
    </x:row>
    <x:row r="426">
      <x:c r="J426" t="n">
        <x:f>422</x:f>
        <x:v>422</x:v>
      </x:c>
      <x:c r="K426" t="n">
        <x:f>IF(J426&lt;=$B$6,LARGE('계산'!$K$2:$K$2001,J426),"")</x:f>
        <x:v>0.0020701195601057574</x:v>
      </x:c>
      <x:c r="L426" t="n">
        <x:f>IF(ISNUMBER(K426),L425+LN(K426),"")</x:f>
        <x:v>-2049.3662839277836</x:v>
      </x:c>
    </x:row>
    <x:row r="427">
      <x:c r="J427" t="n">
        <x:f>423</x:f>
        <x:v>423</x:v>
      </x:c>
      <x:c r="K427" t="n">
        <x:f>IF(J427&lt;=$B$6,LARGE('계산'!$K$2:$K$2001,J427),"")</x:f>
        <x:v>0.0020442048644158327</x:v>
      </x:c>
      <x:c r="L427" t="n">
        <x:f>IF(ISNUMBER(K427),L426+LN(K427),"")</x:f>
        <x:v>-2055.559030312237</x:v>
      </x:c>
    </x:row>
    <x:row r="428">
      <x:c r="J428" t="n">
        <x:f>424</x:f>
        <x:v>424</x:v>
      </x:c>
      <x:c r="K428" t="n">
        <x:f>IF(J428&lt;=$B$6,LARGE('계산'!$K$2:$K$2001,J428),"")</x:f>
        <x:v>0.0020407915197201473</x:v>
      </x:c>
      <x:c r="L428" t="n">
        <x:f>IF(ISNUMBER(K428),L427+LN(K428),"")</x:f>
        <x:v>-2061.7534478587527</x:v>
      </x:c>
    </x:row>
    <x:row r="429">
      <x:c r="J429" t="n">
        <x:f>425</x:f>
        <x:v>425</x:v>
      </x:c>
      <x:c r="K429" t="n">
        <x:f>IF(J429&lt;=$B$6,LARGE('계산'!$K$2:$K$2001,J429),"")</x:f>
        <x:v>0.0020096124925323288</x:v>
      </x:c>
      <x:c r="L429" t="n">
        <x:f>IF(ISNUMBER(K429),L428+LN(K429),"")</x:f>
        <x:v>-2067.9632612240353</x:v>
      </x:c>
    </x:row>
    <x:row r="430">
      <x:c r="J430" t="n">
        <x:f>426</x:f>
        <x:v>426</x:v>
      </x:c>
      <x:c r="K430" t="n">
        <x:f>IF(J430&lt;=$B$6,LARGE('계산'!$K$2:$K$2001,J430),"")</x:f>
        <x:v>0.002006970089391868</x:v>
      </x:c>
      <x:c r="L430" t="n">
        <x:f>IF(ISNUMBER(K430),L429+LN(K430),"")</x:f>
        <x:v>-2074.1743903364572</x:v>
      </x:c>
    </x:row>
    <x:row r="431">
      <x:c r="J431" t="n">
        <x:f>427</x:f>
        <x:v>427</x:v>
      </x:c>
      <x:c r="K431" t="n">
        <x:f>IF(J431&lt;=$B$6,LARGE('계산'!$K$2:$K$2001,J431),"")</x:f>
        <x:v>0.0020023186105635605</x:v>
      </x:c>
      <x:c r="L431" t="n">
        <x:f>IF(ISNUMBER(K431),L430+LN(K431),"")</x:f>
        <x:v>-2080.387839801073</x:v>
      </x:c>
    </x:row>
    <x:row r="432">
      <x:c r="J432" t="n">
        <x:f>428</x:f>
        <x:v>428</x:v>
      </x:c>
      <x:c r="K432" t="n">
        <x:f>IF(J432&lt;=$B$6,LARGE('계산'!$K$2:$K$2001,J432),"")</x:f>
        <x:v>0.001978478682771429</x:v>
      </x:c>
      <x:c r="L432" t="n">
        <x:f>IF(ISNUMBER(K432),L431+LN(K432),"")</x:f>
        <x:v>-2086.613266872709</x:v>
      </x:c>
    </x:row>
    <x:row r="433">
      <x:c r="J433" t="n">
        <x:f>429</x:f>
        <x:v>429</x:v>
      </x:c>
      <x:c r="K433" t="n">
        <x:f>IF(J433&lt;=$B$6,LARGE('계산'!$K$2:$K$2001,J433),"")</x:f>
        <x:v>0.0019779810015746685</x:v>
      </x:c>
      <x:c r="L433" t="n">
        <x:f>IF(ISNUMBER(K433),L432+LN(K433),"")</x:f>
        <x:v>-2092.8389455234033</x:v>
      </x:c>
    </x:row>
    <x:row r="434">
      <x:c r="J434" t="n">
        <x:f>430</x:f>
        <x:v>430</x:v>
      </x:c>
      <x:c r="K434" t="n">
        <x:f>IF(J434&lt;=$B$6,LARGE('계산'!$K$2:$K$2001,J434),"")</x:f>
        <x:v>0.001973725154901454</x:v>
      </x:c>
      <x:c r="L434" t="n">
        <x:f>IF(ISNUMBER(K434),L433+LN(K434),"")</x:f>
        <x:v>-2099.0667781036404</x:v>
      </x:c>
    </x:row>
    <x:row r="435">
      <x:c r="J435" t="n">
        <x:f>431</x:f>
        <x:v>431</x:v>
      </x:c>
      <x:c r="K435" t="n">
        <x:f>IF(J435&lt;=$B$6,LARGE('계산'!$K$2:$K$2001,J435),"")</x:f>
        <x:v>0.0019724192860706437</x:v>
      </x:c>
      <x:c r="L435" t="n">
        <x:f>IF(ISNUMBER(K435),L434+LN(K435),"")</x:f>
        <x:v>-2105.295272529331</x:v>
      </x:c>
    </x:row>
    <x:row r="436">
      <x:c r="J436" t="n">
        <x:f>432</x:f>
        <x:v>432</x:v>
      </x:c>
      <x:c r="K436" t="n">
        <x:f>IF(J436&lt;=$B$6,LARGE('계산'!$K$2:$K$2001,J436),"")</x:f>
        <x:v>0.0019312709091744177</x:v>
      </x:c>
      <x:c r="L436" t="n">
        <x:f>IF(ISNUMBER(K436),L435+LN(K436),"")</x:f>
        <x:v>-2111.544849519951</x:v>
      </x:c>
    </x:row>
    <x:row r="437">
      <x:c r="J437" t="n">
        <x:f>433</x:f>
        <x:v>433</x:v>
      </x:c>
      <x:c r="K437" t="n">
        <x:f>IF(J437&lt;=$B$6,LARGE('계산'!$K$2:$K$2001,J437),"")</x:f>
        <x:v>0.0019264832689393076</x:v>
      </x:c>
      <x:c r="L437" t="n">
        <x:f>IF(ISNUMBER(K437),L436+LN(K437),"")</x:f>
        <x:v>-2117.7969085985796</x:v>
      </x:c>
    </x:row>
    <x:row r="438">
      <x:c r="J438" t="n">
        <x:f>434</x:f>
        <x:v>434</x:v>
      </x:c>
      <x:c r="K438" t="n">
        <x:f>IF(J438&lt;=$B$6,LARGE('계산'!$K$2:$K$2001,J438),"")</x:f>
        <x:v>0.0018530437018850101</x:v>
      </x:c>
      <x:c r="L438" t="n">
        <x:f>IF(ISNUMBER(K438),L437+LN(K438),"")</x:f>
        <x:v>-2124.087834346141</x:v>
      </x:c>
    </x:row>
    <x:row r="439">
      <x:c r="J439" t="n">
        <x:f>435</x:f>
        <x:v>435</x:v>
      </x:c>
      <x:c r="K439" t="n">
        <x:f>IF(J439&lt;=$B$6,LARGE('계산'!$K$2:$K$2001,J439),"")</x:f>
        <x:v>0.0018118028938827527</x:v>
      </x:c>
      <x:c r="L439" t="n">
        <x:f>IF(ISNUMBER(K439),L438+LN(K439),"")</x:f>
        <x:v>-2130.4012672016293</x:v>
      </x:c>
    </x:row>
    <x:row r="440">
      <x:c r="J440" t="n">
        <x:f>436</x:f>
        <x:v>436</x:v>
      </x:c>
      <x:c r="K440" t="n">
        <x:f>IF(J440&lt;=$B$6,LARGE('계산'!$K$2:$K$2001,J440),"")</x:f>
        <x:v>0.001761477443182183</x:v>
      </x:c>
      <x:c r="L440" t="n">
        <x:f>IF(ISNUMBER(K440),L439+LN(K440),"")</x:f>
        <x:v>-2136.7428695673543</x:v>
      </x:c>
    </x:row>
    <x:row r="441">
      <x:c r="J441" t="n">
        <x:f>437</x:f>
        <x:v>437</x:v>
      </x:c>
      <x:c r="K441" t="n">
        <x:f>IF(J441&lt;=$B$6,LARGE('계산'!$K$2:$K$2001,J441),"")</x:f>
        <x:v>0.001745226015299739</x:v>
      </x:c>
      <x:c r="L441" t="n">
        <x:f>IF(ISNUMBER(K441),L440+LN(K441),"")</x:f>
        <x:v>-2143.0937407774077</x:v>
      </x:c>
    </x:row>
    <x:row r="442">
      <x:c r="J442" t="n">
        <x:f>438</x:f>
        <x:v>438</x:v>
      </x:c>
      <x:c r="K442" t="n">
        <x:f>IF(J442&lt;=$B$6,LARGE('계산'!$K$2:$K$2001,J442),"")</x:f>
        <x:v>0.001744541646398817</x:v>
      </x:c>
      <x:c r="L442" t="n">
        <x:f>IF(ISNUMBER(K442),L441+LN(K442),"")</x:f>
        <x:v>-2149.4450042020585</x:v>
      </x:c>
    </x:row>
    <x:row r="443">
      <x:c r="J443" t="n">
        <x:f>439</x:f>
        <x:v>439</x:v>
      </x:c>
      <x:c r="K443" t="n">
        <x:f>IF(J443&lt;=$B$6,LARGE('계산'!$K$2:$K$2001,J443),"")</x:f>
        <x:v>0.0017426023361129756</x:v>
      </x:c>
      <x:c r="L443" t="n">
        <x:f>IF(ISNUMBER(K443),L442+LN(K443),"")</x:f>
        <x:v>-2155.797379889636</x:v>
      </x:c>
    </x:row>
    <x:row r="444">
      <x:c r="J444" t="n">
        <x:f>440</x:f>
        <x:v>440</x:v>
      </x:c>
      <x:c r="K444" t="n">
        <x:f>IF(J444&lt;=$B$6,LARGE('계산'!$K$2:$K$2001,J444),"")</x:f>
        <x:v>0.0017049768309571698</x:v>
      </x:c>
      <x:c r="L444" t="n">
        <x:f>IF(ISNUMBER(K444),L443+LN(K444),"")</x:f>
        <x:v>-2162.1715836468566</x:v>
      </x:c>
    </x:row>
    <x:row r="445">
      <x:c r="J445" t="n">
        <x:f>441</x:f>
        <x:v>441</x:v>
      </x:c>
      <x:c r="K445" t="n">
        <x:f>IF(J445&lt;=$B$6,LARGE('계산'!$K$2:$K$2001,J445),"")</x:f>
        <x:v>0.0016923338602274527</x:v>
      </x:c>
      <x:c r="L445" t="n">
        <x:f>IF(ISNUMBER(K445),L444+LN(K445),"")</x:f>
        <x:v>-2168.5532303672</x:v>
      </x:c>
    </x:row>
    <x:row r="446">
      <x:c r="J446" t="n">
        <x:f>442</x:f>
        <x:v>442</x:v>
      </x:c>
      <x:c r="K446" t="n">
        <x:f>IF(J446&lt;=$B$6,LARGE('계산'!$K$2:$K$2001,J446),"")</x:f>
        <x:v>0.0016347457341131385</x:v>
      </x:c>
      <x:c r="L446" t="n">
        <x:f>IF(ISNUMBER(K446),L445+LN(K446),"")</x:f>
        <x:v>-2174.9694983682302</x:v>
      </x:c>
    </x:row>
    <x:row r="447">
      <x:c r="J447" t="n">
        <x:f>443</x:f>
        <x:v>443</x:v>
      </x:c>
      <x:c r="K447" t="n">
        <x:f>IF(J447&lt;=$B$6,LARGE('계산'!$K$2:$K$2001,J447),"")</x:f>
        <x:v>0.001631088292271387</x:v>
      </x:c>
      <x:c r="L447" t="n">
        <x:f>IF(ISNUMBER(K447),L446+LN(K447),"")</x:f>
        <x:v>-2181.388006191212</x:v>
      </x:c>
    </x:row>
    <x:row r="448">
      <x:c r="J448" t="n">
        <x:f>444</x:f>
        <x:v>444</x:v>
      </x:c>
      <x:c r="K448" t="n">
        <x:f>IF(J448&lt;=$B$6,LARGE('계산'!$K$2:$K$2001,J448),"")</x:f>
        <x:v>0.0016294866733210093</x:v>
      </x:c>
      <x:c r="L448" t="n">
        <x:f>IF(ISNUMBER(K448),L447+LN(K448),"")</x:f>
        <x:v>-2187.8074964293173</x:v>
      </x:c>
    </x:row>
    <x:row r="449">
      <x:c r="J449" t="n">
        <x:f>445</x:f>
        <x:v>445</x:v>
      </x:c>
      <x:c r="K449" t="n">
        <x:f>IF(J449&lt;=$B$6,LARGE('계산'!$K$2:$K$2001,J449),"")</x:f>
        <x:v>0.001621848876236423</x:v>
      </x:c>
      <x:c r="L449" t="n">
        <x:f>IF(ISNUMBER(K449),L448+LN(K449),"")</x:f>
        <x:v>-2194.2316849281947</x:v>
      </x:c>
    </x:row>
    <x:row r="450">
      <x:c r="J450" t="n">
        <x:f>446</x:f>
        <x:v>446</x:v>
      </x:c>
      <x:c r="K450" t="n">
        <x:f>IF(J450&lt;=$B$6,LARGE('계산'!$K$2:$K$2001,J450),"")</x:f>
        <x:v>0.001607183093742827</x:v>
      </x:c>
      <x:c r="L450" t="n">
        <x:f>IF(ISNUMBER(K450),L449+LN(K450),"")</x:f>
        <x:v>-2200.6649571917883</x:v>
      </x:c>
    </x:row>
    <x:row r="451">
      <x:c r="J451" t="n">
        <x:f>447</x:f>
        <x:v>447</x:v>
      </x:c>
      <x:c r="K451" t="n">
        <x:f>IF(J451&lt;=$B$6,LARGE('계산'!$K$2:$K$2001,J451),"")</x:f>
        <x:v>0.001590342616727451</x:v>
      </x:c>
      <x:c r="L451" t="n">
        <x:f>IF(ISNUMBER(K451),L450+LN(K451),"")</x:f>
        <x:v>-2207.1087629955327</x:v>
      </x:c>
    </x:row>
    <x:row r="452">
      <x:c r="J452" t="n">
        <x:f>448</x:f>
        <x:v>448</x:v>
      </x:c>
      <x:c r="K452" t="n">
        <x:f>IF(J452&lt;=$B$6,LARGE('계산'!$K$2:$K$2001,J452),"")</x:f>
        <x:v>0.001589499195825002</x:v>
      </x:c>
      <x:c r="L452" t="n">
        <x:f>IF(ISNUMBER(K452),L451+LN(K452),"")</x:f>
        <x:v>-2213.553099279076</x:v>
      </x:c>
    </x:row>
    <x:row r="453">
      <x:c r="J453" t="n">
        <x:f>449</x:f>
        <x:v>449</x:v>
      </x:c>
      <x:c r="K453" t="n">
        <x:f>IF(J453&lt;=$B$6,LARGE('계산'!$K$2:$K$2001,J453),"")</x:f>
        <x:v>0.0015665227434560388</x:v>
      </x:c>
      <x:c r="L453" t="n">
        <x:f>IF(ISNUMBER(K453),L452+LN(K453),"")</x:f>
        <x:v>-2220.0119962081094</x:v>
      </x:c>
    </x:row>
    <x:row r="454">
      <x:c r="J454" t="n">
        <x:f>450</x:f>
        <x:v>450</x:v>
      </x:c>
      <x:c r="K454" t="n">
        <x:f>IF(J454&lt;=$B$6,LARGE('계산'!$K$2:$K$2001,J454),"")</x:f>
        <x:v>0.0015657100853035376</x:v>
      </x:c>
      <x:c r="L454" t="n">
        <x:f>IF(ISNUMBER(K454),L453+LN(K454),"")</x:f>
        <x:v>-2226.4714120373746</x:v>
      </x:c>
    </x:row>
    <x:row r="455">
      <x:c r="J455" t="n">
        <x:f>451</x:f>
        <x:v>451</x:v>
      </x:c>
      <x:c r="K455" t="n">
        <x:f>IF(J455&lt;=$B$6,LARGE('계산'!$K$2:$K$2001,J455),"")</x:f>
        <x:v>0.0015467897680957474</x:v>
      </x:c>
      <x:c r="L455" t="n">
        <x:f>IF(ISNUMBER(K455),L454+LN(K455),"")</x:f>
        <x:v>-2232.9429856505126</x:v>
      </x:c>
    </x:row>
    <x:row r="456">
      <x:c r="J456" t="n">
        <x:f>452</x:f>
        <x:v>452</x:v>
      </x:c>
      <x:c r="K456" t="n">
        <x:f>IF(J456&lt;=$B$6,LARGE('계산'!$K$2:$K$2001,J456),"")</x:f>
        <x:v>0.0013921630315477777</x:v>
      </x:c>
      <x:c r="L456" t="n">
        <x:f>IF(ISNUMBER(K456),L455+LN(K456),"")</x:f>
        <x:v>-2239.5198822540756</x:v>
      </x:c>
    </x:row>
    <x:row r="457">
      <x:c r="J457" t="n">
        <x:f>453</x:f>
        <x:v>453</x:v>
      </x:c>
      <x:c r="K457" t="n">
        <x:f>IF(J457&lt;=$B$6,LARGE('계산'!$K$2:$K$2001,J457),"")</x:f>
        <x:v>0.0013686614258003064</x:v>
      </x:c>
      <x:c r="L457" t="n">
        <x:f>IF(ISNUMBER(K457),L456+LN(K457),"")</x:f>
        <x:v>-2246.113804332313</x:v>
      </x:c>
    </x:row>
    <x:row r="458">
      <x:c r="J458" t="n">
        <x:f>454</x:f>
        <x:v>454</x:v>
      </x:c>
      <x:c r="K458" t="n">
        <x:f>IF(J458&lt;=$B$6,LARGE('계산'!$K$2:$K$2001,J458),"")</x:f>
        <x:v>0.0013181488970811007</x:v>
      </x:c>
      <x:c r="L458" t="n">
        <x:f>IF(ISNUMBER(K458),L457+LN(K458),"")</x:f>
        <x:v>-2252.7453312096072</x:v>
      </x:c>
    </x:row>
    <x:row r="459">
      <x:c r="J459" t="n">
        <x:f>455</x:f>
        <x:v>455</x:v>
      </x:c>
      <x:c r="K459" t="n">
        <x:f>IF(J459&lt;=$B$6,LARGE('계산'!$K$2:$K$2001,J459),"")</x:f>
        <x:v>0.0013128682226501512</x:v>
      </x:c>
      <x:c r="L459" t="n">
        <x:f>IF(ISNUMBER(K459),L458+LN(K459),"")</x:f>
        <x:v>-2259.380872261862</x:v>
      </x:c>
    </x:row>
    <x:row r="460">
      <x:c r="J460" t="n">
        <x:f>456</x:f>
        <x:v>456</x:v>
      </x:c>
      <x:c r="K460" t="n">
        <x:f>IF(J460&lt;=$B$6,LARGE('계산'!$K$2:$K$2001,J460),"")</x:f>
        <x:v>0.0012863445520617828</x:v>
      </x:c>
      <x:c r="L460" t="n">
        <x:f>IF(ISNUMBER(K460),L459+LN(K460),"")</x:f>
        <x:v>-2266.0368230255162</x:v>
      </x:c>
    </x:row>
    <x:row r="461">
      <x:c r="J461" t="n">
        <x:f>457</x:f>
        <x:v>457</x:v>
      </x:c>
      <x:c r="K461" t="n">
        <x:f>IF(J461&lt;=$B$6,LARGE('계산'!$K$2:$K$2001,J461),"")</x:f>
        <x:v>0.0012824758436657657</x:v>
      </x:c>
      <x:c r="L461" t="n">
        <x:f>IF(ISNUMBER(K461),L460+LN(K461),"")</x:f>
        <x:v>-2272.6957858419614</x:v>
      </x:c>
    </x:row>
    <x:row r="462">
      <x:c r="J462" t="n">
        <x:f>458</x:f>
        <x:v>458</x:v>
      </x:c>
      <x:c r="K462" t="n">
        <x:f>IF(J462&lt;=$B$6,LARGE('계산'!$K$2:$K$2001,J462),"")</x:f>
        <x:v>0.0012413149079240698</x:v>
      </x:c>
      <x:c r="L462" t="n">
        <x:f>IF(ISNUMBER(K462),L461+LN(K462),"")</x:f>
        <x:v>-2279.3873698935477</x:v>
      </x:c>
    </x:row>
    <x:row r="463">
      <x:c r="J463" t="n">
        <x:f>459</x:f>
        <x:v>459</x:v>
      </x:c>
      <x:c r="K463" t="n">
        <x:f>IF(J463&lt;=$B$6,LARGE('계산'!$K$2:$K$2001,J463),"")</x:f>
        <x:v>0.0012333608203295187</x:v>
      </x:c>
      <x:c r="L463" t="n">
        <x:f>IF(ISNUMBER(K463),L462+LN(K463),"")</x:f>
        <x:v>-2286.0853823550424</x:v>
      </x:c>
    </x:row>
    <x:row r="464">
      <x:c r="J464" t="n">
        <x:f>460</x:f>
        <x:v>460</x:v>
      </x:c>
      <x:c r="K464" t="n">
        <x:f>IF(J464&lt;=$B$6,LARGE('계산'!$K$2:$K$2001,J464),"")</x:f>
        <x:v>0.0011904105996441083</x:v>
      </x:c>
      <x:c r="L464" t="n">
        <x:f>IF(ISNUMBER(K464),L463+LN(K464),"")</x:f>
        <x:v>-2292.8188393446967</x:v>
      </x:c>
    </x:row>
    <x:row r="465">
      <x:c r="J465" t="n">
        <x:f>461</x:f>
        <x:v>461</x:v>
      </x:c>
      <x:c r="K465" t="n">
        <x:f>IF(J465&lt;=$B$6,LARGE('계산'!$K$2:$K$2001,J465),"")</x:f>
        <x:v>0.0011843625811873773</x:v>
      </x:c>
      <x:c r="L465" t="n">
        <x:f>IF(ISNUMBER(K465),L464+LN(K465),"")</x:f>
        <x:v>-2299.557389899986</x:v>
      </x:c>
    </x:row>
    <x:row r="466">
      <x:c r="J466" t="n">
        <x:f>462</x:f>
        <x:v>462</x:v>
      </x:c>
      <x:c r="K466" t="n">
        <x:f>IF(J466&lt;=$B$6,LARGE('계산'!$K$2:$K$2001,J466),"")</x:f>
        <x:v>0.0011583654511348493</x:v>
      </x:c>
      <x:c r="L466" t="n">
        <x:f>IF(ISNUMBER(K466),L465+LN(K466),"")</x:f>
        <x:v>-2306.3181352614056</x:v>
      </x:c>
    </x:row>
    <x:row r="467">
      <x:c r="J467" t="n">
        <x:f>463</x:f>
        <x:v>463</x:v>
      </x:c>
      <x:c r="K467" t="n">
        <x:f>IF(J467&lt;=$B$6,LARGE('계산'!$K$2:$K$2001,J467),"")</x:f>
        <x:v>0.0011323722976707097</x:v>
      </x:c>
      <x:c r="L467" t="n">
        <x:f>IF(ISNUMBER(K467),L466+LN(K467),"")</x:f>
        <x:v>-2313.1015757298096</x:v>
      </x:c>
    </x:row>
    <x:row r="468">
      <x:c r="J468" t="n">
        <x:f>464</x:f>
        <x:v>464</x:v>
      </x:c>
      <x:c r="K468" t="n">
        <x:f>IF(J468&lt;=$B$6,LARGE('계산'!$K$2:$K$2001,J468),"")</x:f>
        <x:v>0.001094507361633312</x:v>
      </x:c>
      <x:c r="L468" t="n">
        <x:f>IF(ISNUMBER(K468),L467+LN(K468),"")</x:f>
        <x:v>-2319.9190266448095</x:v>
      </x:c>
    </x:row>
    <x:row r="469">
      <x:c r="J469" t="n">
        <x:f>465</x:f>
        <x:v>465</x:v>
      </x:c>
      <x:c r="K469" t="n">
        <x:f>IF(J469&lt;=$B$6,LARGE('계산'!$K$2:$K$2001,J469),"")</x:f>
        <x:v>0.0010684222430103628</x:v>
      </x:c>
      <x:c r="L469" t="n">
        <x:f>IF(ISNUMBER(K469),L468+LN(K469),"")</x:f>
        <x:v>-2326.7605989027634</x:v>
      </x:c>
    </x:row>
    <x:row r="470">
      <x:c r="J470" t="n">
        <x:f>466</x:f>
        <x:v>466</x:v>
      </x:c>
      <x:c r="K470" t="n">
        <x:f>IF(J470&lt;=$B$6,LARGE('계산'!$K$2:$K$2001,J470),"")</x:f>
        <x:v>0.0010402140618060477</x:v>
      </x:c>
      <x:c r="L470" t="n">
        <x:f>IF(ISNUMBER(K470),L469+LN(K470),"")</x:f>
        <x:v>-2333.6289276611124</x:v>
      </x:c>
    </x:row>
    <x:row r="471">
      <x:c r="J471" t="n">
        <x:f>467</x:f>
        <x:v>467</x:v>
      </x:c>
      <x:c r="K471" t="n">
        <x:f>IF(J471&lt;=$B$6,LARGE('계산'!$K$2:$K$2001,J471),"")</x:f>
        <x:v>0.0009668486330066059</x:v>
      </x:c>
      <x:c r="L471" t="n">
        <x:f>IF(ISNUMBER(K471),L470+LN(K471),"")</x:f>
        <x:v>-2340.570396268444</x:v>
      </x:c>
    </x:row>
    <x:row r="472">
      <x:c r="J472" t="n">
        <x:f>468</x:f>
        <x:v>468</x:v>
      </x:c>
      <x:c r="K472" t="n">
        <x:f>IF(J472&lt;=$B$6,LARGE('계산'!$K$2:$K$2001,J472),"")</x:f>
        <x:v>0.000948399878766008</x:v>
      </x:c>
      <x:c r="L472" t="n">
        <x:f>IF(ISNUMBER(K472),L471+LN(K472),"")</x:f>
        <x:v>-2347.5311306000467</x:v>
      </x:c>
    </x:row>
    <x:row r="473">
      <x:c r="J473" t="n">
        <x:f>469</x:f>
        <x:v>469</x:v>
      </x:c>
      <x:c r="K473" t="n">
        <x:f>IF(J473&lt;=$B$6,LARGE('계산'!$K$2:$K$2001,J473),"")</x:f>
        <x:v>0.0009273941829693723</x:v>
      </x:c>
      <x:c r="L473" t="n">
        <x:f>IF(ISNUMBER(K473),L472+LN(K473),"")</x:f>
        <x:v>-2354.5142624584805</x:v>
      </x:c>
    </x:row>
    <x:row r="474">
      <x:c r="J474" t="n">
        <x:f>470</x:f>
        <x:v>470</x:v>
      </x:c>
      <x:c r="K474" t="n">
        <x:f>IF(J474&lt;=$B$6,LARGE('계산'!$K$2:$K$2001,J474),"")</x:f>
        <x:v>0.0009211703555071678</x:v>
      </x:c>
      <x:c r="L474" t="n">
        <x:f>IF(ISNUMBER(K474),L473+LN(K474),"")</x:f>
        <x:v>-2361.5041280293167</x:v>
      </x:c>
    </x:row>
    <x:row r="475">
      <x:c r="J475" t="n">
        <x:f>471</x:f>
        <x:v>471</x:v>
      </x:c>
      <x:c r="K475" t="n">
        <x:f>IF(J475&lt;=$B$6,LARGE('계산'!$K$2:$K$2001,J475),"")</x:f>
        <x:v>0.0009153489523653442</x:v>
      </x:c>
      <x:c r="L475" t="n">
        <x:f>IF(ISNUMBER(K475),L474+LN(K475),"")</x:f>
        <x:v>-2368.5003332260026</x:v>
      </x:c>
    </x:row>
    <x:row r="476">
      <x:c r="J476" t="n">
        <x:f>472</x:f>
        <x:v>472</x:v>
      </x:c>
      <x:c r="K476" t="n">
        <x:f>IF(J476&lt;=$B$6,LARGE('계산'!$K$2:$K$2001,J476),"")</x:f>
        <x:v>0.0009040073522944553</x:v>
      </x:c>
      <x:c r="L476" t="n">
        <x:f>IF(ISNUMBER(K476),L475+LN(K476),"")</x:f>
        <x:v>-2375.5090062905388</x:v>
      </x:c>
    </x:row>
    <x:row r="477">
      <x:c r="J477" t="n">
        <x:f>473</x:f>
        <x:v>473</x:v>
      </x:c>
      <x:c r="K477" t="n">
        <x:f>IF(J477&lt;=$B$6,LARGE('계산'!$K$2:$K$2001,J477),"")</x:f>
        <x:v>0.000891915585894435</x:v>
      </x:c>
      <x:c r="L477" t="n">
        <x:f>IF(ISNUMBER(K477),L476+LN(K477),"")</x:f>
        <x:v>-2382.5311453550485</x:v>
      </x:c>
    </x:row>
    <x:row r="478">
      <x:c r="J478" t="n">
        <x:f>474</x:f>
        <x:v>474</x:v>
      </x:c>
      <x:c r="K478" t="n">
        <x:f>IF(J478&lt;=$B$6,LARGE('계산'!$K$2:$K$2001,J478),"")</x:f>
        <x:v>0.0008890603035791245</x:v>
      </x:c>
      <x:c r="L478" t="n">
        <x:f>IF(ISNUMBER(K478),L477+LN(K478),"")</x:f>
        <x:v>-2389.556490846752</x:v>
      </x:c>
    </x:row>
    <x:row r="479">
      <x:c r="J479" t="n">
        <x:f>475</x:f>
        <x:v>475</x:v>
      </x:c>
      <x:c r="K479" t="n">
        <x:f>IF(J479&lt;=$B$6,LARGE('계산'!$K$2:$K$2001,J479),"")</x:f>
        <x:v>0.000869617654019456</x:v>
      </x:c>
      <x:c r="L479" t="n">
        <x:f>IF(ISNUMBER(K479),L478+LN(K479),"")</x:f>
        <x:v>-2396.6039477678046</x:v>
      </x:c>
    </x:row>
    <x:row r="480">
      <x:c r="J480" t="n">
        <x:f>476</x:f>
        <x:v>476</x:v>
      </x:c>
      <x:c r="K480" t="n">
        <x:f>IF(J480&lt;=$B$6,LARGE('계산'!$K$2:$K$2001,J480),"")</x:f>
        <x:v>0.0008588463947359369</x:v>
      </x:c>
      <x:c r="L480" t="n">
        <x:f>IF(ISNUMBER(K480),L479+LN(K480),"")</x:f>
        <x:v>-2403.6638682384755</x:v>
      </x:c>
    </x:row>
    <x:row r="481">
      <x:c r="J481" t="n">
        <x:f>477</x:f>
        <x:v>477</x:v>
      </x:c>
      <x:c r="K481" t="n">
        <x:f>IF(J481&lt;=$B$6,LARGE('계산'!$K$2:$K$2001,J481),"")</x:f>
        <x:v>0.0008380550078628504</x:v>
      </x:c>
      <x:c r="L481" t="n">
        <x:f>IF(ISNUMBER(K481),L480+LN(K481),"")</x:f>
        <x:v>-2410.7482950562708</x:v>
      </x:c>
    </x:row>
    <x:row r="482">
      <x:c r="J482" t="n">
        <x:f>478</x:f>
        <x:v>478</x:v>
      </x:c>
      <x:c r="K482" t="n">
        <x:f>IF(J482&lt;=$B$6,LARGE('계산'!$K$2:$K$2001,J482),"")</x:f>
        <x:v>0.0008147234184977954</x:v>
      </x:c>
      <x:c r="L482" t="n">
        <x:f>IF(ISNUMBER(K482),L481+LN(K482),"")</x:f>
        <x:v>-2417.8609569223977</x:v>
      </x:c>
    </x:row>
    <x:row r="483">
      <x:c r="J483" t="n">
        <x:f>479</x:f>
        <x:v>479</x:v>
      </x:c>
      <x:c r="K483" t="n">
        <x:f>IF(J483&lt;=$B$6,LARGE('계산'!$K$2:$K$2001,J483),"")</x:f>
        <x:v>0.0008043804578739281</x:v>
      </x:c>
      <x:c r="L483" t="n">
        <x:f>IF(ISNUMBER(K483),L482+LN(K483),"")</x:f>
        <x:v>-2424.986395116799</x:v>
      </x:c>
    </x:row>
    <x:row r="484">
      <x:c r="J484" t="n">
        <x:f>480</x:f>
        <x:v>480</x:v>
      </x:c>
      <x:c r="K484" t="n">
        <x:f>IF(J484&lt;=$B$6,LARGE('계산'!$K$2:$K$2001,J484),"")</x:f>
        <x:v>0.0007814317343242293</x:v>
      </x:c>
      <x:c r="L484" t="n">
        <x:f>IF(ISNUMBER(K484),L483+LN(K484),"")</x:f>
        <x:v>-2432.1407778808293</x:v>
      </x:c>
    </x:row>
    <x:row r="485">
      <x:c r="J485" t="n">
        <x:f>481</x:f>
        <x:v>481</x:v>
      </x:c>
      <x:c r="K485" t="n">
        <x:f>IF(J485&lt;=$B$6,LARGE('계산'!$K$2:$K$2001,J485),"")</x:f>
        <x:v>0.0007719231099002098</x:v>
      </x:c>
      <x:c r="L485" t="n">
        <x:f>IF(ISNUMBER(K485),L484+LN(K485),"")</x:f>
        <x:v>-2439.307403492304</x:v>
      </x:c>
    </x:row>
    <x:row r="486">
      <x:c r="J486" t="n">
        <x:f>482</x:f>
        <x:v>482</x:v>
      </x:c>
      <x:c r="K486" t="n">
        <x:f>IF(J486&lt;=$B$6,LARGE('계산'!$K$2:$K$2001,J486),"")</x:f>
        <x:v>0.0007538127542676815</x:v>
      </x:c>
      <x:c r="L486" t="n">
        <x:f>IF(ISNUMBER(K486),L485+LN(K486),"")</x:f>
        <x:v>-2446.4977700496156</x:v>
      </x:c>
    </x:row>
    <x:row r="487">
      <x:c r="J487" t="n">
        <x:f>483</x:f>
        <x:v>483</x:v>
      </x:c>
      <x:c r="K487" t="n">
        <x:f>IF(J487&lt;=$B$6,LARGE('계산'!$K$2:$K$2001,J487),"")</x:f>
        <x:v>0.000745928448531951</x:v>
      </x:c>
      <x:c r="L487" t="n">
        <x:f>IF(ISNUMBER(K487),L486+LN(K487),"")</x:f>
        <x:v>-2453.698650925472</x:v>
      </x:c>
    </x:row>
    <x:row r="488">
      <x:c r="J488" t="n">
        <x:f>484</x:f>
        <x:v>484</x:v>
      </x:c>
      <x:c r="K488" t="n">
        <x:f>IF(J488&lt;=$B$6,LARGE('계산'!$K$2:$K$2001,J488),"")</x:f>
        <x:v>0.0007111175600784694</x:v>
      </x:c>
      <x:c r="L488" t="n">
        <x:f>IF(ISNUMBER(K488),L487+LN(K488),"")</x:f>
        <x:v>-2460.9473237226057</x:v>
      </x:c>
    </x:row>
    <x:row r="489">
      <x:c r="J489" t="n">
        <x:f>485</x:f>
        <x:v>485</x:v>
      </x:c>
      <x:c r="K489" t="n">
        <x:f>IF(J489&lt;=$B$6,LARGE('계산'!$K$2:$K$2001,J489),"")</x:f>
        <x:v>0.0007076713205349386</x:v>
      </x:c>
      <x:c r="L489" t="n">
        <x:f>IF(ISNUMBER(K489),L488+LN(K489),"")</x:f>
        <x:v>-2468.2008545312</x:v>
      </x:c>
    </x:row>
    <x:row r="490">
      <x:c r="J490" t="n">
        <x:f>486</x:f>
        <x:v>486</x:v>
      </x:c>
      <x:c r="K490" t="n">
        <x:f>IF(J490&lt;=$B$6,LARGE('계산'!$K$2:$K$2001,J490),"")</x:f>
        <x:v>0.0006953210984156936</x:v>
      </x:c>
      <x:c r="L490" t="n">
        <x:f>IF(ISNUMBER(K490),L489+LN(K490),"")</x:f>
        <x:v>-2475.4719913381855</x:v>
      </x:c>
    </x:row>
    <x:row r="491">
      <x:c r="J491" t="n">
        <x:f>487</x:f>
        <x:v>487</x:v>
      </x:c>
      <x:c r="K491" t="n">
        <x:f>IF(J491&lt;=$B$6,LARGE('계산'!$K$2:$K$2001,J491),"")</x:f>
        <x:v>0.0006687254315374864</x:v>
      </x:c>
      <x:c r="L491" t="n">
        <x:f>IF(ISNUMBER(K491),L490+LN(K491),"")</x:f>
        <x:v>-2482.7821283365024</x:v>
      </x:c>
    </x:row>
    <x:row r="492">
      <x:c r="J492" t="n">
        <x:f>488</x:f>
        <x:v>488</x:v>
      </x:c>
      <x:c r="K492" t="n">
        <x:f>IF(J492&lt;=$B$6,LARGE('계산'!$K$2:$K$2001,J492),"")</x:f>
        <x:v>0.0006471902482871915</x:v>
      </x:c>
      <x:c r="L492" t="n">
        <x:f>IF(ISNUMBER(K492),L491+LN(K492),"")</x:f>
        <x:v>-2490.1249985963773</x:v>
      </x:c>
    </x:row>
    <x:row r="493">
      <x:c r="J493" t="n">
        <x:f>489</x:f>
        <x:v>489</x:v>
      </x:c>
      <x:c r="K493" t="n">
        <x:f>IF(J493&lt;=$B$6,LARGE('계산'!$K$2:$K$2001,J493),"")</x:f>
        <x:v>0.0006374519234623296</x:v>
      </x:c>
      <x:c r="L493" t="n">
        <x:f>IF(ISNUMBER(K493),L492+LN(K493),"")</x:f>
        <x:v>-2497.4830302943296</x:v>
      </x:c>
    </x:row>
    <x:row r="494">
      <x:c r="J494" t="n">
        <x:f>490</x:f>
        <x:v>490</x:v>
      </x:c>
      <x:c r="K494" t="n">
        <x:f>IF(J494&lt;=$B$6,LARGE('계산'!$K$2:$K$2001,J494),"")</x:f>
        <x:v>0.0005458388091806941</x:v>
      </x:c>
      <x:c r="L494" t="n">
        <x:f>IF(ISNUMBER(K494),L493+LN(K494),"")</x:f>
        <x:v>-2504.9962171414163</x:v>
      </x:c>
    </x:row>
    <x:row r="495">
      <x:c r="J495" t="n">
        <x:f>491</x:f>
        <x:v>491</x:v>
      </x:c>
      <x:c r="K495" t="n">
        <x:f>IF(J495&lt;=$B$6,LARGE('계산'!$K$2:$K$2001,J495),"")</x:f>
        <x:v>0.0005455115002578137</x:v>
      </x:c>
      <x:c r="L495" t="n">
        <x:f>IF(ISNUMBER(K495),L494+LN(K495),"")</x:f>
        <x:v>-2512.5100038122805</x:v>
      </x:c>
    </x:row>
    <x:row r="496">
      <x:c r="J496" t="n">
        <x:f>492</x:f>
        <x:v>492</x:v>
      </x:c>
      <x:c r="K496" t="n">
        <x:f>IF(J496&lt;=$B$6,LARGE('계산'!$K$2:$K$2001,J496),"")</x:f>
        <x:v>0.0005320697752673096</x:v>
      </x:c>
      <x:c r="L496" t="n">
        <x:f>IF(ISNUMBER(K496),L495+LN(K496),"")</x:f>
        <x:v>-2520.0487397329857</x:v>
      </x:c>
    </x:row>
    <x:row r="497">
      <x:c r="J497" t="n">
        <x:f>493</x:f>
        <x:v>493</x:v>
      </x:c>
      <x:c r="K497" t="n">
        <x:f>IF(J497&lt;=$B$6,LARGE('계산'!$K$2:$K$2001,J497),"")</x:f>
        <x:v>0.0004971134711074458</x:v>
      </x:c>
      <x:c r="L497" t="n">
        <x:f>IF(ISNUMBER(K497),L496+LN(K497),"")</x:f>
        <x:v>-2527.655431978825</x:v>
      </x:c>
    </x:row>
    <x:row r="498">
      <x:c r="J498" t="n">
        <x:f>494</x:f>
        <x:v>494</x:v>
      </x:c>
      <x:c r="K498" t="n">
        <x:f>IF(J498&lt;=$B$6,LARGE('계산'!$K$2:$K$2001,J498),"")</x:f>
        <x:v>0.0004909432801963076</x:v>
      </x:c>
      <x:c r="L498" t="n">
        <x:f>IF(ISNUMBER(K498),L497+LN(K498),"")</x:f>
        <x:v>-2535.2746139346164</x:v>
      </x:c>
    </x:row>
    <x:row r="499">
      <x:c r="J499" t="n">
        <x:f>495</x:f>
        <x:v>495</x:v>
      </x:c>
      <x:c r="K499" t="n">
        <x:f>IF(J499&lt;=$B$6,LARGE('계산'!$K$2:$K$2001,J499),"")</x:f>
        <x:v>0.00048429503253610384</x:v>
      </x:c>
      <x:c r="L499" t="n">
        <x:f>IF(ISNUMBER(K499),L498+LN(K499),"")</x:f>
        <x:v>-2542.9074302002214</x:v>
      </x:c>
    </x:row>
    <x:row r="500">
      <x:c r="J500" t="n">
        <x:f>496</x:f>
        <x:v>496</x:v>
      </x:c>
      <x:c r="K500" t="n">
        <x:f>IF(J500&lt;=$B$6,LARGE('계산'!$K$2:$K$2001,J500),"")</x:f>
        <x:v>0.00043175123632135243</x:v>
      </x:c>
      <x:c r="L500" t="n">
        <x:f>IF(ISNUMBER(K500),L499+LN(K500),"")</x:f>
        <x:v>-2550.655091177651</x:v>
      </x:c>
    </x:row>
    <x:row r="501">
      <x:c r="J501" t="n">
        <x:f>497</x:f>
        <x:v>497</x:v>
      </x:c>
      <x:c r="K501" t="n">
        <x:f>IF(J501&lt;=$B$6,LARGE('계산'!$K$2:$K$2001,J501),"")</x:f>
        <x:v>0.0004008078294282397</x:v>
      </x:c>
      <x:c r="L501" t="n">
        <x:f>IF(ISNUMBER(K501),L500+LN(K501),"")</x:f>
        <x:v>-2558.4771196515335</x:v>
      </x:c>
    </x:row>
    <x:row r="502">
      <x:c r="J502" t="n">
        <x:f>498</x:f>
        <x:v>498</x:v>
      </x:c>
      <x:c r="K502" t="n">
        <x:f>IF(J502&lt;=$B$6,LARGE('계산'!$K$2:$K$2001,J502),"")</x:f>
        <x:v>0.0004005616972949246</x:v>
      </x:c>
      <x:c r="L502" t="n">
        <x:f>IF(ISNUMBER(K502),L501+LN(K502),"")</x:f>
        <x:v>-2566.29976240418</x:v>
      </x:c>
    </x:row>
    <x:row r="503">
      <x:c r="J503" t="n">
        <x:f>499</x:f>
        <x:v>499</x:v>
      </x:c>
      <x:c r="K503" t="n">
        <x:f>IF(J503&lt;=$B$6,LARGE('계산'!$K$2:$K$2001,J503),"")</x:f>
        <x:v>0.0003834916255107708</x:v>
      </x:c>
      <x:c r="L503" t="n">
        <x:f>IF(ISNUMBER(K503),L502+LN(K503),"")</x:f>
        <x:v>-2574.1659551785747</x:v>
      </x:c>
    </x:row>
    <x:row r="504">
      <x:c r="J504" t="n">
        <x:f>500</x:f>
        <x:v>500</x:v>
      </x:c>
      <x:c r="K504" t="n">
        <x:f>IF(J504&lt;=$B$6,LARGE('계산'!$K$2:$K$2001,J504),"")</x:f>
        <x:v>0.0003554354914365791</x:v>
      </x:c>
      <x:c r="L504" t="n">
        <x:f>IF(ISNUMBER(K504),L503+LN(K504),"")</x:f>
        <x:v>-2582.108121962449</x:v>
      </x:c>
    </x:row>
    <x:row r="505">
      <x:c r="J505" t="n">
        <x:f>501</x:f>
        <x:v>501</x:v>
      </x:c>
      <x:c r="K505" t="n">
        <x:f>IF(J505&lt;=$B$6,LARGE('계산'!$K$2:$K$2001,J505),"")</x:f>
        <x:v>0.00035281104490927326</x:v>
      </x:c>
      <x:c r="L505" t="n">
        <x:f>IF(ISNUMBER(K505),L504+LN(K505),"")</x:f>
        <x:v>-2590.0576998903384</x:v>
      </x:c>
    </x:row>
    <x:row r="506">
      <x:c r="J506" t="n">
        <x:f>502</x:f>
        <x:v>502</x:v>
      </x:c>
      <x:c r="K506" t="n">
        <x:f>IF(J506&lt;=$B$6,LARGE('계산'!$K$2:$K$2001,J506),"")</x:f>
        <x:v>0.0003472179916227781</x:v>
      </x:c>
      <x:c r="L506" t="n">
        <x:f>IF(ISNUMBER(K506),L505+LN(K506),"")</x:f>
        <x:v>-2598.023257647669</x:v>
      </x:c>
    </x:row>
    <x:row r="507">
      <x:c r="J507" t="n">
        <x:f>503</x:f>
        <x:v>503</x:v>
      </x:c>
      <x:c r="K507" t="n">
        <x:f>IF(J507&lt;=$B$6,LARGE('계산'!$K$2:$K$2001,J507),"")</x:f>
        <x:v>0.00029943779651729353</x:v>
      </x:c>
      <x:c r="L507" t="n">
        <x:f>IF(ISNUMBER(K507),L506+LN(K507),"")</x:f>
        <x:v>-2606.1368615007427</x:v>
      </x:c>
    </x:row>
    <x:row r="508">
      <x:c r="J508" t="n">
        <x:f>504</x:f>
        <x:v>504</x:v>
      </x:c>
      <x:c r="K508" t="n">
        <x:f>IF(J508&lt;=$B$6,LARGE('계산'!$K$2:$K$2001,J508),"")</x:f>
        <x:v>0.0002475390679883231</x:v>
      </x:c>
      <x:c r="L508" t="n">
        <x:f>IF(ISNUMBER(K508),L507+LN(K508),"")</x:f>
        <x:v>-2614.4408036386976</x:v>
      </x:c>
    </x:row>
    <x:row r="509">
      <x:c r="J509" t="n">
        <x:f>505</x:f>
        <x:v>505</x:v>
      </x:c>
      <x:c r="K509" t="n">
        <x:f>IF(J509&lt;=$B$6,LARGE('계산'!$K$2:$K$2001,J509),"")</x:f>
        <x:v>0.00020311167132989485</x:v>
      </x:c>
      <x:c r="L509" t="n">
        <x:f>IF(ISNUMBER(K509),L508+LN(K509),"")</x:f>
        <x:v>-2622.942558263799</x:v>
      </x:c>
    </x:row>
    <x:row r="510">
      <x:c r="J510" t="n">
        <x:f>506</x:f>
        <x:v>506</x:v>
      </x:c>
      <x:c r="K510" t="n">
        <x:f>IF(J510&lt;=$B$6,LARGE('계산'!$K$2:$K$2001,J510),"")</x:f>
        <x:v>0.00020302596008934558</x:v>
      </x:c>
      <x:c r="L510" t="n">
        <x:f>IF(ISNUMBER(K510),L509+LN(K510),"")</x:f>
        <x:v>-2631.4447349686843</x:v>
      </x:c>
    </x:row>
    <x:row r="511">
      <x:c r="J511" t="n">
        <x:f>507</x:f>
        <x:v>507</x:v>
      </x:c>
      <x:c r="K511" t="n">
        <x:f>IF(J511&lt;=$B$6,LARGE('계산'!$K$2:$K$2001,J511),"")</x:f>
        <x:v>0.000192303674555758</x:v>
      </x:c>
      <x:c r="L511" t="n">
        <x:f>IF(ISNUMBER(K511),L510+LN(K511),"")</x:f>
        <x:v>-2640.001169765782</x:v>
      </x:c>
    </x:row>
    <x:row r="512">
      <x:c r="J512" t="n">
        <x:f>508</x:f>
        <x:v>508</x:v>
      </x:c>
      <x:c r="K512" t="n">
        <x:f>IF(J512&lt;=$B$6,LARGE('계산'!$K$2:$K$2001,J512),"")</x:f>
        <x:v>0.0001461883344231346</x:v>
      </x:c>
      <x:c r="L512" t="n">
        <x:f>IF(ISNUMBER(K512),L511+LN(K512),"")</x:f>
        <x:v>-2648.8317845715214</x:v>
      </x:c>
    </x:row>
    <x:row r="513">
      <x:c r="J513" t="n">
        <x:f>509</x:f>
        <x:v>509</x:v>
      </x:c>
      <x:c r="K513" t="n">
        <x:f>IF(J513&lt;=$B$6,LARGE('계산'!$K$2:$K$2001,J513),"")</x:f>
        <x:v>0.00011657298319013716</x:v>
      </x:c>
      <x:c r="L513" t="n">
        <x:f>IF(ISNUMBER(K513),L512+LN(K513),"")</x:f>
        <x:v>-2657.888777587476</x:v>
      </x:c>
    </x:row>
    <x:row r="514">
      <x:c r="J514" t="n">
        <x:f>510</x:f>
        <x:v>510</x:v>
      </x:c>
      <x:c r="K514" t="n">
        <x:f>IF(J514&lt;=$B$6,LARGE('계산'!$K$2:$K$2001,J514),"")</x:f>
        <x:v>0.00009275097951660927</x:v>
      </x:c>
      <x:c r="L514" t="n">
        <x:f>IF(ISNUMBER(K514),L513+LN(K514),"")</x:f>
        <x:v>-2667.1743698831824</x:v>
      </x:c>
    </x:row>
    <x:row r="515">
      <x:c r="J515" t="n">
        <x:f>511</x:f>
        <x:v>511</x:v>
      </x:c>
      <x:c r="K515" t="n">
        <x:f>IF(J515&lt;=$B$6,LARGE('계산'!$K$2:$K$2001,J515),"")</x:f>
        <x:v>0.0000863672877536059</x:v>
      </x:c>
      <x:c r="L515" t="n">
        <x:f>IF(ISNUMBER(K515),L514+LN(K515),"")</x:f>
        <x:v>-2676.531271450992</x:v>
      </x:c>
    </x:row>
    <x:row r="516">
      <x:c r="J516" t="n">
        <x:f>512</x:f>
        <x:v>512</x:v>
      </x:c>
      <x:c r="K516" t="n">
        <x:f>IF(J516&lt;=$B$6,LARGE('계산'!$K$2:$K$2001,J516),"")</x:f>
        <x:v>0.00002055780964194593</x:v>
      </x:c>
      <x:c r="L516" t="n">
        <x:f>IF(ISNUMBER(K516),L515+LN(K516),"")</x:f>
        <x:v>-2687.323541108969</x:v>
      </x:c>
    </x:row>
    <x:row r="517">
      <x:c r="J517" t="n">
        <x:f>513</x:f>
        <x:v>513</x:v>
      </x:c>
      <x:c r="K517" t="str">
        <x:f>IF(J517&lt;=$B$6,LARGE('계산'!$K$2:$K$2001,J517),"")</x:f>
      </x:c>
      <x:c r="L517" t="str">
        <x:f>IF(ISNUMBER(K517),L516+LN(K517),"")</x:f>
      </x:c>
    </x:row>
    <x:row r="518">
      <x:c r="J518" t="n">
        <x:f>514</x:f>
        <x:v>514</x:v>
      </x:c>
      <x:c r="K518" t="str">
        <x:f>IF(J518&lt;=$B$6,LARGE('계산'!$K$2:$K$2001,J518),"")</x:f>
      </x:c>
      <x:c r="L518" t="str">
        <x:f>IF(ISNUMBER(K518),L517+LN(K518),"")</x:f>
      </x:c>
    </x:row>
    <x:row r="519">
      <x:c r="J519" t="n">
        <x:f>515</x:f>
        <x:v>515</x:v>
      </x:c>
      <x:c r="K519" t="str">
        <x:f>IF(J519&lt;=$B$6,LARGE('계산'!$K$2:$K$2001,J519),"")</x:f>
      </x:c>
      <x:c r="L519" t="str">
        <x:f>IF(ISNUMBER(K519),L518+LN(K519),"")</x:f>
      </x:c>
    </x:row>
    <x:row r="520">
      <x:c r="J520" t="n">
        <x:f>516</x:f>
        <x:v>516</x:v>
      </x:c>
      <x:c r="K520" t="str">
        <x:f>IF(J520&lt;=$B$6,LARGE('계산'!$K$2:$K$2001,J520),"")</x:f>
      </x:c>
      <x:c r="L520" t="str">
        <x:f>IF(ISNUMBER(K520),L519+LN(K520),"")</x:f>
      </x:c>
    </x:row>
    <x:row r="521">
      <x:c r="J521" t="n">
        <x:f>517</x:f>
        <x:v>517</x:v>
      </x:c>
      <x:c r="K521" t="str">
        <x:f>IF(J521&lt;=$B$6,LARGE('계산'!$K$2:$K$2001,J521),"")</x:f>
      </x:c>
      <x:c r="L521" t="str">
        <x:f>IF(ISNUMBER(K521),L520+LN(K521),"")</x:f>
      </x:c>
    </x:row>
    <x:row r="522">
      <x:c r="J522" t="n">
        <x:f>518</x:f>
        <x:v>518</x:v>
      </x:c>
      <x:c r="K522" t="str">
        <x:f>IF(J522&lt;=$B$6,LARGE('계산'!$K$2:$K$2001,J522),"")</x:f>
      </x:c>
      <x:c r="L522" t="str">
        <x:f>IF(ISNUMBER(K522),L521+LN(K522),"")</x:f>
      </x:c>
    </x:row>
    <x:row r="523">
      <x:c r="J523" t="n">
        <x:f>519</x:f>
        <x:v>519</x:v>
      </x:c>
      <x:c r="K523" t="str">
        <x:f>IF(J523&lt;=$B$6,LARGE('계산'!$K$2:$K$2001,J523),"")</x:f>
      </x:c>
      <x:c r="L523" t="str">
        <x:f>IF(ISNUMBER(K523),L522+LN(K523),"")</x:f>
      </x:c>
    </x:row>
    <x:row r="524">
      <x:c r="J524" t="n">
        <x:f>520</x:f>
        <x:v>520</x:v>
      </x:c>
      <x:c r="K524" t="str">
        <x:f>IF(J524&lt;=$B$6,LARGE('계산'!$K$2:$K$2001,J524),"")</x:f>
      </x:c>
      <x:c r="L524" t="str">
        <x:f>IF(ISNUMBER(K524),L523+LN(K524),"")</x:f>
      </x:c>
    </x:row>
    <x:row r="525">
      <x:c r="J525" t="n">
        <x:f>521</x:f>
        <x:v>521</x:v>
      </x:c>
      <x:c r="K525" t="str">
        <x:f>IF(J525&lt;=$B$6,LARGE('계산'!$K$2:$K$2001,J525),"")</x:f>
      </x:c>
      <x:c r="L525" t="str">
        <x:f>IF(ISNUMBER(K525),L524+LN(K525),"")</x:f>
      </x:c>
    </x:row>
    <x:row r="526">
      <x:c r="J526" t="n">
        <x:f>522</x:f>
        <x:v>522</x:v>
      </x:c>
      <x:c r="K526" t="str">
        <x:f>IF(J526&lt;=$B$6,LARGE('계산'!$K$2:$K$2001,J526),"")</x:f>
      </x:c>
      <x:c r="L526" t="str">
        <x:f>IF(ISNUMBER(K526),L525+LN(K526),"")</x:f>
      </x:c>
    </x:row>
    <x:row r="527">
      <x:c r="J527" t="n">
        <x:f>523</x:f>
        <x:v>523</x:v>
      </x:c>
      <x:c r="K527" t="str">
        <x:f>IF(J527&lt;=$B$6,LARGE('계산'!$K$2:$K$2001,J527),"")</x:f>
      </x:c>
      <x:c r="L527" t="str">
        <x:f>IF(ISNUMBER(K527),L526+LN(K527),"")</x:f>
      </x:c>
    </x:row>
    <x:row r="528">
      <x:c r="J528" t="n">
        <x:f>524</x:f>
        <x:v>524</x:v>
      </x:c>
      <x:c r="K528" t="str">
        <x:f>IF(J528&lt;=$B$6,LARGE('계산'!$K$2:$K$2001,J528),"")</x:f>
      </x:c>
      <x:c r="L528" t="str">
        <x:f>IF(ISNUMBER(K528),L527+LN(K528),"")</x:f>
      </x:c>
    </x:row>
    <x:row r="529">
      <x:c r="J529" t="n">
        <x:f>525</x:f>
        <x:v>525</x:v>
      </x:c>
      <x:c r="K529" t="str">
        <x:f>IF(J529&lt;=$B$6,LARGE('계산'!$K$2:$K$2001,J529),"")</x:f>
      </x:c>
      <x:c r="L529" t="str">
        <x:f>IF(ISNUMBER(K529),L528+LN(K529),"")</x:f>
      </x:c>
    </x:row>
    <x:row r="530">
      <x:c r="J530" t="n">
        <x:f>526</x:f>
        <x:v>526</x:v>
      </x:c>
      <x:c r="K530" t="str">
        <x:f>IF(J530&lt;=$B$6,LARGE('계산'!$K$2:$K$2001,J530),"")</x:f>
      </x:c>
      <x:c r="L530" t="str">
        <x:f>IF(ISNUMBER(K530),L529+LN(K530),"")</x:f>
      </x:c>
    </x:row>
    <x:row r="531">
      <x:c r="J531" t="n">
        <x:f>527</x:f>
        <x:v>527</x:v>
      </x:c>
      <x:c r="K531" t="str">
        <x:f>IF(J531&lt;=$B$6,LARGE('계산'!$K$2:$K$2001,J531),"")</x:f>
      </x:c>
      <x:c r="L531" t="str">
        <x:f>IF(ISNUMBER(K531),L530+LN(K531),"")</x:f>
      </x:c>
    </x:row>
    <x:row r="532">
      <x:c r="J532" t="n">
        <x:f>528</x:f>
        <x:v>528</x:v>
      </x:c>
      <x:c r="K532" t="str">
        <x:f>IF(J532&lt;=$B$6,LARGE('계산'!$K$2:$K$2001,J532),"")</x:f>
      </x:c>
      <x:c r="L532" t="str">
        <x:f>IF(ISNUMBER(K532),L531+LN(K532),"")</x:f>
      </x:c>
    </x:row>
    <x:row r="533">
      <x:c r="J533" t="n">
        <x:f>529</x:f>
        <x:v>529</x:v>
      </x:c>
      <x:c r="K533" t="str">
        <x:f>IF(J533&lt;=$B$6,LARGE('계산'!$K$2:$K$2001,J533),"")</x:f>
      </x:c>
      <x:c r="L533" t="str">
        <x:f>IF(ISNUMBER(K533),L532+LN(K533),"")</x:f>
      </x:c>
    </x:row>
    <x:row r="534">
      <x:c r="J534" t="n">
        <x:f>530</x:f>
        <x:v>530</x:v>
      </x:c>
      <x:c r="K534" t="str">
        <x:f>IF(J534&lt;=$B$6,LARGE('계산'!$K$2:$K$2001,J534),"")</x:f>
      </x:c>
      <x:c r="L534" t="str">
        <x:f>IF(ISNUMBER(K534),L533+LN(K534),"")</x:f>
      </x:c>
    </x:row>
    <x:row r="535">
      <x:c r="J535" t="n">
        <x:f>531</x:f>
        <x:v>531</x:v>
      </x:c>
      <x:c r="K535" t="str">
        <x:f>IF(J535&lt;=$B$6,LARGE('계산'!$K$2:$K$2001,J535),"")</x:f>
      </x:c>
      <x:c r="L535" t="str">
        <x:f>IF(ISNUMBER(K535),L534+LN(K535),"")</x:f>
      </x:c>
    </x:row>
    <x:row r="536">
      <x:c r="J536" t="n">
        <x:f>532</x:f>
        <x:v>532</x:v>
      </x:c>
      <x:c r="K536" t="str">
        <x:f>IF(J536&lt;=$B$6,LARGE('계산'!$K$2:$K$2001,J536),"")</x:f>
      </x:c>
      <x:c r="L536" t="str">
        <x:f>IF(ISNUMBER(K536),L535+LN(K536),"")</x:f>
      </x:c>
    </x:row>
    <x:row r="537">
      <x:c r="J537" t="n">
        <x:f>533</x:f>
        <x:v>533</x:v>
      </x:c>
      <x:c r="K537" t="str">
        <x:f>IF(J537&lt;=$B$6,LARGE('계산'!$K$2:$K$2001,J537),"")</x:f>
      </x:c>
      <x:c r="L537" t="str">
        <x:f>IF(ISNUMBER(K537),L536+LN(K537),"")</x:f>
      </x:c>
    </x:row>
    <x:row r="538">
      <x:c r="J538" t="n">
        <x:f>534</x:f>
        <x:v>534</x:v>
      </x:c>
      <x:c r="K538" t="str">
        <x:f>IF(J538&lt;=$B$6,LARGE('계산'!$K$2:$K$2001,J538),"")</x:f>
      </x:c>
      <x:c r="L538" t="str">
        <x:f>IF(ISNUMBER(K538),L537+LN(K538),"")</x:f>
      </x:c>
    </x:row>
    <x:row r="539">
      <x:c r="J539" t="n">
        <x:f>535</x:f>
        <x:v>535</x:v>
      </x:c>
      <x:c r="K539" t="str">
        <x:f>IF(J539&lt;=$B$6,LARGE('계산'!$K$2:$K$2001,J539),"")</x:f>
      </x:c>
      <x:c r="L539" t="str">
        <x:f>IF(ISNUMBER(K539),L538+LN(K539),"")</x:f>
      </x:c>
    </x:row>
    <x:row r="540">
      <x:c r="J540" t="n">
        <x:f>536</x:f>
        <x:v>536</x:v>
      </x:c>
      <x:c r="K540" t="str">
        <x:f>IF(J540&lt;=$B$6,LARGE('계산'!$K$2:$K$2001,J540),"")</x:f>
      </x:c>
      <x:c r="L540" t="str">
        <x:f>IF(ISNUMBER(K540),L539+LN(K540),"")</x:f>
      </x:c>
    </x:row>
    <x:row r="541">
      <x:c r="J541" t="n">
        <x:f>537</x:f>
        <x:v>537</x:v>
      </x:c>
      <x:c r="K541" t="str">
        <x:f>IF(J541&lt;=$B$6,LARGE('계산'!$K$2:$K$2001,J541),"")</x:f>
      </x:c>
      <x:c r="L541" t="str">
        <x:f>IF(ISNUMBER(K541),L540+LN(K541),"")</x:f>
      </x:c>
    </x:row>
    <x:row r="542">
      <x:c r="J542" t="n">
        <x:f>538</x:f>
        <x:v>538</x:v>
      </x:c>
      <x:c r="K542" t="str">
        <x:f>IF(J542&lt;=$B$6,LARGE('계산'!$K$2:$K$2001,J542),"")</x:f>
      </x:c>
      <x:c r="L542" t="str">
        <x:f>IF(ISNUMBER(K542),L541+LN(K542),"")</x:f>
      </x:c>
    </x:row>
    <x:row r="543">
      <x:c r="J543" t="n">
        <x:f>539</x:f>
        <x:v>539</x:v>
      </x:c>
      <x:c r="K543" t="str">
        <x:f>IF(J543&lt;=$B$6,LARGE('계산'!$K$2:$K$2001,J543),"")</x:f>
      </x:c>
      <x:c r="L543" t="str">
        <x:f>IF(ISNUMBER(K543),L542+LN(K543),"")</x:f>
      </x:c>
    </x:row>
    <x:row r="544">
      <x:c r="J544" t="n">
        <x:f>540</x:f>
        <x:v>540</x:v>
      </x:c>
      <x:c r="K544" t="str">
        <x:f>IF(J544&lt;=$B$6,LARGE('계산'!$K$2:$K$2001,J544),"")</x:f>
      </x:c>
      <x:c r="L544" t="str">
        <x:f>IF(ISNUMBER(K544),L543+LN(K544),"")</x:f>
      </x:c>
    </x:row>
    <x:row r="545">
      <x:c r="J545" t="n">
        <x:f>541</x:f>
        <x:v>541</x:v>
      </x:c>
      <x:c r="K545" t="str">
        <x:f>IF(J545&lt;=$B$6,LARGE('계산'!$K$2:$K$2001,J545),"")</x:f>
      </x:c>
      <x:c r="L545" t="str">
        <x:f>IF(ISNUMBER(K545),L544+LN(K545),"")</x:f>
      </x:c>
    </x:row>
    <x:row r="546">
      <x:c r="J546" t="n">
        <x:f>542</x:f>
        <x:v>542</x:v>
      </x:c>
      <x:c r="K546" t="str">
        <x:f>IF(J546&lt;=$B$6,LARGE('계산'!$K$2:$K$2001,J546),"")</x:f>
      </x:c>
      <x:c r="L546" t="str">
        <x:f>IF(ISNUMBER(K546),L545+LN(K546),"")</x:f>
      </x:c>
    </x:row>
    <x:row r="547">
      <x:c r="J547" t="n">
        <x:f>543</x:f>
        <x:v>543</x:v>
      </x:c>
      <x:c r="K547" t="str">
        <x:f>IF(J547&lt;=$B$6,LARGE('계산'!$K$2:$K$2001,J547),"")</x:f>
      </x:c>
      <x:c r="L547" t="str">
        <x:f>IF(ISNUMBER(K547),L546+LN(K547),"")</x:f>
      </x:c>
    </x:row>
    <x:row r="548">
      <x:c r="J548" t="n">
        <x:f>544</x:f>
        <x:v>544</x:v>
      </x:c>
      <x:c r="K548" t="str">
        <x:f>IF(J548&lt;=$B$6,LARGE('계산'!$K$2:$K$2001,J548),"")</x:f>
      </x:c>
      <x:c r="L548" t="str">
        <x:f>IF(ISNUMBER(K548),L547+LN(K548),"")</x:f>
      </x:c>
    </x:row>
    <x:row r="549">
      <x:c r="J549" t="n">
        <x:f>545</x:f>
        <x:v>545</x:v>
      </x:c>
      <x:c r="K549" t="str">
        <x:f>IF(J549&lt;=$B$6,LARGE('계산'!$K$2:$K$2001,J549),"")</x:f>
      </x:c>
      <x:c r="L549" t="str">
        <x:f>IF(ISNUMBER(K549),L548+LN(K549),"")</x:f>
      </x:c>
    </x:row>
    <x:row r="550">
      <x:c r="J550" t="n">
        <x:f>546</x:f>
        <x:v>546</x:v>
      </x:c>
      <x:c r="K550" t="str">
        <x:f>IF(J550&lt;=$B$6,LARGE('계산'!$K$2:$K$2001,J550),"")</x:f>
      </x:c>
      <x:c r="L550" t="str">
        <x:f>IF(ISNUMBER(K550),L549+LN(K550),"")</x:f>
      </x:c>
    </x:row>
    <x:row r="551">
      <x:c r="J551" t="n">
        <x:f>547</x:f>
        <x:v>547</x:v>
      </x:c>
      <x:c r="K551" t="str">
        <x:f>IF(J551&lt;=$B$6,LARGE('계산'!$K$2:$K$2001,J551),"")</x:f>
      </x:c>
      <x:c r="L551" t="str">
        <x:f>IF(ISNUMBER(K551),L550+LN(K551),"")</x:f>
      </x:c>
    </x:row>
    <x:row r="552">
      <x:c r="J552" t="n">
        <x:f>548</x:f>
        <x:v>548</x:v>
      </x:c>
      <x:c r="K552" t="str">
        <x:f>IF(J552&lt;=$B$6,LARGE('계산'!$K$2:$K$2001,J552),"")</x:f>
      </x:c>
      <x:c r="L552" t="str">
        <x:f>IF(ISNUMBER(K552),L551+LN(K552),"")</x:f>
      </x:c>
    </x:row>
    <x:row r="553">
      <x:c r="J553" t="n">
        <x:f>549</x:f>
        <x:v>549</x:v>
      </x:c>
      <x:c r="K553" t="str">
        <x:f>IF(J553&lt;=$B$6,LARGE('계산'!$K$2:$K$2001,J553),"")</x:f>
      </x:c>
      <x:c r="L553" t="str">
        <x:f>IF(ISNUMBER(K553),L552+LN(K553),"")</x:f>
      </x:c>
    </x:row>
    <x:row r="554">
      <x:c r="J554" t="n">
        <x:f>550</x:f>
        <x:v>550</x:v>
      </x:c>
      <x:c r="K554" t="str">
        <x:f>IF(J554&lt;=$B$6,LARGE('계산'!$K$2:$K$2001,J554),"")</x:f>
      </x:c>
      <x:c r="L554" t="str">
        <x:f>IF(ISNUMBER(K554),L553+LN(K554),"")</x:f>
      </x:c>
    </x:row>
    <x:row r="555">
      <x:c r="J555" t="n">
        <x:f>551</x:f>
        <x:v>551</x:v>
      </x:c>
      <x:c r="K555" t="str">
        <x:f>IF(J555&lt;=$B$6,LARGE('계산'!$K$2:$K$2001,J555),"")</x:f>
      </x:c>
      <x:c r="L555" t="str">
        <x:f>IF(ISNUMBER(K555),L554+LN(K555),"")</x:f>
      </x:c>
    </x:row>
    <x:row r="556">
      <x:c r="J556" t="n">
        <x:f>552</x:f>
        <x:v>552</x:v>
      </x:c>
      <x:c r="K556" t="str">
        <x:f>IF(J556&lt;=$B$6,LARGE('계산'!$K$2:$K$2001,J556),"")</x:f>
      </x:c>
      <x:c r="L556" t="str">
        <x:f>IF(ISNUMBER(K556),L555+LN(K556),"")</x:f>
      </x:c>
    </x:row>
    <x:row r="557">
      <x:c r="J557" t="n">
        <x:f>553</x:f>
        <x:v>553</x:v>
      </x:c>
      <x:c r="K557" t="str">
        <x:f>IF(J557&lt;=$B$6,LARGE('계산'!$K$2:$K$2001,J557),"")</x:f>
      </x:c>
      <x:c r="L557" t="str">
        <x:f>IF(ISNUMBER(K557),L556+LN(K557),"")</x:f>
      </x:c>
    </x:row>
    <x:row r="558">
      <x:c r="J558" t="n">
        <x:f>554</x:f>
        <x:v>554</x:v>
      </x:c>
      <x:c r="K558" t="str">
        <x:f>IF(J558&lt;=$B$6,LARGE('계산'!$K$2:$K$2001,J558),"")</x:f>
      </x:c>
      <x:c r="L558" t="str">
        <x:f>IF(ISNUMBER(K558),L557+LN(K558),"")</x:f>
      </x:c>
    </x:row>
    <x:row r="559">
      <x:c r="J559" t="n">
        <x:f>555</x:f>
        <x:v>555</x:v>
      </x:c>
      <x:c r="K559" t="str">
        <x:f>IF(J559&lt;=$B$6,LARGE('계산'!$K$2:$K$2001,J559),"")</x:f>
      </x:c>
      <x:c r="L559" t="str">
        <x:f>IF(ISNUMBER(K559),L558+LN(K559),"")</x:f>
      </x:c>
    </x:row>
    <x:row r="560">
      <x:c r="J560" t="n">
        <x:f>556</x:f>
        <x:v>556</x:v>
      </x:c>
      <x:c r="K560" t="str">
        <x:f>IF(J560&lt;=$B$6,LARGE('계산'!$K$2:$K$2001,J560),"")</x:f>
      </x:c>
      <x:c r="L560" t="str">
        <x:f>IF(ISNUMBER(K560),L559+LN(K560),"")</x:f>
      </x:c>
    </x:row>
    <x:row r="561">
      <x:c r="J561" t="n">
        <x:f>557</x:f>
        <x:v>557</x:v>
      </x:c>
      <x:c r="K561" t="str">
        <x:f>IF(J561&lt;=$B$6,LARGE('계산'!$K$2:$K$2001,J561),"")</x:f>
      </x:c>
      <x:c r="L561" t="str">
        <x:f>IF(ISNUMBER(K561),L560+LN(K561),"")</x:f>
      </x:c>
    </x:row>
    <x:row r="562">
      <x:c r="J562" t="n">
        <x:f>558</x:f>
        <x:v>558</x:v>
      </x:c>
      <x:c r="K562" t="str">
        <x:f>IF(J562&lt;=$B$6,LARGE('계산'!$K$2:$K$2001,J562),"")</x:f>
      </x:c>
      <x:c r="L562" t="str">
        <x:f>IF(ISNUMBER(K562),L561+LN(K562),"")</x:f>
      </x:c>
    </x:row>
    <x:row r="563">
      <x:c r="J563" t="n">
        <x:f>559</x:f>
        <x:v>559</x:v>
      </x:c>
      <x:c r="K563" t="str">
        <x:f>IF(J563&lt;=$B$6,LARGE('계산'!$K$2:$K$2001,J563),"")</x:f>
      </x:c>
      <x:c r="L563" t="str">
        <x:f>IF(ISNUMBER(K563),L562+LN(K563),"")</x:f>
      </x:c>
    </x:row>
    <x:row r="564">
      <x:c r="J564" t="n">
        <x:f>560</x:f>
        <x:v>560</x:v>
      </x:c>
      <x:c r="K564" t="str">
        <x:f>IF(J564&lt;=$B$6,LARGE('계산'!$K$2:$K$2001,J564),"")</x:f>
      </x:c>
      <x:c r="L564" t="str">
        <x:f>IF(ISNUMBER(K564),L563+LN(K564),"")</x:f>
      </x:c>
    </x:row>
    <x:row r="565">
      <x:c r="J565" t="n">
        <x:f>561</x:f>
        <x:v>561</x:v>
      </x:c>
      <x:c r="K565" t="str">
        <x:f>IF(J565&lt;=$B$6,LARGE('계산'!$K$2:$K$2001,J565),"")</x:f>
      </x:c>
      <x:c r="L565" t="str">
        <x:f>IF(ISNUMBER(K565),L564+LN(K565),"")</x:f>
      </x:c>
    </x:row>
    <x:row r="566">
      <x:c r="J566" t="n">
        <x:f>562</x:f>
        <x:v>562</x:v>
      </x:c>
      <x:c r="K566" t="str">
        <x:f>IF(J566&lt;=$B$6,LARGE('계산'!$K$2:$K$2001,J566),"")</x:f>
      </x:c>
      <x:c r="L566" t="str">
        <x:f>IF(ISNUMBER(K566),L565+LN(K566),"")</x:f>
      </x:c>
    </x:row>
    <x:row r="567">
      <x:c r="J567" t="n">
        <x:f>563</x:f>
        <x:v>563</x:v>
      </x:c>
      <x:c r="K567" t="str">
        <x:f>IF(J567&lt;=$B$6,LARGE('계산'!$K$2:$K$2001,J567),"")</x:f>
      </x:c>
      <x:c r="L567" t="str">
        <x:f>IF(ISNUMBER(K567),L566+LN(K567),"")</x:f>
      </x:c>
    </x:row>
    <x:row r="568">
      <x:c r="J568" t="n">
        <x:f>564</x:f>
        <x:v>564</x:v>
      </x:c>
      <x:c r="K568" t="str">
        <x:f>IF(J568&lt;=$B$6,LARGE('계산'!$K$2:$K$2001,J568),"")</x:f>
      </x:c>
      <x:c r="L568" t="str">
        <x:f>IF(ISNUMBER(K568),L567+LN(K568),"")</x:f>
      </x:c>
    </x:row>
    <x:row r="569">
      <x:c r="J569" t="n">
        <x:f>565</x:f>
        <x:v>565</x:v>
      </x:c>
      <x:c r="K569" t="str">
        <x:f>IF(J569&lt;=$B$6,LARGE('계산'!$K$2:$K$2001,J569),"")</x:f>
      </x:c>
      <x:c r="L569" t="str">
        <x:f>IF(ISNUMBER(K569),L568+LN(K569),"")</x:f>
      </x:c>
    </x:row>
    <x:row r="570">
      <x:c r="J570" t="n">
        <x:f>566</x:f>
        <x:v>566</x:v>
      </x:c>
      <x:c r="K570" t="str">
        <x:f>IF(J570&lt;=$B$6,LARGE('계산'!$K$2:$K$2001,J570),"")</x:f>
      </x:c>
      <x:c r="L570" t="str">
        <x:f>IF(ISNUMBER(K570),L569+LN(K570),"")</x:f>
      </x:c>
    </x:row>
    <x:row r="571">
      <x:c r="J571" t="n">
        <x:f>567</x:f>
        <x:v>567</x:v>
      </x:c>
      <x:c r="K571" t="str">
        <x:f>IF(J571&lt;=$B$6,LARGE('계산'!$K$2:$K$2001,J571),"")</x:f>
      </x:c>
      <x:c r="L571" t="str">
        <x:f>IF(ISNUMBER(K571),L570+LN(K571),"")</x:f>
      </x:c>
    </x:row>
    <x:row r="572">
      <x:c r="J572" t="n">
        <x:f>568</x:f>
        <x:v>568</x:v>
      </x:c>
      <x:c r="K572" t="str">
        <x:f>IF(J572&lt;=$B$6,LARGE('계산'!$K$2:$K$2001,J572),"")</x:f>
      </x:c>
      <x:c r="L572" t="str">
        <x:f>IF(ISNUMBER(K572),L571+LN(K572),"")</x:f>
      </x:c>
    </x:row>
    <x:row r="573">
      <x:c r="J573" t="n">
        <x:f>569</x:f>
        <x:v>569</x:v>
      </x:c>
      <x:c r="K573" t="str">
        <x:f>IF(J573&lt;=$B$6,LARGE('계산'!$K$2:$K$2001,J573),"")</x:f>
      </x:c>
      <x:c r="L573" t="str">
        <x:f>IF(ISNUMBER(K573),L572+LN(K573),"")</x:f>
      </x:c>
    </x:row>
    <x:row r="574">
      <x:c r="J574" t="n">
        <x:f>570</x:f>
        <x:v>570</x:v>
      </x:c>
      <x:c r="K574" t="str">
        <x:f>IF(J574&lt;=$B$6,LARGE('계산'!$K$2:$K$2001,J574),"")</x:f>
      </x:c>
      <x:c r="L574" t="str">
        <x:f>IF(ISNUMBER(K574),L573+LN(K574),"")</x:f>
      </x:c>
    </x:row>
    <x:row r="575">
      <x:c r="J575" t="n">
        <x:f>571</x:f>
        <x:v>571</x:v>
      </x:c>
      <x:c r="K575" t="str">
        <x:f>IF(J575&lt;=$B$6,LARGE('계산'!$K$2:$K$2001,J575),"")</x:f>
      </x:c>
      <x:c r="L575" t="str">
        <x:f>IF(ISNUMBER(K575),L574+LN(K575),"")</x:f>
      </x:c>
    </x:row>
    <x:row r="576">
      <x:c r="J576" t="n">
        <x:f>572</x:f>
        <x:v>572</x:v>
      </x:c>
      <x:c r="K576" t="str">
        <x:f>IF(J576&lt;=$B$6,LARGE('계산'!$K$2:$K$2001,J576),"")</x:f>
      </x:c>
      <x:c r="L576" t="str">
        <x:f>IF(ISNUMBER(K576),L575+LN(K576),"")</x:f>
      </x:c>
    </x:row>
    <x:row r="577">
      <x:c r="J577" t="n">
        <x:f>573</x:f>
        <x:v>573</x:v>
      </x:c>
      <x:c r="K577" t="str">
        <x:f>IF(J577&lt;=$B$6,LARGE('계산'!$K$2:$K$2001,J577),"")</x:f>
      </x:c>
      <x:c r="L577" t="str">
        <x:f>IF(ISNUMBER(K577),L576+LN(K577),"")</x:f>
      </x:c>
    </x:row>
    <x:row r="578">
      <x:c r="J578" t="n">
        <x:f>574</x:f>
        <x:v>574</x:v>
      </x:c>
      <x:c r="K578" t="str">
        <x:f>IF(J578&lt;=$B$6,LARGE('계산'!$K$2:$K$2001,J578),"")</x:f>
      </x:c>
      <x:c r="L578" t="str">
        <x:f>IF(ISNUMBER(K578),L577+LN(K578),"")</x:f>
      </x:c>
    </x:row>
    <x:row r="579">
      <x:c r="J579" t="n">
        <x:f>575</x:f>
        <x:v>575</x:v>
      </x:c>
      <x:c r="K579" t="str">
        <x:f>IF(J579&lt;=$B$6,LARGE('계산'!$K$2:$K$2001,J579),"")</x:f>
      </x:c>
      <x:c r="L579" t="str">
        <x:f>IF(ISNUMBER(K579),L578+LN(K579),"")</x:f>
      </x:c>
    </x:row>
    <x:row r="580">
      <x:c r="J580" t="n">
        <x:f>576</x:f>
        <x:v>576</x:v>
      </x:c>
      <x:c r="K580" t="str">
        <x:f>IF(J580&lt;=$B$6,LARGE('계산'!$K$2:$K$2001,J580),"")</x:f>
      </x:c>
      <x:c r="L580" t="str">
        <x:f>IF(ISNUMBER(K580),L579+LN(K580),"")</x:f>
      </x:c>
    </x:row>
    <x:row r="581">
      <x:c r="J581" t="n">
        <x:f>577</x:f>
        <x:v>577</x:v>
      </x:c>
      <x:c r="K581" t="str">
        <x:f>IF(J581&lt;=$B$6,LARGE('계산'!$K$2:$K$2001,J581),"")</x:f>
      </x:c>
      <x:c r="L581" t="str">
        <x:f>IF(ISNUMBER(K581),L580+LN(K581),"")</x:f>
      </x:c>
    </x:row>
    <x:row r="582">
      <x:c r="J582" t="n">
        <x:f>578</x:f>
        <x:v>578</x:v>
      </x:c>
      <x:c r="K582" t="str">
        <x:f>IF(J582&lt;=$B$6,LARGE('계산'!$K$2:$K$2001,J582),"")</x:f>
      </x:c>
      <x:c r="L582" t="str">
        <x:f>IF(ISNUMBER(K582),L581+LN(K582),"")</x:f>
      </x:c>
    </x:row>
    <x:row r="583">
      <x:c r="J583" t="n">
        <x:f>579</x:f>
        <x:v>579</x:v>
      </x:c>
      <x:c r="K583" t="str">
        <x:f>IF(J583&lt;=$B$6,LARGE('계산'!$K$2:$K$2001,J583),"")</x:f>
      </x:c>
      <x:c r="L583" t="str">
        <x:f>IF(ISNUMBER(K583),L582+LN(K583),"")</x:f>
      </x:c>
    </x:row>
    <x:row r="584">
      <x:c r="J584" t="n">
        <x:f>580</x:f>
        <x:v>580</x:v>
      </x:c>
      <x:c r="K584" t="str">
        <x:f>IF(J584&lt;=$B$6,LARGE('계산'!$K$2:$K$2001,J584),"")</x:f>
      </x:c>
      <x:c r="L584" t="str">
        <x:f>IF(ISNUMBER(K584),L583+LN(K584),"")</x:f>
      </x:c>
    </x:row>
    <x:row r="585">
      <x:c r="J585" t="n">
        <x:f>581</x:f>
        <x:v>581</x:v>
      </x:c>
      <x:c r="K585" t="str">
        <x:f>IF(J585&lt;=$B$6,LARGE('계산'!$K$2:$K$2001,J585),"")</x:f>
      </x:c>
      <x:c r="L585" t="str">
        <x:f>IF(ISNUMBER(K585),L584+LN(K585),"")</x:f>
      </x:c>
    </x:row>
    <x:row r="586">
      <x:c r="J586" t="n">
        <x:f>582</x:f>
        <x:v>582</x:v>
      </x:c>
      <x:c r="K586" t="str">
        <x:f>IF(J586&lt;=$B$6,LARGE('계산'!$K$2:$K$2001,J586),"")</x:f>
      </x:c>
      <x:c r="L586" t="str">
        <x:f>IF(ISNUMBER(K586),L585+LN(K586),"")</x:f>
      </x:c>
    </x:row>
    <x:row r="587">
      <x:c r="J587" t="n">
        <x:f>583</x:f>
        <x:v>583</x:v>
      </x:c>
      <x:c r="K587" t="str">
        <x:f>IF(J587&lt;=$B$6,LARGE('계산'!$K$2:$K$2001,J587),"")</x:f>
      </x:c>
      <x:c r="L587" t="str">
        <x:f>IF(ISNUMBER(K587),L586+LN(K587),"")</x:f>
      </x:c>
    </x:row>
    <x:row r="588">
      <x:c r="J588" t="n">
        <x:f>584</x:f>
        <x:v>584</x:v>
      </x:c>
      <x:c r="K588" t="str">
        <x:f>IF(J588&lt;=$B$6,LARGE('계산'!$K$2:$K$2001,J588),"")</x:f>
      </x:c>
      <x:c r="L588" t="str">
        <x:f>IF(ISNUMBER(K588),L587+LN(K588),"")</x:f>
      </x:c>
    </x:row>
    <x:row r="589">
      <x:c r="J589" t="n">
        <x:f>585</x:f>
        <x:v>585</x:v>
      </x:c>
      <x:c r="K589" t="str">
        <x:f>IF(J589&lt;=$B$6,LARGE('계산'!$K$2:$K$2001,J589),"")</x:f>
      </x:c>
      <x:c r="L589" t="str">
        <x:f>IF(ISNUMBER(K589),L588+LN(K589),"")</x:f>
      </x:c>
    </x:row>
    <x:row r="590">
      <x:c r="J590" t="n">
        <x:f>586</x:f>
        <x:v>586</x:v>
      </x:c>
      <x:c r="K590" t="str">
        <x:f>IF(J590&lt;=$B$6,LARGE('계산'!$K$2:$K$2001,J590),"")</x:f>
      </x:c>
      <x:c r="L590" t="str">
        <x:f>IF(ISNUMBER(K590),L589+LN(K590),"")</x:f>
      </x:c>
    </x:row>
    <x:row r="591">
      <x:c r="J591" t="n">
        <x:f>587</x:f>
        <x:v>587</x:v>
      </x:c>
      <x:c r="K591" t="str">
        <x:f>IF(J591&lt;=$B$6,LARGE('계산'!$K$2:$K$2001,J591),"")</x:f>
      </x:c>
      <x:c r="L591" t="str">
        <x:f>IF(ISNUMBER(K591),L590+LN(K591),"")</x:f>
      </x:c>
    </x:row>
    <x:row r="592">
      <x:c r="J592" t="n">
        <x:f>588</x:f>
        <x:v>588</x:v>
      </x:c>
      <x:c r="K592" t="str">
        <x:f>IF(J592&lt;=$B$6,LARGE('계산'!$K$2:$K$2001,J592),"")</x:f>
      </x:c>
      <x:c r="L592" t="str">
        <x:f>IF(ISNUMBER(K592),L591+LN(K592),"")</x:f>
      </x:c>
    </x:row>
    <x:row r="593">
      <x:c r="J593" t="n">
        <x:f>589</x:f>
        <x:v>589</x:v>
      </x:c>
      <x:c r="K593" t="str">
        <x:f>IF(J593&lt;=$B$6,LARGE('계산'!$K$2:$K$2001,J593),"")</x:f>
      </x:c>
      <x:c r="L593" t="str">
        <x:f>IF(ISNUMBER(K593),L592+LN(K593),"")</x:f>
      </x:c>
    </x:row>
    <x:row r="594">
      <x:c r="J594" t="n">
        <x:f>590</x:f>
        <x:v>590</x:v>
      </x:c>
      <x:c r="K594" t="str">
        <x:f>IF(J594&lt;=$B$6,LARGE('계산'!$K$2:$K$2001,J594),"")</x:f>
      </x:c>
      <x:c r="L594" t="str">
        <x:f>IF(ISNUMBER(K594),L593+LN(K594),"")</x:f>
      </x:c>
    </x:row>
    <x:row r="595">
      <x:c r="J595" t="n">
        <x:f>591</x:f>
        <x:v>591</x:v>
      </x:c>
      <x:c r="K595" t="str">
        <x:f>IF(J595&lt;=$B$6,LARGE('계산'!$K$2:$K$2001,J595),"")</x:f>
      </x:c>
      <x:c r="L595" t="str">
        <x:f>IF(ISNUMBER(K595),L594+LN(K595),"")</x:f>
      </x:c>
    </x:row>
    <x:row r="596">
      <x:c r="J596" t="n">
        <x:f>592</x:f>
        <x:v>592</x:v>
      </x:c>
      <x:c r="K596" t="str">
        <x:f>IF(J596&lt;=$B$6,LARGE('계산'!$K$2:$K$2001,J596),"")</x:f>
      </x:c>
      <x:c r="L596" t="str">
        <x:f>IF(ISNUMBER(K596),L595+LN(K596),"")</x:f>
      </x:c>
    </x:row>
    <x:row r="597">
      <x:c r="J597" t="n">
        <x:f>593</x:f>
        <x:v>593</x:v>
      </x:c>
      <x:c r="K597" t="str">
        <x:f>IF(J597&lt;=$B$6,LARGE('계산'!$K$2:$K$2001,J597),"")</x:f>
      </x:c>
      <x:c r="L597" t="str">
        <x:f>IF(ISNUMBER(K597),L596+LN(K597),"")</x:f>
      </x:c>
    </x:row>
    <x:row r="598">
      <x:c r="J598" t="n">
        <x:f>594</x:f>
        <x:v>594</x:v>
      </x:c>
      <x:c r="K598" t="str">
        <x:f>IF(J598&lt;=$B$6,LARGE('계산'!$K$2:$K$2001,J598),"")</x:f>
      </x:c>
      <x:c r="L598" t="str">
        <x:f>IF(ISNUMBER(K598),L597+LN(K598),"")</x:f>
      </x:c>
    </x:row>
    <x:row r="599">
      <x:c r="J599" t="n">
        <x:f>595</x:f>
        <x:v>595</x:v>
      </x:c>
      <x:c r="K599" t="str">
        <x:f>IF(J599&lt;=$B$6,LARGE('계산'!$K$2:$K$2001,J599),"")</x:f>
      </x:c>
      <x:c r="L599" t="str">
        <x:f>IF(ISNUMBER(K599),L598+LN(K599),"")</x:f>
      </x:c>
    </x:row>
    <x:row r="600">
      <x:c r="J600" t="n">
        <x:f>596</x:f>
        <x:v>596</x:v>
      </x:c>
      <x:c r="K600" t="str">
        <x:f>IF(J600&lt;=$B$6,LARGE('계산'!$K$2:$K$2001,J600),"")</x:f>
      </x:c>
      <x:c r="L600" t="str">
        <x:f>IF(ISNUMBER(K600),L599+LN(K600),"")</x:f>
      </x:c>
    </x:row>
    <x:row r="601">
      <x:c r="J601" t="n">
        <x:f>597</x:f>
        <x:v>597</x:v>
      </x:c>
      <x:c r="K601" t="str">
        <x:f>IF(J601&lt;=$B$6,LARGE('계산'!$K$2:$K$2001,J601),"")</x:f>
      </x:c>
      <x:c r="L601" t="str">
        <x:f>IF(ISNUMBER(K601),L600+LN(K601),"")</x:f>
      </x:c>
    </x:row>
    <x:row r="602">
      <x:c r="J602" t="n">
        <x:f>598</x:f>
        <x:v>598</x:v>
      </x:c>
      <x:c r="K602" t="str">
        <x:f>IF(J602&lt;=$B$6,LARGE('계산'!$K$2:$K$2001,J602),"")</x:f>
      </x:c>
      <x:c r="L602" t="str">
        <x:f>IF(ISNUMBER(K602),L601+LN(K602),"")</x:f>
      </x:c>
    </x:row>
    <x:row r="603">
      <x:c r="J603" t="n">
        <x:f>599</x:f>
        <x:v>599</x:v>
      </x:c>
      <x:c r="K603" t="str">
        <x:f>IF(J603&lt;=$B$6,LARGE('계산'!$K$2:$K$2001,J603),"")</x:f>
      </x:c>
      <x:c r="L603" t="str">
        <x:f>IF(ISNUMBER(K603),L602+LN(K603),"")</x:f>
      </x:c>
    </x:row>
    <x:row r="604">
      <x:c r="J604" t="n">
        <x:f>600</x:f>
        <x:v>600</x:v>
      </x:c>
      <x:c r="K604" t="str">
        <x:f>IF(J604&lt;=$B$6,LARGE('계산'!$K$2:$K$2001,J604),"")</x:f>
      </x:c>
      <x:c r="L604" t="str">
        <x:f>IF(ISNUMBER(K604),L603+LN(K604),"")</x:f>
      </x:c>
    </x:row>
    <x:row r="605">
      <x:c r="J605" t="n">
        <x:f>601</x:f>
        <x:v>601</x:v>
      </x:c>
      <x:c r="K605" t="str">
        <x:f>IF(J605&lt;=$B$6,LARGE('계산'!$K$2:$K$2001,J605),"")</x:f>
      </x:c>
      <x:c r="L605" t="str">
        <x:f>IF(ISNUMBER(K605),L604+LN(K605),"")</x:f>
      </x:c>
    </x:row>
    <x:row r="606">
      <x:c r="J606" t="n">
        <x:f>602</x:f>
        <x:v>602</x:v>
      </x:c>
      <x:c r="K606" t="str">
        <x:f>IF(J606&lt;=$B$6,LARGE('계산'!$K$2:$K$2001,J606),"")</x:f>
      </x:c>
      <x:c r="L606" t="str">
        <x:f>IF(ISNUMBER(K606),L605+LN(K606),"")</x:f>
      </x:c>
    </x:row>
    <x:row r="607">
      <x:c r="J607" t="n">
        <x:f>603</x:f>
        <x:v>603</x:v>
      </x:c>
      <x:c r="K607" t="str">
        <x:f>IF(J607&lt;=$B$6,LARGE('계산'!$K$2:$K$2001,J607),"")</x:f>
      </x:c>
      <x:c r="L607" t="str">
        <x:f>IF(ISNUMBER(K607),L606+LN(K607),"")</x:f>
      </x:c>
    </x:row>
    <x:row r="608">
      <x:c r="J608" t="n">
        <x:f>604</x:f>
        <x:v>604</x:v>
      </x:c>
      <x:c r="K608" t="str">
        <x:f>IF(J608&lt;=$B$6,LARGE('계산'!$K$2:$K$2001,J608),"")</x:f>
      </x:c>
      <x:c r="L608" t="str">
        <x:f>IF(ISNUMBER(K608),L607+LN(K608),"")</x:f>
      </x:c>
    </x:row>
    <x:row r="609">
      <x:c r="J609" t="n">
        <x:f>605</x:f>
        <x:v>605</x:v>
      </x:c>
      <x:c r="K609" t="str">
        <x:f>IF(J609&lt;=$B$6,LARGE('계산'!$K$2:$K$2001,J609),"")</x:f>
      </x:c>
      <x:c r="L609" t="str">
        <x:f>IF(ISNUMBER(K609),L608+LN(K609),"")</x:f>
      </x:c>
    </x:row>
    <x:row r="610">
      <x:c r="J610" t="n">
        <x:f>606</x:f>
        <x:v>606</x:v>
      </x:c>
      <x:c r="K610" t="str">
        <x:f>IF(J610&lt;=$B$6,LARGE('계산'!$K$2:$K$2001,J610),"")</x:f>
      </x:c>
      <x:c r="L610" t="str">
        <x:f>IF(ISNUMBER(K610),L609+LN(K610),"")</x:f>
      </x:c>
    </x:row>
    <x:row r="611">
      <x:c r="J611" t="n">
        <x:f>607</x:f>
        <x:v>607</x:v>
      </x:c>
      <x:c r="K611" t="str">
        <x:f>IF(J611&lt;=$B$6,LARGE('계산'!$K$2:$K$2001,J611),"")</x:f>
      </x:c>
      <x:c r="L611" t="str">
        <x:f>IF(ISNUMBER(K611),L610+LN(K611),"")</x:f>
      </x:c>
    </x:row>
    <x:row r="612">
      <x:c r="J612" t="n">
        <x:f>608</x:f>
        <x:v>608</x:v>
      </x:c>
      <x:c r="K612" t="str">
        <x:f>IF(J612&lt;=$B$6,LARGE('계산'!$K$2:$K$2001,J612),"")</x:f>
      </x:c>
      <x:c r="L612" t="str">
        <x:f>IF(ISNUMBER(K612),L611+LN(K612),"")</x:f>
      </x:c>
    </x:row>
    <x:row r="613">
      <x:c r="J613" t="n">
        <x:f>609</x:f>
        <x:v>609</x:v>
      </x:c>
      <x:c r="K613" t="str">
        <x:f>IF(J613&lt;=$B$6,LARGE('계산'!$K$2:$K$2001,J613),"")</x:f>
      </x:c>
      <x:c r="L613" t="str">
        <x:f>IF(ISNUMBER(K613),L612+LN(K613),"")</x:f>
      </x:c>
    </x:row>
    <x:row r="614">
      <x:c r="J614" t="n">
        <x:f>610</x:f>
        <x:v>610</x:v>
      </x:c>
      <x:c r="K614" t="str">
        <x:f>IF(J614&lt;=$B$6,LARGE('계산'!$K$2:$K$2001,J614),"")</x:f>
      </x:c>
      <x:c r="L614" t="str">
        <x:f>IF(ISNUMBER(K614),L613+LN(K614),"")</x:f>
      </x:c>
    </x:row>
    <x:row r="615">
      <x:c r="J615" t="n">
        <x:f>611</x:f>
        <x:v>611</x:v>
      </x:c>
      <x:c r="K615" t="str">
        <x:f>IF(J615&lt;=$B$6,LARGE('계산'!$K$2:$K$2001,J615),"")</x:f>
      </x:c>
      <x:c r="L615" t="str">
        <x:f>IF(ISNUMBER(K615),L614+LN(K615),"")</x:f>
      </x:c>
    </x:row>
    <x:row r="616">
      <x:c r="J616" t="n">
        <x:f>612</x:f>
        <x:v>612</x:v>
      </x:c>
      <x:c r="K616" t="str">
        <x:f>IF(J616&lt;=$B$6,LARGE('계산'!$K$2:$K$2001,J616),"")</x:f>
      </x:c>
      <x:c r="L616" t="str">
        <x:f>IF(ISNUMBER(K616),L615+LN(K616),"")</x:f>
      </x:c>
    </x:row>
    <x:row r="617">
      <x:c r="J617" t="n">
        <x:f>613</x:f>
        <x:v>613</x:v>
      </x:c>
      <x:c r="K617" t="str">
        <x:f>IF(J617&lt;=$B$6,LARGE('계산'!$K$2:$K$2001,J617),"")</x:f>
      </x:c>
      <x:c r="L617" t="str">
        <x:f>IF(ISNUMBER(K617),L616+LN(K617),"")</x:f>
      </x:c>
    </x:row>
    <x:row r="618">
      <x:c r="J618" t="n">
        <x:f>614</x:f>
        <x:v>614</x:v>
      </x:c>
      <x:c r="K618" t="str">
        <x:f>IF(J618&lt;=$B$6,LARGE('계산'!$K$2:$K$2001,J618),"")</x:f>
      </x:c>
      <x:c r="L618" t="str">
        <x:f>IF(ISNUMBER(K618),L617+LN(K618),"")</x:f>
      </x:c>
    </x:row>
    <x:row r="619">
      <x:c r="J619" t="n">
        <x:f>615</x:f>
        <x:v>615</x:v>
      </x:c>
      <x:c r="K619" t="str">
        <x:f>IF(J619&lt;=$B$6,LARGE('계산'!$K$2:$K$2001,J619),"")</x:f>
      </x:c>
      <x:c r="L619" t="str">
        <x:f>IF(ISNUMBER(K619),L618+LN(K619),"")</x:f>
      </x:c>
    </x:row>
    <x:row r="620">
      <x:c r="J620" t="n">
        <x:f>616</x:f>
        <x:v>616</x:v>
      </x:c>
      <x:c r="K620" t="str">
        <x:f>IF(J620&lt;=$B$6,LARGE('계산'!$K$2:$K$2001,J620),"")</x:f>
      </x:c>
      <x:c r="L620" t="str">
        <x:f>IF(ISNUMBER(K620),L619+LN(K620),"")</x:f>
      </x:c>
    </x:row>
    <x:row r="621">
      <x:c r="J621" t="n">
        <x:f>617</x:f>
        <x:v>617</x:v>
      </x:c>
      <x:c r="K621" t="str">
        <x:f>IF(J621&lt;=$B$6,LARGE('계산'!$K$2:$K$2001,J621),"")</x:f>
      </x:c>
      <x:c r="L621" t="str">
        <x:f>IF(ISNUMBER(K621),L620+LN(K621),"")</x:f>
      </x:c>
    </x:row>
    <x:row r="622">
      <x:c r="J622" t="n">
        <x:f>618</x:f>
        <x:v>618</x:v>
      </x:c>
      <x:c r="K622" t="str">
        <x:f>IF(J622&lt;=$B$6,LARGE('계산'!$K$2:$K$2001,J622),"")</x:f>
      </x:c>
      <x:c r="L622" t="str">
        <x:f>IF(ISNUMBER(K622),L621+LN(K622),"")</x:f>
      </x:c>
    </x:row>
    <x:row r="623">
      <x:c r="J623" t="n">
        <x:f>619</x:f>
        <x:v>619</x:v>
      </x:c>
      <x:c r="K623" t="str">
        <x:f>IF(J623&lt;=$B$6,LARGE('계산'!$K$2:$K$2001,J623),"")</x:f>
      </x:c>
      <x:c r="L623" t="str">
        <x:f>IF(ISNUMBER(K623),L622+LN(K623),"")</x:f>
      </x:c>
    </x:row>
    <x:row r="624">
      <x:c r="J624" t="n">
        <x:f>620</x:f>
        <x:v>620</x:v>
      </x:c>
      <x:c r="K624" t="str">
        <x:f>IF(J624&lt;=$B$6,LARGE('계산'!$K$2:$K$2001,J624),"")</x:f>
      </x:c>
      <x:c r="L624" t="str">
        <x:f>IF(ISNUMBER(K624),L623+LN(K624),"")</x:f>
      </x:c>
    </x:row>
    <x:row r="625">
      <x:c r="J625" t="n">
        <x:f>621</x:f>
        <x:v>621</x:v>
      </x:c>
      <x:c r="K625" t="str">
        <x:f>IF(J625&lt;=$B$6,LARGE('계산'!$K$2:$K$2001,J625),"")</x:f>
      </x:c>
      <x:c r="L625" t="str">
        <x:f>IF(ISNUMBER(K625),L624+LN(K625),"")</x:f>
      </x:c>
    </x:row>
    <x:row r="626">
      <x:c r="J626" t="n">
        <x:f>622</x:f>
        <x:v>622</x:v>
      </x:c>
      <x:c r="K626" t="str">
        <x:f>IF(J626&lt;=$B$6,LARGE('계산'!$K$2:$K$2001,J626),"")</x:f>
      </x:c>
      <x:c r="L626" t="str">
        <x:f>IF(ISNUMBER(K626),L625+LN(K626),"")</x:f>
      </x:c>
    </x:row>
    <x:row r="627">
      <x:c r="J627" t="n">
        <x:f>623</x:f>
        <x:v>623</x:v>
      </x:c>
      <x:c r="K627" t="str">
        <x:f>IF(J627&lt;=$B$6,LARGE('계산'!$K$2:$K$2001,J627),"")</x:f>
      </x:c>
      <x:c r="L627" t="str">
        <x:f>IF(ISNUMBER(K627),L626+LN(K627),"")</x:f>
      </x:c>
    </x:row>
    <x:row r="628">
      <x:c r="J628" t="n">
        <x:f>624</x:f>
        <x:v>624</x:v>
      </x:c>
      <x:c r="K628" t="str">
        <x:f>IF(J628&lt;=$B$6,LARGE('계산'!$K$2:$K$2001,J628),"")</x:f>
      </x:c>
      <x:c r="L628" t="str">
        <x:f>IF(ISNUMBER(K628),L627+LN(K628),"")</x:f>
      </x:c>
    </x:row>
    <x:row r="629">
      <x:c r="J629" t="n">
        <x:f>625</x:f>
        <x:v>625</x:v>
      </x:c>
      <x:c r="K629" t="str">
        <x:f>IF(J629&lt;=$B$6,LARGE('계산'!$K$2:$K$2001,J629),"")</x:f>
      </x:c>
      <x:c r="L629" t="str">
        <x:f>IF(ISNUMBER(K629),L628+LN(K629),"")</x:f>
      </x:c>
    </x:row>
    <x:row r="630">
      <x:c r="J630" t="n">
        <x:f>626</x:f>
        <x:v>626</x:v>
      </x:c>
      <x:c r="K630" t="str">
        <x:f>IF(J630&lt;=$B$6,LARGE('계산'!$K$2:$K$2001,J630),"")</x:f>
      </x:c>
      <x:c r="L630" t="str">
        <x:f>IF(ISNUMBER(K630),L629+LN(K630),"")</x:f>
      </x:c>
    </x:row>
    <x:row r="631">
      <x:c r="J631" t="n">
        <x:f>627</x:f>
        <x:v>627</x:v>
      </x:c>
      <x:c r="K631" t="str">
        <x:f>IF(J631&lt;=$B$6,LARGE('계산'!$K$2:$K$2001,J631),"")</x:f>
      </x:c>
      <x:c r="L631" t="str">
        <x:f>IF(ISNUMBER(K631),L630+LN(K631),"")</x:f>
      </x:c>
    </x:row>
    <x:row r="632">
      <x:c r="J632" t="n">
        <x:f>628</x:f>
        <x:v>628</x:v>
      </x:c>
      <x:c r="K632" t="str">
        <x:f>IF(J632&lt;=$B$6,LARGE('계산'!$K$2:$K$2001,J632),"")</x:f>
      </x:c>
      <x:c r="L632" t="str">
        <x:f>IF(ISNUMBER(K632),L631+LN(K632),"")</x:f>
      </x:c>
    </x:row>
    <x:row r="633">
      <x:c r="J633" t="n">
        <x:f>629</x:f>
        <x:v>629</x:v>
      </x:c>
      <x:c r="K633" t="str">
        <x:f>IF(J633&lt;=$B$6,LARGE('계산'!$K$2:$K$2001,J633),"")</x:f>
      </x:c>
      <x:c r="L633" t="str">
        <x:f>IF(ISNUMBER(K633),L632+LN(K633),"")</x:f>
      </x:c>
    </x:row>
    <x:row r="634">
      <x:c r="J634" t="n">
        <x:f>630</x:f>
        <x:v>630</x:v>
      </x:c>
      <x:c r="K634" t="str">
        <x:f>IF(J634&lt;=$B$6,LARGE('계산'!$K$2:$K$2001,J634),"")</x:f>
      </x:c>
      <x:c r="L634" t="str">
        <x:f>IF(ISNUMBER(K634),L633+LN(K634),"")</x:f>
      </x:c>
    </x:row>
    <x:row r="635">
      <x:c r="J635" t="n">
        <x:f>631</x:f>
        <x:v>631</x:v>
      </x:c>
      <x:c r="K635" t="str">
        <x:f>IF(J635&lt;=$B$6,LARGE('계산'!$K$2:$K$2001,J635),"")</x:f>
      </x:c>
      <x:c r="L635" t="str">
        <x:f>IF(ISNUMBER(K635),L634+LN(K635),"")</x:f>
      </x:c>
    </x:row>
    <x:row r="636">
      <x:c r="J636" t="n">
        <x:f>632</x:f>
        <x:v>632</x:v>
      </x:c>
      <x:c r="K636" t="str">
        <x:f>IF(J636&lt;=$B$6,LARGE('계산'!$K$2:$K$2001,J636),"")</x:f>
      </x:c>
      <x:c r="L636" t="str">
        <x:f>IF(ISNUMBER(K636),L635+LN(K636),"")</x:f>
      </x:c>
    </x:row>
    <x:row r="637">
      <x:c r="J637" t="n">
        <x:f>633</x:f>
        <x:v>633</x:v>
      </x:c>
      <x:c r="K637" t="str">
        <x:f>IF(J637&lt;=$B$6,LARGE('계산'!$K$2:$K$2001,J637),"")</x:f>
      </x:c>
      <x:c r="L637" t="str">
        <x:f>IF(ISNUMBER(K637),L636+LN(K637),"")</x:f>
      </x:c>
    </x:row>
    <x:row r="638">
      <x:c r="J638" t="n">
        <x:f>634</x:f>
        <x:v>634</x:v>
      </x:c>
      <x:c r="K638" t="str">
        <x:f>IF(J638&lt;=$B$6,LARGE('계산'!$K$2:$K$2001,J638),"")</x:f>
      </x:c>
      <x:c r="L638" t="str">
        <x:f>IF(ISNUMBER(K638),L637+LN(K638),"")</x:f>
      </x:c>
    </x:row>
    <x:row r="639">
      <x:c r="J639" t="n">
        <x:f>635</x:f>
        <x:v>635</x:v>
      </x:c>
      <x:c r="K639" t="str">
        <x:f>IF(J639&lt;=$B$6,LARGE('계산'!$K$2:$K$2001,J639),"")</x:f>
      </x:c>
      <x:c r="L639" t="str">
        <x:f>IF(ISNUMBER(K639),L638+LN(K639),"")</x:f>
      </x:c>
    </x:row>
    <x:row r="640">
      <x:c r="J640" t="n">
        <x:f>636</x:f>
        <x:v>636</x:v>
      </x:c>
      <x:c r="K640" t="str">
        <x:f>IF(J640&lt;=$B$6,LARGE('계산'!$K$2:$K$2001,J640),"")</x:f>
      </x:c>
      <x:c r="L640" t="str">
        <x:f>IF(ISNUMBER(K640),L639+LN(K640),"")</x:f>
      </x:c>
    </x:row>
    <x:row r="641">
      <x:c r="J641" t="n">
        <x:f>637</x:f>
        <x:v>637</x:v>
      </x:c>
      <x:c r="K641" t="str">
        <x:f>IF(J641&lt;=$B$6,LARGE('계산'!$K$2:$K$2001,J641),"")</x:f>
      </x:c>
      <x:c r="L641" t="str">
        <x:f>IF(ISNUMBER(K641),L640+LN(K641),"")</x:f>
      </x:c>
    </x:row>
    <x:row r="642">
      <x:c r="J642" t="n">
        <x:f>638</x:f>
        <x:v>638</x:v>
      </x:c>
      <x:c r="K642" t="str">
        <x:f>IF(J642&lt;=$B$6,LARGE('계산'!$K$2:$K$2001,J642),"")</x:f>
      </x:c>
      <x:c r="L642" t="str">
        <x:f>IF(ISNUMBER(K642),L641+LN(K642),"")</x:f>
      </x:c>
    </x:row>
    <x:row r="643">
      <x:c r="J643" t="n">
        <x:f>639</x:f>
        <x:v>639</x:v>
      </x:c>
      <x:c r="K643" t="str">
        <x:f>IF(J643&lt;=$B$6,LARGE('계산'!$K$2:$K$2001,J643),"")</x:f>
      </x:c>
      <x:c r="L643" t="str">
        <x:f>IF(ISNUMBER(K643),L642+LN(K643),"")</x:f>
      </x:c>
    </x:row>
    <x:row r="644">
      <x:c r="J644" t="n">
        <x:f>640</x:f>
        <x:v>640</x:v>
      </x:c>
      <x:c r="K644" t="str">
        <x:f>IF(J644&lt;=$B$6,LARGE('계산'!$K$2:$K$2001,J644),"")</x:f>
      </x:c>
      <x:c r="L644" t="str">
        <x:f>IF(ISNUMBER(K644),L643+LN(K644),"")</x:f>
      </x:c>
    </x:row>
    <x:row r="645">
      <x:c r="J645" t="n">
        <x:f>641</x:f>
        <x:v>641</x:v>
      </x:c>
      <x:c r="K645" t="str">
        <x:f>IF(J645&lt;=$B$6,LARGE('계산'!$K$2:$K$2001,J645),"")</x:f>
      </x:c>
      <x:c r="L645" t="str">
        <x:f>IF(ISNUMBER(K645),L644+LN(K645),"")</x:f>
      </x:c>
    </x:row>
    <x:row r="646">
      <x:c r="J646" t="n">
        <x:f>642</x:f>
        <x:v>642</x:v>
      </x:c>
      <x:c r="K646" t="str">
        <x:f>IF(J646&lt;=$B$6,LARGE('계산'!$K$2:$K$2001,J646),"")</x:f>
      </x:c>
      <x:c r="L646" t="str">
        <x:f>IF(ISNUMBER(K646),L645+LN(K646),"")</x:f>
      </x:c>
    </x:row>
    <x:row r="647">
      <x:c r="J647" t="n">
        <x:f>643</x:f>
        <x:v>643</x:v>
      </x:c>
      <x:c r="K647" t="str">
        <x:f>IF(J647&lt;=$B$6,LARGE('계산'!$K$2:$K$2001,J647),"")</x:f>
      </x:c>
      <x:c r="L647" t="str">
        <x:f>IF(ISNUMBER(K647),L646+LN(K647),"")</x:f>
      </x:c>
    </x:row>
    <x:row r="648">
      <x:c r="J648" t="n">
        <x:f>644</x:f>
        <x:v>644</x:v>
      </x:c>
      <x:c r="K648" t="str">
        <x:f>IF(J648&lt;=$B$6,LARGE('계산'!$K$2:$K$2001,J648),"")</x:f>
      </x:c>
      <x:c r="L648" t="str">
        <x:f>IF(ISNUMBER(K648),L647+LN(K648),"")</x:f>
      </x:c>
    </x:row>
    <x:row r="649">
      <x:c r="J649" t="n">
        <x:f>645</x:f>
        <x:v>645</x:v>
      </x:c>
      <x:c r="K649" t="str">
        <x:f>IF(J649&lt;=$B$6,LARGE('계산'!$K$2:$K$2001,J649),"")</x:f>
      </x:c>
      <x:c r="L649" t="str">
        <x:f>IF(ISNUMBER(K649),L648+LN(K649),"")</x:f>
      </x:c>
    </x:row>
    <x:row r="650">
      <x:c r="J650" t="n">
        <x:f>646</x:f>
        <x:v>646</x:v>
      </x:c>
      <x:c r="K650" t="str">
        <x:f>IF(J650&lt;=$B$6,LARGE('계산'!$K$2:$K$2001,J650),"")</x:f>
      </x:c>
      <x:c r="L650" t="str">
        <x:f>IF(ISNUMBER(K650),L649+LN(K650),"")</x:f>
      </x:c>
    </x:row>
    <x:row r="651">
      <x:c r="J651" t="n">
        <x:f>647</x:f>
        <x:v>647</x:v>
      </x:c>
      <x:c r="K651" t="str">
        <x:f>IF(J651&lt;=$B$6,LARGE('계산'!$K$2:$K$2001,J651),"")</x:f>
      </x:c>
      <x:c r="L651" t="str">
        <x:f>IF(ISNUMBER(K651),L650+LN(K651),"")</x:f>
      </x:c>
    </x:row>
    <x:row r="652">
      <x:c r="J652" t="n">
        <x:f>648</x:f>
        <x:v>648</x:v>
      </x:c>
      <x:c r="K652" t="str">
        <x:f>IF(J652&lt;=$B$6,LARGE('계산'!$K$2:$K$2001,J652),"")</x:f>
      </x:c>
      <x:c r="L652" t="str">
        <x:f>IF(ISNUMBER(K652),L651+LN(K652),"")</x:f>
      </x:c>
    </x:row>
    <x:row r="653">
      <x:c r="J653" t="n">
        <x:f>649</x:f>
        <x:v>649</x:v>
      </x:c>
      <x:c r="K653" t="str">
        <x:f>IF(J653&lt;=$B$6,LARGE('계산'!$K$2:$K$2001,J653),"")</x:f>
      </x:c>
      <x:c r="L653" t="str">
        <x:f>IF(ISNUMBER(K653),L652+LN(K653),"")</x:f>
      </x:c>
    </x:row>
    <x:row r="654">
      <x:c r="J654" t="n">
        <x:f>650</x:f>
        <x:v>650</x:v>
      </x:c>
      <x:c r="K654" t="str">
        <x:f>IF(J654&lt;=$B$6,LARGE('계산'!$K$2:$K$2001,J654),"")</x:f>
      </x:c>
      <x:c r="L654" t="str">
        <x:f>IF(ISNUMBER(K654),L653+LN(K654),"")</x:f>
      </x:c>
    </x:row>
    <x:row r="655">
      <x:c r="J655" t="n">
        <x:f>651</x:f>
        <x:v>651</x:v>
      </x:c>
      <x:c r="K655" t="str">
        <x:f>IF(J655&lt;=$B$6,LARGE('계산'!$K$2:$K$2001,J655),"")</x:f>
      </x:c>
      <x:c r="L655" t="str">
        <x:f>IF(ISNUMBER(K655),L654+LN(K655),"")</x:f>
      </x:c>
    </x:row>
    <x:row r="656">
      <x:c r="J656" t="n">
        <x:f>652</x:f>
        <x:v>652</x:v>
      </x:c>
      <x:c r="K656" t="str">
        <x:f>IF(J656&lt;=$B$6,LARGE('계산'!$K$2:$K$2001,J656),"")</x:f>
      </x:c>
      <x:c r="L656" t="str">
        <x:f>IF(ISNUMBER(K656),L655+LN(K656),"")</x:f>
      </x:c>
    </x:row>
    <x:row r="657">
      <x:c r="J657" t="n">
        <x:f>653</x:f>
        <x:v>653</x:v>
      </x:c>
      <x:c r="K657" t="str">
        <x:f>IF(J657&lt;=$B$6,LARGE('계산'!$K$2:$K$2001,J657),"")</x:f>
      </x:c>
      <x:c r="L657" t="str">
        <x:f>IF(ISNUMBER(K657),L656+LN(K657),"")</x:f>
      </x:c>
    </x:row>
    <x:row r="658">
      <x:c r="J658" t="n">
        <x:f>654</x:f>
        <x:v>654</x:v>
      </x:c>
      <x:c r="K658" t="str">
        <x:f>IF(J658&lt;=$B$6,LARGE('계산'!$K$2:$K$2001,J658),"")</x:f>
      </x:c>
      <x:c r="L658" t="str">
        <x:f>IF(ISNUMBER(K658),L657+LN(K658),"")</x:f>
      </x:c>
    </x:row>
    <x:row r="659">
      <x:c r="J659" t="n">
        <x:f>655</x:f>
        <x:v>655</x:v>
      </x:c>
      <x:c r="K659" t="str">
        <x:f>IF(J659&lt;=$B$6,LARGE('계산'!$K$2:$K$2001,J659),"")</x:f>
      </x:c>
      <x:c r="L659" t="str">
        <x:f>IF(ISNUMBER(K659),L658+LN(K659),"")</x:f>
      </x:c>
    </x:row>
    <x:row r="660">
      <x:c r="J660" t="n">
        <x:f>656</x:f>
        <x:v>656</x:v>
      </x:c>
      <x:c r="K660" t="str">
        <x:f>IF(J660&lt;=$B$6,LARGE('계산'!$K$2:$K$2001,J660),"")</x:f>
      </x:c>
      <x:c r="L660" t="str">
        <x:f>IF(ISNUMBER(K660),L659+LN(K660),"")</x:f>
      </x:c>
    </x:row>
    <x:row r="661">
      <x:c r="J661" t="n">
        <x:f>657</x:f>
        <x:v>657</x:v>
      </x:c>
      <x:c r="K661" t="str">
        <x:f>IF(J661&lt;=$B$6,LARGE('계산'!$K$2:$K$2001,J661),"")</x:f>
      </x:c>
      <x:c r="L661" t="str">
        <x:f>IF(ISNUMBER(K661),L660+LN(K661),"")</x:f>
      </x:c>
    </x:row>
    <x:row r="662">
      <x:c r="J662" t="n">
        <x:f>658</x:f>
        <x:v>658</x:v>
      </x:c>
      <x:c r="K662" t="str">
        <x:f>IF(J662&lt;=$B$6,LARGE('계산'!$K$2:$K$2001,J662),"")</x:f>
      </x:c>
      <x:c r="L662" t="str">
        <x:f>IF(ISNUMBER(K662),L661+LN(K662),"")</x:f>
      </x:c>
    </x:row>
    <x:row r="663">
      <x:c r="J663" t="n">
        <x:f>659</x:f>
        <x:v>659</x:v>
      </x:c>
      <x:c r="K663" t="str">
        <x:f>IF(J663&lt;=$B$6,LARGE('계산'!$K$2:$K$2001,J663),"")</x:f>
      </x:c>
      <x:c r="L663" t="str">
        <x:f>IF(ISNUMBER(K663),L662+LN(K663),"")</x:f>
      </x:c>
    </x:row>
    <x:row r="664">
      <x:c r="J664" t="n">
        <x:f>660</x:f>
        <x:v>660</x:v>
      </x:c>
      <x:c r="K664" t="str">
        <x:f>IF(J664&lt;=$B$6,LARGE('계산'!$K$2:$K$2001,J664),"")</x:f>
      </x:c>
      <x:c r="L664" t="str">
        <x:f>IF(ISNUMBER(K664),L663+LN(K664),"")</x:f>
      </x:c>
    </x:row>
    <x:row r="665">
      <x:c r="J665" t="n">
        <x:f>661</x:f>
        <x:v>661</x:v>
      </x:c>
      <x:c r="K665" t="str">
        <x:f>IF(J665&lt;=$B$6,LARGE('계산'!$K$2:$K$2001,J665),"")</x:f>
      </x:c>
      <x:c r="L665" t="str">
        <x:f>IF(ISNUMBER(K665),L664+LN(K665),"")</x:f>
      </x:c>
    </x:row>
    <x:row r="666">
      <x:c r="J666" t="n">
        <x:f>662</x:f>
        <x:v>662</x:v>
      </x:c>
      <x:c r="K666" t="str">
        <x:f>IF(J666&lt;=$B$6,LARGE('계산'!$K$2:$K$2001,J666),"")</x:f>
      </x:c>
      <x:c r="L666" t="str">
        <x:f>IF(ISNUMBER(K666),L665+LN(K666),"")</x:f>
      </x:c>
    </x:row>
    <x:row r="667">
      <x:c r="J667" t="n">
        <x:f>663</x:f>
        <x:v>663</x:v>
      </x:c>
      <x:c r="K667" t="str">
        <x:f>IF(J667&lt;=$B$6,LARGE('계산'!$K$2:$K$2001,J667),"")</x:f>
      </x:c>
      <x:c r="L667" t="str">
        <x:f>IF(ISNUMBER(K667),L666+LN(K667),"")</x:f>
      </x:c>
    </x:row>
    <x:row r="668">
      <x:c r="J668" t="n">
        <x:f>664</x:f>
        <x:v>664</x:v>
      </x:c>
      <x:c r="K668" t="str">
        <x:f>IF(J668&lt;=$B$6,LARGE('계산'!$K$2:$K$2001,J668),"")</x:f>
      </x:c>
      <x:c r="L668" t="str">
        <x:f>IF(ISNUMBER(K668),L667+LN(K668),"")</x:f>
      </x:c>
    </x:row>
    <x:row r="669">
      <x:c r="J669" t="n">
        <x:f>665</x:f>
        <x:v>665</x:v>
      </x:c>
      <x:c r="K669" t="str">
        <x:f>IF(J669&lt;=$B$6,LARGE('계산'!$K$2:$K$2001,J669),"")</x:f>
      </x:c>
      <x:c r="L669" t="str">
        <x:f>IF(ISNUMBER(K669),L668+LN(K669),"")</x:f>
      </x:c>
    </x:row>
    <x:row r="670">
      <x:c r="J670" t="n">
        <x:f>666</x:f>
        <x:v>666</x:v>
      </x:c>
      <x:c r="K670" t="str">
        <x:f>IF(J670&lt;=$B$6,LARGE('계산'!$K$2:$K$2001,J670),"")</x:f>
      </x:c>
      <x:c r="L670" t="str">
        <x:f>IF(ISNUMBER(K670),L669+LN(K670),"")</x:f>
      </x:c>
    </x:row>
    <x:row r="671">
      <x:c r="J671" t="n">
        <x:f>667</x:f>
        <x:v>667</x:v>
      </x:c>
      <x:c r="K671" t="str">
        <x:f>IF(J671&lt;=$B$6,LARGE('계산'!$K$2:$K$2001,J671),"")</x:f>
      </x:c>
      <x:c r="L671" t="str">
        <x:f>IF(ISNUMBER(K671),L670+LN(K671),"")</x:f>
      </x:c>
    </x:row>
    <x:row r="672">
      <x:c r="J672" t="n">
        <x:f>668</x:f>
        <x:v>668</x:v>
      </x:c>
      <x:c r="K672" t="str">
        <x:f>IF(J672&lt;=$B$6,LARGE('계산'!$K$2:$K$2001,J672),"")</x:f>
      </x:c>
      <x:c r="L672" t="str">
        <x:f>IF(ISNUMBER(K672),L671+LN(K672),"")</x:f>
      </x:c>
    </x:row>
    <x:row r="673">
      <x:c r="J673" t="n">
        <x:f>669</x:f>
        <x:v>669</x:v>
      </x:c>
      <x:c r="K673" t="str">
        <x:f>IF(J673&lt;=$B$6,LARGE('계산'!$K$2:$K$2001,J673),"")</x:f>
      </x:c>
      <x:c r="L673" t="str">
        <x:f>IF(ISNUMBER(K673),L672+LN(K673),"")</x:f>
      </x:c>
    </x:row>
    <x:row r="674">
      <x:c r="J674" t="n">
        <x:f>670</x:f>
        <x:v>670</x:v>
      </x:c>
      <x:c r="K674" t="str">
        <x:f>IF(J674&lt;=$B$6,LARGE('계산'!$K$2:$K$2001,J674),"")</x:f>
      </x:c>
      <x:c r="L674" t="str">
        <x:f>IF(ISNUMBER(K674),L673+LN(K674),"")</x:f>
      </x:c>
    </x:row>
    <x:row r="675">
      <x:c r="J675" t="n">
        <x:f>671</x:f>
        <x:v>671</x:v>
      </x:c>
      <x:c r="K675" t="str">
        <x:f>IF(J675&lt;=$B$6,LARGE('계산'!$K$2:$K$2001,J675),"")</x:f>
      </x:c>
      <x:c r="L675" t="str">
        <x:f>IF(ISNUMBER(K675),L674+LN(K675),"")</x:f>
      </x:c>
    </x:row>
    <x:row r="676">
      <x:c r="J676" t="n">
        <x:f>672</x:f>
        <x:v>672</x:v>
      </x:c>
      <x:c r="K676" t="str">
        <x:f>IF(J676&lt;=$B$6,LARGE('계산'!$K$2:$K$2001,J676),"")</x:f>
      </x:c>
      <x:c r="L676" t="str">
        <x:f>IF(ISNUMBER(K676),L675+LN(K676),"")</x:f>
      </x:c>
    </x:row>
    <x:row r="677">
      <x:c r="J677" t="n">
        <x:f>673</x:f>
        <x:v>673</x:v>
      </x:c>
      <x:c r="K677" t="str">
        <x:f>IF(J677&lt;=$B$6,LARGE('계산'!$K$2:$K$2001,J677),"")</x:f>
      </x:c>
      <x:c r="L677" t="str">
        <x:f>IF(ISNUMBER(K677),L676+LN(K677),"")</x:f>
      </x:c>
    </x:row>
    <x:row r="678">
      <x:c r="J678" t="n">
        <x:f>674</x:f>
        <x:v>674</x:v>
      </x:c>
      <x:c r="K678" t="str">
        <x:f>IF(J678&lt;=$B$6,LARGE('계산'!$K$2:$K$2001,J678),"")</x:f>
      </x:c>
      <x:c r="L678" t="str">
        <x:f>IF(ISNUMBER(K678),L677+LN(K678),"")</x:f>
      </x:c>
    </x:row>
    <x:row r="679">
      <x:c r="J679" t="n">
        <x:f>675</x:f>
        <x:v>675</x:v>
      </x:c>
      <x:c r="K679" t="str">
        <x:f>IF(J679&lt;=$B$6,LARGE('계산'!$K$2:$K$2001,J679),"")</x:f>
      </x:c>
      <x:c r="L679" t="str">
        <x:f>IF(ISNUMBER(K679),L678+LN(K679),"")</x:f>
      </x:c>
    </x:row>
    <x:row r="680">
      <x:c r="J680" t="n">
        <x:f>676</x:f>
        <x:v>676</x:v>
      </x:c>
      <x:c r="K680" t="str">
        <x:f>IF(J680&lt;=$B$6,LARGE('계산'!$K$2:$K$2001,J680),"")</x:f>
      </x:c>
      <x:c r="L680" t="str">
        <x:f>IF(ISNUMBER(K680),L679+LN(K680),"")</x:f>
      </x:c>
    </x:row>
    <x:row r="681">
      <x:c r="J681" t="n">
        <x:f>677</x:f>
        <x:v>677</x:v>
      </x:c>
      <x:c r="K681" t="str">
        <x:f>IF(J681&lt;=$B$6,LARGE('계산'!$K$2:$K$2001,J681),"")</x:f>
      </x:c>
      <x:c r="L681" t="str">
        <x:f>IF(ISNUMBER(K681),L680+LN(K681),"")</x:f>
      </x:c>
    </x:row>
    <x:row r="682">
      <x:c r="J682" t="n">
        <x:f>678</x:f>
        <x:v>678</x:v>
      </x:c>
      <x:c r="K682" t="str">
        <x:f>IF(J682&lt;=$B$6,LARGE('계산'!$K$2:$K$2001,J682),"")</x:f>
      </x:c>
      <x:c r="L682" t="str">
        <x:f>IF(ISNUMBER(K682),L681+LN(K682),"")</x:f>
      </x:c>
    </x:row>
    <x:row r="683">
      <x:c r="J683" t="n">
        <x:f>679</x:f>
        <x:v>679</x:v>
      </x:c>
      <x:c r="K683" t="str">
        <x:f>IF(J683&lt;=$B$6,LARGE('계산'!$K$2:$K$2001,J683),"")</x:f>
      </x:c>
      <x:c r="L683" t="str">
        <x:f>IF(ISNUMBER(K683),L682+LN(K683),"")</x:f>
      </x:c>
    </x:row>
    <x:row r="684">
      <x:c r="J684" t="n">
        <x:f>680</x:f>
        <x:v>680</x:v>
      </x:c>
      <x:c r="K684" t="str">
        <x:f>IF(J684&lt;=$B$6,LARGE('계산'!$K$2:$K$2001,J684),"")</x:f>
      </x:c>
      <x:c r="L684" t="str">
        <x:f>IF(ISNUMBER(K684),L683+LN(K684),"")</x:f>
      </x:c>
    </x:row>
    <x:row r="685">
      <x:c r="J685" t="n">
        <x:f>681</x:f>
        <x:v>681</x:v>
      </x:c>
      <x:c r="K685" t="str">
        <x:f>IF(J685&lt;=$B$6,LARGE('계산'!$K$2:$K$2001,J685),"")</x:f>
      </x:c>
      <x:c r="L685" t="str">
        <x:f>IF(ISNUMBER(K685),L684+LN(K685),"")</x:f>
      </x:c>
    </x:row>
    <x:row r="686">
      <x:c r="J686" t="n">
        <x:f>682</x:f>
        <x:v>682</x:v>
      </x:c>
      <x:c r="K686" t="str">
        <x:f>IF(J686&lt;=$B$6,LARGE('계산'!$K$2:$K$2001,J686),"")</x:f>
      </x:c>
      <x:c r="L686" t="str">
        <x:f>IF(ISNUMBER(K686),L685+LN(K686),"")</x:f>
      </x:c>
    </x:row>
    <x:row r="687">
      <x:c r="J687" t="n">
        <x:f>683</x:f>
        <x:v>683</x:v>
      </x:c>
      <x:c r="K687" t="str">
        <x:f>IF(J687&lt;=$B$6,LARGE('계산'!$K$2:$K$2001,J687),"")</x:f>
      </x:c>
      <x:c r="L687" t="str">
        <x:f>IF(ISNUMBER(K687),L686+LN(K687),"")</x:f>
      </x:c>
    </x:row>
    <x:row r="688">
      <x:c r="J688" t="n">
        <x:f>684</x:f>
        <x:v>684</x:v>
      </x:c>
      <x:c r="K688" t="str">
        <x:f>IF(J688&lt;=$B$6,LARGE('계산'!$K$2:$K$2001,J688),"")</x:f>
      </x:c>
      <x:c r="L688" t="str">
        <x:f>IF(ISNUMBER(K688),L687+LN(K688),"")</x:f>
      </x:c>
    </x:row>
    <x:row r="689">
      <x:c r="J689" t="n">
        <x:f>685</x:f>
        <x:v>685</x:v>
      </x:c>
      <x:c r="K689" t="str">
        <x:f>IF(J689&lt;=$B$6,LARGE('계산'!$K$2:$K$2001,J689),"")</x:f>
      </x:c>
      <x:c r="L689" t="str">
        <x:f>IF(ISNUMBER(K689),L688+LN(K689),"")</x:f>
      </x:c>
    </x:row>
    <x:row r="690">
      <x:c r="J690" t="n">
        <x:f>686</x:f>
        <x:v>686</x:v>
      </x:c>
      <x:c r="K690" t="str">
        <x:f>IF(J690&lt;=$B$6,LARGE('계산'!$K$2:$K$2001,J690),"")</x:f>
      </x:c>
      <x:c r="L690" t="str">
        <x:f>IF(ISNUMBER(K690),L689+LN(K690),"")</x:f>
      </x:c>
    </x:row>
    <x:row r="691">
      <x:c r="J691" t="n">
        <x:f>687</x:f>
        <x:v>687</x:v>
      </x:c>
      <x:c r="K691" t="str">
        <x:f>IF(J691&lt;=$B$6,LARGE('계산'!$K$2:$K$2001,J691),"")</x:f>
      </x:c>
      <x:c r="L691" t="str">
        <x:f>IF(ISNUMBER(K691),L690+LN(K691),"")</x:f>
      </x:c>
    </x:row>
    <x:row r="692">
      <x:c r="J692" t="n">
        <x:f>688</x:f>
        <x:v>688</x:v>
      </x:c>
      <x:c r="K692" t="str">
        <x:f>IF(J692&lt;=$B$6,LARGE('계산'!$K$2:$K$2001,J692),"")</x:f>
      </x:c>
      <x:c r="L692" t="str">
        <x:f>IF(ISNUMBER(K692),L691+LN(K692),"")</x:f>
      </x:c>
    </x:row>
    <x:row r="693">
      <x:c r="J693" t="n">
        <x:f>689</x:f>
        <x:v>689</x:v>
      </x:c>
      <x:c r="K693" t="str">
        <x:f>IF(J693&lt;=$B$6,LARGE('계산'!$K$2:$K$2001,J693),"")</x:f>
      </x:c>
      <x:c r="L693" t="str">
        <x:f>IF(ISNUMBER(K693),L692+LN(K693),"")</x:f>
      </x:c>
    </x:row>
    <x:row r="694">
      <x:c r="J694" t="n">
        <x:f>690</x:f>
        <x:v>690</x:v>
      </x:c>
      <x:c r="K694" t="str">
        <x:f>IF(J694&lt;=$B$6,LARGE('계산'!$K$2:$K$2001,J694),"")</x:f>
      </x:c>
      <x:c r="L694" t="str">
        <x:f>IF(ISNUMBER(K694),L693+LN(K694),"")</x:f>
      </x:c>
    </x:row>
    <x:row r="695">
      <x:c r="J695" t="n">
        <x:f>691</x:f>
        <x:v>691</x:v>
      </x:c>
      <x:c r="K695" t="str">
        <x:f>IF(J695&lt;=$B$6,LARGE('계산'!$K$2:$K$2001,J695),"")</x:f>
      </x:c>
      <x:c r="L695" t="str">
        <x:f>IF(ISNUMBER(K695),L694+LN(K695),"")</x:f>
      </x:c>
    </x:row>
    <x:row r="696">
      <x:c r="J696" t="n">
        <x:f>692</x:f>
        <x:v>692</x:v>
      </x:c>
      <x:c r="K696" t="str">
        <x:f>IF(J696&lt;=$B$6,LARGE('계산'!$K$2:$K$2001,J696),"")</x:f>
      </x:c>
      <x:c r="L696" t="str">
        <x:f>IF(ISNUMBER(K696),L695+LN(K696),"")</x:f>
      </x:c>
    </x:row>
    <x:row r="697">
      <x:c r="J697" t="n">
        <x:f>693</x:f>
        <x:v>693</x:v>
      </x:c>
      <x:c r="K697" t="str">
        <x:f>IF(J697&lt;=$B$6,LARGE('계산'!$K$2:$K$2001,J697),"")</x:f>
      </x:c>
      <x:c r="L697" t="str">
        <x:f>IF(ISNUMBER(K697),L696+LN(K697),"")</x:f>
      </x:c>
    </x:row>
    <x:row r="698">
      <x:c r="J698" t="n">
        <x:f>694</x:f>
        <x:v>694</x:v>
      </x:c>
      <x:c r="K698" t="str">
        <x:f>IF(J698&lt;=$B$6,LARGE('계산'!$K$2:$K$2001,J698),"")</x:f>
      </x:c>
      <x:c r="L698" t="str">
        <x:f>IF(ISNUMBER(K698),L697+LN(K698),"")</x:f>
      </x:c>
    </x:row>
    <x:row r="699">
      <x:c r="J699" t="n">
        <x:f>695</x:f>
        <x:v>695</x:v>
      </x:c>
      <x:c r="K699" t="str">
        <x:f>IF(J699&lt;=$B$6,LARGE('계산'!$K$2:$K$2001,J699),"")</x:f>
      </x:c>
      <x:c r="L699" t="str">
        <x:f>IF(ISNUMBER(K699),L698+LN(K699),"")</x:f>
      </x:c>
    </x:row>
    <x:row r="700">
      <x:c r="J700" t="n">
        <x:f>696</x:f>
        <x:v>696</x:v>
      </x:c>
      <x:c r="K700" t="str">
        <x:f>IF(J700&lt;=$B$6,LARGE('계산'!$K$2:$K$2001,J700),"")</x:f>
      </x:c>
      <x:c r="L700" t="str">
        <x:f>IF(ISNUMBER(K700),L699+LN(K700),"")</x:f>
      </x:c>
    </x:row>
    <x:row r="701">
      <x:c r="J701" t="n">
        <x:f>697</x:f>
        <x:v>697</x:v>
      </x:c>
      <x:c r="K701" t="str">
        <x:f>IF(J701&lt;=$B$6,LARGE('계산'!$K$2:$K$2001,J701),"")</x:f>
      </x:c>
      <x:c r="L701" t="str">
        <x:f>IF(ISNUMBER(K701),L700+LN(K701),"")</x:f>
      </x:c>
    </x:row>
    <x:row r="702">
      <x:c r="J702" t="n">
        <x:f>698</x:f>
        <x:v>698</x:v>
      </x:c>
      <x:c r="K702" t="str">
        <x:f>IF(J702&lt;=$B$6,LARGE('계산'!$K$2:$K$2001,J702),"")</x:f>
      </x:c>
      <x:c r="L702" t="str">
        <x:f>IF(ISNUMBER(K702),L701+LN(K702),"")</x:f>
      </x:c>
    </x:row>
    <x:row r="703">
      <x:c r="J703" t="n">
        <x:f>699</x:f>
        <x:v>699</x:v>
      </x:c>
      <x:c r="K703" t="str">
        <x:f>IF(J703&lt;=$B$6,LARGE('계산'!$K$2:$K$2001,J703),"")</x:f>
      </x:c>
      <x:c r="L703" t="str">
        <x:f>IF(ISNUMBER(K703),L702+LN(K703),"")</x:f>
      </x:c>
    </x:row>
    <x:row r="704">
      <x:c r="J704" t="n">
        <x:f>700</x:f>
        <x:v>700</x:v>
      </x:c>
      <x:c r="K704" t="str">
        <x:f>IF(J704&lt;=$B$6,LARGE('계산'!$K$2:$K$2001,J704),"")</x:f>
      </x:c>
      <x:c r="L704" t="str">
        <x:f>IF(ISNUMBER(K704),L703+LN(K704),"")</x:f>
      </x:c>
    </x:row>
    <x:row r="705">
      <x:c r="J705" t="n">
        <x:f>701</x:f>
        <x:v>701</x:v>
      </x:c>
      <x:c r="K705" t="str">
        <x:f>IF(J705&lt;=$B$6,LARGE('계산'!$K$2:$K$2001,J705),"")</x:f>
      </x:c>
      <x:c r="L705" t="str">
        <x:f>IF(ISNUMBER(K705),L704+LN(K705),"")</x:f>
      </x:c>
    </x:row>
    <x:row r="706">
      <x:c r="J706" t="n">
        <x:f>702</x:f>
        <x:v>702</x:v>
      </x:c>
      <x:c r="K706" t="str">
        <x:f>IF(J706&lt;=$B$6,LARGE('계산'!$K$2:$K$2001,J706),"")</x:f>
      </x:c>
      <x:c r="L706" t="str">
        <x:f>IF(ISNUMBER(K706),L705+LN(K706),"")</x:f>
      </x:c>
    </x:row>
    <x:row r="707">
      <x:c r="J707" t="n">
        <x:f>703</x:f>
        <x:v>703</x:v>
      </x:c>
      <x:c r="K707" t="str">
        <x:f>IF(J707&lt;=$B$6,LARGE('계산'!$K$2:$K$2001,J707),"")</x:f>
      </x:c>
      <x:c r="L707" t="str">
        <x:f>IF(ISNUMBER(K707),L706+LN(K707),"")</x:f>
      </x:c>
    </x:row>
    <x:row r="708">
      <x:c r="J708" t="n">
        <x:f>704</x:f>
        <x:v>704</x:v>
      </x:c>
      <x:c r="K708" t="str">
        <x:f>IF(J708&lt;=$B$6,LARGE('계산'!$K$2:$K$2001,J708),"")</x:f>
      </x:c>
      <x:c r="L708" t="str">
        <x:f>IF(ISNUMBER(K708),L707+LN(K708),"")</x:f>
      </x:c>
    </x:row>
    <x:row r="709">
      <x:c r="J709" t="n">
        <x:f>705</x:f>
        <x:v>705</x:v>
      </x:c>
      <x:c r="K709" t="str">
        <x:f>IF(J709&lt;=$B$6,LARGE('계산'!$K$2:$K$2001,J709),"")</x:f>
      </x:c>
      <x:c r="L709" t="str">
        <x:f>IF(ISNUMBER(K709),L708+LN(K709),"")</x:f>
      </x:c>
    </x:row>
    <x:row r="710">
      <x:c r="J710" t="n">
        <x:f>706</x:f>
        <x:v>706</x:v>
      </x:c>
      <x:c r="K710" t="str">
        <x:f>IF(J710&lt;=$B$6,LARGE('계산'!$K$2:$K$2001,J710),"")</x:f>
      </x:c>
      <x:c r="L710" t="str">
        <x:f>IF(ISNUMBER(K710),L709+LN(K710),"")</x:f>
      </x:c>
    </x:row>
    <x:row r="711">
      <x:c r="J711" t="n">
        <x:f>707</x:f>
        <x:v>707</x:v>
      </x:c>
      <x:c r="K711" t="str">
        <x:f>IF(J711&lt;=$B$6,LARGE('계산'!$K$2:$K$2001,J711),"")</x:f>
      </x:c>
      <x:c r="L711" t="str">
        <x:f>IF(ISNUMBER(K711),L710+LN(K711),"")</x:f>
      </x:c>
    </x:row>
    <x:row r="712">
      <x:c r="J712" t="n">
        <x:f>708</x:f>
        <x:v>708</x:v>
      </x:c>
      <x:c r="K712" t="str">
        <x:f>IF(J712&lt;=$B$6,LARGE('계산'!$K$2:$K$2001,J712),"")</x:f>
      </x:c>
      <x:c r="L712" t="str">
        <x:f>IF(ISNUMBER(K712),L711+LN(K712),"")</x:f>
      </x:c>
    </x:row>
    <x:row r="713">
      <x:c r="J713" t="n">
        <x:f>709</x:f>
        <x:v>709</x:v>
      </x:c>
      <x:c r="K713" t="str">
        <x:f>IF(J713&lt;=$B$6,LARGE('계산'!$K$2:$K$2001,J713),"")</x:f>
      </x:c>
      <x:c r="L713" t="str">
        <x:f>IF(ISNUMBER(K713),L712+LN(K713),"")</x:f>
      </x:c>
    </x:row>
    <x:row r="714">
      <x:c r="J714" t="n">
        <x:f>710</x:f>
        <x:v>710</x:v>
      </x:c>
      <x:c r="K714" t="str">
        <x:f>IF(J714&lt;=$B$6,LARGE('계산'!$K$2:$K$2001,J714),"")</x:f>
      </x:c>
      <x:c r="L714" t="str">
        <x:f>IF(ISNUMBER(K714),L713+LN(K714),"")</x:f>
      </x:c>
    </x:row>
    <x:row r="715">
      <x:c r="J715" t="n">
        <x:f>711</x:f>
        <x:v>711</x:v>
      </x:c>
      <x:c r="K715" t="str">
        <x:f>IF(J715&lt;=$B$6,LARGE('계산'!$K$2:$K$2001,J715),"")</x:f>
      </x:c>
      <x:c r="L715" t="str">
        <x:f>IF(ISNUMBER(K715),L714+LN(K715),"")</x:f>
      </x:c>
    </x:row>
    <x:row r="716">
      <x:c r="J716" t="n">
        <x:f>712</x:f>
        <x:v>712</x:v>
      </x:c>
      <x:c r="K716" t="str">
        <x:f>IF(J716&lt;=$B$6,LARGE('계산'!$K$2:$K$2001,J716),"")</x:f>
      </x:c>
      <x:c r="L716" t="str">
        <x:f>IF(ISNUMBER(K716),L715+LN(K716),"")</x:f>
      </x:c>
    </x:row>
    <x:row r="717">
      <x:c r="J717" t="n">
        <x:f>713</x:f>
        <x:v>713</x:v>
      </x:c>
      <x:c r="K717" t="str">
        <x:f>IF(J717&lt;=$B$6,LARGE('계산'!$K$2:$K$2001,J717),"")</x:f>
      </x:c>
      <x:c r="L717" t="str">
        <x:f>IF(ISNUMBER(K717),L716+LN(K717),"")</x:f>
      </x:c>
    </x:row>
    <x:row r="718">
      <x:c r="J718" t="n">
        <x:f>714</x:f>
        <x:v>714</x:v>
      </x:c>
      <x:c r="K718" t="str">
        <x:f>IF(J718&lt;=$B$6,LARGE('계산'!$K$2:$K$2001,J718),"")</x:f>
      </x:c>
      <x:c r="L718" t="str">
        <x:f>IF(ISNUMBER(K718),L717+LN(K718),"")</x:f>
      </x:c>
    </x:row>
    <x:row r="719">
      <x:c r="J719" t="n">
        <x:f>715</x:f>
        <x:v>715</x:v>
      </x:c>
      <x:c r="K719" t="str">
        <x:f>IF(J719&lt;=$B$6,LARGE('계산'!$K$2:$K$2001,J719),"")</x:f>
      </x:c>
      <x:c r="L719" t="str">
        <x:f>IF(ISNUMBER(K719),L718+LN(K719),"")</x:f>
      </x:c>
    </x:row>
    <x:row r="720">
      <x:c r="J720" t="n">
        <x:f>716</x:f>
        <x:v>716</x:v>
      </x:c>
      <x:c r="K720" t="str">
        <x:f>IF(J720&lt;=$B$6,LARGE('계산'!$K$2:$K$2001,J720),"")</x:f>
      </x:c>
      <x:c r="L720" t="str">
        <x:f>IF(ISNUMBER(K720),L719+LN(K720),"")</x:f>
      </x:c>
    </x:row>
    <x:row r="721">
      <x:c r="J721" t="n">
        <x:f>717</x:f>
        <x:v>717</x:v>
      </x:c>
      <x:c r="K721" t="str">
        <x:f>IF(J721&lt;=$B$6,LARGE('계산'!$K$2:$K$2001,J721),"")</x:f>
      </x:c>
      <x:c r="L721" t="str">
        <x:f>IF(ISNUMBER(K721),L720+LN(K721),"")</x:f>
      </x:c>
    </x:row>
    <x:row r="722">
      <x:c r="J722" t="n">
        <x:f>718</x:f>
        <x:v>718</x:v>
      </x:c>
      <x:c r="K722" t="str">
        <x:f>IF(J722&lt;=$B$6,LARGE('계산'!$K$2:$K$2001,J722),"")</x:f>
      </x:c>
      <x:c r="L722" t="str">
        <x:f>IF(ISNUMBER(K722),L721+LN(K722),"")</x:f>
      </x:c>
    </x:row>
    <x:row r="723">
      <x:c r="J723" t="n">
        <x:f>719</x:f>
        <x:v>719</x:v>
      </x:c>
      <x:c r="K723" t="str">
        <x:f>IF(J723&lt;=$B$6,LARGE('계산'!$K$2:$K$2001,J723),"")</x:f>
      </x:c>
      <x:c r="L723" t="str">
        <x:f>IF(ISNUMBER(K723),L722+LN(K723),"")</x:f>
      </x:c>
    </x:row>
    <x:row r="724">
      <x:c r="J724" t="n">
        <x:f>720</x:f>
        <x:v>720</x:v>
      </x:c>
      <x:c r="K724" t="str">
        <x:f>IF(J724&lt;=$B$6,LARGE('계산'!$K$2:$K$2001,J724),"")</x:f>
      </x:c>
      <x:c r="L724" t="str">
        <x:f>IF(ISNUMBER(K724),L723+LN(K724),"")</x:f>
      </x:c>
    </x:row>
    <x:row r="725">
      <x:c r="J725" t="n">
        <x:f>721</x:f>
        <x:v>721</x:v>
      </x:c>
      <x:c r="K725" t="str">
        <x:f>IF(J725&lt;=$B$6,LARGE('계산'!$K$2:$K$2001,J725),"")</x:f>
      </x:c>
      <x:c r="L725" t="str">
        <x:f>IF(ISNUMBER(K725),L724+LN(K725),"")</x:f>
      </x:c>
    </x:row>
    <x:row r="726">
      <x:c r="J726" t="n">
        <x:f>722</x:f>
        <x:v>722</x:v>
      </x:c>
      <x:c r="K726" t="str">
        <x:f>IF(J726&lt;=$B$6,LARGE('계산'!$K$2:$K$2001,J726),"")</x:f>
      </x:c>
      <x:c r="L726" t="str">
        <x:f>IF(ISNUMBER(K726),L725+LN(K726),"")</x:f>
      </x:c>
    </x:row>
    <x:row r="727">
      <x:c r="J727" t="n">
        <x:f>723</x:f>
        <x:v>723</x:v>
      </x:c>
      <x:c r="K727" t="str">
        <x:f>IF(J727&lt;=$B$6,LARGE('계산'!$K$2:$K$2001,J727),"")</x:f>
      </x:c>
      <x:c r="L727" t="str">
        <x:f>IF(ISNUMBER(K727),L726+LN(K727),"")</x:f>
      </x:c>
    </x:row>
    <x:row r="728">
      <x:c r="J728" t="n">
        <x:f>724</x:f>
        <x:v>724</x:v>
      </x:c>
      <x:c r="K728" t="str">
        <x:f>IF(J728&lt;=$B$6,LARGE('계산'!$K$2:$K$2001,J728),"")</x:f>
      </x:c>
      <x:c r="L728" t="str">
        <x:f>IF(ISNUMBER(K728),L727+LN(K728),"")</x:f>
      </x:c>
    </x:row>
    <x:row r="729">
      <x:c r="J729" t="n">
        <x:f>725</x:f>
        <x:v>725</x:v>
      </x:c>
      <x:c r="K729" t="str">
        <x:f>IF(J729&lt;=$B$6,LARGE('계산'!$K$2:$K$2001,J729),"")</x:f>
      </x:c>
      <x:c r="L729" t="str">
        <x:f>IF(ISNUMBER(K729),L728+LN(K729),"")</x:f>
      </x:c>
    </x:row>
    <x:row r="730">
      <x:c r="J730" t="n">
        <x:f>726</x:f>
        <x:v>726</x:v>
      </x:c>
      <x:c r="K730" t="str">
        <x:f>IF(J730&lt;=$B$6,LARGE('계산'!$K$2:$K$2001,J730),"")</x:f>
      </x:c>
      <x:c r="L730" t="str">
        <x:f>IF(ISNUMBER(K730),L729+LN(K730),"")</x:f>
      </x:c>
    </x:row>
    <x:row r="731">
      <x:c r="J731" t="n">
        <x:f>727</x:f>
        <x:v>727</x:v>
      </x:c>
      <x:c r="K731" t="str">
        <x:f>IF(J731&lt;=$B$6,LARGE('계산'!$K$2:$K$2001,J731),"")</x:f>
      </x:c>
      <x:c r="L731" t="str">
        <x:f>IF(ISNUMBER(K731),L730+LN(K731),"")</x:f>
      </x:c>
    </x:row>
    <x:row r="732">
      <x:c r="J732" t="n">
        <x:f>728</x:f>
        <x:v>728</x:v>
      </x:c>
      <x:c r="K732" t="str">
        <x:f>IF(J732&lt;=$B$6,LARGE('계산'!$K$2:$K$2001,J732),"")</x:f>
      </x:c>
      <x:c r="L732" t="str">
        <x:f>IF(ISNUMBER(K732),L731+LN(K732),"")</x:f>
      </x:c>
    </x:row>
    <x:row r="733">
      <x:c r="J733" t="n">
        <x:f>729</x:f>
        <x:v>729</x:v>
      </x:c>
      <x:c r="K733" t="str">
        <x:f>IF(J733&lt;=$B$6,LARGE('계산'!$K$2:$K$2001,J733),"")</x:f>
      </x:c>
      <x:c r="L733" t="str">
        <x:f>IF(ISNUMBER(K733),L732+LN(K733),"")</x:f>
      </x:c>
    </x:row>
    <x:row r="734">
      <x:c r="J734" t="n">
        <x:f>730</x:f>
        <x:v>730</x:v>
      </x:c>
      <x:c r="K734" t="str">
        <x:f>IF(J734&lt;=$B$6,LARGE('계산'!$K$2:$K$2001,J734),"")</x:f>
      </x:c>
      <x:c r="L734" t="str">
        <x:f>IF(ISNUMBER(K734),L733+LN(K734),"")</x:f>
      </x:c>
    </x:row>
    <x:row r="735">
      <x:c r="J735" t="n">
        <x:f>731</x:f>
        <x:v>731</x:v>
      </x:c>
      <x:c r="K735" t="str">
        <x:f>IF(J735&lt;=$B$6,LARGE('계산'!$K$2:$K$2001,J735),"")</x:f>
      </x:c>
      <x:c r="L735" t="str">
        <x:f>IF(ISNUMBER(K735),L734+LN(K735),"")</x:f>
      </x:c>
    </x:row>
    <x:row r="736">
      <x:c r="J736" t="n">
        <x:f>732</x:f>
        <x:v>732</x:v>
      </x:c>
      <x:c r="K736" t="str">
        <x:f>IF(J736&lt;=$B$6,LARGE('계산'!$K$2:$K$2001,J736),"")</x:f>
      </x:c>
      <x:c r="L736" t="str">
        <x:f>IF(ISNUMBER(K736),L735+LN(K736),"")</x:f>
      </x:c>
    </x:row>
    <x:row r="737">
      <x:c r="J737" t="n">
        <x:f>733</x:f>
        <x:v>733</x:v>
      </x:c>
      <x:c r="K737" t="str">
        <x:f>IF(J737&lt;=$B$6,LARGE('계산'!$K$2:$K$2001,J737),"")</x:f>
      </x:c>
      <x:c r="L737" t="str">
        <x:f>IF(ISNUMBER(K737),L736+LN(K737),"")</x:f>
      </x:c>
    </x:row>
    <x:row r="738">
      <x:c r="J738" t="n">
        <x:f>734</x:f>
        <x:v>734</x:v>
      </x:c>
      <x:c r="K738" t="str">
        <x:f>IF(J738&lt;=$B$6,LARGE('계산'!$K$2:$K$2001,J738),"")</x:f>
      </x:c>
      <x:c r="L738" t="str">
        <x:f>IF(ISNUMBER(K738),L737+LN(K738),"")</x:f>
      </x:c>
    </x:row>
    <x:row r="739">
      <x:c r="J739" t="n">
        <x:f>735</x:f>
        <x:v>735</x:v>
      </x:c>
      <x:c r="K739" t="str">
        <x:f>IF(J739&lt;=$B$6,LARGE('계산'!$K$2:$K$2001,J739),"")</x:f>
      </x:c>
      <x:c r="L739" t="str">
        <x:f>IF(ISNUMBER(K739),L738+LN(K739),"")</x:f>
      </x:c>
    </x:row>
    <x:row r="740">
      <x:c r="J740" t="n">
        <x:f>736</x:f>
        <x:v>736</x:v>
      </x:c>
      <x:c r="K740" t="str">
        <x:f>IF(J740&lt;=$B$6,LARGE('계산'!$K$2:$K$2001,J740),"")</x:f>
      </x:c>
      <x:c r="L740" t="str">
        <x:f>IF(ISNUMBER(K740),L739+LN(K740),"")</x:f>
      </x:c>
    </x:row>
    <x:row r="741">
      <x:c r="J741" t="n">
        <x:f>737</x:f>
        <x:v>737</x:v>
      </x:c>
      <x:c r="K741" t="str">
        <x:f>IF(J741&lt;=$B$6,LARGE('계산'!$K$2:$K$2001,J741),"")</x:f>
      </x:c>
      <x:c r="L741" t="str">
        <x:f>IF(ISNUMBER(K741),L740+LN(K741),"")</x:f>
      </x:c>
    </x:row>
    <x:row r="742">
      <x:c r="J742" t="n">
        <x:f>738</x:f>
        <x:v>738</x:v>
      </x:c>
      <x:c r="K742" t="str">
        <x:f>IF(J742&lt;=$B$6,LARGE('계산'!$K$2:$K$2001,J742),"")</x:f>
      </x:c>
      <x:c r="L742" t="str">
        <x:f>IF(ISNUMBER(K742),L741+LN(K742),"")</x:f>
      </x:c>
    </x:row>
    <x:row r="743">
      <x:c r="J743" t="n">
        <x:f>739</x:f>
        <x:v>739</x:v>
      </x:c>
      <x:c r="K743" t="str">
        <x:f>IF(J743&lt;=$B$6,LARGE('계산'!$K$2:$K$2001,J743),"")</x:f>
      </x:c>
      <x:c r="L743" t="str">
        <x:f>IF(ISNUMBER(K743),L742+LN(K743),"")</x:f>
      </x:c>
    </x:row>
    <x:row r="744">
      <x:c r="J744" t="n">
        <x:f>740</x:f>
        <x:v>740</x:v>
      </x:c>
      <x:c r="K744" t="str">
        <x:f>IF(J744&lt;=$B$6,LARGE('계산'!$K$2:$K$2001,J744),"")</x:f>
      </x:c>
      <x:c r="L744" t="str">
        <x:f>IF(ISNUMBER(K744),L743+LN(K744),"")</x:f>
      </x:c>
    </x:row>
    <x:row r="745">
      <x:c r="J745" t="n">
        <x:f>741</x:f>
        <x:v>741</x:v>
      </x:c>
      <x:c r="K745" t="str">
        <x:f>IF(J745&lt;=$B$6,LARGE('계산'!$K$2:$K$2001,J745),"")</x:f>
      </x:c>
      <x:c r="L745" t="str">
        <x:f>IF(ISNUMBER(K745),L744+LN(K745),"")</x:f>
      </x:c>
    </x:row>
    <x:row r="746">
      <x:c r="J746" t="n">
        <x:f>742</x:f>
        <x:v>742</x:v>
      </x:c>
      <x:c r="K746" t="str">
        <x:f>IF(J746&lt;=$B$6,LARGE('계산'!$K$2:$K$2001,J746),"")</x:f>
      </x:c>
      <x:c r="L746" t="str">
        <x:f>IF(ISNUMBER(K746),L745+LN(K746),"")</x:f>
      </x:c>
    </x:row>
    <x:row r="747">
      <x:c r="J747" t="n">
        <x:f>743</x:f>
        <x:v>743</x:v>
      </x:c>
      <x:c r="K747" t="str">
        <x:f>IF(J747&lt;=$B$6,LARGE('계산'!$K$2:$K$2001,J747),"")</x:f>
      </x:c>
      <x:c r="L747" t="str">
        <x:f>IF(ISNUMBER(K747),L746+LN(K747),"")</x:f>
      </x:c>
    </x:row>
    <x:row r="748">
      <x:c r="J748" t="n">
        <x:f>744</x:f>
        <x:v>744</x:v>
      </x:c>
      <x:c r="K748" t="str">
        <x:f>IF(J748&lt;=$B$6,LARGE('계산'!$K$2:$K$2001,J748),"")</x:f>
      </x:c>
      <x:c r="L748" t="str">
        <x:f>IF(ISNUMBER(K748),L747+LN(K748),"")</x:f>
      </x:c>
    </x:row>
    <x:row r="749">
      <x:c r="J749" t="n">
        <x:f>745</x:f>
        <x:v>745</x:v>
      </x:c>
      <x:c r="K749" t="str">
        <x:f>IF(J749&lt;=$B$6,LARGE('계산'!$K$2:$K$2001,J749),"")</x:f>
      </x:c>
      <x:c r="L749" t="str">
        <x:f>IF(ISNUMBER(K749),L748+LN(K749),"")</x:f>
      </x:c>
    </x:row>
    <x:row r="750">
      <x:c r="J750" t="n">
        <x:f>746</x:f>
        <x:v>746</x:v>
      </x:c>
      <x:c r="K750" t="str">
        <x:f>IF(J750&lt;=$B$6,LARGE('계산'!$K$2:$K$2001,J750),"")</x:f>
      </x:c>
      <x:c r="L750" t="str">
        <x:f>IF(ISNUMBER(K750),L749+LN(K750),"")</x:f>
      </x:c>
    </x:row>
    <x:row r="751">
      <x:c r="J751" t="n">
        <x:f>747</x:f>
        <x:v>747</x:v>
      </x:c>
      <x:c r="K751" t="str">
        <x:f>IF(J751&lt;=$B$6,LARGE('계산'!$K$2:$K$2001,J751),"")</x:f>
      </x:c>
      <x:c r="L751" t="str">
        <x:f>IF(ISNUMBER(K751),L750+LN(K751),"")</x:f>
      </x:c>
    </x:row>
    <x:row r="752">
      <x:c r="J752" t="n">
        <x:f>748</x:f>
        <x:v>748</x:v>
      </x:c>
      <x:c r="K752" t="str">
        <x:f>IF(J752&lt;=$B$6,LARGE('계산'!$K$2:$K$2001,J752),"")</x:f>
      </x:c>
      <x:c r="L752" t="str">
        <x:f>IF(ISNUMBER(K752),L751+LN(K752),"")</x:f>
      </x:c>
    </x:row>
    <x:row r="753">
      <x:c r="J753" t="n">
        <x:f>749</x:f>
        <x:v>749</x:v>
      </x:c>
      <x:c r="K753" t="str">
        <x:f>IF(J753&lt;=$B$6,LARGE('계산'!$K$2:$K$2001,J753),"")</x:f>
      </x:c>
      <x:c r="L753" t="str">
        <x:f>IF(ISNUMBER(K753),L752+LN(K753),"")</x:f>
      </x:c>
    </x:row>
    <x:row r="754">
      <x:c r="J754" t="n">
        <x:f>750</x:f>
        <x:v>750</x:v>
      </x:c>
      <x:c r="K754" t="str">
        <x:f>IF(J754&lt;=$B$6,LARGE('계산'!$K$2:$K$2001,J754),"")</x:f>
      </x:c>
      <x:c r="L754" t="str">
        <x:f>IF(ISNUMBER(K754),L753+LN(K754),"")</x:f>
      </x:c>
    </x:row>
    <x:row r="755">
      <x:c r="J755" t="n">
        <x:f>751</x:f>
        <x:v>751</x:v>
      </x:c>
      <x:c r="K755" t="str">
        <x:f>IF(J755&lt;=$B$6,LARGE('계산'!$K$2:$K$2001,J755),"")</x:f>
      </x:c>
      <x:c r="L755" t="str">
        <x:f>IF(ISNUMBER(K755),L754+LN(K755),"")</x:f>
      </x:c>
    </x:row>
    <x:row r="756">
      <x:c r="J756" t="n">
        <x:f>752</x:f>
        <x:v>752</x:v>
      </x:c>
      <x:c r="K756" t="str">
        <x:f>IF(J756&lt;=$B$6,LARGE('계산'!$K$2:$K$2001,J756),"")</x:f>
      </x:c>
      <x:c r="L756" t="str">
        <x:f>IF(ISNUMBER(K756),L755+LN(K756),"")</x:f>
      </x:c>
    </x:row>
    <x:row r="757">
      <x:c r="J757" t="n">
        <x:f>753</x:f>
        <x:v>753</x:v>
      </x:c>
      <x:c r="K757" t="str">
        <x:f>IF(J757&lt;=$B$6,LARGE('계산'!$K$2:$K$2001,J757),"")</x:f>
      </x:c>
      <x:c r="L757" t="str">
        <x:f>IF(ISNUMBER(K757),L756+LN(K757),"")</x:f>
      </x:c>
    </x:row>
    <x:row r="758">
      <x:c r="J758" t="n">
        <x:f>754</x:f>
        <x:v>754</x:v>
      </x:c>
      <x:c r="K758" t="str">
        <x:f>IF(J758&lt;=$B$6,LARGE('계산'!$K$2:$K$2001,J758),"")</x:f>
      </x:c>
      <x:c r="L758" t="str">
        <x:f>IF(ISNUMBER(K758),L757+LN(K758),"")</x:f>
      </x:c>
    </x:row>
    <x:row r="759">
      <x:c r="J759" t="n">
        <x:f>755</x:f>
        <x:v>755</x:v>
      </x:c>
      <x:c r="K759" t="str">
        <x:f>IF(J759&lt;=$B$6,LARGE('계산'!$K$2:$K$2001,J759),"")</x:f>
      </x:c>
      <x:c r="L759" t="str">
        <x:f>IF(ISNUMBER(K759),L758+LN(K759),"")</x:f>
      </x:c>
    </x:row>
    <x:row r="760">
      <x:c r="J760" t="n">
        <x:f>756</x:f>
        <x:v>756</x:v>
      </x:c>
      <x:c r="K760" t="str">
        <x:f>IF(J760&lt;=$B$6,LARGE('계산'!$K$2:$K$2001,J760),"")</x:f>
      </x:c>
      <x:c r="L760" t="str">
        <x:f>IF(ISNUMBER(K760),L759+LN(K760),"")</x:f>
      </x:c>
    </x:row>
    <x:row r="761">
      <x:c r="J761" t="n">
        <x:f>757</x:f>
        <x:v>757</x:v>
      </x:c>
      <x:c r="K761" t="str">
        <x:f>IF(J761&lt;=$B$6,LARGE('계산'!$K$2:$K$2001,J761),"")</x:f>
      </x:c>
      <x:c r="L761" t="str">
        <x:f>IF(ISNUMBER(K761),L760+LN(K761),"")</x:f>
      </x:c>
    </x:row>
    <x:row r="762">
      <x:c r="J762" t="n">
        <x:f>758</x:f>
        <x:v>758</x:v>
      </x:c>
      <x:c r="K762" t="str">
        <x:f>IF(J762&lt;=$B$6,LARGE('계산'!$K$2:$K$2001,J762),"")</x:f>
      </x:c>
      <x:c r="L762" t="str">
        <x:f>IF(ISNUMBER(K762),L761+LN(K762),"")</x:f>
      </x:c>
    </x:row>
    <x:row r="763">
      <x:c r="J763" t="n">
        <x:f>759</x:f>
        <x:v>759</x:v>
      </x:c>
      <x:c r="K763" t="str">
        <x:f>IF(J763&lt;=$B$6,LARGE('계산'!$K$2:$K$2001,J763),"")</x:f>
      </x:c>
      <x:c r="L763" t="str">
        <x:f>IF(ISNUMBER(K763),L762+LN(K763),"")</x:f>
      </x:c>
    </x:row>
    <x:row r="764">
      <x:c r="J764" t="n">
        <x:f>760</x:f>
        <x:v>760</x:v>
      </x:c>
      <x:c r="K764" t="str">
        <x:f>IF(J764&lt;=$B$6,LARGE('계산'!$K$2:$K$2001,J764),"")</x:f>
      </x:c>
      <x:c r="L764" t="str">
        <x:f>IF(ISNUMBER(K764),L763+LN(K764),"")</x:f>
      </x:c>
    </x:row>
    <x:row r="765">
      <x:c r="J765" t="n">
        <x:f>761</x:f>
        <x:v>761</x:v>
      </x:c>
      <x:c r="K765" t="str">
        <x:f>IF(J765&lt;=$B$6,LARGE('계산'!$K$2:$K$2001,J765),"")</x:f>
      </x:c>
      <x:c r="L765" t="str">
        <x:f>IF(ISNUMBER(K765),L764+LN(K765),"")</x:f>
      </x:c>
    </x:row>
    <x:row r="766">
      <x:c r="J766" t="n">
        <x:f>762</x:f>
        <x:v>762</x:v>
      </x:c>
      <x:c r="K766" t="str">
        <x:f>IF(J766&lt;=$B$6,LARGE('계산'!$K$2:$K$2001,J766),"")</x:f>
      </x:c>
      <x:c r="L766" t="str">
        <x:f>IF(ISNUMBER(K766),L765+LN(K766),"")</x:f>
      </x:c>
    </x:row>
    <x:row r="767">
      <x:c r="J767" t="n">
        <x:f>763</x:f>
        <x:v>763</x:v>
      </x:c>
      <x:c r="K767" t="str">
        <x:f>IF(J767&lt;=$B$6,LARGE('계산'!$K$2:$K$2001,J767),"")</x:f>
      </x:c>
      <x:c r="L767" t="str">
        <x:f>IF(ISNUMBER(K767),L766+LN(K767),"")</x:f>
      </x:c>
    </x:row>
    <x:row r="768">
      <x:c r="J768" t="n">
        <x:f>764</x:f>
        <x:v>764</x:v>
      </x:c>
      <x:c r="K768" t="str">
        <x:f>IF(J768&lt;=$B$6,LARGE('계산'!$K$2:$K$2001,J768),"")</x:f>
      </x:c>
      <x:c r="L768" t="str">
        <x:f>IF(ISNUMBER(K768),L767+LN(K768),"")</x:f>
      </x:c>
    </x:row>
    <x:row r="769">
      <x:c r="J769" t="n">
        <x:f>765</x:f>
        <x:v>765</x:v>
      </x:c>
      <x:c r="K769" t="str">
        <x:f>IF(J769&lt;=$B$6,LARGE('계산'!$K$2:$K$2001,J769),"")</x:f>
      </x:c>
      <x:c r="L769" t="str">
        <x:f>IF(ISNUMBER(K769),L768+LN(K769),"")</x:f>
      </x:c>
    </x:row>
    <x:row r="770">
      <x:c r="J770" t="n">
        <x:f>766</x:f>
        <x:v>766</x:v>
      </x:c>
      <x:c r="K770" t="str">
        <x:f>IF(J770&lt;=$B$6,LARGE('계산'!$K$2:$K$2001,J770),"")</x:f>
      </x:c>
      <x:c r="L770" t="str">
        <x:f>IF(ISNUMBER(K770),L769+LN(K770),"")</x:f>
      </x:c>
    </x:row>
    <x:row r="771">
      <x:c r="J771" t="n">
        <x:f>767</x:f>
        <x:v>767</x:v>
      </x:c>
      <x:c r="K771" t="str">
        <x:f>IF(J771&lt;=$B$6,LARGE('계산'!$K$2:$K$2001,J771),"")</x:f>
      </x:c>
      <x:c r="L771" t="str">
        <x:f>IF(ISNUMBER(K771),L770+LN(K771),"")</x:f>
      </x:c>
    </x:row>
    <x:row r="772">
      <x:c r="J772" t="n">
        <x:f>768</x:f>
        <x:v>768</x:v>
      </x:c>
      <x:c r="K772" t="str">
        <x:f>IF(J772&lt;=$B$6,LARGE('계산'!$K$2:$K$2001,J772),"")</x:f>
      </x:c>
      <x:c r="L772" t="str">
        <x:f>IF(ISNUMBER(K772),L771+LN(K772),"")</x:f>
      </x:c>
    </x:row>
    <x:row r="773">
      <x:c r="J773" t="n">
        <x:f>769</x:f>
        <x:v>769</x:v>
      </x:c>
      <x:c r="K773" t="str">
        <x:f>IF(J773&lt;=$B$6,LARGE('계산'!$K$2:$K$2001,J773),"")</x:f>
      </x:c>
      <x:c r="L773" t="str">
        <x:f>IF(ISNUMBER(K773),L772+LN(K773),"")</x:f>
      </x:c>
    </x:row>
    <x:row r="774">
      <x:c r="J774" t="n">
        <x:f>770</x:f>
        <x:v>770</x:v>
      </x:c>
      <x:c r="K774" t="str">
        <x:f>IF(J774&lt;=$B$6,LARGE('계산'!$K$2:$K$2001,J774),"")</x:f>
      </x:c>
      <x:c r="L774" t="str">
        <x:f>IF(ISNUMBER(K774),L773+LN(K774),"")</x:f>
      </x:c>
    </x:row>
    <x:row r="775">
      <x:c r="J775" t="n">
        <x:f>771</x:f>
        <x:v>771</x:v>
      </x:c>
      <x:c r="K775" t="str">
        <x:f>IF(J775&lt;=$B$6,LARGE('계산'!$K$2:$K$2001,J775),"")</x:f>
      </x:c>
      <x:c r="L775" t="str">
        <x:f>IF(ISNUMBER(K775),L774+LN(K775),"")</x:f>
      </x:c>
    </x:row>
    <x:row r="776">
      <x:c r="J776" t="n">
        <x:f>772</x:f>
        <x:v>772</x:v>
      </x:c>
      <x:c r="K776" t="str">
        <x:f>IF(J776&lt;=$B$6,LARGE('계산'!$K$2:$K$2001,J776),"")</x:f>
      </x:c>
      <x:c r="L776" t="str">
        <x:f>IF(ISNUMBER(K776),L775+LN(K776),"")</x:f>
      </x:c>
    </x:row>
    <x:row r="777">
      <x:c r="J777" t="n">
        <x:f>773</x:f>
        <x:v>773</x:v>
      </x:c>
      <x:c r="K777" t="str">
        <x:f>IF(J777&lt;=$B$6,LARGE('계산'!$K$2:$K$2001,J777),"")</x:f>
      </x:c>
      <x:c r="L777" t="str">
        <x:f>IF(ISNUMBER(K777),L776+LN(K777),"")</x:f>
      </x:c>
    </x:row>
    <x:row r="778">
      <x:c r="J778" t="n">
        <x:f>774</x:f>
        <x:v>774</x:v>
      </x:c>
      <x:c r="K778" t="str">
        <x:f>IF(J778&lt;=$B$6,LARGE('계산'!$K$2:$K$2001,J778),"")</x:f>
      </x:c>
      <x:c r="L778" t="str">
        <x:f>IF(ISNUMBER(K778),L777+LN(K778),"")</x:f>
      </x:c>
    </x:row>
    <x:row r="779">
      <x:c r="J779" t="n">
        <x:f>775</x:f>
        <x:v>775</x:v>
      </x:c>
      <x:c r="K779" t="str">
        <x:f>IF(J779&lt;=$B$6,LARGE('계산'!$K$2:$K$2001,J779),"")</x:f>
      </x:c>
      <x:c r="L779" t="str">
        <x:f>IF(ISNUMBER(K779),L778+LN(K779),"")</x:f>
      </x:c>
    </x:row>
    <x:row r="780">
      <x:c r="J780" t="n">
        <x:f>776</x:f>
        <x:v>776</x:v>
      </x:c>
      <x:c r="K780" t="str">
        <x:f>IF(J780&lt;=$B$6,LARGE('계산'!$K$2:$K$2001,J780),"")</x:f>
      </x:c>
      <x:c r="L780" t="str">
        <x:f>IF(ISNUMBER(K780),L779+LN(K780),"")</x:f>
      </x:c>
    </x:row>
    <x:row r="781">
      <x:c r="J781" t="n">
        <x:f>777</x:f>
        <x:v>777</x:v>
      </x:c>
      <x:c r="K781" t="str">
        <x:f>IF(J781&lt;=$B$6,LARGE('계산'!$K$2:$K$2001,J781),"")</x:f>
      </x:c>
      <x:c r="L781" t="str">
        <x:f>IF(ISNUMBER(K781),L780+LN(K781),"")</x:f>
      </x:c>
    </x:row>
    <x:row r="782">
      <x:c r="J782" t="n">
        <x:f>778</x:f>
        <x:v>778</x:v>
      </x:c>
      <x:c r="K782" t="str">
        <x:f>IF(J782&lt;=$B$6,LARGE('계산'!$K$2:$K$2001,J782),"")</x:f>
      </x:c>
      <x:c r="L782" t="str">
        <x:f>IF(ISNUMBER(K782),L781+LN(K782),"")</x:f>
      </x:c>
    </x:row>
    <x:row r="783">
      <x:c r="J783" t="n">
        <x:f>779</x:f>
        <x:v>779</x:v>
      </x:c>
      <x:c r="K783" t="str">
        <x:f>IF(J783&lt;=$B$6,LARGE('계산'!$K$2:$K$2001,J783),"")</x:f>
      </x:c>
      <x:c r="L783" t="str">
        <x:f>IF(ISNUMBER(K783),L782+LN(K783),"")</x:f>
      </x:c>
    </x:row>
    <x:row r="784">
      <x:c r="J784" t="n">
        <x:f>780</x:f>
        <x:v>780</x:v>
      </x:c>
      <x:c r="K784" t="str">
        <x:f>IF(J784&lt;=$B$6,LARGE('계산'!$K$2:$K$2001,J784),"")</x:f>
      </x:c>
      <x:c r="L784" t="str">
        <x:f>IF(ISNUMBER(K784),L783+LN(K784),"")</x:f>
      </x:c>
    </x:row>
    <x:row r="785">
      <x:c r="J785" t="n">
        <x:f>781</x:f>
        <x:v>781</x:v>
      </x:c>
      <x:c r="K785" t="str">
        <x:f>IF(J785&lt;=$B$6,LARGE('계산'!$K$2:$K$2001,J785),"")</x:f>
      </x:c>
      <x:c r="L785" t="str">
        <x:f>IF(ISNUMBER(K785),L784+LN(K785),"")</x:f>
      </x:c>
    </x:row>
    <x:row r="786">
      <x:c r="J786" t="n">
        <x:f>782</x:f>
        <x:v>782</x:v>
      </x:c>
      <x:c r="K786" t="str">
        <x:f>IF(J786&lt;=$B$6,LARGE('계산'!$K$2:$K$2001,J786),"")</x:f>
      </x:c>
      <x:c r="L786" t="str">
        <x:f>IF(ISNUMBER(K786),L785+LN(K786),"")</x:f>
      </x:c>
    </x:row>
    <x:row r="787">
      <x:c r="J787" t="n">
        <x:f>783</x:f>
        <x:v>783</x:v>
      </x:c>
      <x:c r="K787" t="str">
        <x:f>IF(J787&lt;=$B$6,LARGE('계산'!$K$2:$K$2001,J787),"")</x:f>
      </x:c>
      <x:c r="L787" t="str">
        <x:f>IF(ISNUMBER(K787),L786+LN(K787),"")</x:f>
      </x:c>
    </x:row>
    <x:row r="788">
      <x:c r="J788" t="n">
        <x:f>784</x:f>
        <x:v>784</x:v>
      </x:c>
      <x:c r="K788" t="str">
        <x:f>IF(J788&lt;=$B$6,LARGE('계산'!$K$2:$K$2001,J788),"")</x:f>
      </x:c>
      <x:c r="L788" t="str">
        <x:f>IF(ISNUMBER(K788),L787+LN(K788),"")</x:f>
      </x:c>
    </x:row>
    <x:row r="789">
      <x:c r="J789" t="n">
        <x:f>785</x:f>
        <x:v>785</x:v>
      </x:c>
      <x:c r="K789" t="str">
        <x:f>IF(J789&lt;=$B$6,LARGE('계산'!$K$2:$K$2001,J789),"")</x:f>
      </x:c>
      <x:c r="L789" t="str">
        <x:f>IF(ISNUMBER(K789),L788+LN(K789),"")</x:f>
      </x:c>
    </x:row>
    <x:row r="790">
      <x:c r="J790" t="n">
        <x:f>786</x:f>
        <x:v>786</x:v>
      </x:c>
      <x:c r="K790" t="str">
        <x:f>IF(J790&lt;=$B$6,LARGE('계산'!$K$2:$K$2001,J790),"")</x:f>
      </x:c>
      <x:c r="L790" t="str">
        <x:f>IF(ISNUMBER(K790),L789+LN(K790),"")</x:f>
      </x:c>
    </x:row>
    <x:row r="791">
      <x:c r="J791" t="n">
        <x:f>787</x:f>
        <x:v>787</x:v>
      </x:c>
      <x:c r="K791" t="str">
        <x:f>IF(J791&lt;=$B$6,LARGE('계산'!$K$2:$K$2001,J791),"")</x:f>
      </x:c>
      <x:c r="L791" t="str">
        <x:f>IF(ISNUMBER(K791),L790+LN(K791),"")</x:f>
      </x:c>
    </x:row>
    <x:row r="792">
      <x:c r="J792" t="n">
        <x:f>788</x:f>
        <x:v>788</x:v>
      </x:c>
      <x:c r="K792" t="str">
        <x:f>IF(J792&lt;=$B$6,LARGE('계산'!$K$2:$K$2001,J792),"")</x:f>
      </x:c>
      <x:c r="L792" t="str">
        <x:f>IF(ISNUMBER(K792),L791+LN(K792),"")</x:f>
      </x:c>
    </x:row>
    <x:row r="793">
      <x:c r="J793" t="n">
        <x:f>789</x:f>
        <x:v>789</x:v>
      </x:c>
      <x:c r="K793" t="str">
        <x:f>IF(J793&lt;=$B$6,LARGE('계산'!$K$2:$K$2001,J793),"")</x:f>
      </x:c>
      <x:c r="L793" t="str">
        <x:f>IF(ISNUMBER(K793),L792+LN(K793),"")</x:f>
      </x:c>
    </x:row>
    <x:row r="794">
      <x:c r="J794" t="n">
        <x:f>790</x:f>
        <x:v>790</x:v>
      </x:c>
      <x:c r="K794" t="str">
        <x:f>IF(J794&lt;=$B$6,LARGE('계산'!$K$2:$K$2001,J794),"")</x:f>
      </x:c>
      <x:c r="L794" t="str">
        <x:f>IF(ISNUMBER(K794),L793+LN(K794),"")</x:f>
      </x:c>
    </x:row>
    <x:row r="795">
      <x:c r="J795" t="n">
        <x:f>791</x:f>
        <x:v>791</x:v>
      </x:c>
      <x:c r="K795" t="str">
        <x:f>IF(J795&lt;=$B$6,LARGE('계산'!$K$2:$K$2001,J795),"")</x:f>
      </x:c>
      <x:c r="L795" t="str">
        <x:f>IF(ISNUMBER(K795),L794+LN(K795),"")</x:f>
      </x:c>
    </x:row>
    <x:row r="796">
      <x:c r="J796" t="n">
        <x:f>792</x:f>
        <x:v>792</x:v>
      </x:c>
      <x:c r="K796" t="str">
        <x:f>IF(J796&lt;=$B$6,LARGE('계산'!$K$2:$K$2001,J796),"")</x:f>
      </x:c>
      <x:c r="L796" t="str">
        <x:f>IF(ISNUMBER(K796),L795+LN(K796),"")</x:f>
      </x:c>
    </x:row>
    <x:row r="797">
      <x:c r="J797" t="n">
        <x:f>793</x:f>
        <x:v>793</x:v>
      </x:c>
      <x:c r="K797" t="str">
        <x:f>IF(J797&lt;=$B$6,LARGE('계산'!$K$2:$K$2001,J797),"")</x:f>
      </x:c>
      <x:c r="L797" t="str">
        <x:f>IF(ISNUMBER(K797),L796+LN(K797),"")</x:f>
      </x:c>
    </x:row>
    <x:row r="798">
      <x:c r="J798" t="n">
        <x:f>794</x:f>
        <x:v>794</x:v>
      </x:c>
      <x:c r="K798" t="str">
        <x:f>IF(J798&lt;=$B$6,LARGE('계산'!$K$2:$K$2001,J798),"")</x:f>
      </x:c>
      <x:c r="L798" t="str">
        <x:f>IF(ISNUMBER(K798),L797+LN(K798),"")</x:f>
      </x:c>
    </x:row>
    <x:row r="799">
      <x:c r="J799" t="n">
        <x:f>795</x:f>
        <x:v>795</x:v>
      </x:c>
      <x:c r="K799" t="str">
        <x:f>IF(J799&lt;=$B$6,LARGE('계산'!$K$2:$K$2001,J799),"")</x:f>
      </x:c>
      <x:c r="L799" t="str">
        <x:f>IF(ISNUMBER(K799),L798+LN(K799),"")</x:f>
      </x:c>
    </x:row>
    <x:row r="800">
      <x:c r="J800" t="n">
        <x:f>796</x:f>
        <x:v>796</x:v>
      </x:c>
      <x:c r="K800" t="str">
        <x:f>IF(J800&lt;=$B$6,LARGE('계산'!$K$2:$K$2001,J800),"")</x:f>
      </x:c>
      <x:c r="L800" t="str">
        <x:f>IF(ISNUMBER(K800),L799+LN(K800),"")</x:f>
      </x:c>
    </x:row>
    <x:row r="801">
      <x:c r="J801" t="n">
        <x:f>797</x:f>
        <x:v>797</x:v>
      </x:c>
      <x:c r="K801" t="str">
        <x:f>IF(J801&lt;=$B$6,LARGE('계산'!$K$2:$K$2001,J801),"")</x:f>
      </x:c>
      <x:c r="L801" t="str">
        <x:f>IF(ISNUMBER(K801),L800+LN(K801),"")</x:f>
      </x:c>
    </x:row>
    <x:row r="802">
      <x:c r="J802" t="n">
        <x:f>798</x:f>
        <x:v>798</x:v>
      </x:c>
      <x:c r="K802" t="str">
        <x:f>IF(J802&lt;=$B$6,LARGE('계산'!$K$2:$K$2001,J802),"")</x:f>
      </x:c>
      <x:c r="L802" t="str">
        <x:f>IF(ISNUMBER(K802),L801+LN(K802),"")</x:f>
      </x:c>
    </x:row>
    <x:row r="803">
      <x:c r="J803" t="n">
        <x:f>799</x:f>
        <x:v>799</x:v>
      </x:c>
      <x:c r="K803" t="str">
        <x:f>IF(J803&lt;=$B$6,LARGE('계산'!$K$2:$K$2001,J803),"")</x:f>
      </x:c>
      <x:c r="L803" t="str">
        <x:f>IF(ISNUMBER(K803),L802+LN(K803),"")</x:f>
      </x:c>
    </x:row>
    <x:row r="804">
      <x:c r="J804" t="n">
        <x:f>800</x:f>
        <x:v>800</x:v>
      </x:c>
      <x:c r="K804" t="str">
        <x:f>IF(J804&lt;=$B$6,LARGE('계산'!$K$2:$K$2001,J804),"")</x:f>
      </x:c>
      <x:c r="L804" t="str">
        <x:f>IF(ISNUMBER(K804),L803+LN(K804),"")</x:f>
      </x:c>
    </x:row>
    <x:row r="805">
      <x:c r="J805" t="n">
        <x:f>801</x:f>
        <x:v>801</x:v>
      </x:c>
      <x:c r="K805" t="str">
        <x:f>IF(J805&lt;=$B$6,LARGE('계산'!$K$2:$K$2001,J805),"")</x:f>
      </x:c>
      <x:c r="L805" t="str">
        <x:f>IF(ISNUMBER(K805),L804+LN(K805),"")</x:f>
      </x:c>
    </x:row>
    <x:row r="806">
      <x:c r="J806" t="n">
        <x:f>802</x:f>
        <x:v>802</x:v>
      </x:c>
      <x:c r="K806" t="str">
        <x:f>IF(J806&lt;=$B$6,LARGE('계산'!$K$2:$K$2001,J806),"")</x:f>
      </x:c>
      <x:c r="L806" t="str">
        <x:f>IF(ISNUMBER(K806),L805+LN(K806),"")</x:f>
      </x:c>
    </x:row>
    <x:row r="807">
      <x:c r="J807" t="n">
        <x:f>803</x:f>
        <x:v>803</x:v>
      </x:c>
      <x:c r="K807" t="str">
        <x:f>IF(J807&lt;=$B$6,LARGE('계산'!$K$2:$K$2001,J807),"")</x:f>
      </x:c>
      <x:c r="L807" t="str">
        <x:f>IF(ISNUMBER(K807),L806+LN(K807),"")</x:f>
      </x:c>
    </x:row>
    <x:row r="808">
      <x:c r="J808" t="n">
        <x:f>804</x:f>
        <x:v>804</x:v>
      </x:c>
      <x:c r="K808" t="str">
        <x:f>IF(J808&lt;=$B$6,LARGE('계산'!$K$2:$K$2001,J808),"")</x:f>
      </x:c>
      <x:c r="L808" t="str">
        <x:f>IF(ISNUMBER(K808),L807+LN(K808),"")</x:f>
      </x:c>
    </x:row>
    <x:row r="809">
      <x:c r="J809" t="n">
        <x:f>805</x:f>
        <x:v>805</x:v>
      </x:c>
      <x:c r="K809" t="str">
        <x:f>IF(J809&lt;=$B$6,LARGE('계산'!$K$2:$K$2001,J809),"")</x:f>
      </x:c>
      <x:c r="L809" t="str">
        <x:f>IF(ISNUMBER(K809),L808+LN(K809),"")</x:f>
      </x:c>
    </x:row>
    <x:row r="810">
      <x:c r="J810" t="n">
        <x:f>806</x:f>
        <x:v>806</x:v>
      </x:c>
      <x:c r="K810" t="str">
        <x:f>IF(J810&lt;=$B$6,LARGE('계산'!$K$2:$K$2001,J810),"")</x:f>
      </x:c>
      <x:c r="L810" t="str">
        <x:f>IF(ISNUMBER(K810),L809+LN(K810),"")</x:f>
      </x:c>
    </x:row>
    <x:row r="811">
      <x:c r="J811" t="n">
        <x:f>807</x:f>
        <x:v>807</x:v>
      </x:c>
      <x:c r="K811" t="str">
        <x:f>IF(J811&lt;=$B$6,LARGE('계산'!$K$2:$K$2001,J811),"")</x:f>
      </x:c>
      <x:c r="L811" t="str">
        <x:f>IF(ISNUMBER(K811),L810+LN(K811),"")</x:f>
      </x:c>
    </x:row>
    <x:row r="812">
      <x:c r="J812" t="n">
        <x:f>808</x:f>
        <x:v>808</x:v>
      </x:c>
      <x:c r="K812" t="str">
        <x:f>IF(J812&lt;=$B$6,LARGE('계산'!$K$2:$K$2001,J812),"")</x:f>
      </x:c>
      <x:c r="L812" t="str">
        <x:f>IF(ISNUMBER(K812),L811+LN(K812),"")</x:f>
      </x:c>
    </x:row>
    <x:row r="813">
      <x:c r="J813" t="n">
        <x:f>809</x:f>
        <x:v>809</x:v>
      </x:c>
      <x:c r="K813" t="str">
        <x:f>IF(J813&lt;=$B$6,LARGE('계산'!$K$2:$K$2001,J813),"")</x:f>
      </x:c>
      <x:c r="L813" t="str">
        <x:f>IF(ISNUMBER(K813),L812+LN(K813),"")</x:f>
      </x:c>
    </x:row>
    <x:row r="814">
      <x:c r="J814" t="n">
        <x:f>810</x:f>
        <x:v>810</x:v>
      </x:c>
      <x:c r="K814" t="str">
        <x:f>IF(J814&lt;=$B$6,LARGE('계산'!$K$2:$K$2001,J814),"")</x:f>
      </x:c>
      <x:c r="L814" t="str">
        <x:f>IF(ISNUMBER(K814),L813+LN(K814),"")</x:f>
      </x:c>
    </x:row>
    <x:row r="815">
      <x:c r="J815" t="n">
        <x:f>811</x:f>
        <x:v>811</x:v>
      </x:c>
      <x:c r="K815" t="str">
        <x:f>IF(J815&lt;=$B$6,LARGE('계산'!$K$2:$K$2001,J815),"")</x:f>
      </x:c>
      <x:c r="L815" t="str">
        <x:f>IF(ISNUMBER(K815),L814+LN(K815),"")</x:f>
      </x:c>
    </x:row>
    <x:row r="816">
      <x:c r="J816" t="n">
        <x:f>812</x:f>
        <x:v>812</x:v>
      </x:c>
      <x:c r="K816" t="str">
        <x:f>IF(J816&lt;=$B$6,LARGE('계산'!$K$2:$K$2001,J816),"")</x:f>
      </x:c>
      <x:c r="L816" t="str">
        <x:f>IF(ISNUMBER(K816),L815+LN(K816),"")</x:f>
      </x:c>
    </x:row>
    <x:row r="817">
      <x:c r="J817" t="n">
        <x:f>813</x:f>
        <x:v>813</x:v>
      </x:c>
      <x:c r="K817" t="str">
        <x:f>IF(J817&lt;=$B$6,LARGE('계산'!$K$2:$K$2001,J817),"")</x:f>
      </x:c>
      <x:c r="L817" t="str">
        <x:f>IF(ISNUMBER(K817),L816+LN(K817),"")</x:f>
      </x:c>
    </x:row>
    <x:row r="818">
      <x:c r="J818" t="n">
        <x:f>814</x:f>
        <x:v>814</x:v>
      </x:c>
      <x:c r="K818" t="str">
        <x:f>IF(J818&lt;=$B$6,LARGE('계산'!$K$2:$K$2001,J818),"")</x:f>
      </x:c>
      <x:c r="L818" t="str">
        <x:f>IF(ISNUMBER(K818),L817+LN(K818),"")</x:f>
      </x:c>
    </x:row>
    <x:row r="819">
      <x:c r="J819" t="n">
        <x:f>815</x:f>
        <x:v>815</x:v>
      </x:c>
      <x:c r="K819" t="str">
        <x:f>IF(J819&lt;=$B$6,LARGE('계산'!$K$2:$K$2001,J819),"")</x:f>
      </x:c>
      <x:c r="L819" t="str">
        <x:f>IF(ISNUMBER(K819),L818+LN(K819),"")</x:f>
      </x:c>
    </x:row>
    <x:row r="820">
      <x:c r="J820" t="n">
        <x:f>816</x:f>
        <x:v>816</x:v>
      </x:c>
      <x:c r="K820" t="str">
        <x:f>IF(J820&lt;=$B$6,LARGE('계산'!$K$2:$K$2001,J820),"")</x:f>
      </x:c>
      <x:c r="L820" t="str">
        <x:f>IF(ISNUMBER(K820),L819+LN(K820),"")</x:f>
      </x:c>
    </x:row>
    <x:row r="821">
      <x:c r="J821" t="n">
        <x:f>817</x:f>
        <x:v>817</x:v>
      </x:c>
      <x:c r="K821" t="str">
        <x:f>IF(J821&lt;=$B$6,LARGE('계산'!$K$2:$K$2001,J821),"")</x:f>
      </x:c>
      <x:c r="L821" t="str">
        <x:f>IF(ISNUMBER(K821),L820+LN(K821),"")</x:f>
      </x:c>
    </x:row>
    <x:row r="822">
      <x:c r="J822" t="n">
        <x:f>818</x:f>
        <x:v>818</x:v>
      </x:c>
      <x:c r="K822" t="str">
        <x:f>IF(J822&lt;=$B$6,LARGE('계산'!$K$2:$K$2001,J822),"")</x:f>
      </x:c>
      <x:c r="L822" t="str">
        <x:f>IF(ISNUMBER(K822),L821+LN(K822),"")</x:f>
      </x:c>
    </x:row>
    <x:row r="823">
      <x:c r="J823" t="n">
        <x:f>819</x:f>
        <x:v>819</x:v>
      </x:c>
      <x:c r="K823" t="str">
        <x:f>IF(J823&lt;=$B$6,LARGE('계산'!$K$2:$K$2001,J823),"")</x:f>
      </x:c>
      <x:c r="L823" t="str">
        <x:f>IF(ISNUMBER(K823),L822+LN(K823),"")</x:f>
      </x:c>
    </x:row>
    <x:row r="824">
      <x:c r="J824" t="n">
        <x:f>820</x:f>
        <x:v>820</x:v>
      </x:c>
      <x:c r="K824" t="str">
        <x:f>IF(J824&lt;=$B$6,LARGE('계산'!$K$2:$K$2001,J824),"")</x:f>
      </x:c>
      <x:c r="L824" t="str">
        <x:f>IF(ISNUMBER(K824),L823+LN(K824),"")</x:f>
      </x:c>
    </x:row>
    <x:row r="825">
      <x:c r="J825" t="n">
        <x:f>821</x:f>
        <x:v>821</x:v>
      </x:c>
      <x:c r="K825" t="str">
        <x:f>IF(J825&lt;=$B$6,LARGE('계산'!$K$2:$K$2001,J825),"")</x:f>
      </x:c>
      <x:c r="L825" t="str">
        <x:f>IF(ISNUMBER(K825),L824+LN(K825),"")</x:f>
      </x:c>
    </x:row>
    <x:row r="826">
      <x:c r="J826" t="n">
        <x:f>822</x:f>
        <x:v>822</x:v>
      </x:c>
      <x:c r="K826" t="str">
        <x:f>IF(J826&lt;=$B$6,LARGE('계산'!$K$2:$K$2001,J826),"")</x:f>
      </x:c>
      <x:c r="L826" t="str">
        <x:f>IF(ISNUMBER(K826),L825+LN(K826),"")</x:f>
      </x:c>
    </x:row>
    <x:row r="827">
      <x:c r="J827" t="n">
        <x:f>823</x:f>
        <x:v>823</x:v>
      </x:c>
      <x:c r="K827" t="str">
        <x:f>IF(J827&lt;=$B$6,LARGE('계산'!$K$2:$K$2001,J827),"")</x:f>
      </x:c>
      <x:c r="L827" t="str">
        <x:f>IF(ISNUMBER(K827),L826+LN(K827),"")</x:f>
      </x:c>
    </x:row>
    <x:row r="828">
      <x:c r="J828" t="n">
        <x:f>824</x:f>
        <x:v>824</x:v>
      </x:c>
      <x:c r="K828" t="str">
        <x:f>IF(J828&lt;=$B$6,LARGE('계산'!$K$2:$K$2001,J828),"")</x:f>
      </x:c>
      <x:c r="L828" t="str">
        <x:f>IF(ISNUMBER(K828),L827+LN(K828),"")</x:f>
      </x:c>
    </x:row>
    <x:row r="829">
      <x:c r="J829" t="n">
        <x:f>825</x:f>
        <x:v>825</x:v>
      </x:c>
      <x:c r="K829" t="str">
        <x:f>IF(J829&lt;=$B$6,LARGE('계산'!$K$2:$K$2001,J829),"")</x:f>
      </x:c>
      <x:c r="L829" t="str">
        <x:f>IF(ISNUMBER(K829),L828+LN(K829),"")</x:f>
      </x:c>
    </x:row>
    <x:row r="830">
      <x:c r="J830" t="n">
        <x:f>826</x:f>
        <x:v>826</x:v>
      </x:c>
      <x:c r="K830" t="str">
        <x:f>IF(J830&lt;=$B$6,LARGE('계산'!$K$2:$K$2001,J830),"")</x:f>
      </x:c>
      <x:c r="L830" t="str">
        <x:f>IF(ISNUMBER(K830),L829+LN(K830),"")</x:f>
      </x:c>
    </x:row>
    <x:row r="831">
      <x:c r="J831" t="n">
        <x:f>827</x:f>
        <x:v>827</x:v>
      </x:c>
      <x:c r="K831" t="str">
        <x:f>IF(J831&lt;=$B$6,LARGE('계산'!$K$2:$K$2001,J831),"")</x:f>
      </x:c>
      <x:c r="L831" t="str">
        <x:f>IF(ISNUMBER(K831),L830+LN(K831),"")</x:f>
      </x:c>
    </x:row>
    <x:row r="832">
      <x:c r="J832" t="n">
        <x:f>828</x:f>
        <x:v>828</x:v>
      </x:c>
      <x:c r="K832" t="str">
        <x:f>IF(J832&lt;=$B$6,LARGE('계산'!$K$2:$K$2001,J832),"")</x:f>
      </x:c>
      <x:c r="L832" t="str">
        <x:f>IF(ISNUMBER(K832),L831+LN(K832),"")</x:f>
      </x:c>
    </x:row>
    <x:row r="833">
      <x:c r="J833" t="n">
        <x:f>829</x:f>
        <x:v>829</x:v>
      </x:c>
      <x:c r="K833" t="str">
        <x:f>IF(J833&lt;=$B$6,LARGE('계산'!$K$2:$K$2001,J833),"")</x:f>
      </x:c>
      <x:c r="L833" t="str">
        <x:f>IF(ISNUMBER(K833),L832+LN(K833),"")</x:f>
      </x:c>
    </x:row>
    <x:row r="834">
      <x:c r="J834" t="n">
        <x:f>830</x:f>
        <x:v>830</x:v>
      </x:c>
      <x:c r="K834" t="str">
        <x:f>IF(J834&lt;=$B$6,LARGE('계산'!$K$2:$K$2001,J834),"")</x:f>
      </x:c>
      <x:c r="L834" t="str">
        <x:f>IF(ISNUMBER(K834),L833+LN(K834),"")</x:f>
      </x:c>
    </x:row>
    <x:row r="835">
      <x:c r="J835" t="n">
        <x:f>831</x:f>
        <x:v>831</x:v>
      </x:c>
      <x:c r="K835" t="str">
        <x:f>IF(J835&lt;=$B$6,LARGE('계산'!$K$2:$K$2001,J835),"")</x:f>
      </x:c>
      <x:c r="L835" t="str">
        <x:f>IF(ISNUMBER(K835),L834+LN(K835),"")</x:f>
      </x:c>
    </x:row>
    <x:row r="836">
      <x:c r="J836" t="n">
        <x:f>832</x:f>
        <x:v>832</x:v>
      </x:c>
      <x:c r="K836" t="str">
        <x:f>IF(J836&lt;=$B$6,LARGE('계산'!$K$2:$K$2001,J836),"")</x:f>
      </x:c>
      <x:c r="L836" t="str">
        <x:f>IF(ISNUMBER(K836),L835+LN(K836),"")</x:f>
      </x:c>
    </x:row>
    <x:row r="837">
      <x:c r="J837" t="n">
        <x:f>833</x:f>
        <x:v>833</x:v>
      </x:c>
      <x:c r="K837" t="str">
        <x:f>IF(J837&lt;=$B$6,LARGE('계산'!$K$2:$K$2001,J837),"")</x:f>
      </x:c>
      <x:c r="L837" t="str">
        <x:f>IF(ISNUMBER(K837),L836+LN(K837),"")</x:f>
      </x:c>
    </x:row>
    <x:row r="838">
      <x:c r="J838" t="n">
        <x:f>834</x:f>
        <x:v>834</x:v>
      </x:c>
      <x:c r="K838" t="str">
        <x:f>IF(J838&lt;=$B$6,LARGE('계산'!$K$2:$K$2001,J838),"")</x:f>
      </x:c>
      <x:c r="L838" t="str">
        <x:f>IF(ISNUMBER(K838),L837+LN(K838),"")</x:f>
      </x:c>
    </x:row>
    <x:row r="839">
      <x:c r="J839" t="n">
        <x:f>835</x:f>
        <x:v>835</x:v>
      </x:c>
      <x:c r="K839" t="str">
        <x:f>IF(J839&lt;=$B$6,LARGE('계산'!$K$2:$K$2001,J839),"")</x:f>
      </x:c>
      <x:c r="L839" t="str">
        <x:f>IF(ISNUMBER(K839),L838+LN(K839),"")</x:f>
      </x:c>
    </x:row>
    <x:row r="840">
      <x:c r="J840" t="n">
        <x:f>836</x:f>
        <x:v>836</x:v>
      </x:c>
      <x:c r="K840" t="str">
        <x:f>IF(J840&lt;=$B$6,LARGE('계산'!$K$2:$K$2001,J840),"")</x:f>
      </x:c>
      <x:c r="L840" t="str">
        <x:f>IF(ISNUMBER(K840),L839+LN(K840),"")</x:f>
      </x:c>
    </x:row>
    <x:row r="841">
      <x:c r="J841" t="n">
        <x:f>837</x:f>
        <x:v>837</x:v>
      </x:c>
      <x:c r="K841" t="str">
        <x:f>IF(J841&lt;=$B$6,LARGE('계산'!$K$2:$K$2001,J841),"")</x:f>
      </x:c>
      <x:c r="L841" t="str">
        <x:f>IF(ISNUMBER(K841),L840+LN(K841),"")</x:f>
      </x:c>
    </x:row>
    <x:row r="842">
      <x:c r="J842" t="n">
        <x:f>838</x:f>
        <x:v>838</x:v>
      </x:c>
      <x:c r="K842" t="str">
        <x:f>IF(J842&lt;=$B$6,LARGE('계산'!$K$2:$K$2001,J842),"")</x:f>
      </x:c>
      <x:c r="L842" t="str">
        <x:f>IF(ISNUMBER(K842),L841+LN(K842),"")</x:f>
      </x:c>
    </x:row>
    <x:row r="843">
      <x:c r="J843" t="n">
        <x:f>839</x:f>
        <x:v>839</x:v>
      </x:c>
      <x:c r="K843" t="str">
        <x:f>IF(J843&lt;=$B$6,LARGE('계산'!$K$2:$K$2001,J843),"")</x:f>
      </x:c>
      <x:c r="L843" t="str">
        <x:f>IF(ISNUMBER(K843),L842+LN(K843),"")</x:f>
      </x:c>
    </x:row>
    <x:row r="844">
      <x:c r="J844" t="n">
        <x:f>840</x:f>
        <x:v>840</x:v>
      </x:c>
      <x:c r="K844" t="str">
        <x:f>IF(J844&lt;=$B$6,LARGE('계산'!$K$2:$K$2001,J844),"")</x:f>
      </x:c>
      <x:c r="L844" t="str">
        <x:f>IF(ISNUMBER(K844),L843+LN(K844),"")</x:f>
      </x:c>
    </x:row>
    <x:row r="845">
      <x:c r="J845" t="n">
        <x:f>841</x:f>
        <x:v>841</x:v>
      </x:c>
      <x:c r="K845" t="str">
        <x:f>IF(J845&lt;=$B$6,LARGE('계산'!$K$2:$K$2001,J845),"")</x:f>
      </x:c>
      <x:c r="L845" t="str">
        <x:f>IF(ISNUMBER(K845),L844+LN(K845),"")</x:f>
      </x:c>
    </x:row>
    <x:row r="846">
      <x:c r="J846" t="n">
        <x:f>842</x:f>
        <x:v>842</x:v>
      </x:c>
      <x:c r="K846" t="str">
        <x:f>IF(J846&lt;=$B$6,LARGE('계산'!$K$2:$K$2001,J846),"")</x:f>
      </x:c>
      <x:c r="L846" t="str">
        <x:f>IF(ISNUMBER(K846),L845+LN(K846),"")</x:f>
      </x:c>
    </x:row>
    <x:row r="847">
      <x:c r="J847" t="n">
        <x:f>843</x:f>
        <x:v>843</x:v>
      </x:c>
      <x:c r="K847" t="str">
        <x:f>IF(J847&lt;=$B$6,LARGE('계산'!$K$2:$K$2001,J847),"")</x:f>
      </x:c>
      <x:c r="L847" t="str">
        <x:f>IF(ISNUMBER(K847),L846+LN(K847),"")</x:f>
      </x:c>
    </x:row>
    <x:row r="848">
      <x:c r="J848" t="n">
        <x:f>844</x:f>
        <x:v>844</x:v>
      </x:c>
      <x:c r="K848" t="str">
        <x:f>IF(J848&lt;=$B$6,LARGE('계산'!$K$2:$K$2001,J848),"")</x:f>
      </x:c>
      <x:c r="L848" t="str">
        <x:f>IF(ISNUMBER(K848),L847+LN(K848),"")</x:f>
      </x:c>
    </x:row>
    <x:row r="849">
      <x:c r="J849" t="n">
        <x:f>845</x:f>
        <x:v>845</x:v>
      </x:c>
      <x:c r="K849" t="str">
        <x:f>IF(J849&lt;=$B$6,LARGE('계산'!$K$2:$K$2001,J849),"")</x:f>
      </x:c>
      <x:c r="L849" t="str">
        <x:f>IF(ISNUMBER(K849),L848+LN(K849),"")</x:f>
      </x:c>
    </x:row>
    <x:row r="850">
      <x:c r="J850" t="n">
        <x:f>846</x:f>
        <x:v>846</x:v>
      </x:c>
      <x:c r="K850" t="str">
        <x:f>IF(J850&lt;=$B$6,LARGE('계산'!$K$2:$K$2001,J850),"")</x:f>
      </x:c>
      <x:c r="L850" t="str">
        <x:f>IF(ISNUMBER(K850),L849+LN(K850),"")</x:f>
      </x:c>
    </x:row>
    <x:row r="851">
      <x:c r="J851" t="n">
        <x:f>847</x:f>
        <x:v>847</x:v>
      </x:c>
      <x:c r="K851" t="str">
        <x:f>IF(J851&lt;=$B$6,LARGE('계산'!$K$2:$K$2001,J851),"")</x:f>
      </x:c>
      <x:c r="L851" t="str">
        <x:f>IF(ISNUMBER(K851),L850+LN(K851),"")</x:f>
      </x:c>
    </x:row>
    <x:row r="852">
      <x:c r="J852" t="n">
        <x:f>848</x:f>
        <x:v>848</x:v>
      </x:c>
      <x:c r="K852" t="str">
        <x:f>IF(J852&lt;=$B$6,LARGE('계산'!$K$2:$K$2001,J852),"")</x:f>
      </x:c>
      <x:c r="L852" t="str">
        <x:f>IF(ISNUMBER(K852),L851+LN(K852),"")</x:f>
      </x:c>
    </x:row>
    <x:row r="853">
      <x:c r="J853" t="n">
        <x:f>849</x:f>
        <x:v>849</x:v>
      </x:c>
      <x:c r="K853" t="str">
        <x:f>IF(J853&lt;=$B$6,LARGE('계산'!$K$2:$K$2001,J853),"")</x:f>
      </x:c>
      <x:c r="L853" t="str">
        <x:f>IF(ISNUMBER(K853),L852+LN(K853),"")</x:f>
      </x:c>
    </x:row>
    <x:row r="854">
      <x:c r="J854" t="n">
        <x:f>850</x:f>
        <x:v>850</x:v>
      </x:c>
      <x:c r="K854" t="str">
        <x:f>IF(J854&lt;=$B$6,LARGE('계산'!$K$2:$K$2001,J854),"")</x:f>
      </x:c>
      <x:c r="L854" t="str">
        <x:f>IF(ISNUMBER(K854),L853+LN(K854),"")</x:f>
      </x:c>
    </x:row>
    <x:row r="855">
      <x:c r="J855" t="n">
        <x:f>851</x:f>
        <x:v>851</x:v>
      </x:c>
      <x:c r="K855" t="str">
        <x:f>IF(J855&lt;=$B$6,LARGE('계산'!$K$2:$K$2001,J855),"")</x:f>
      </x:c>
      <x:c r="L855" t="str">
        <x:f>IF(ISNUMBER(K855),L854+LN(K855),"")</x:f>
      </x:c>
    </x:row>
    <x:row r="856">
      <x:c r="J856" t="n">
        <x:f>852</x:f>
        <x:v>852</x:v>
      </x:c>
      <x:c r="K856" t="str">
        <x:f>IF(J856&lt;=$B$6,LARGE('계산'!$K$2:$K$2001,J856),"")</x:f>
      </x:c>
      <x:c r="L856" t="str">
        <x:f>IF(ISNUMBER(K856),L855+LN(K856),"")</x:f>
      </x:c>
    </x:row>
    <x:row r="857">
      <x:c r="J857" t="n">
        <x:f>853</x:f>
        <x:v>853</x:v>
      </x:c>
      <x:c r="K857" t="str">
        <x:f>IF(J857&lt;=$B$6,LARGE('계산'!$K$2:$K$2001,J857),"")</x:f>
      </x:c>
      <x:c r="L857" t="str">
        <x:f>IF(ISNUMBER(K857),L856+LN(K857),"")</x:f>
      </x:c>
    </x:row>
    <x:row r="858">
      <x:c r="J858" t="n">
        <x:f>854</x:f>
        <x:v>854</x:v>
      </x:c>
      <x:c r="K858" t="str">
        <x:f>IF(J858&lt;=$B$6,LARGE('계산'!$K$2:$K$2001,J858),"")</x:f>
      </x:c>
      <x:c r="L858" t="str">
        <x:f>IF(ISNUMBER(K858),L857+LN(K858),"")</x:f>
      </x:c>
    </x:row>
    <x:row r="859">
      <x:c r="J859" t="n">
        <x:f>855</x:f>
        <x:v>855</x:v>
      </x:c>
      <x:c r="K859" t="str">
        <x:f>IF(J859&lt;=$B$6,LARGE('계산'!$K$2:$K$2001,J859),"")</x:f>
      </x:c>
      <x:c r="L859" t="str">
        <x:f>IF(ISNUMBER(K859),L858+LN(K859),"")</x:f>
      </x:c>
    </x:row>
    <x:row r="860">
      <x:c r="J860" t="n">
        <x:f>856</x:f>
        <x:v>856</x:v>
      </x:c>
      <x:c r="K860" t="str">
        <x:f>IF(J860&lt;=$B$6,LARGE('계산'!$K$2:$K$2001,J860),"")</x:f>
      </x:c>
      <x:c r="L860" t="str">
        <x:f>IF(ISNUMBER(K860),L859+LN(K860),"")</x:f>
      </x:c>
    </x:row>
    <x:row r="861">
      <x:c r="J861" t="n">
        <x:f>857</x:f>
        <x:v>857</x:v>
      </x:c>
      <x:c r="K861" t="str">
        <x:f>IF(J861&lt;=$B$6,LARGE('계산'!$K$2:$K$2001,J861),"")</x:f>
      </x:c>
      <x:c r="L861" t="str">
        <x:f>IF(ISNUMBER(K861),L860+LN(K861),"")</x:f>
      </x:c>
    </x:row>
    <x:row r="862">
      <x:c r="J862" t="n">
        <x:f>858</x:f>
        <x:v>858</x:v>
      </x:c>
      <x:c r="K862" t="str">
        <x:f>IF(J862&lt;=$B$6,LARGE('계산'!$K$2:$K$2001,J862),"")</x:f>
      </x:c>
      <x:c r="L862" t="str">
        <x:f>IF(ISNUMBER(K862),L861+LN(K862),"")</x:f>
      </x:c>
    </x:row>
    <x:row r="863">
      <x:c r="J863" t="n">
        <x:f>859</x:f>
        <x:v>859</x:v>
      </x:c>
      <x:c r="K863" t="str">
        <x:f>IF(J863&lt;=$B$6,LARGE('계산'!$K$2:$K$2001,J863),"")</x:f>
      </x:c>
      <x:c r="L863" t="str">
        <x:f>IF(ISNUMBER(K863),L862+LN(K863),"")</x:f>
      </x:c>
    </x:row>
    <x:row r="864">
      <x:c r="J864" t="n">
        <x:f>860</x:f>
        <x:v>860</x:v>
      </x:c>
      <x:c r="K864" t="str">
        <x:f>IF(J864&lt;=$B$6,LARGE('계산'!$K$2:$K$2001,J864),"")</x:f>
      </x:c>
      <x:c r="L864" t="str">
        <x:f>IF(ISNUMBER(K864),L863+LN(K864),"")</x:f>
      </x:c>
    </x:row>
    <x:row r="865">
      <x:c r="J865" t="n">
        <x:f>861</x:f>
        <x:v>861</x:v>
      </x:c>
      <x:c r="K865" t="str">
        <x:f>IF(J865&lt;=$B$6,LARGE('계산'!$K$2:$K$2001,J865),"")</x:f>
      </x:c>
      <x:c r="L865" t="str">
        <x:f>IF(ISNUMBER(K865),L864+LN(K865),"")</x:f>
      </x:c>
    </x:row>
    <x:row r="866">
      <x:c r="J866" t="n">
        <x:f>862</x:f>
        <x:v>862</x:v>
      </x:c>
      <x:c r="K866" t="str">
        <x:f>IF(J866&lt;=$B$6,LARGE('계산'!$K$2:$K$2001,J866),"")</x:f>
      </x:c>
      <x:c r="L866" t="str">
        <x:f>IF(ISNUMBER(K866),L865+LN(K866),"")</x:f>
      </x:c>
    </x:row>
    <x:row r="867">
      <x:c r="J867" t="n">
        <x:f>863</x:f>
        <x:v>863</x:v>
      </x:c>
      <x:c r="K867" t="str">
        <x:f>IF(J867&lt;=$B$6,LARGE('계산'!$K$2:$K$2001,J867),"")</x:f>
      </x:c>
      <x:c r="L867" t="str">
        <x:f>IF(ISNUMBER(K867),L866+LN(K867),"")</x:f>
      </x:c>
    </x:row>
    <x:row r="868">
      <x:c r="J868" t="n">
        <x:f>864</x:f>
        <x:v>864</x:v>
      </x:c>
      <x:c r="K868" t="str">
        <x:f>IF(J868&lt;=$B$6,LARGE('계산'!$K$2:$K$2001,J868),"")</x:f>
      </x:c>
      <x:c r="L868" t="str">
        <x:f>IF(ISNUMBER(K868),L867+LN(K868),"")</x:f>
      </x:c>
    </x:row>
    <x:row r="869">
      <x:c r="J869" t="n">
        <x:f>865</x:f>
        <x:v>865</x:v>
      </x:c>
      <x:c r="K869" t="str">
        <x:f>IF(J869&lt;=$B$6,LARGE('계산'!$K$2:$K$2001,J869),"")</x:f>
      </x:c>
      <x:c r="L869" t="str">
        <x:f>IF(ISNUMBER(K869),L868+LN(K869),"")</x:f>
      </x:c>
    </x:row>
    <x:row r="870">
      <x:c r="J870" t="n">
        <x:f>866</x:f>
        <x:v>866</x:v>
      </x:c>
      <x:c r="K870" t="str">
        <x:f>IF(J870&lt;=$B$6,LARGE('계산'!$K$2:$K$2001,J870),"")</x:f>
      </x:c>
      <x:c r="L870" t="str">
        <x:f>IF(ISNUMBER(K870),L869+LN(K870),"")</x:f>
      </x:c>
    </x:row>
    <x:row r="871">
      <x:c r="J871" t="n">
        <x:f>867</x:f>
        <x:v>867</x:v>
      </x:c>
      <x:c r="K871" t="str">
        <x:f>IF(J871&lt;=$B$6,LARGE('계산'!$K$2:$K$2001,J871),"")</x:f>
      </x:c>
      <x:c r="L871" t="str">
        <x:f>IF(ISNUMBER(K871),L870+LN(K871),"")</x:f>
      </x:c>
    </x:row>
    <x:row r="872">
      <x:c r="J872" t="n">
        <x:f>868</x:f>
        <x:v>868</x:v>
      </x:c>
      <x:c r="K872" t="str">
        <x:f>IF(J872&lt;=$B$6,LARGE('계산'!$K$2:$K$2001,J872),"")</x:f>
      </x:c>
      <x:c r="L872" t="str">
        <x:f>IF(ISNUMBER(K872),L871+LN(K872),"")</x:f>
      </x:c>
    </x:row>
    <x:row r="873">
      <x:c r="J873" t="n">
        <x:f>869</x:f>
        <x:v>869</x:v>
      </x:c>
      <x:c r="K873" t="str">
        <x:f>IF(J873&lt;=$B$6,LARGE('계산'!$K$2:$K$2001,J873),"")</x:f>
      </x:c>
      <x:c r="L873" t="str">
        <x:f>IF(ISNUMBER(K873),L872+LN(K873),"")</x:f>
      </x:c>
    </x:row>
    <x:row r="874">
      <x:c r="J874" t="n">
        <x:f>870</x:f>
        <x:v>870</x:v>
      </x:c>
      <x:c r="K874" t="str">
        <x:f>IF(J874&lt;=$B$6,LARGE('계산'!$K$2:$K$2001,J874),"")</x:f>
      </x:c>
      <x:c r="L874" t="str">
        <x:f>IF(ISNUMBER(K874),L873+LN(K874),"")</x:f>
      </x:c>
    </x:row>
    <x:row r="875">
      <x:c r="J875" t="n">
        <x:f>871</x:f>
        <x:v>871</x:v>
      </x:c>
      <x:c r="K875" t="str">
        <x:f>IF(J875&lt;=$B$6,LARGE('계산'!$K$2:$K$2001,J875),"")</x:f>
      </x:c>
      <x:c r="L875" t="str">
        <x:f>IF(ISNUMBER(K875),L874+LN(K875),"")</x:f>
      </x:c>
    </x:row>
    <x:row r="876">
      <x:c r="J876" t="n">
        <x:f>872</x:f>
        <x:v>872</x:v>
      </x:c>
      <x:c r="K876" t="str">
        <x:f>IF(J876&lt;=$B$6,LARGE('계산'!$K$2:$K$2001,J876),"")</x:f>
      </x:c>
      <x:c r="L876" t="str">
        <x:f>IF(ISNUMBER(K876),L875+LN(K876),"")</x:f>
      </x:c>
    </x:row>
    <x:row r="877">
      <x:c r="J877" t="n">
        <x:f>873</x:f>
        <x:v>873</x:v>
      </x:c>
      <x:c r="K877" t="str">
        <x:f>IF(J877&lt;=$B$6,LARGE('계산'!$K$2:$K$2001,J877),"")</x:f>
      </x:c>
      <x:c r="L877" t="str">
        <x:f>IF(ISNUMBER(K877),L876+LN(K877),"")</x:f>
      </x:c>
    </x:row>
    <x:row r="878">
      <x:c r="J878" t="n">
        <x:f>874</x:f>
        <x:v>874</x:v>
      </x:c>
      <x:c r="K878" t="str">
        <x:f>IF(J878&lt;=$B$6,LARGE('계산'!$K$2:$K$2001,J878),"")</x:f>
      </x:c>
      <x:c r="L878" t="str">
        <x:f>IF(ISNUMBER(K878),L877+LN(K878),"")</x:f>
      </x:c>
    </x:row>
    <x:row r="879">
      <x:c r="J879" t="n">
        <x:f>875</x:f>
        <x:v>875</x:v>
      </x:c>
      <x:c r="K879" t="str">
        <x:f>IF(J879&lt;=$B$6,LARGE('계산'!$K$2:$K$2001,J879),"")</x:f>
      </x:c>
      <x:c r="L879" t="str">
        <x:f>IF(ISNUMBER(K879),L878+LN(K879),"")</x:f>
      </x:c>
    </x:row>
    <x:row r="880">
      <x:c r="J880" t="n">
        <x:f>876</x:f>
        <x:v>876</x:v>
      </x:c>
      <x:c r="K880" t="str">
        <x:f>IF(J880&lt;=$B$6,LARGE('계산'!$K$2:$K$2001,J880),"")</x:f>
      </x:c>
      <x:c r="L880" t="str">
        <x:f>IF(ISNUMBER(K880),L879+LN(K880),"")</x:f>
      </x:c>
    </x:row>
    <x:row r="881">
      <x:c r="J881" t="n">
        <x:f>877</x:f>
        <x:v>877</x:v>
      </x:c>
      <x:c r="K881" t="str">
        <x:f>IF(J881&lt;=$B$6,LARGE('계산'!$K$2:$K$2001,J881),"")</x:f>
      </x:c>
      <x:c r="L881" t="str">
        <x:f>IF(ISNUMBER(K881),L880+LN(K881),"")</x:f>
      </x:c>
    </x:row>
    <x:row r="882">
      <x:c r="J882" t="n">
        <x:f>878</x:f>
        <x:v>878</x:v>
      </x:c>
      <x:c r="K882" t="str">
        <x:f>IF(J882&lt;=$B$6,LARGE('계산'!$K$2:$K$2001,J882),"")</x:f>
      </x:c>
      <x:c r="L882" t="str">
        <x:f>IF(ISNUMBER(K882),L881+LN(K882),"")</x:f>
      </x:c>
    </x:row>
    <x:row r="883">
      <x:c r="J883" t="n">
        <x:f>879</x:f>
        <x:v>879</x:v>
      </x:c>
      <x:c r="K883" t="str">
        <x:f>IF(J883&lt;=$B$6,LARGE('계산'!$K$2:$K$2001,J883),"")</x:f>
      </x:c>
      <x:c r="L883" t="str">
        <x:f>IF(ISNUMBER(K883),L882+LN(K883),"")</x:f>
      </x:c>
    </x:row>
    <x:row r="884">
      <x:c r="J884" t="n">
        <x:f>880</x:f>
        <x:v>880</x:v>
      </x:c>
      <x:c r="K884" t="str">
        <x:f>IF(J884&lt;=$B$6,LARGE('계산'!$K$2:$K$2001,J884),"")</x:f>
      </x:c>
      <x:c r="L884" t="str">
        <x:f>IF(ISNUMBER(K884),L883+LN(K884),"")</x:f>
      </x:c>
    </x:row>
    <x:row r="885">
      <x:c r="J885" t="n">
        <x:f>881</x:f>
        <x:v>881</x:v>
      </x:c>
      <x:c r="K885" t="str">
        <x:f>IF(J885&lt;=$B$6,LARGE('계산'!$K$2:$K$2001,J885),"")</x:f>
      </x:c>
      <x:c r="L885" t="str">
        <x:f>IF(ISNUMBER(K885),L884+LN(K885),"")</x:f>
      </x:c>
    </x:row>
    <x:row r="886">
      <x:c r="J886" t="n">
        <x:f>882</x:f>
        <x:v>882</x:v>
      </x:c>
      <x:c r="K886" t="str">
        <x:f>IF(J886&lt;=$B$6,LARGE('계산'!$K$2:$K$2001,J886),"")</x:f>
      </x:c>
      <x:c r="L886" t="str">
        <x:f>IF(ISNUMBER(K886),L885+LN(K886),"")</x:f>
      </x:c>
    </x:row>
    <x:row r="887">
      <x:c r="J887" t="n">
        <x:f>883</x:f>
        <x:v>883</x:v>
      </x:c>
      <x:c r="K887" t="str">
        <x:f>IF(J887&lt;=$B$6,LARGE('계산'!$K$2:$K$2001,J887),"")</x:f>
      </x:c>
      <x:c r="L887" t="str">
        <x:f>IF(ISNUMBER(K887),L886+LN(K887),"")</x:f>
      </x:c>
    </x:row>
    <x:row r="888">
      <x:c r="J888" t="n">
        <x:f>884</x:f>
        <x:v>884</x:v>
      </x:c>
      <x:c r="K888" t="str">
        <x:f>IF(J888&lt;=$B$6,LARGE('계산'!$K$2:$K$2001,J888),"")</x:f>
      </x:c>
      <x:c r="L888" t="str">
        <x:f>IF(ISNUMBER(K888),L887+LN(K888),"")</x:f>
      </x:c>
    </x:row>
    <x:row r="889">
      <x:c r="J889" t="n">
        <x:f>885</x:f>
        <x:v>885</x:v>
      </x:c>
      <x:c r="K889" t="str">
        <x:f>IF(J889&lt;=$B$6,LARGE('계산'!$K$2:$K$2001,J889),"")</x:f>
      </x:c>
      <x:c r="L889" t="str">
        <x:f>IF(ISNUMBER(K889),L888+LN(K889),"")</x:f>
      </x:c>
    </x:row>
    <x:row r="890">
      <x:c r="J890" t="n">
        <x:f>886</x:f>
        <x:v>886</x:v>
      </x:c>
      <x:c r="K890" t="str">
        <x:f>IF(J890&lt;=$B$6,LARGE('계산'!$K$2:$K$2001,J890),"")</x:f>
      </x:c>
      <x:c r="L890" t="str">
        <x:f>IF(ISNUMBER(K890),L889+LN(K890),"")</x:f>
      </x:c>
    </x:row>
    <x:row r="891">
      <x:c r="J891" t="n">
        <x:f>887</x:f>
        <x:v>887</x:v>
      </x:c>
      <x:c r="K891" t="str">
        <x:f>IF(J891&lt;=$B$6,LARGE('계산'!$K$2:$K$2001,J891),"")</x:f>
      </x:c>
      <x:c r="L891" t="str">
        <x:f>IF(ISNUMBER(K891),L890+LN(K891),"")</x:f>
      </x:c>
    </x:row>
    <x:row r="892">
      <x:c r="J892" t="n">
        <x:f>888</x:f>
        <x:v>888</x:v>
      </x:c>
      <x:c r="K892" t="str">
        <x:f>IF(J892&lt;=$B$6,LARGE('계산'!$K$2:$K$2001,J892),"")</x:f>
      </x:c>
      <x:c r="L892" t="str">
        <x:f>IF(ISNUMBER(K892),L891+LN(K892),"")</x:f>
      </x:c>
    </x:row>
    <x:row r="893">
      <x:c r="J893" t="n">
        <x:f>889</x:f>
        <x:v>889</x:v>
      </x:c>
      <x:c r="K893" t="str">
        <x:f>IF(J893&lt;=$B$6,LARGE('계산'!$K$2:$K$2001,J893),"")</x:f>
      </x:c>
      <x:c r="L893" t="str">
        <x:f>IF(ISNUMBER(K893),L892+LN(K893),"")</x:f>
      </x:c>
    </x:row>
    <x:row r="894">
      <x:c r="J894" t="n">
        <x:f>890</x:f>
        <x:v>890</x:v>
      </x:c>
      <x:c r="K894" t="str">
        <x:f>IF(J894&lt;=$B$6,LARGE('계산'!$K$2:$K$2001,J894),"")</x:f>
      </x:c>
      <x:c r="L894" t="str">
        <x:f>IF(ISNUMBER(K894),L893+LN(K894),"")</x:f>
      </x:c>
    </x:row>
    <x:row r="895">
      <x:c r="J895" t="n">
        <x:f>891</x:f>
        <x:v>891</x:v>
      </x:c>
      <x:c r="K895" t="str">
        <x:f>IF(J895&lt;=$B$6,LARGE('계산'!$K$2:$K$2001,J895),"")</x:f>
      </x:c>
      <x:c r="L895" t="str">
        <x:f>IF(ISNUMBER(K895),L894+LN(K895),"")</x:f>
      </x:c>
    </x:row>
    <x:row r="896">
      <x:c r="J896" t="n">
        <x:f>892</x:f>
        <x:v>892</x:v>
      </x:c>
      <x:c r="K896" t="str">
        <x:f>IF(J896&lt;=$B$6,LARGE('계산'!$K$2:$K$2001,J896),"")</x:f>
      </x:c>
      <x:c r="L896" t="str">
        <x:f>IF(ISNUMBER(K896),L895+LN(K896),"")</x:f>
      </x:c>
    </x:row>
    <x:row r="897">
      <x:c r="J897" t="n">
        <x:f>893</x:f>
        <x:v>893</x:v>
      </x:c>
      <x:c r="K897" t="str">
        <x:f>IF(J897&lt;=$B$6,LARGE('계산'!$K$2:$K$2001,J897),"")</x:f>
      </x:c>
      <x:c r="L897" t="str">
        <x:f>IF(ISNUMBER(K897),L896+LN(K897),"")</x:f>
      </x:c>
    </x:row>
    <x:row r="898">
      <x:c r="J898" t="n">
        <x:f>894</x:f>
        <x:v>894</x:v>
      </x:c>
      <x:c r="K898" t="str">
        <x:f>IF(J898&lt;=$B$6,LARGE('계산'!$K$2:$K$2001,J898),"")</x:f>
      </x:c>
      <x:c r="L898" t="str">
        <x:f>IF(ISNUMBER(K898),L897+LN(K898),"")</x:f>
      </x:c>
    </x:row>
    <x:row r="899">
      <x:c r="J899" t="n">
        <x:f>895</x:f>
        <x:v>895</x:v>
      </x:c>
      <x:c r="K899" t="str">
        <x:f>IF(J899&lt;=$B$6,LARGE('계산'!$K$2:$K$2001,J899),"")</x:f>
      </x:c>
      <x:c r="L899" t="str">
        <x:f>IF(ISNUMBER(K899),L898+LN(K899),"")</x:f>
      </x:c>
    </x:row>
    <x:row r="900">
      <x:c r="J900" t="n">
        <x:f>896</x:f>
        <x:v>896</x:v>
      </x:c>
      <x:c r="K900" t="str">
        <x:f>IF(J900&lt;=$B$6,LARGE('계산'!$K$2:$K$2001,J900),"")</x:f>
      </x:c>
      <x:c r="L900" t="str">
        <x:f>IF(ISNUMBER(K900),L899+LN(K900),"")</x:f>
      </x:c>
    </x:row>
    <x:row r="901">
      <x:c r="J901" t="n">
        <x:f>897</x:f>
        <x:v>897</x:v>
      </x:c>
      <x:c r="K901" t="str">
        <x:f>IF(J901&lt;=$B$6,LARGE('계산'!$K$2:$K$2001,J901),"")</x:f>
      </x:c>
      <x:c r="L901" t="str">
        <x:f>IF(ISNUMBER(K901),L900+LN(K901),"")</x:f>
      </x:c>
    </x:row>
    <x:row r="902">
      <x:c r="J902" t="n">
        <x:f>898</x:f>
        <x:v>898</x:v>
      </x:c>
      <x:c r="K902" t="str">
        <x:f>IF(J902&lt;=$B$6,LARGE('계산'!$K$2:$K$2001,J902),"")</x:f>
      </x:c>
      <x:c r="L902" t="str">
        <x:f>IF(ISNUMBER(K902),L901+LN(K902),"")</x:f>
      </x:c>
    </x:row>
    <x:row r="903">
      <x:c r="J903" t="n">
        <x:f>899</x:f>
        <x:v>899</x:v>
      </x:c>
      <x:c r="K903" t="str">
        <x:f>IF(J903&lt;=$B$6,LARGE('계산'!$K$2:$K$2001,J903),"")</x:f>
      </x:c>
      <x:c r="L903" t="str">
        <x:f>IF(ISNUMBER(K903),L902+LN(K903),"")</x:f>
      </x:c>
    </x:row>
    <x:row r="904">
      <x:c r="J904" t="n">
        <x:f>900</x:f>
        <x:v>900</x:v>
      </x:c>
      <x:c r="K904" t="str">
        <x:f>IF(J904&lt;=$B$6,LARGE('계산'!$K$2:$K$2001,J904),"")</x:f>
      </x:c>
      <x:c r="L904" t="str">
        <x:f>IF(ISNUMBER(K904),L903+LN(K904),"")</x:f>
      </x:c>
    </x:row>
    <x:row r="905">
      <x:c r="J905" t="n">
        <x:f>901</x:f>
        <x:v>901</x:v>
      </x:c>
      <x:c r="K905" t="str">
        <x:f>IF(J905&lt;=$B$6,LARGE('계산'!$K$2:$K$2001,J905),"")</x:f>
      </x:c>
      <x:c r="L905" t="str">
        <x:f>IF(ISNUMBER(K905),L904+LN(K905),"")</x:f>
      </x:c>
    </x:row>
    <x:row r="906">
      <x:c r="J906" t="n">
        <x:f>902</x:f>
        <x:v>902</x:v>
      </x:c>
      <x:c r="K906" t="str">
        <x:f>IF(J906&lt;=$B$6,LARGE('계산'!$K$2:$K$2001,J906),"")</x:f>
      </x:c>
      <x:c r="L906" t="str">
        <x:f>IF(ISNUMBER(K906),L905+LN(K906),"")</x:f>
      </x:c>
    </x:row>
    <x:row r="907">
      <x:c r="J907" t="n">
        <x:f>903</x:f>
        <x:v>903</x:v>
      </x:c>
      <x:c r="K907" t="str">
        <x:f>IF(J907&lt;=$B$6,LARGE('계산'!$K$2:$K$2001,J907),"")</x:f>
      </x:c>
      <x:c r="L907" t="str">
        <x:f>IF(ISNUMBER(K907),L906+LN(K907),"")</x:f>
      </x:c>
    </x:row>
    <x:row r="908">
      <x:c r="J908" t="n">
        <x:f>904</x:f>
        <x:v>904</x:v>
      </x:c>
      <x:c r="K908" t="str">
        <x:f>IF(J908&lt;=$B$6,LARGE('계산'!$K$2:$K$2001,J908),"")</x:f>
      </x:c>
      <x:c r="L908" t="str">
        <x:f>IF(ISNUMBER(K908),L907+LN(K908),"")</x:f>
      </x:c>
    </x:row>
    <x:row r="909">
      <x:c r="J909" t="n">
        <x:f>905</x:f>
        <x:v>905</x:v>
      </x:c>
      <x:c r="K909" t="str">
        <x:f>IF(J909&lt;=$B$6,LARGE('계산'!$K$2:$K$2001,J909),"")</x:f>
      </x:c>
      <x:c r="L909" t="str">
        <x:f>IF(ISNUMBER(K909),L908+LN(K909),"")</x:f>
      </x:c>
    </x:row>
    <x:row r="910">
      <x:c r="J910" t="n">
        <x:f>906</x:f>
        <x:v>906</x:v>
      </x:c>
      <x:c r="K910" t="str">
        <x:f>IF(J910&lt;=$B$6,LARGE('계산'!$K$2:$K$2001,J910),"")</x:f>
      </x:c>
      <x:c r="L910" t="str">
        <x:f>IF(ISNUMBER(K910),L909+LN(K910),"")</x:f>
      </x:c>
    </x:row>
    <x:row r="911">
      <x:c r="J911" t="n">
        <x:f>907</x:f>
        <x:v>907</x:v>
      </x:c>
      <x:c r="K911" t="str">
        <x:f>IF(J911&lt;=$B$6,LARGE('계산'!$K$2:$K$2001,J911),"")</x:f>
      </x:c>
      <x:c r="L911" t="str">
        <x:f>IF(ISNUMBER(K911),L910+LN(K911),"")</x:f>
      </x:c>
    </x:row>
    <x:row r="912">
      <x:c r="J912" t="n">
        <x:f>908</x:f>
        <x:v>908</x:v>
      </x:c>
      <x:c r="K912" t="str">
        <x:f>IF(J912&lt;=$B$6,LARGE('계산'!$K$2:$K$2001,J912),"")</x:f>
      </x:c>
      <x:c r="L912" t="str">
        <x:f>IF(ISNUMBER(K912),L911+LN(K912),"")</x:f>
      </x:c>
    </x:row>
    <x:row r="913">
      <x:c r="J913" t="n">
        <x:f>909</x:f>
        <x:v>909</x:v>
      </x:c>
      <x:c r="K913" t="str">
        <x:f>IF(J913&lt;=$B$6,LARGE('계산'!$K$2:$K$2001,J913),"")</x:f>
      </x:c>
      <x:c r="L913" t="str">
        <x:f>IF(ISNUMBER(K913),L912+LN(K913),"")</x:f>
      </x:c>
    </x:row>
    <x:row r="914">
      <x:c r="J914" t="n">
        <x:f>910</x:f>
        <x:v>910</x:v>
      </x:c>
      <x:c r="K914" t="str">
        <x:f>IF(J914&lt;=$B$6,LARGE('계산'!$K$2:$K$2001,J914),"")</x:f>
      </x:c>
      <x:c r="L914" t="str">
        <x:f>IF(ISNUMBER(K914),L913+LN(K914),"")</x:f>
      </x:c>
    </x:row>
    <x:row r="915">
      <x:c r="J915" t="n">
        <x:f>911</x:f>
        <x:v>911</x:v>
      </x:c>
      <x:c r="K915" t="str">
        <x:f>IF(J915&lt;=$B$6,LARGE('계산'!$K$2:$K$2001,J915),"")</x:f>
      </x:c>
      <x:c r="L915" t="str">
        <x:f>IF(ISNUMBER(K915),L914+LN(K915),"")</x:f>
      </x:c>
    </x:row>
    <x:row r="916">
      <x:c r="J916" t="n">
        <x:f>912</x:f>
        <x:v>912</x:v>
      </x:c>
      <x:c r="K916" t="str">
        <x:f>IF(J916&lt;=$B$6,LARGE('계산'!$K$2:$K$2001,J916),"")</x:f>
      </x:c>
      <x:c r="L916" t="str">
        <x:f>IF(ISNUMBER(K916),L915+LN(K916),"")</x:f>
      </x:c>
    </x:row>
    <x:row r="917">
      <x:c r="J917" t="n">
        <x:f>913</x:f>
        <x:v>913</x:v>
      </x:c>
      <x:c r="K917" t="str">
        <x:f>IF(J917&lt;=$B$6,LARGE('계산'!$K$2:$K$2001,J917),"")</x:f>
      </x:c>
      <x:c r="L917" t="str">
        <x:f>IF(ISNUMBER(K917),L916+LN(K917),"")</x:f>
      </x:c>
    </x:row>
    <x:row r="918">
      <x:c r="J918" t="n">
        <x:f>914</x:f>
        <x:v>914</x:v>
      </x:c>
      <x:c r="K918" t="str">
        <x:f>IF(J918&lt;=$B$6,LARGE('계산'!$K$2:$K$2001,J918),"")</x:f>
      </x:c>
      <x:c r="L918" t="str">
        <x:f>IF(ISNUMBER(K918),L917+LN(K918),"")</x:f>
      </x:c>
    </x:row>
    <x:row r="919">
      <x:c r="J919" t="n">
        <x:f>915</x:f>
        <x:v>915</x:v>
      </x:c>
      <x:c r="K919" t="str">
        <x:f>IF(J919&lt;=$B$6,LARGE('계산'!$K$2:$K$2001,J919),"")</x:f>
      </x:c>
      <x:c r="L919" t="str">
        <x:f>IF(ISNUMBER(K919),L918+LN(K919),"")</x:f>
      </x:c>
    </x:row>
    <x:row r="920">
      <x:c r="J920" t="n">
        <x:f>916</x:f>
        <x:v>916</x:v>
      </x:c>
      <x:c r="K920" t="str">
        <x:f>IF(J920&lt;=$B$6,LARGE('계산'!$K$2:$K$2001,J920),"")</x:f>
      </x:c>
      <x:c r="L920" t="str">
        <x:f>IF(ISNUMBER(K920),L919+LN(K920),"")</x:f>
      </x:c>
    </x:row>
    <x:row r="921">
      <x:c r="J921" t="n">
        <x:f>917</x:f>
        <x:v>917</x:v>
      </x:c>
      <x:c r="K921" t="str">
        <x:f>IF(J921&lt;=$B$6,LARGE('계산'!$K$2:$K$2001,J921),"")</x:f>
      </x:c>
      <x:c r="L921" t="str">
        <x:f>IF(ISNUMBER(K921),L920+LN(K921),"")</x:f>
      </x:c>
    </x:row>
    <x:row r="922">
      <x:c r="J922" t="n">
        <x:f>918</x:f>
        <x:v>918</x:v>
      </x:c>
      <x:c r="K922" t="str">
        <x:f>IF(J922&lt;=$B$6,LARGE('계산'!$K$2:$K$2001,J922),"")</x:f>
      </x:c>
      <x:c r="L922" t="str">
        <x:f>IF(ISNUMBER(K922),L921+LN(K922),"")</x:f>
      </x:c>
    </x:row>
    <x:row r="923">
      <x:c r="J923" t="n">
        <x:f>919</x:f>
        <x:v>919</x:v>
      </x:c>
      <x:c r="K923" t="str">
        <x:f>IF(J923&lt;=$B$6,LARGE('계산'!$K$2:$K$2001,J923),"")</x:f>
      </x:c>
      <x:c r="L923" t="str">
        <x:f>IF(ISNUMBER(K923),L922+LN(K923),"")</x:f>
      </x:c>
    </x:row>
    <x:row r="924">
      <x:c r="J924" t="n">
        <x:f>920</x:f>
        <x:v>920</x:v>
      </x:c>
      <x:c r="K924" t="str">
        <x:f>IF(J924&lt;=$B$6,LARGE('계산'!$K$2:$K$2001,J924),"")</x:f>
      </x:c>
      <x:c r="L924" t="str">
        <x:f>IF(ISNUMBER(K924),L923+LN(K924),"")</x:f>
      </x:c>
    </x:row>
    <x:row r="925">
      <x:c r="J925" t="n">
        <x:f>921</x:f>
        <x:v>921</x:v>
      </x:c>
      <x:c r="K925" t="str">
        <x:f>IF(J925&lt;=$B$6,LARGE('계산'!$K$2:$K$2001,J925),"")</x:f>
      </x:c>
      <x:c r="L925" t="str">
        <x:f>IF(ISNUMBER(K925),L924+LN(K925),"")</x:f>
      </x:c>
    </x:row>
    <x:row r="926">
      <x:c r="J926" t="n">
        <x:f>922</x:f>
        <x:v>922</x:v>
      </x:c>
      <x:c r="K926" t="str">
        <x:f>IF(J926&lt;=$B$6,LARGE('계산'!$K$2:$K$2001,J926),"")</x:f>
      </x:c>
      <x:c r="L926" t="str">
        <x:f>IF(ISNUMBER(K926),L925+LN(K926),"")</x:f>
      </x:c>
    </x:row>
    <x:row r="927">
      <x:c r="J927" t="n">
        <x:f>923</x:f>
        <x:v>923</x:v>
      </x:c>
      <x:c r="K927" t="str">
        <x:f>IF(J927&lt;=$B$6,LARGE('계산'!$K$2:$K$2001,J927),"")</x:f>
      </x:c>
      <x:c r="L927" t="str">
        <x:f>IF(ISNUMBER(K927),L926+LN(K927),"")</x:f>
      </x:c>
    </x:row>
    <x:row r="928">
      <x:c r="J928" t="n">
        <x:f>924</x:f>
        <x:v>924</x:v>
      </x:c>
      <x:c r="K928" t="str">
        <x:f>IF(J928&lt;=$B$6,LARGE('계산'!$K$2:$K$2001,J928),"")</x:f>
      </x:c>
      <x:c r="L928" t="str">
        <x:f>IF(ISNUMBER(K928),L927+LN(K928),"")</x:f>
      </x:c>
    </x:row>
    <x:row r="929">
      <x:c r="J929" t="n">
        <x:f>925</x:f>
        <x:v>925</x:v>
      </x:c>
      <x:c r="K929" t="str">
        <x:f>IF(J929&lt;=$B$6,LARGE('계산'!$K$2:$K$2001,J929),"")</x:f>
      </x:c>
      <x:c r="L929" t="str">
        <x:f>IF(ISNUMBER(K929),L928+LN(K929),"")</x:f>
      </x:c>
    </x:row>
    <x:row r="930">
      <x:c r="J930" t="n">
        <x:f>926</x:f>
        <x:v>926</x:v>
      </x:c>
      <x:c r="K930" t="str">
        <x:f>IF(J930&lt;=$B$6,LARGE('계산'!$K$2:$K$2001,J930),"")</x:f>
      </x:c>
      <x:c r="L930" t="str">
        <x:f>IF(ISNUMBER(K930),L929+LN(K930),"")</x:f>
      </x:c>
    </x:row>
    <x:row r="931">
      <x:c r="J931" t="n">
        <x:f>927</x:f>
        <x:v>927</x:v>
      </x:c>
      <x:c r="K931" t="str">
        <x:f>IF(J931&lt;=$B$6,LARGE('계산'!$K$2:$K$2001,J931),"")</x:f>
      </x:c>
      <x:c r="L931" t="str">
        <x:f>IF(ISNUMBER(K931),L930+LN(K931),"")</x:f>
      </x:c>
    </x:row>
    <x:row r="932">
      <x:c r="J932" t="n">
        <x:f>928</x:f>
        <x:v>928</x:v>
      </x:c>
      <x:c r="K932" t="str">
        <x:f>IF(J932&lt;=$B$6,LARGE('계산'!$K$2:$K$2001,J932),"")</x:f>
      </x:c>
      <x:c r="L932" t="str">
        <x:f>IF(ISNUMBER(K932),L931+LN(K932),"")</x:f>
      </x:c>
    </x:row>
    <x:row r="933">
      <x:c r="J933" t="n">
        <x:f>929</x:f>
        <x:v>929</x:v>
      </x:c>
      <x:c r="K933" t="str">
        <x:f>IF(J933&lt;=$B$6,LARGE('계산'!$K$2:$K$2001,J933),"")</x:f>
      </x:c>
      <x:c r="L933" t="str">
        <x:f>IF(ISNUMBER(K933),L932+LN(K933),"")</x:f>
      </x:c>
    </x:row>
    <x:row r="934">
      <x:c r="J934" t="n">
        <x:f>930</x:f>
        <x:v>930</x:v>
      </x:c>
      <x:c r="K934" t="str">
        <x:f>IF(J934&lt;=$B$6,LARGE('계산'!$K$2:$K$2001,J934),"")</x:f>
      </x:c>
      <x:c r="L934" t="str">
        <x:f>IF(ISNUMBER(K934),L933+LN(K934),"")</x:f>
      </x:c>
    </x:row>
    <x:row r="935">
      <x:c r="J935" t="n">
        <x:f>931</x:f>
        <x:v>931</x:v>
      </x:c>
      <x:c r="K935" t="str">
        <x:f>IF(J935&lt;=$B$6,LARGE('계산'!$K$2:$K$2001,J935),"")</x:f>
      </x:c>
      <x:c r="L935" t="str">
        <x:f>IF(ISNUMBER(K935),L934+LN(K935),"")</x:f>
      </x:c>
    </x:row>
    <x:row r="936">
      <x:c r="J936" t="n">
        <x:f>932</x:f>
        <x:v>932</x:v>
      </x:c>
      <x:c r="K936" t="str">
        <x:f>IF(J936&lt;=$B$6,LARGE('계산'!$K$2:$K$2001,J936),"")</x:f>
      </x:c>
      <x:c r="L936" t="str">
        <x:f>IF(ISNUMBER(K936),L935+LN(K936),"")</x:f>
      </x:c>
    </x:row>
    <x:row r="937">
      <x:c r="J937" t="n">
        <x:f>933</x:f>
        <x:v>933</x:v>
      </x:c>
      <x:c r="K937" t="str">
        <x:f>IF(J937&lt;=$B$6,LARGE('계산'!$K$2:$K$2001,J937),"")</x:f>
      </x:c>
      <x:c r="L937" t="str">
        <x:f>IF(ISNUMBER(K937),L936+LN(K937),"")</x:f>
      </x:c>
    </x:row>
    <x:row r="938">
      <x:c r="J938" t="n">
        <x:f>934</x:f>
        <x:v>934</x:v>
      </x:c>
      <x:c r="K938" t="str">
        <x:f>IF(J938&lt;=$B$6,LARGE('계산'!$K$2:$K$2001,J938),"")</x:f>
      </x:c>
      <x:c r="L938" t="str">
        <x:f>IF(ISNUMBER(K938),L937+LN(K938),"")</x:f>
      </x:c>
    </x:row>
    <x:row r="939">
      <x:c r="J939" t="n">
        <x:f>935</x:f>
        <x:v>935</x:v>
      </x:c>
      <x:c r="K939" t="str">
        <x:f>IF(J939&lt;=$B$6,LARGE('계산'!$K$2:$K$2001,J939),"")</x:f>
      </x:c>
      <x:c r="L939" t="str">
        <x:f>IF(ISNUMBER(K939),L938+LN(K939),"")</x:f>
      </x:c>
    </x:row>
    <x:row r="940">
      <x:c r="J940" t="n">
        <x:f>936</x:f>
        <x:v>936</x:v>
      </x:c>
      <x:c r="K940" t="str">
        <x:f>IF(J940&lt;=$B$6,LARGE('계산'!$K$2:$K$2001,J940),"")</x:f>
      </x:c>
      <x:c r="L940" t="str">
        <x:f>IF(ISNUMBER(K940),L939+LN(K940),"")</x:f>
      </x:c>
    </x:row>
    <x:row r="941">
      <x:c r="J941" t="n">
        <x:f>937</x:f>
        <x:v>937</x:v>
      </x:c>
      <x:c r="K941" t="str">
        <x:f>IF(J941&lt;=$B$6,LARGE('계산'!$K$2:$K$2001,J941),"")</x:f>
      </x:c>
      <x:c r="L941" t="str">
        <x:f>IF(ISNUMBER(K941),L940+LN(K941),"")</x:f>
      </x:c>
    </x:row>
    <x:row r="942">
      <x:c r="J942" t="n">
        <x:f>938</x:f>
        <x:v>938</x:v>
      </x:c>
      <x:c r="K942" t="str">
        <x:f>IF(J942&lt;=$B$6,LARGE('계산'!$K$2:$K$2001,J942),"")</x:f>
      </x:c>
      <x:c r="L942" t="str">
        <x:f>IF(ISNUMBER(K942),L941+LN(K942),"")</x:f>
      </x:c>
    </x:row>
    <x:row r="943">
      <x:c r="J943" t="n">
        <x:f>939</x:f>
        <x:v>939</x:v>
      </x:c>
      <x:c r="K943" t="str">
        <x:f>IF(J943&lt;=$B$6,LARGE('계산'!$K$2:$K$2001,J943),"")</x:f>
      </x:c>
      <x:c r="L943" t="str">
        <x:f>IF(ISNUMBER(K943),L942+LN(K943),"")</x:f>
      </x:c>
    </x:row>
    <x:row r="944">
      <x:c r="J944" t="n">
        <x:f>940</x:f>
        <x:v>940</x:v>
      </x:c>
      <x:c r="K944" t="str">
        <x:f>IF(J944&lt;=$B$6,LARGE('계산'!$K$2:$K$2001,J944),"")</x:f>
      </x:c>
      <x:c r="L944" t="str">
        <x:f>IF(ISNUMBER(K944),L943+LN(K944),"")</x:f>
      </x:c>
    </x:row>
    <x:row r="945">
      <x:c r="J945" t="n">
        <x:f>941</x:f>
        <x:v>941</x:v>
      </x:c>
      <x:c r="K945" t="str">
        <x:f>IF(J945&lt;=$B$6,LARGE('계산'!$K$2:$K$2001,J945),"")</x:f>
      </x:c>
      <x:c r="L945" t="str">
        <x:f>IF(ISNUMBER(K945),L944+LN(K945),"")</x:f>
      </x:c>
    </x:row>
    <x:row r="946">
      <x:c r="J946" t="n">
        <x:f>942</x:f>
        <x:v>942</x:v>
      </x:c>
      <x:c r="K946" t="str">
        <x:f>IF(J946&lt;=$B$6,LARGE('계산'!$K$2:$K$2001,J946),"")</x:f>
      </x:c>
      <x:c r="L946" t="str">
        <x:f>IF(ISNUMBER(K946),L945+LN(K946),"")</x:f>
      </x:c>
    </x:row>
    <x:row r="947">
      <x:c r="J947" t="n">
        <x:f>943</x:f>
        <x:v>943</x:v>
      </x:c>
      <x:c r="K947" t="str">
        <x:f>IF(J947&lt;=$B$6,LARGE('계산'!$K$2:$K$2001,J947),"")</x:f>
      </x:c>
      <x:c r="L947" t="str">
        <x:f>IF(ISNUMBER(K947),L946+LN(K947),"")</x:f>
      </x:c>
    </x:row>
    <x:row r="948">
      <x:c r="J948" t="n">
        <x:f>944</x:f>
        <x:v>944</x:v>
      </x:c>
      <x:c r="K948" t="str">
        <x:f>IF(J948&lt;=$B$6,LARGE('계산'!$K$2:$K$2001,J948),"")</x:f>
      </x:c>
      <x:c r="L948" t="str">
        <x:f>IF(ISNUMBER(K948),L947+LN(K948),"")</x:f>
      </x:c>
    </x:row>
    <x:row r="949">
      <x:c r="J949" t="n">
        <x:f>945</x:f>
        <x:v>945</x:v>
      </x:c>
      <x:c r="K949" t="str">
        <x:f>IF(J949&lt;=$B$6,LARGE('계산'!$K$2:$K$2001,J949),"")</x:f>
      </x:c>
      <x:c r="L949" t="str">
        <x:f>IF(ISNUMBER(K949),L948+LN(K949),"")</x:f>
      </x:c>
    </x:row>
    <x:row r="950">
      <x:c r="J950" t="n">
        <x:f>946</x:f>
        <x:v>946</x:v>
      </x:c>
      <x:c r="K950" t="str">
        <x:f>IF(J950&lt;=$B$6,LARGE('계산'!$K$2:$K$2001,J950),"")</x:f>
      </x:c>
      <x:c r="L950" t="str">
        <x:f>IF(ISNUMBER(K950),L949+LN(K950),"")</x:f>
      </x:c>
    </x:row>
    <x:row r="951">
      <x:c r="J951" t="n">
        <x:f>947</x:f>
        <x:v>947</x:v>
      </x:c>
      <x:c r="K951" t="str">
        <x:f>IF(J951&lt;=$B$6,LARGE('계산'!$K$2:$K$2001,J951),"")</x:f>
      </x:c>
      <x:c r="L951" t="str">
        <x:f>IF(ISNUMBER(K951),L950+LN(K951),"")</x:f>
      </x:c>
    </x:row>
    <x:row r="952">
      <x:c r="J952" t="n">
        <x:f>948</x:f>
        <x:v>948</x:v>
      </x:c>
      <x:c r="K952" t="str">
        <x:f>IF(J952&lt;=$B$6,LARGE('계산'!$K$2:$K$2001,J952),"")</x:f>
      </x:c>
      <x:c r="L952" t="str">
        <x:f>IF(ISNUMBER(K952),L951+LN(K952),"")</x:f>
      </x:c>
    </x:row>
    <x:row r="953">
      <x:c r="J953" t="n">
        <x:f>949</x:f>
        <x:v>949</x:v>
      </x:c>
      <x:c r="K953" t="str">
        <x:f>IF(J953&lt;=$B$6,LARGE('계산'!$K$2:$K$2001,J953),"")</x:f>
      </x:c>
      <x:c r="L953" t="str">
        <x:f>IF(ISNUMBER(K953),L952+LN(K953),"")</x:f>
      </x:c>
    </x:row>
    <x:row r="954">
      <x:c r="J954" t="n">
        <x:f>950</x:f>
        <x:v>950</x:v>
      </x:c>
      <x:c r="K954" t="str">
        <x:f>IF(J954&lt;=$B$6,LARGE('계산'!$K$2:$K$2001,J954),"")</x:f>
      </x:c>
      <x:c r="L954" t="str">
        <x:f>IF(ISNUMBER(K954),L953+LN(K954),"")</x:f>
      </x:c>
    </x:row>
    <x:row r="955">
      <x:c r="J955" t="n">
        <x:f>951</x:f>
        <x:v>951</x:v>
      </x:c>
      <x:c r="K955" t="str">
        <x:f>IF(J955&lt;=$B$6,LARGE('계산'!$K$2:$K$2001,J955),"")</x:f>
      </x:c>
      <x:c r="L955" t="str">
        <x:f>IF(ISNUMBER(K955),L954+LN(K955),"")</x:f>
      </x:c>
    </x:row>
    <x:row r="956">
      <x:c r="J956" t="n">
        <x:f>952</x:f>
        <x:v>952</x:v>
      </x:c>
      <x:c r="K956" t="str">
        <x:f>IF(J956&lt;=$B$6,LARGE('계산'!$K$2:$K$2001,J956),"")</x:f>
      </x:c>
      <x:c r="L956" t="str">
        <x:f>IF(ISNUMBER(K956),L955+LN(K956),"")</x:f>
      </x:c>
    </x:row>
    <x:row r="957">
      <x:c r="J957" t="n">
        <x:f>953</x:f>
        <x:v>953</x:v>
      </x:c>
      <x:c r="K957" t="str">
        <x:f>IF(J957&lt;=$B$6,LARGE('계산'!$K$2:$K$2001,J957),"")</x:f>
      </x:c>
      <x:c r="L957" t="str">
        <x:f>IF(ISNUMBER(K957),L956+LN(K957),"")</x:f>
      </x:c>
    </x:row>
    <x:row r="958">
      <x:c r="J958" t="n">
        <x:f>954</x:f>
        <x:v>954</x:v>
      </x:c>
      <x:c r="K958" t="str">
        <x:f>IF(J958&lt;=$B$6,LARGE('계산'!$K$2:$K$2001,J958),"")</x:f>
      </x:c>
      <x:c r="L958" t="str">
        <x:f>IF(ISNUMBER(K958),L957+LN(K958),"")</x:f>
      </x:c>
    </x:row>
    <x:row r="959">
      <x:c r="J959" t="n">
        <x:f>955</x:f>
        <x:v>955</x:v>
      </x:c>
      <x:c r="K959" t="str">
        <x:f>IF(J959&lt;=$B$6,LARGE('계산'!$K$2:$K$2001,J959),"")</x:f>
      </x:c>
      <x:c r="L959" t="str">
        <x:f>IF(ISNUMBER(K959),L958+LN(K959),"")</x:f>
      </x:c>
    </x:row>
    <x:row r="960">
      <x:c r="J960" t="n">
        <x:f>956</x:f>
        <x:v>956</x:v>
      </x:c>
      <x:c r="K960" t="str">
        <x:f>IF(J960&lt;=$B$6,LARGE('계산'!$K$2:$K$2001,J960),"")</x:f>
      </x:c>
      <x:c r="L960" t="str">
        <x:f>IF(ISNUMBER(K960),L959+LN(K960),"")</x:f>
      </x:c>
    </x:row>
    <x:row r="961">
      <x:c r="J961" t="n">
        <x:f>957</x:f>
        <x:v>957</x:v>
      </x:c>
      <x:c r="K961" t="str">
        <x:f>IF(J961&lt;=$B$6,LARGE('계산'!$K$2:$K$2001,J961),"")</x:f>
      </x:c>
      <x:c r="L961" t="str">
        <x:f>IF(ISNUMBER(K961),L960+LN(K961),"")</x:f>
      </x:c>
    </x:row>
    <x:row r="962">
      <x:c r="J962" t="n">
        <x:f>958</x:f>
        <x:v>958</x:v>
      </x:c>
      <x:c r="K962" t="str">
        <x:f>IF(J962&lt;=$B$6,LARGE('계산'!$K$2:$K$2001,J962),"")</x:f>
      </x:c>
      <x:c r="L962" t="str">
        <x:f>IF(ISNUMBER(K962),L961+LN(K962),"")</x:f>
      </x:c>
    </x:row>
    <x:row r="963">
      <x:c r="J963" t="n">
        <x:f>959</x:f>
        <x:v>959</x:v>
      </x:c>
      <x:c r="K963" t="str">
        <x:f>IF(J963&lt;=$B$6,LARGE('계산'!$K$2:$K$2001,J963),"")</x:f>
      </x:c>
      <x:c r="L963" t="str">
        <x:f>IF(ISNUMBER(K963),L962+LN(K963),"")</x:f>
      </x:c>
    </x:row>
    <x:row r="964">
      <x:c r="J964" t="n">
        <x:f>960</x:f>
        <x:v>960</x:v>
      </x:c>
      <x:c r="K964" t="str">
        <x:f>IF(J964&lt;=$B$6,LARGE('계산'!$K$2:$K$2001,J964),"")</x:f>
      </x:c>
      <x:c r="L964" t="str">
        <x:f>IF(ISNUMBER(K964),L963+LN(K964),"")</x:f>
      </x:c>
    </x:row>
    <x:row r="965">
      <x:c r="J965" t="n">
        <x:f>961</x:f>
        <x:v>961</x:v>
      </x:c>
      <x:c r="K965" t="str">
        <x:f>IF(J965&lt;=$B$6,LARGE('계산'!$K$2:$K$2001,J965),"")</x:f>
      </x:c>
      <x:c r="L965" t="str">
        <x:f>IF(ISNUMBER(K965),L964+LN(K965),"")</x:f>
      </x:c>
    </x:row>
    <x:row r="966">
      <x:c r="J966" t="n">
        <x:f>962</x:f>
        <x:v>962</x:v>
      </x:c>
      <x:c r="K966" t="str">
        <x:f>IF(J966&lt;=$B$6,LARGE('계산'!$K$2:$K$2001,J966),"")</x:f>
      </x:c>
      <x:c r="L966" t="str">
        <x:f>IF(ISNUMBER(K966),L965+LN(K966),"")</x:f>
      </x:c>
    </x:row>
    <x:row r="967">
      <x:c r="J967" t="n">
        <x:f>963</x:f>
        <x:v>963</x:v>
      </x:c>
      <x:c r="K967" t="str">
        <x:f>IF(J967&lt;=$B$6,LARGE('계산'!$K$2:$K$2001,J967),"")</x:f>
      </x:c>
      <x:c r="L967" t="str">
        <x:f>IF(ISNUMBER(K967),L966+LN(K967),"")</x:f>
      </x:c>
    </x:row>
    <x:row r="968">
      <x:c r="J968" t="n">
        <x:f>964</x:f>
        <x:v>964</x:v>
      </x:c>
      <x:c r="K968" t="str">
        <x:f>IF(J968&lt;=$B$6,LARGE('계산'!$K$2:$K$2001,J968),"")</x:f>
      </x:c>
      <x:c r="L968" t="str">
        <x:f>IF(ISNUMBER(K968),L967+LN(K968),"")</x:f>
      </x:c>
    </x:row>
    <x:row r="969">
      <x:c r="J969" t="n">
        <x:f>965</x:f>
        <x:v>965</x:v>
      </x:c>
      <x:c r="K969" t="str">
        <x:f>IF(J969&lt;=$B$6,LARGE('계산'!$K$2:$K$2001,J969),"")</x:f>
      </x:c>
      <x:c r="L969" t="str">
        <x:f>IF(ISNUMBER(K969),L968+LN(K969),"")</x:f>
      </x:c>
    </x:row>
    <x:row r="970">
      <x:c r="J970" t="n">
        <x:f>966</x:f>
        <x:v>966</x:v>
      </x:c>
      <x:c r="K970" t="str">
        <x:f>IF(J970&lt;=$B$6,LARGE('계산'!$K$2:$K$2001,J970),"")</x:f>
      </x:c>
      <x:c r="L970" t="str">
        <x:f>IF(ISNUMBER(K970),L969+LN(K970),"")</x:f>
      </x:c>
    </x:row>
    <x:row r="971">
      <x:c r="J971" t="n">
        <x:f>967</x:f>
        <x:v>967</x:v>
      </x:c>
      <x:c r="K971" t="str">
        <x:f>IF(J971&lt;=$B$6,LARGE('계산'!$K$2:$K$2001,J971),"")</x:f>
      </x:c>
      <x:c r="L971" t="str">
        <x:f>IF(ISNUMBER(K971),L970+LN(K971),"")</x:f>
      </x:c>
    </x:row>
    <x:row r="972">
      <x:c r="J972" t="n">
        <x:f>968</x:f>
        <x:v>968</x:v>
      </x:c>
      <x:c r="K972" t="str">
        <x:f>IF(J972&lt;=$B$6,LARGE('계산'!$K$2:$K$2001,J972),"")</x:f>
      </x:c>
      <x:c r="L972" t="str">
        <x:f>IF(ISNUMBER(K972),L971+LN(K972),"")</x:f>
      </x:c>
    </x:row>
    <x:row r="973">
      <x:c r="J973" t="n">
        <x:f>969</x:f>
        <x:v>969</x:v>
      </x:c>
      <x:c r="K973" t="str">
        <x:f>IF(J973&lt;=$B$6,LARGE('계산'!$K$2:$K$2001,J973),"")</x:f>
      </x:c>
      <x:c r="L973" t="str">
        <x:f>IF(ISNUMBER(K973),L972+LN(K973),"")</x:f>
      </x:c>
    </x:row>
    <x:row r="974">
      <x:c r="J974" t="n">
        <x:f>970</x:f>
        <x:v>970</x:v>
      </x:c>
      <x:c r="K974" t="str">
        <x:f>IF(J974&lt;=$B$6,LARGE('계산'!$K$2:$K$2001,J974),"")</x:f>
      </x:c>
      <x:c r="L974" t="str">
        <x:f>IF(ISNUMBER(K974),L973+LN(K974),"")</x:f>
      </x:c>
    </x:row>
    <x:row r="975">
      <x:c r="J975" t="n">
        <x:f>971</x:f>
        <x:v>971</x:v>
      </x:c>
      <x:c r="K975" t="str">
        <x:f>IF(J975&lt;=$B$6,LARGE('계산'!$K$2:$K$2001,J975),"")</x:f>
      </x:c>
      <x:c r="L975" t="str">
        <x:f>IF(ISNUMBER(K975),L974+LN(K975),"")</x:f>
      </x:c>
    </x:row>
    <x:row r="976">
      <x:c r="J976" t="n">
        <x:f>972</x:f>
        <x:v>972</x:v>
      </x:c>
      <x:c r="K976" t="str">
        <x:f>IF(J976&lt;=$B$6,LARGE('계산'!$K$2:$K$2001,J976),"")</x:f>
      </x:c>
      <x:c r="L976" t="str">
        <x:f>IF(ISNUMBER(K976),L975+LN(K976),"")</x:f>
      </x:c>
    </x:row>
    <x:row r="977">
      <x:c r="J977" t="n">
        <x:f>973</x:f>
        <x:v>973</x:v>
      </x:c>
      <x:c r="K977" t="str">
        <x:f>IF(J977&lt;=$B$6,LARGE('계산'!$K$2:$K$2001,J977),"")</x:f>
      </x:c>
      <x:c r="L977" t="str">
        <x:f>IF(ISNUMBER(K977),L976+LN(K977),"")</x:f>
      </x:c>
    </x:row>
    <x:row r="978">
      <x:c r="J978" t="n">
        <x:f>974</x:f>
        <x:v>974</x:v>
      </x:c>
      <x:c r="K978" t="str">
        <x:f>IF(J978&lt;=$B$6,LARGE('계산'!$K$2:$K$2001,J978),"")</x:f>
      </x:c>
      <x:c r="L978" t="str">
        <x:f>IF(ISNUMBER(K978),L977+LN(K978),"")</x:f>
      </x:c>
    </x:row>
    <x:row r="979">
      <x:c r="J979" t="n">
        <x:f>975</x:f>
        <x:v>975</x:v>
      </x:c>
      <x:c r="K979" t="str">
        <x:f>IF(J979&lt;=$B$6,LARGE('계산'!$K$2:$K$2001,J979),"")</x:f>
      </x:c>
      <x:c r="L979" t="str">
        <x:f>IF(ISNUMBER(K979),L978+LN(K979),"")</x:f>
      </x:c>
    </x:row>
    <x:row r="980">
      <x:c r="J980" t="n">
        <x:f>976</x:f>
        <x:v>976</x:v>
      </x:c>
      <x:c r="K980" t="str">
        <x:f>IF(J980&lt;=$B$6,LARGE('계산'!$K$2:$K$2001,J980),"")</x:f>
      </x:c>
      <x:c r="L980" t="str">
        <x:f>IF(ISNUMBER(K980),L979+LN(K980),"")</x:f>
      </x:c>
    </x:row>
    <x:row r="981">
      <x:c r="J981" t="n">
        <x:f>977</x:f>
        <x:v>977</x:v>
      </x:c>
      <x:c r="K981" t="str">
        <x:f>IF(J981&lt;=$B$6,LARGE('계산'!$K$2:$K$2001,J981),"")</x:f>
      </x:c>
      <x:c r="L981" t="str">
        <x:f>IF(ISNUMBER(K981),L980+LN(K981),"")</x:f>
      </x:c>
    </x:row>
    <x:row r="982">
      <x:c r="J982" t="n">
        <x:f>978</x:f>
        <x:v>978</x:v>
      </x:c>
      <x:c r="K982" t="str">
        <x:f>IF(J982&lt;=$B$6,LARGE('계산'!$K$2:$K$2001,J982),"")</x:f>
      </x:c>
      <x:c r="L982" t="str">
        <x:f>IF(ISNUMBER(K982),L981+LN(K982),"")</x:f>
      </x:c>
    </x:row>
    <x:row r="983">
      <x:c r="J983" t="n">
        <x:f>979</x:f>
        <x:v>979</x:v>
      </x:c>
      <x:c r="K983" t="str">
        <x:f>IF(J983&lt;=$B$6,LARGE('계산'!$K$2:$K$2001,J983),"")</x:f>
      </x:c>
      <x:c r="L983" t="str">
        <x:f>IF(ISNUMBER(K983),L982+LN(K983),"")</x:f>
      </x:c>
    </x:row>
    <x:row r="984">
      <x:c r="J984" t="n">
        <x:f>980</x:f>
        <x:v>980</x:v>
      </x:c>
      <x:c r="K984" t="str">
        <x:f>IF(J984&lt;=$B$6,LARGE('계산'!$K$2:$K$2001,J984),"")</x:f>
      </x:c>
      <x:c r="L984" t="str">
        <x:f>IF(ISNUMBER(K984),L983+LN(K984),"")</x:f>
      </x:c>
    </x:row>
    <x:row r="985">
      <x:c r="J985" t="n">
        <x:f>981</x:f>
        <x:v>981</x:v>
      </x:c>
      <x:c r="K985" t="str">
        <x:f>IF(J985&lt;=$B$6,LARGE('계산'!$K$2:$K$2001,J985),"")</x:f>
      </x:c>
      <x:c r="L985" t="str">
        <x:f>IF(ISNUMBER(K985),L984+LN(K985),"")</x:f>
      </x:c>
    </x:row>
    <x:row r="986">
      <x:c r="J986" t="n">
        <x:f>982</x:f>
        <x:v>982</x:v>
      </x:c>
      <x:c r="K986" t="str">
        <x:f>IF(J986&lt;=$B$6,LARGE('계산'!$K$2:$K$2001,J986),"")</x:f>
      </x:c>
      <x:c r="L986" t="str">
        <x:f>IF(ISNUMBER(K986),L985+LN(K986),"")</x:f>
      </x:c>
    </x:row>
    <x:row r="987">
      <x:c r="J987" t="n">
        <x:f>983</x:f>
        <x:v>983</x:v>
      </x:c>
      <x:c r="K987" t="str">
        <x:f>IF(J987&lt;=$B$6,LARGE('계산'!$K$2:$K$2001,J987),"")</x:f>
      </x:c>
      <x:c r="L987" t="str">
        <x:f>IF(ISNUMBER(K987),L986+LN(K987),"")</x:f>
      </x:c>
    </x:row>
    <x:row r="988">
      <x:c r="J988" t="n">
        <x:f>984</x:f>
        <x:v>984</x:v>
      </x:c>
      <x:c r="K988" t="str">
        <x:f>IF(J988&lt;=$B$6,LARGE('계산'!$K$2:$K$2001,J988),"")</x:f>
      </x:c>
      <x:c r="L988" t="str">
        <x:f>IF(ISNUMBER(K988),L987+LN(K988),"")</x:f>
      </x:c>
    </x:row>
    <x:row r="989">
      <x:c r="J989" t="n">
        <x:f>985</x:f>
        <x:v>985</x:v>
      </x:c>
      <x:c r="K989" t="str">
        <x:f>IF(J989&lt;=$B$6,LARGE('계산'!$K$2:$K$2001,J989),"")</x:f>
      </x:c>
      <x:c r="L989" t="str">
        <x:f>IF(ISNUMBER(K989),L988+LN(K989),"")</x:f>
      </x:c>
    </x:row>
    <x:row r="990">
      <x:c r="J990" t="n">
        <x:f>986</x:f>
        <x:v>986</x:v>
      </x:c>
      <x:c r="K990" t="str">
        <x:f>IF(J990&lt;=$B$6,LARGE('계산'!$K$2:$K$2001,J990),"")</x:f>
      </x:c>
      <x:c r="L990" t="str">
        <x:f>IF(ISNUMBER(K990),L989+LN(K990),"")</x:f>
      </x:c>
    </x:row>
    <x:row r="991">
      <x:c r="J991" t="n">
        <x:f>987</x:f>
        <x:v>987</x:v>
      </x:c>
      <x:c r="K991" t="str">
        <x:f>IF(J991&lt;=$B$6,LARGE('계산'!$K$2:$K$2001,J991),"")</x:f>
      </x:c>
      <x:c r="L991" t="str">
        <x:f>IF(ISNUMBER(K991),L990+LN(K991),"")</x:f>
      </x:c>
    </x:row>
    <x:row r="992">
      <x:c r="J992" t="n">
        <x:f>988</x:f>
        <x:v>988</x:v>
      </x:c>
      <x:c r="K992" t="str">
        <x:f>IF(J992&lt;=$B$6,LARGE('계산'!$K$2:$K$2001,J992),"")</x:f>
      </x:c>
      <x:c r="L992" t="str">
        <x:f>IF(ISNUMBER(K992),L991+LN(K992),"")</x:f>
      </x:c>
    </x:row>
    <x:row r="993">
      <x:c r="J993" t="n">
        <x:f>989</x:f>
        <x:v>989</x:v>
      </x:c>
      <x:c r="K993" t="str">
        <x:f>IF(J993&lt;=$B$6,LARGE('계산'!$K$2:$K$2001,J993),"")</x:f>
      </x:c>
      <x:c r="L993" t="str">
        <x:f>IF(ISNUMBER(K993),L992+LN(K993),"")</x:f>
      </x:c>
    </x:row>
    <x:row r="994">
      <x:c r="J994" t="n">
        <x:f>990</x:f>
        <x:v>990</x:v>
      </x:c>
      <x:c r="K994" t="str">
        <x:f>IF(J994&lt;=$B$6,LARGE('계산'!$K$2:$K$2001,J994),"")</x:f>
      </x:c>
      <x:c r="L994" t="str">
        <x:f>IF(ISNUMBER(K994),L993+LN(K994),"")</x:f>
      </x:c>
    </x:row>
    <x:row r="995">
      <x:c r="J995" t="n">
        <x:f>991</x:f>
        <x:v>991</x:v>
      </x:c>
      <x:c r="K995" t="str">
        <x:f>IF(J995&lt;=$B$6,LARGE('계산'!$K$2:$K$2001,J995),"")</x:f>
      </x:c>
      <x:c r="L995" t="str">
        <x:f>IF(ISNUMBER(K995),L994+LN(K995),"")</x:f>
      </x:c>
    </x:row>
    <x:row r="996">
      <x:c r="J996" t="n">
        <x:f>992</x:f>
        <x:v>992</x:v>
      </x:c>
      <x:c r="K996" t="str">
        <x:f>IF(J996&lt;=$B$6,LARGE('계산'!$K$2:$K$2001,J996),"")</x:f>
      </x:c>
      <x:c r="L996" t="str">
        <x:f>IF(ISNUMBER(K996),L995+LN(K996),"")</x:f>
      </x:c>
    </x:row>
    <x:row r="997">
      <x:c r="J997" t="n">
        <x:f>993</x:f>
        <x:v>993</x:v>
      </x:c>
      <x:c r="K997" t="str">
        <x:f>IF(J997&lt;=$B$6,LARGE('계산'!$K$2:$K$2001,J997),"")</x:f>
      </x:c>
      <x:c r="L997" t="str">
        <x:f>IF(ISNUMBER(K997),L996+LN(K997),"")</x:f>
      </x:c>
    </x:row>
    <x:row r="998">
      <x:c r="J998" t="n">
        <x:f>994</x:f>
        <x:v>994</x:v>
      </x:c>
      <x:c r="K998" t="str">
        <x:f>IF(J998&lt;=$B$6,LARGE('계산'!$K$2:$K$2001,J998),"")</x:f>
      </x:c>
      <x:c r="L998" t="str">
        <x:f>IF(ISNUMBER(K998),L997+LN(K998),"")</x:f>
      </x:c>
    </x:row>
    <x:row r="999">
      <x:c r="J999" t="n">
        <x:f>995</x:f>
        <x:v>995</x:v>
      </x:c>
      <x:c r="K999" t="str">
        <x:f>IF(J999&lt;=$B$6,LARGE('계산'!$K$2:$K$2001,J999),"")</x:f>
      </x:c>
      <x:c r="L999" t="str">
        <x:f>IF(ISNUMBER(K999),L998+LN(K999),"")</x:f>
      </x:c>
    </x:row>
    <x:row r="1000">
      <x:c r="J1000" t="n">
        <x:f>996</x:f>
        <x:v>996</x:v>
      </x:c>
      <x:c r="K1000" t="str">
        <x:f>IF(J1000&lt;=$B$6,LARGE('계산'!$K$2:$K$2001,J1000),"")</x:f>
      </x:c>
      <x:c r="L1000" t="str">
        <x:f>IF(ISNUMBER(K1000),L999+LN(K1000),"")</x:f>
      </x:c>
    </x:row>
    <x:row r="1001">
      <x:c r="J1001" t="n">
        <x:f>997</x:f>
        <x:v>997</x:v>
      </x:c>
      <x:c r="K1001" t="str">
        <x:f>IF(J1001&lt;=$B$6,LARGE('계산'!$K$2:$K$2001,J1001),"")</x:f>
      </x:c>
      <x:c r="L1001" t="str">
        <x:f>IF(ISNUMBER(K1001),L1000+LN(K1001),"")</x:f>
      </x:c>
    </x:row>
    <x:row r="1002">
      <x:c r="J1002" t="n">
        <x:f>998</x:f>
        <x:v>998</x:v>
      </x:c>
      <x:c r="K1002" t="str">
        <x:f>IF(J1002&lt;=$B$6,LARGE('계산'!$K$2:$K$2001,J1002),"")</x:f>
      </x:c>
      <x:c r="L1002" t="str">
        <x:f>IF(ISNUMBER(K1002),L1001+LN(K1002),"")</x:f>
      </x:c>
    </x:row>
    <x:row r="1003">
      <x:c r="J1003" t="n">
        <x:f>999</x:f>
        <x:v>999</x:v>
      </x:c>
      <x:c r="K1003" t="str">
        <x:f>IF(J1003&lt;=$B$6,LARGE('계산'!$K$2:$K$2001,J1003),"")</x:f>
      </x:c>
      <x:c r="L1003" t="str">
        <x:f>IF(ISNUMBER(K1003),L1002+LN(K1003),"")</x:f>
      </x:c>
    </x:row>
    <x:row r="1004">
      <x:c r="J1004" t="n">
        <x:f>1000</x:f>
        <x:v>1000</x:v>
      </x:c>
      <x:c r="K1004" t="str">
        <x:f>IF(J1004&lt;=$B$6,LARGE('계산'!$K$2:$K$2001,J1004),"")</x:f>
      </x:c>
      <x:c r="L1004" t="str">
        <x:f>IF(ISNUMBER(K1004),L1003+LN(K1004),"")</x:f>
      </x:c>
    </x:row>
    <x:row r="1005">
      <x:c r="J1005" t="n">
        <x:f>1001</x:f>
        <x:v>1001</x:v>
      </x:c>
      <x:c r="K1005" t="str">
        <x:f>IF(J1005&lt;=$B$6,LARGE('계산'!$K$2:$K$2001,J1005),"")</x:f>
      </x:c>
      <x:c r="L1005" t="str">
        <x:f>IF(ISNUMBER(K1005),L1004+LN(K1005),"")</x:f>
      </x:c>
    </x:row>
    <x:row r="1006">
      <x:c r="J1006" t="n">
        <x:f>1002</x:f>
        <x:v>1002</x:v>
      </x:c>
      <x:c r="K1006" t="str">
        <x:f>IF(J1006&lt;=$B$6,LARGE('계산'!$K$2:$K$2001,J1006),"")</x:f>
      </x:c>
      <x:c r="L1006" t="str">
        <x:f>IF(ISNUMBER(K1006),L1005+LN(K1006),"")</x:f>
      </x:c>
    </x:row>
    <x:row r="1007">
      <x:c r="J1007" t="n">
        <x:f>1003</x:f>
        <x:v>1003</x:v>
      </x:c>
      <x:c r="K1007" t="str">
        <x:f>IF(J1007&lt;=$B$6,LARGE('계산'!$K$2:$K$2001,J1007),"")</x:f>
      </x:c>
      <x:c r="L1007" t="str">
        <x:f>IF(ISNUMBER(K1007),L1006+LN(K1007),"")</x:f>
      </x:c>
    </x:row>
    <x:row r="1008">
      <x:c r="J1008" t="n">
        <x:f>1004</x:f>
        <x:v>1004</x:v>
      </x:c>
      <x:c r="K1008" t="str">
        <x:f>IF(J1008&lt;=$B$6,LARGE('계산'!$K$2:$K$2001,J1008),"")</x:f>
      </x:c>
      <x:c r="L1008" t="str">
        <x:f>IF(ISNUMBER(K1008),L1007+LN(K1008),"")</x:f>
      </x:c>
    </x:row>
    <x:row r="1009">
      <x:c r="J1009" t="n">
        <x:f>1005</x:f>
        <x:v>1005</x:v>
      </x:c>
      <x:c r="K1009" t="str">
        <x:f>IF(J1009&lt;=$B$6,LARGE('계산'!$K$2:$K$2001,J1009),"")</x:f>
      </x:c>
      <x:c r="L1009" t="str">
        <x:f>IF(ISNUMBER(K1009),L1008+LN(K1009),"")</x:f>
      </x:c>
    </x:row>
    <x:row r="1010">
      <x:c r="J1010" t="n">
        <x:f>1006</x:f>
        <x:v>1006</x:v>
      </x:c>
      <x:c r="K1010" t="str">
        <x:f>IF(J1010&lt;=$B$6,LARGE('계산'!$K$2:$K$2001,J1010),"")</x:f>
      </x:c>
      <x:c r="L1010" t="str">
        <x:f>IF(ISNUMBER(K1010),L1009+LN(K1010),"")</x:f>
      </x:c>
    </x:row>
    <x:row r="1011">
      <x:c r="J1011" t="n">
        <x:f>1007</x:f>
        <x:v>1007</x:v>
      </x:c>
      <x:c r="K1011" t="str">
        <x:f>IF(J1011&lt;=$B$6,LARGE('계산'!$K$2:$K$2001,J1011),"")</x:f>
      </x:c>
      <x:c r="L1011" t="str">
        <x:f>IF(ISNUMBER(K1011),L1010+LN(K1011),"")</x:f>
      </x:c>
    </x:row>
    <x:row r="1012">
      <x:c r="J1012" t="n">
        <x:f>1008</x:f>
        <x:v>1008</x:v>
      </x:c>
      <x:c r="K1012" t="str">
        <x:f>IF(J1012&lt;=$B$6,LARGE('계산'!$K$2:$K$2001,J1012),"")</x:f>
      </x:c>
      <x:c r="L1012" t="str">
        <x:f>IF(ISNUMBER(K1012),L1011+LN(K1012),"")</x:f>
      </x:c>
    </x:row>
    <x:row r="1013">
      <x:c r="J1013" t="n">
        <x:f>1009</x:f>
        <x:v>1009</x:v>
      </x:c>
      <x:c r="K1013" t="str">
        <x:f>IF(J1013&lt;=$B$6,LARGE('계산'!$K$2:$K$2001,J1013),"")</x:f>
      </x:c>
      <x:c r="L1013" t="str">
        <x:f>IF(ISNUMBER(K1013),L1012+LN(K1013),"")</x:f>
      </x:c>
    </x:row>
    <x:row r="1014">
      <x:c r="J1014" t="n">
        <x:f>1010</x:f>
        <x:v>1010</x:v>
      </x:c>
      <x:c r="K1014" t="str">
        <x:f>IF(J1014&lt;=$B$6,LARGE('계산'!$K$2:$K$2001,J1014),"")</x:f>
      </x:c>
      <x:c r="L1014" t="str">
        <x:f>IF(ISNUMBER(K1014),L1013+LN(K1014),"")</x:f>
      </x:c>
    </x:row>
    <x:row r="1015">
      <x:c r="J1015" t="n">
        <x:f>1011</x:f>
        <x:v>1011</x:v>
      </x:c>
      <x:c r="K1015" t="str">
        <x:f>IF(J1015&lt;=$B$6,LARGE('계산'!$K$2:$K$2001,J1015),"")</x:f>
      </x:c>
      <x:c r="L1015" t="str">
        <x:f>IF(ISNUMBER(K1015),L1014+LN(K1015),"")</x:f>
      </x:c>
    </x:row>
    <x:row r="1016">
      <x:c r="J1016" t="n">
        <x:f>1012</x:f>
        <x:v>1012</x:v>
      </x:c>
      <x:c r="K1016" t="str">
        <x:f>IF(J1016&lt;=$B$6,LARGE('계산'!$K$2:$K$2001,J1016),"")</x:f>
      </x:c>
      <x:c r="L1016" t="str">
        <x:f>IF(ISNUMBER(K1016),L1015+LN(K1016),"")</x:f>
      </x:c>
    </x:row>
    <x:row r="1017">
      <x:c r="J1017" t="n">
        <x:f>1013</x:f>
        <x:v>1013</x:v>
      </x:c>
      <x:c r="K1017" t="str">
        <x:f>IF(J1017&lt;=$B$6,LARGE('계산'!$K$2:$K$2001,J1017),"")</x:f>
      </x:c>
      <x:c r="L1017" t="str">
        <x:f>IF(ISNUMBER(K1017),L1016+LN(K1017),"")</x:f>
      </x:c>
    </x:row>
    <x:row r="1018">
      <x:c r="J1018" t="n">
        <x:f>1014</x:f>
        <x:v>1014</x:v>
      </x:c>
      <x:c r="K1018" t="str">
        <x:f>IF(J1018&lt;=$B$6,LARGE('계산'!$K$2:$K$2001,J1018),"")</x:f>
      </x:c>
      <x:c r="L1018" t="str">
        <x:f>IF(ISNUMBER(K1018),L1017+LN(K1018),"")</x:f>
      </x:c>
    </x:row>
    <x:row r="1019">
      <x:c r="J1019" t="n">
        <x:f>1015</x:f>
        <x:v>1015</x:v>
      </x:c>
      <x:c r="K1019" t="str">
        <x:f>IF(J1019&lt;=$B$6,LARGE('계산'!$K$2:$K$2001,J1019),"")</x:f>
      </x:c>
      <x:c r="L1019" t="str">
        <x:f>IF(ISNUMBER(K1019),L1018+LN(K1019),"")</x:f>
      </x:c>
    </x:row>
    <x:row r="1020">
      <x:c r="J1020" t="n">
        <x:f>1016</x:f>
        <x:v>1016</x:v>
      </x:c>
      <x:c r="K1020" t="str">
        <x:f>IF(J1020&lt;=$B$6,LARGE('계산'!$K$2:$K$2001,J1020),"")</x:f>
      </x:c>
      <x:c r="L1020" t="str">
        <x:f>IF(ISNUMBER(K1020),L1019+LN(K1020),"")</x:f>
      </x:c>
    </x:row>
    <x:row r="1021">
      <x:c r="J1021" t="n">
        <x:f>1017</x:f>
        <x:v>1017</x:v>
      </x:c>
      <x:c r="K1021" t="str">
        <x:f>IF(J1021&lt;=$B$6,LARGE('계산'!$K$2:$K$2001,J1021),"")</x:f>
      </x:c>
      <x:c r="L1021" t="str">
        <x:f>IF(ISNUMBER(K1021),L1020+LN(K1021),"")</x:f>
      </x:c>
    </x:row>
    <x:row r="1022">
      <x:c r="J1022" t="n">
        <x:f>1018</x:f>
        <x:v>1018</x:v>
      </x:c>
      <x:c r="K1022" t="str">
        <x:f>IF(J1022&lt;=$B$6,LARGE('계산'!$K$2:$K$2001,J1022),"")</x:f>
      </x:c>
      <x:c r="L1022" t="str">
        <x:f>IF(ISNUMBER(K1022),L1021+LN(K1022),"")</x:f>
      </x:c>
    </x:row>
    <x:row r="1023">
      <x:c r="J1023" t="n">
        <x:f>1019</x:f>
        <x:v>1019</x:v>
      </x:c>
      <x:c r="K1023" t="str">
        <x:f>IF(J1023&lt;=$B$6,LARGE('계산'!$K$2:$K$2001,J1023),"")</x:f>
      </x:c>
      <x:c r="L1023" t="str">
        <x:f>IF(ISNUMBER(K1023),L1022+LN(K1023),"")</x:f>
      </x:c>
    </x:row>
    <x:row r="1024">
      <x:c r="J1024" t="n">
        <x:f>1020</x:f>
        <x:v>1020</x:v>
      </x:c>
      <x:c r="K1024" t="str">
        <x:f>IF(J1024&lt;=$B$6,LARGE('계산'!$K$2:$K$2001,J1024),"")</x:f>
      </x:c>
      <x:c r="L1024" t="str">
        <x:f>IF(ISNUMBER(K1024),L1023+LN(K1024),"")</x:f>
      </x:c>
    </x:row>
    <x:row r="1025">
      <x:c r="J1025" t="n">
        <x:f>1021</x:f>
        <x:v>1021</x:v>
      </x:c>
      <x:c r="K1025" t="str">
        <x:f>IF(J1025&lt;=$B$6,LARGE('계산'!$K$2:$K$2001,J1025),"")</x:f>
      </x:c>
      <x:c r="L1025" t="str">
        <x:f>IF(ISNUMBER(K1025),L1024+LN(K1025),"")</x:f>
      </x:c>
    </x:row>
    <x:row r="1026">
      <x:c r="J1026" t="n">
        <x:f>1022</x:f>
        <x:v>1022</x:v>
      </x:c>
      <x:c r="K1026" t="str">
        <x:f>IF(J1026&lt;=$B$6,LARGE('계산'!$K$2:$K$2001,J1026),"")</x:f>
      </x:c>
      <x:c r="L1026" t="str">
        <x:f>IF(ISNUMBER(K1026),L1025+LN(K1026),"")</x:f>
      </x:c>
    </x:row>
    <x:row r="1027">
      <x:c r="J1027" t="n">
        <x:f>1023</x:f>
        <x:v>1023</x:v>
      </x:c>
      <x:c r="K1027" t="str">
        <x:f>IF(J1027&lt;=$B$6,LARGE('계산'!$K$2:$K$2001,J1027),"")</x:f>
      </x:c>
      <x:c r="L1027" t="str">
        <x:f>IF(ISNUMBER(K1027),L1026+LN(K1027),"")</x:f>
      </x:c>
    </x:row>
    <x:row r="1028">
      <x:c r="J1028" t="n">
        <x:f>1024</x:f>
        <x:v>1024</x:v>
      </x:c>
      <x:c r="K1028" t="str">
        <x:f>IF(J1028&lt;=$B$6,LARGE('계산'!$K$2:$K$2001,J1028),"")</x:f>
      </x:c>
      <x:c r="L1028" t="str">
        <x:f>IF(ISNUMBER(K1028),L1027+LN(K1028),"")</x:f>
      </x:c>
    </x:row>
    <x:row r="1029">
      <x:c r="J1029" t="n">
        <x:f>1025</x:f>
        <x:v>1025</x:v>
      </x:c>
      <x:c r="K1029" t="str">
        <x:f>IF(J1029&lt;=$B$6,LARGE('계산'!$K$2:$K$2001,J1029),"")</x:f>
      </x:c>
      <x:c r="L1029" t="str">
        <x:f>IF(ISNUMBER(K1029),L1028+LN(K1029),"")</x:f>
      </x:c>
    </x:row>
    <x:row r="1030">
      <x:c r="J1030" t="n">
        <x:f>1026</x:f>
        <x:v>1026</x:v>
      </x:c>
      <x:c r="K1030" t="str">
        <x:f>IF(J1030&lt;=$B$6,LARGE('계산'!$K$2:$K$2001,J1030),"")</x:f>
      </x:c>
      <x:c r="L1030" t="str">
        <x:f>IF(ISNUMBER(K1030),L1029+LN(K1030),"")</x:f>
      </x:c>
    </x:row>
    <x:row r="1031">
      <x:c r="J1031" t="n">
        <x:f>1027</x:f>
        <x:v>1027</x:v>
      </x:c>
      <x:c r="K1031" t="str">
        <x:f>IF(J1031&lt;=$B$6,LARGE('계산'!$K$2:$K$2001,J1031),"")</x:f>
      </x:c>
      <x:c r="L1031" t="str">
        <x:f>IF(ISNUMBER(K1031),L1030+LN(K1031),"")</x:f>
      </x:c>
    </x:row>
    <x:row r="1032">
      <x:c r="J1032" t="n">
        <x:f>1028</x:f>
        <x:v>1028</x:v>
      </x:c>
      <x:c r="K1032" t="str">
        <x:f>IF(J1032&lt;=$B$6,LARGE('계산'!$K$2:$K$2001,J1032),"")</x:f>
      </x:c>
      <x:c r="L1032" t="str">
        <x:f>IF(ISNUMBER(K1032),L1031+LN(K1032),"")</x:f>
      </x:c>
    </x:row>
    <x:row r="1033">
      <x:c r="J1033" t="n">
        <x:f>1029</x:f>
        <x:v>1029</x:v>
      </x:c>
      <x:c r="K1033" t="str">
        <x:f>IF(J1033&lt;=$B$6,LARGE('계산'!$K$2:$K$2001,J1033),"")</x:f>
      </x:c>
      <x:c r="L1033" t="str">
        <x:f>IF(ISNUMBER(K1033),L1032+LN(K1033),"")</x:f>
      </x:c>
    </x:row>
    <x:row r="1034">
      <x:c r="J1034" t="n">
        <x:f>1030</x:f>
        <x:v>1030</x:v>
      </x:c>
      <x:c r="K1034" t="str">
        <x:f>IF(J1034&lt;=$B$6,LARGE('계산'!$K$2:$K$2001,J1034),"")</x:f>
      </x:c>
      <x:c r="L1034" t="str">
        <x:f>IF(ISNUMBER(K1034),L1033+LN(K1034),"")</x:f>
      </x:c>
    </x:row>
    <x:row r="1035">
      <x:c r="J1035" t="n">
        <x:f>1031</x:f>
        <x:v>1031</x:v>
      </x:c>
      <x:c r="K1035" t="str">
        <x:f>IF(J1035&lt;=$B$6,LARGE('계산'!$K$2:$K$2001,J1035),"")</x:f>
      </x:c>
      <x:c r="L1035" t="str">
        <x:f>IF(ISNUMBER(K1035),L1034+LN(K1035),"")</x:f>
      </x:c>
    </x:row>
    <x:row r="1036">
      <x:c r="J1036" t="n">
        <x:f>1032</x:f>
        <x:v>1032</x:v>
      </x:c>
      <x:c r="K1036" t="str">
        <x:f>IF(J1036&lt;=$B$6,LARGE('계산'!$K$2:$K$2001,J1036),"")</x:f>
      </x:c>
      <x:c r="L1036" t="str">
        <x:f>IF(ISNUMBER(K1036),L1035+LN(K1036),"")</x:f>
      </x:c>
    </x:row>
    <x:row r="1037">
      <x:c r="J1037" t="n">
        <x:f>1033</x:f>
        <x:v>1033</x:v>
      </x:c>
      <x:c r="K1037" t="str">
        <x:f>IF(J1037&lt;=$B$6,LARGE('계산'!$K$2:$K$2001,J1037),"")</x:f>
      </x:c>
      <x:c r="L1037" t="str">
        <x:f>IF(ISNUMBER(K1037),L1036+LN(K1037),"")</x:f>
      </x:c>
    </x:row>
    <x:row r="1038">
      <x:c r="J1038" t="n">
        <x:f>1034</x:f>
        <x:v>1034</x:v>
      </x:c>
      <x:c r="K1038" t="str">
        <x:f>IF(J1038&lt;=$B$6,LARGE('계산'!$K$2:$K$2001,J1038),"")</x:f>
      </x:c>
      <x:c r="L1038" t="str">
        <x:f>IF(ISNUMBER(K1038),L1037+LN(K1038),"")</x:f>
      </x:c>
    </x:row>
    <x:row r="1039">
      <x:c r="J1039" t="n">
        <x:f>1035</x:f>
        <x:v>1035</x:v>
      </x:c>
      <x:c r="K1039" t="str">
        <x:f>IF(J1039&lt;=$B$6,LARGE('계산'!$K$2:$K$2001,J1039),"")</x:f>
      </x:c>
      <x:c r="L1039" t="str">
        <x:f>IF(ISNUMBER(K1039),L1038+LN(K1039),"")</x:f>
      </x:c>
    </x:row>
    <x:row r="1040">
      <x:c r="J1040" t="n">
        <x:f>1036</x:f>
        <x:v>1036</x:v>
      </x:c>
      <x:c r="K1040" t="str">
        <x:f>IF(J1040&lt;=$B$6,LARGE('계산'!$K$2:$K$2001,J1040),"")</x:f>
      </x:c>
      <x:c r="L1040" t="str">
        <x:f>IF(ISNUMBER(K1040),L1039+LN(K1040),"")</x:f>
      </x:c>
    </x:row>
    <x:row r="1041">
      <x:c r="J1041" t="n">
        <x:f>1037</x:f>
        <x:v>1037</x:v>
      </x:c>
      <x:c r="K1041" t="str">
        <x:f>IF(J1041&lt;=$B$6,LARGE('계산'!$K$2:$K$2001,J1041),"")</x:f>
      </x:c>
      <x:c r="L1041" t="str">
        <x:f>IF(ISNUMBER(K1041),L1040+LN(K1041),"")</x:f>
      </x:c>
    </x:row>
    <x:row r="1042">
      <x:c r="J1042" t="n">
        <x:f>1038</x:f>
        <x:v>1038</x:v>
      </x:c>
      <x:c r="K1042" t="str">
        <x:f>IF(J1042&lt;=$B$6,LARGE('계산'!$K$2:$K$2001,J1042),"")</x:f>
      </x:c>
      <x:c r="L1042" t="str">
        <x:f>IF(ISNUMBER(K1042),L1041+LN(K1042),"")</x:f>
      </x:c>
    </x:row>
    <x:row r="1043">
      <x:c r="J1043" t="n">
        <x:f>1039</x:f>
        <x:v>1039</x:v>
      </x:c>
      <x:c r="K1043" t="str">
        <x:f>IF(J1043&lt;=$B$6,LARGE('계산'!$K$2:$K$2001,J1043),"")</x:f>
      </x:c>
      <x:c r="L1043" t="str">
        <x:f>IF(ISNUMBER(K1043),L1042+LN(K1043),"")</x:f>
      </x:c>
    </x:row>
    <x:row r="1044">
      <x:c r="J1044" t="n">
        <x:f>1040</x:f>
        <x:v>1040</x:v>
      </x:c>
      <x:c r="K1044" t="str">
        <x:f>IF(J1044&lt;=$B$6,LARGE('계산'!$K$2:$K$2001,J1044),"")</x:f>
      </x:c>
      <x:c r="L1044" t="str">
        <x:f>IF(ISNUMBER(K1044),L1043+LN(K1044),"")</x:f>
      </x:c>
    </x:row>
    <x:row r="1045">
      <x:c r="J1045" t="n">
        <x:f>1041</x:f>
        <x:v>1041</x:v>
      </x:c>
      <x:c r="K1045" t="str">
        <x:f>IF(J1045&lt;=$B$6,LARGE('계산'!$K$2:$K$2001,J1045),"")</x:f>
      </x:c>
      <x:c r="L1045" t="str">
        <x:f>IF(ISNUMBER(K1045),L1044+LN(K1045),"")</x:f>
      </x:c>
    </x:row>
    <x:row r="1046">
      <x:c r="J1046" t="n">
        <x:f>1042</x:f>
        <x:v>1042</x:v>
      </x:c>
      <x:c r="K1046" t="str">
        <x:f>IF(J1046&lt;=$B$6,LARGE('계산'!$K$2:$K$2001,J1046),"")</x:f>
      </x:c>
      <x:c r="L1046" t="str">
        <x:f>IF(ISNUMBER(K1046),L1045+LN(K1046),"")</x:f>
      </x:c>
    </x:row>
    <x:row r="1047">
      <x:c r="J1047" t="n">
        <x:f>1043</x:f>
        <x:v>1043</x:v>
      </x:c>
      <x:c r="K1047" t="str">
        <x:f>IF(J1047&lt;=$B$6,LARGE('계산'!$K$2:$K$2001,J1047),"")</x:f>
      </x:c>
      <x:c r="L1047" t="str">
        <x:f>IF(ISNUMBER(K1047),L1046+LN(K1047),"")</x:f>
      </x:c>
    </x:row>
    <x:row r="1048">
      <x:c r="J1048" t="n">
        <x:f>1044</x:f>
        <x:v>1044</x:v>
      </x:c>
      <x:c r="K1048" t="str">
        <x:f>IF(J1048&lt;=$B$6,LARGE('계산'!$K$2:$K$2001,J1048),"")</x:f>
      </x:c>
      <x:c r="L1048" t="str">
        <x:f>IF(ISNUMBER(K1048),L1047+LN(K1048),"")</x:f>
      </x:c>
    </x:row>
    <x:row r="1049">
      <x:c r="J1049" t="n">
        <x:f>1045</x:f>
        <x:v>1045</x:v>
      </x:c>
      <x:c r="K1049" t="str">
        <x:f>IF(J1049&lt;=$B$6,LARGE('계산'!$K$2:$K$2001,J1049),"")</x:f>
      </x:c>
      <x:c r="L1049" t="str">
        <x:f>IF(ISNUMBER(K1049),L1048+LN(K1049),"")</x:f>
      </x:c>
    </x:row>
    <x:row r="1050">
      <x:c r="J1050" t="n">
        <x:f>1046</x:f>
        <x:v>1046</x:v>
      </x:c>
      <x:c r="K1050" t="str">
        <x:f>IF(J1050&lt;=$B$6,LARGE('계산'!$K$2:$K$2001,J1050),"")</x:f>
      </x:c>
      <x:c r="L1050" t="str">
        <x:f>IF(ISNUMBER(K1050),L1049+LN(K1050),"")</x:f>
      </x:c>
    </x:row>
    <x:row r="1051">
      <x:c r="J1051" t="n">
        <x:f>1047</x:f>
        <x:v>1047</x:v>
      </x:c>
      <x:c r="K1051" t="str">
        <x:f>IF(J1051&lt;=$B$6,LARGE('계산'!$K$2:$K$2001,J1051),"")</x:f>
      </x:c>
      <x:c r="L1051" t="str">
        <x:f>IF(ISNUMBER(K1051),L1050+LN(K1051),"")</x:f>
      </x:c>
    </x:row>
    <x:row r="1052">
      <x:c r="J1052" t="n">
        <x:f>1048</x:f>
        <x:v>1048</x:v>
      </x:c>
      <x:c r="K1052" t="str">
        <x:f>IF(J1052&lt;=$B$6,LARGE('계산'!$K$2:$K$2001,J1052),"")</x:f>
      </x:c>
      <x:c r="L1052" t="str">
        <x:f>IF(ISNUMBER(K1052),L1051+LN(K1052),"")</x:f>
      </x:c>
    </x:row>
    <x:row r="1053">
      <x:c r="J1053" t="n">
        <x:f>1049</x:f>
        <x:v>1049</x:v>
      </x:c>
      <x:c r="K1053" t="str">
        <x:f>IF(J1053&lt;=$B$6,LARGE('계산'!$K$2:$K$2001,J1053),"")</x:f>
      </x:c>
      <x:c r="L1053" t="str">
        <x:f>IF(ISNUMBER(K1053),L1052+LN(K1053),"")</x:f>
      </x:c>
    </x:row>
    <x:row r="1054">
      <x:c r="J1054" t="n">
        <x:f>1050</x:f>
        <x:v>1050</x:v>
      </x:c>
      <x:c r="K1054" t="str">
        <x:f>IF(J1054&lt;=$B$6,LARGE('계산'!$K$2:$K$2001,J1054),"")</x:f>
      </x:c>
      <x:c r="L1054" t="str">
        <x:f>IF(ISNUMBER(K1054),L1053+LN(K1054),"")</x:f>
      </x:c>
    </x:row>
    <x:row r="1055">
      <x:c r="J1055" t="n">
        <x:f>1051</x:f>
        <x:v>1051</x:v>
      </x:c>
      <x:c r="K1055" t="str">
        <x:f>IF(J1055&lt;=$B$6,LARGE('계산'!$K$2:$K$2001,J1055),"")</x:f>
      </x:c>
      <x:c r="L1055" t="str">
        <x:f>IF(ISNUMBER(K1055),L1054+LN(K1055),"")</x:f>
      </x:c>
    </x:row>
    <x:row r="1056">
      <x:c r="J1056" t="n">
        <x:f>1052</x:f>
        <x:v>1052</x:v>
      </x:c>
      <x:c r="K1056" t="str">
        <x:f>IF(J1056&lt;=$B$6,LARGE('계산'!$K$2:$K$2001,J1056),"")</x:f>
      </x:c>
      <x:c r="L1056" t="str">
        <x:f>IF(ISNUMBER(K1056),L1055+LN(K1056),"")</x:f>
      </x:c>
    </x:row>
    <x:row r="1057">
      <x:c r="J1057" t="n">
        <x:f>1053</x:f>
        <x:v>1053</x:v>
      </x:c>
      <x:c r="K1057" t="str">
        <x:f>IF(J1057&lt;=$B$6,LARGE('계산'!$K$2:$K$2001,J1057),"")</x:f>
      </x:c>
      <x:c r="L1057" t="str">
        <x:f>IF(ISNUMBER(K1057),L1056+LN(K1057),"")</x:f>
      </x:c>
    </x:row>
    <x:row r="1058">
      <x:c r="J1058" t="n">
        <x:f>1054</x:f>
        <x:v>1054</x:v>
      </x:c>
      <x:c r="K1058" t="str">
        <x:f>IF(J1058&lt;=$B$6,LARGE('계산'!$K$2:$K$2001,J1058),"")</x:f>
      </x:c>
      <x:c r="L1058" t="str">
        <x:f>IF(ISNUMBER(K1058),L1057+LN(K1058),"")</x:f>
      </x:c>
    </x:row>
    <x:row r="1059">
      <x:c r="J1059" t="n">
        <x:f>1055</x:f>
        <x:v>1055</x:v>
      </x:c>
      <x:c r="K1059" t="str">
        <x:f>IF(J1059&lt;=$B$6,LARGE('계산'!$K$2:$K$2001,J1059),"")</x:f>
      </x:c>
      <x:c r="L1059" t="str">
        <x:f>IF(ISNUMBER(K1059),L1058+LN(K1059),"")</x:f>
      </x:c>
    </x:row>
    <x:row r="1060">
      <x:c r="J1060" t="n">
        <x:f>1056</x:f>
        <x:v>1056</x:v>
      </x:c>
      <x:c r="K1060" t="str">
        <x:f>IF(J1060&lt;=$B$6,LARGE('계산'!$K$2:$K$2001,J1060),"")</x:f>
      </x:c>
      <x:c r="L1060" t="str">
        <x:f>IF(ISNUMBER(K1060),L1059+LN(K1060),"")</x:f>
      </x:c>
    </x:row>
    <x:row r="1061">
      <x:c r="J1061" t="n">
        <x:f>1057</x:f>
        <x:v>1057</x:v>
      </x:c>
      <x:c r="K1061" t="str">
        <x:f>IF(J1061&lt;=$B$6,LARGE('계산'!$K$2:$K$2001,J1061),"")</x:f>
      </x:c>
      <x:c r="L1061" t="str">
        <x:f>IF(ISNUMBER(K1061),L1060+LN(K1061),"")</x:f>
      </x:c>
    </x:row>
    <x:row r="1062">
      <x:c r="J1062" t="n">
        <x:f>1058</x:f>
        <x:v>1058</x:v>
      </x:c>
      <x:c r="K1062" t="str">
        <x:f>IF(J1062&lt;=$B$6,LARGE('계산'!$K$2:$K$2001,J1062),"")</x:f>
      </x:c>
      <x:c r="L1062" t="str">
        <x:f>IF(ISNUMBER(K1062),L1061+LN(K1062),"")</x:f>
      </x:c>
    </x:row>
    <x:row r="1063">
      <x:c r="J1063" t="n">
        <x:f>1059</x:f>
        <x:v>1059</x:v>
      </x:c>
      <x:c r="K1063" t="str">
        <x:f>IF(J1063&lt;=$B$6,LARGE('계산'!$K$2:$K$2001,J1063),"")</x:f>
      </x:c>
      <x:c r="L1063" t="str">
        <x:f>IF(ISNUMBER(K1063),L1062+LN(K1063),"")</x:f>
      </x:c>
    </x:row>
    <x:row r="1064">
      <x:c r="J1064" t="n">
        <x:f>1060</x:f>
        <x:v>1060</x:v>
      </x:c>
      <x:c r="K1064" t="str">
        <x:f>IF(J1064&lt;=$B$6,LARGE('계산'!$K$2:$K$2001,J1064),"")</x:f>
      </x:c>
      <x:c r="L1064" t="str">
        <x:f>IF(ISNUMBER(K1064),L1063+LN(K1064),"")</x:f>
      </x:c>
    </x:row>
    <x:row r="1065">
      <x:c r="J1065" t="n">
        <x:f>1061</x:f>
        <x:v>1061</x:v>
      </x:c>
      <x:c r="K1065" t="str">
        <x:f>IF(J1065&lt;=$B$6,LARGE('계산'!$K$2:$K$2001,J1065),"")</x:f>
      </x:c>
      <x:c r="L1065" t="str">
        <x:f>IF(ISNUMBER(K1065),L1064+LN(K1065),"")</x:f>
      </x:c>
    </x:row>
    <x:row r="1066">
      <x:c r="J1066" t="n">
        <x:f>1062</x:f>
        <x:v>1062</x:v>
      </x:c>
      <x:c r="K1066" t="str">
        <x:f>IF(J1066&lt;=$B$6,LARGE('계산'!$K$2:$K$2001,J1066),"")</x:f>
      </x:c>
      <x:c r="L1066" t="str">
        <x:f>IF(ISNUMBER(K1066),L1065+LN(K1066),"")</x:f>
      </x:c>
    </x:row>
    <x:row r="1067">
      <x:c r="J1067" t="n">
        <x:f>1063</x:f>
        <x:v>1063</x:v>
      </x:c>
      <x:c r="K1067" t="str">
        <x:f>IF(J1067&lt;=$B$6,LARGE('계산'!$K$2:$K$2001,J1067),"")</x:f>
      </x:c>
      <x:c r="L1067" t="str">
        <x:f>IF(ISNUMBER(K1067),L1066+LN(K1067),"")</x:f>
      </x:c>
    </x:row>
    <x:row r="1068">
      <x:c r="J1068" t="n">
        <x:f>1064</x:f>
        <x:v>1064</x:v>
      </x:c>
      <x:c r="K1068" t="str">
        <x:f>IF(J1068&lt;=$B$6,LARGE('계산'!$K$2:$K$2001,J1068),"")</x:f>
      </x:c>
      <x:c r="L1068" t="str">
        <x:f>IF(ISNUMBER(K1068),L1067+LN(K1068),"")</x:f>
      </x:c>
    </x:row>
    <x:row r="1069">
      <x:c r="J1069" t="n">
        <x:f>1065</x:f>
        <x:v>1065</x:v>
      </x:c>
      <x:c r="K1069" t="str">
        <x:f>IF(J1069&lt;=$B$6,LARGE('계산'!$K$2:$K$2001,J1069),"")</x:f>
      </x:c>
      <x:c r="L1069" t="str">
        <x:f>IF(ISNUMBER(K1069),L1068+LN(K1069),"")</x:f>
      </x:c>
    </x:row>
    <x:row r="1070">
      <x:c r="J1070" t="n">
        <x:f>1066</x:f>
        <x:v>1066</x:v>
      </x:c>
      <x:c r="K1070" t="str">
        <x:f>IF(J1070&lt;=$B$6,LARGE('계산'!$K$2:$K$2001,J1070),"")</x:f>
      </x:c>
      <x:c r="L1070" t="str">
        <x:f>IF(ISNUMBER(K1070),L1069+LN(K1070),"")</x:f>
      </x:c>
    </x:row>
    <x:row r="1071">
      <x:c r="J1071" t="n">
        <x:f>1067</x:f>
        <x:v>1067</x:v>
      </x:c>
      <x:c r="K1071" t="str">
        <x:f>IF(J1071&lt;=$B$6,LARGE('계산'!$K$2:$K$2001,J1071),"")</x:f>
      </x:c>
      <x:c r="L1071" t="str">
        <x:f>IF(ISNUMBER(K1071),L1070+LN(K1071),"")</x:f>
      </x:c>
    </x:row>
    <x:row r="1072">
      <x:c r="J1072" t="n">
        <x:f>1068</x:f>
        <x:v>1068</x:v>
      </x:c>
      <x:c r="K1072" t="str">
        <x:f>IF(J1072&lt;=$B$6,LARGE('계산'!$K$2:$K$2001,J1072),"")</x:f>
      </x:c>
      <x:c r="L1072" t="str">
        <x:f>IF(ISNUMBER(K1072),L1071+LN(K1072),"")</x:f>
      </x:c>
    </x:row>
    <x:row r="1073">
      <x:c r="J1073" t="n">
        <x:f>1069</x:f>
        <x:v>1069</x:v>
      </x:c>
      <x:c r="K1073" t="str">
        <x:f>IF(J1073&lt;=$B$6,LARGE('계산'!$K$2:$K$2001,J1073),"")</x:f>
      </x:c>
      <x:c r="L1073" t="str">
        <x:f>IF(ISNUMBER(K1073),L1072+LN(K1073),"")</x:f>
      </x:c>
    </x:row>
    <x:row r="1074">
      <x:c r="J1074" t="n">
        <x:f>1070</x:f>
        <x:v>1070</x:v>
      </x:c>
      <x:c r="K1074" t="str">
        <x:f>IF(J1074&lt;=$B$6,LARGE('계산'!$K$2:$K$2001,J1074),"")</x:f>
      </x:c>
      <x:c r="L1074" t="str">
        <x:f>IF(ISNUMBER(K1074),L1073+LN(K1074),"")</x:f>
      </x:c>
    </x:row>
    <x:row r="1075">
      <x:c r="J1075" t="n">
        <x:f>1071</x:f>
        <x:v>1071</x:v>
      </x:c>
      <x:c r="K1075" t="str">
        <x:f>IF(J1075&lt;=$B$6,LARGE('계산'!$K$2:$K$2001,J1075),"")</x:f>
      </x:c>
      <x:c r="L1075" t="str">
        <x:f>IF(ISNUMBER(K1075),L1074+LN(K1075),"")</x:f>
      </x:c>
    </x:row>
    <x:row r="1076">
      <x:c r="J1076" t="n">
        <x:f>1072</x:f>
        <x:v>1072</x:v>
      </x:c>
      <x:c r="K1076" t="str">
        <x:f>IF(J1076&lt;=$B$6,LARGE('계산'!$K$2:$K$2001,J1076),"")</x:f>
      </x:c>
      <x:c r="L1076" t="str">
        <x:f>IF(ISNUMBER(K1076),L1075+LN(K1076),"")</x:f>
      </x:c>
    </x:row>
    <x:row r="1077">
      <x:c r="J1077" t="n">
        <x:f>1073</x:f>
        <x:v>1073</x:v>
      </x:c>
      <x:c r="K1077" t="str">
        <x:f>IF(J1077&lt;=$B$6,LARGE('계산'!$K$2:$K$2001,J1077),"")</x:f>
      </x:c>
      <x:c r="L1077" t="str">
        <x:f>IF(ISNUMBER(K1077),L1076+LN(K1077),"")</x:f>
      </x:c>
    </x:row>
    <x:row r="1078">
      <x:c r="J1078" t="n">
        <x:f>1074</x:f>
        <x:v>1074</x:v>
      </x:c>
      <x:c r="K1078" t="str">
        <x:f>IF(J1078&lt;=$B$6,LARGE('계산'!$K$2:$K$2001,J1078),"")</x:f>
      </x:c>
      <x:c r="L1078" t="str">
        <x:f>IF(ISNUMBER(K1078),L1077+LN(K1078),"")</x:f>
      </x:c>
    </x:row>
    <x:row r="1079">
      <x:c r="J1079" t="n">
        <x:f>1075</x:f>
        <x:v>1075</x:v>
      </x:c>
      <x:c r="K1079" t="str">
        <x:f>IF(J1079&lt;=$B$6,LARGE('계산'!$K$2:$K$2001,J1079),"")</x:f>
      </x:c>
      <x:c r="L1079" t="str">
        <x:f>IF(ISNUMBER(K1079),L1078+LN(K1079),"")</x:f>
      </x:c>
    </x:row>
    <x:row r="1080">
      <x:c r="J1080" t="n">
        <x:f>1076</x:f>
        <x:v>1076</x:v>
      </x:c>
      <x:c r="K1080" t="str">
        <x:f>IF(J1080&lt;=$B$6,LARGE('계산'!$K$2:$K$2001,J1080),"")</x:f>
      </x:c>
      <x:c r="L1080" t="str">
        <x:f>IF(ISNUMBER(K1080),L1079+LN(K1080),"")</x:f>
      </x:c>
    </x:row>
    <x:row r="1081">
      <x:c r="J1081" t="n">
        <x:f>1077</x:f>
        <x:v>1077</x:v>
      </x:c>
      <x:c r="K1081" t="str">
        <x:f>IF(J1081&lt;=$B$6,LARGE('계산'!$K$2:$K$2001,J1081),"")</x:f>
      </x:c>
      <x:c r="L1081" t="str">
        <x:f>IF(ISNUMBER(K1081),L1080+LN(K1081),"")</x:f>
      </x:c>
    </x:row>
    <x:row r="1082">
      <x:c r="J1082" t="n">
        <x:f>1078</x:f>
        <x:v>1078</x:v>
      </x:c>
      <x:c r="K1082" t="str">
        <x:f>IF(J1082&lt;=$B$6,LARGE('계산'!$K$2:$K$2001,J1082),"")</x:f>
      </x:c>
      <x:c r="L1082" t="str">
        <x:f>IF(ISNUMBER(K1082),L1081+LN(K1082),"")</x:f>
      </x:c>
    </x:row>
    <x:row r="1083">
      <x:c r="J1083" t="n">
        <x:f>1079</x:f>
        <x:v>1079</x:v>
      </x:c>
      <x:c r="K1083" t="str">
        <x:f>IF(J1083&lt;=$B$6,LARGE('계산'!$K$2:$K$2001,J1083),"")</x:f>
      </x:c>
      <x:c r="L1083" t="str">
        <x:f>IF(ISNUMBER(K1083),L1082+LN(K1083),"")</x:f>
      </x:c>
    </x:row>
    <x:row r="1084">
      <x:c r="J1084" t="n">
        <x:f>1080</x:f>
        <x:v>1080</x:v>
      </x:c>
      <x:c r="K1084" t="str">
        <x:f>IF(J1084&lt;=$B$6,LARGE('계산'!$K$2:$K$2001,J1084),"")</x:f>
      </x:c>
      <x:c r="L1084" t="str">
        <x:f>IF(ISNUMBER(K1084),L1083+LN(K1084),"")</x:f>
      </x:c>
    </x:row>
    <x:row r="1085">
      <x:c r="J1085" t="n">
        <x:f>1081</x:f>
        <x:v>1081</x:v>
      </x:c>
      <x:c r="K1085" t="str">
        <x:f>IF(J1085&lt;=$B$6,LARGE('계산'!$K$2:$K$2001,J1085),"")</x:f>
      </x:c>
      <x:c r="L1085" t="str">
        <x:f>IF(ISNUMBER(K1085),L1084+LN(K1085),"")</x:f>
      </x:c>
    </x:row>
    <x:row r="1086">
      <x:c r="J1086" t="n">
        <x:f>1082</x:f>
        <x:v>1082</x:v>
      </x:c>
      <x:c r="K1086" t="str">
        <x:f>IF(J1086&lt;=$B$6,LARGE('계산'!$K$2:$K$2001,J1086),"")</x:f>
      </x:c>
      <x:c r="L1086" t="str">
        <x:f>IF(ISNUMBER(K1086),L1085+LN(K1086),"")</x:f>
      </x:c>
    </x:row>
    <x:row r="1087">
      <x:c r="J1087" t="n">
        <x:f>1083</x:f>
        <x:v>1083</x:v>
      </x:c>
      <x:c r="K1087" t="str">
        <x:f>IF(J1087&lt;=$B$6,LARGE('계산'!$K$2:$K$2001,J1087),"")</x:f>
      </x:c>
      <x:c r="L1087" t="str">
        <x:f>IF(ISNUMBER(K1087),L1086+LN(K1087),"")</x:f>
      </x:c>
    </x:row>
    <x:row r="1088">
      <x:c r="J1088" t="n">
        <x:f>1084</x:f>
        <x:v>1084</x:v>
      </x:c>
      <x:c r="K1088" t="str">
        <x:f>IF(J1088&lt;=$B$6,LARGE('계산'!$K$2:$K$2001,J1088),"")</x:f>
      </x:c>
      <x:c r="L1088" t="str">
        <x:f>IF(ISNUMBER(K1088),L1087+LN(K1088),"")</x:f>
      </x:c>
    </x:row>
    <x:row r="1089">
      <x:c r="J1089" t="n">
        <x:f>1085</x:f>
        <x:v>1085</x:v>
      </x:c>
      <x:c r="K1089" t="str">
        <x:f>IF(J1089&lt;=$B$6,LARGE('계산'!$K$2:$K$2001,J1089),"")</x:f>
      </x:c>
      <x:c r="L1089" t="str">
        <x:f>IF(ISNUMBER(K1089),L1088+LN(K1089),"")</x:f>
      </x:c>
    </x:row>
    <x:row r="1090">
      <x:c r="J1090" t="n">
        <x:f>1086</x:f>
        <x:v>1086</x:v>
      </x:c>
      <x:c r="K1090" t="str">
        <x:f>IF(J1090&lt;=$B$6,LARGE('계산'!$K$2:$K$2001,J1090),"")</x:f>
      </x:c>
      <x:c r="L1090" t="str">
        <x:f>IF(ISNUMBER(K1090),L1089+LN(K1090),"")</x:f>
      </x:c>
    </x:row>
    <x:row r="1091">
      <x:c r="J1091" t="n">
        <x:f>1087</x:f>
        <x:v>1087</x:v>
      </x:c>
      <x:c r="K1091" t="str">
        <x:f>IF(J1091&lt;=$B$6,LARGE('계산'!$K$2:$K$2001,J1091),"")</x:f>
      </x:c>
      <x:c r="L1091" t="str">
        <x:f>IF(ISNUMBER(K1091),L1090+LN(K1091),"")</x:f>
      </x:c>
    </x:row>
    <x:row r="1092">
      <x:c r="J1092" t="n">
        <x:f>1088</x:f>
        <x:v>1088</x:v>
      </x:c>
      <x:c r="K1092" t="str">
        <x:f>IF(J1092&lt;=$B$6,LARGE('계산'!$K$2:$K$2001,J1092),"")</x:f>
      </x:c>
      <x:c r="L1092" t="str">
        <x:f>IF(ISNUMBER(K1092),L1091+LN(K1092),"")</x:f>
      </x:c>
    </x:row>
    <x:row r="1093">
      <x:c r="J1093" t="n">
        <x:f>1089</x:f>
        <x:v>1089</x:v>
      </x:c>
      <x:c r="K1093" t="str">
        <x:f>IF(J1093&lt;=$B$6,LARGE('계산'!$K$2:$K$2001,J1093),"")</x:f>
      </x:c>
      <x:c r="L1093" t="str">
        <x:f>IF(ISNUMBER(K1093),L1092+LN(K1093),"")</x:f>
      </x:c>
    </x:row>
    <x:row r="1094">
      <x:c r="J1094" t="n">
        <x:f>1090</x:f>
        <x:v>1090</x:v>
      </x:c>
      <x:c r="K1094" t="str">
        <x:f>IF(J1094&lt;=$B$6,LARGE('계산'!$K$2:$K$2001,J1094),"")</x:f>
      </x:c>
      <x:c r="L1094" t="str">
        <x:f>IF(ISNUMBER(K1094),L1093+LN(K1094),"")</x:f>
      </x:c>
    </x:row>
    <x:row r="1095">
      <x:c r="J1095" t="n">
        <x:f>1091</x:f>
        <x:v>1091</x:v>
      </x:c>
      <x:c r="K1095" t="str">
        <x:f>IF(J1095&lt;=$B$6,LARGE('계산'!$K$2:$K$2001,J1095),"")</x:f>
      </x:c>
      <x:c r="L1095" t="str">
        <x:f>IF(ISNUMBER(K1095),L1094+LN(K1095),"")</x:f>
      </x:c>
    </x:row>
    <x:row r="1096">
      <x:c r="J1096" t="n">
        <x:f>1092</x:f>
        <x:v>1092</x:v>
      </x:c>
      <x:c r="K1096" t="str">
        <x:f>IF(J1096&lt;=$B$6,LARGE('계산'!$K$2:$K$2001,J1096),"")</x:f>
      </x:c>
      <x:c r="L1096" t="str">
        <x:f>IF(ISNUMBER(K1096),L1095+LN(K1096),"")</x:f>
      </x:c>
    </x:row>
    <x:row r="1097">
      <x:c r="J1097" t="n">
        <x:f>1093</x:f>
        <x:v>1093</x:v>
      </x:c>
      <x:c r="K1097" t="str">
        <x:f>IF(J1097&lt;=$B$6,LARGE('계산'!$K$2:$K$2001,J1097),"")</x:f>
      </x:c>
      <x:c r="L1097" t="str">
        <x:f>IF(ISNUMBER(K1097),L1096+LN(K1097),"")</x:f>
      </x:c>
    </x:row>
    <x:row r="1098">
      <x:c r="J1098" t="n">
        <x:f>1094</x:f>
        <x:v>1094</x:v>
      </x:c>
      <x:c r="K1098" t="str">
        <x:f>IF(J1098&lt;=$B$6,LARGE('계산'!$K$2:$K$2001,J1098),"")</x:f>
      </x:c>
      <x:c r="L1098" t="str">
        <x:f>IF(ISNUMBER(K1098),L1097+LN(K1098),"")</x:f>
      </x:c>
    </x:row>
    <x:row r="1099">
      <x:c r="J1099" t="n">
        <x:f>1095</x:f>
        <x:v>1095</x:v>
      </x:c>
      <x:c r="K1099" t="str">
        <x:f>IF(J1099&lt;=$B$6,LARGE('계산'!$K$2:$K$2001,J1099),"")</x:f>
      </x:c>
      <x:c r="L1099" t="str">
        <x:f>IF(ISNUMBER(K1099),L1098+LN(K1099),"")</x:f>
      </x:c>
    </x:row>
    <x:row r="1100">
      <x:c r="J1100" t="n">
        <x:f>1096</x:f>
        <x:v>1096</x:v>
      </x:c>
      <x:c r="K1100" t="str">
        <x:f>IF(J1100&lt;=$B$6,LARGE('계산'!$K$2:$K$2001,J1100),"")</x:f>
      </x:c>
      <x:c r="L1100" t="str">
        <x:f>IF(ISNUMBER(K1100),L1099+LN(K1100),"")</x:f>
      </x:c>
    </x:row>
    <x:row r="1101">
      <x:c r="J1101" t="n">
        <x:f>1097</x:f>
        <x:v>1097</x:v>
      </x:c>
      <x:c r="K1101" t="str">
        <x:f>IF(J1101&lt;=$B$6,LARGE('계산'!$K$2:$K$2001,J1101),"")</x:f>
      </x:c>
      <x:c r="L1101" t="str">
        <x:f>IF(ISNUMBER(K1101),L1100+LN(K1101),"")</x:f>
      </x:c>
    </x:row>
    <x:row r="1102">
      <x:c r="J1102" t="n">
        <x:f>1098</x:f>
        <x:v>1098</x:v>
      </x:c>
      <x:c r="K1102" t="str">
        <x:f>IF(J1102&lt;=$B$6,LARGE('계산'!$K$2:$K$2001,J1102),"")</x:f>
      </x:c>
      <x:c r="L1102" t="str">
        <x:f>IF(ISNUMBER(K1102),L1101+LN(K1102),"")</x:f>
      </x:c>
    </x:row>
    <x:row r="1103">
      <x:c r="J1103" t="n">
        <x:f>1099</x:f>
        <x:v>1099</x:v>
      </x:c>
      <x:c r="K1103" t="str">
        <x:f>IF(J1103&lt;=$B$6,LARGE('계산'!$K$2:$K$2001,J1103),"")</x:f>
      </x:c>
      <x:c r="L1103" t="str">
        <x:f>IF(ISNUMBER(K1103),L1102+LN(K1103),"")</x:f>
      </x:c>
    </x:row>
    <x:row r="1104">
      <x:c r="J1104" t="n">
        <x:f>1100</x:f>
        <x:v>1100</x:v>
      </x:c>
      <x:c r="K1104" t="str">
        <x:f>IF(J1104&lt;=$B$6,LARGE('계산'!$K$2:$K$2001,J1104),"")</x:f>
      </x:c>
      <x:c r="L1104" t="str">
        <x:f>IF(ISNUMBER(K1104),L1103+LN(K1104),"")</x:f>
      </x:c>
    </x:row>
    <x:row r="1105">
      <x:c r="J1105" t="n">
        <x:f>1101</x:f>
        <x:v>1101</x:v>
      </x:c>
      <x:c r="K1105" t="str">
        <x:f>IF(J1105&lt;=$B$6,LARGE('계산'!$K$2:$K$2001,J1105),"")</x:f>
      </x:c>
      <x:c r="L1105" t="str">
        <x:f>IF(ISNUMBER(K1105),L1104+LN(K1105),"")</x:f>
      </x:c>
    </x:row>
    <x:row r="1106">
      <x:c r="J1106" t="n">
        <x:f>1102</x:f>
        <x:v>1102</x:v>
      </x:c>
      <x:c r="K1106" t="str">
        <x:f>IF(J1106&lt;=$B$6,LARGE('계산'!$K$2:$K$2001,J1106),"")</x:f>
      </x:c>
      <x:c r="L1106" t="str">
        <x:f>IF(ISNUMBER(K1106),L1105+LN(K1106),"")</x:f>
      </x:c>
    </x:row>
    <x:row r="1107">
      <x:c r="J1107" t="n">
        <x:f>1103</x:f>
        <x:v>1103</x:v>
      </x:c>
      <x:c r="K1107" t="str">
        <x:f>IF(J1107&lt;=$B$6,LARGE('계산'!$K$2:$K$2001,J1107),"")</x:f>
      </x:c>
      <x:c r="L1107" t="str">
        <x:f>IF(ISNUMBER(K1107),L1106+LN(K1107),"")</x:f>
      </x:c>
    </x:row>
    <x:row r="1108">
      <x:c r="J1108" t="n">
        <x:f>1104</x:f>
        <x:v>1104</x:v>
      </x:c>
      <x:c r="K1108" t="str">
        <x:f>IF(J1108&lt;=$B$6,LARGE('계산'!$K$2:$K$2001,J1108),"")</x:f>
      </x:c>
      <x:c r="L1108" t="str">
        <x:f>IF(ISNUMBER(K1108),L1107+LN(K1108),"")</x:f>
      </x:c>
    </x:row>
    <x:row r="1109">
      <x:c r="J1109" t="n">
        <x:f>1105</x:f>
        <x:v>1105</x:v>
      </x:c>
      <x:c r="K1109" t="str">
        <x:f>IF(J1109&lt;=$B$6,LARGE('계산'!$K$2:$K$2001,J1109),"")</x:f>
      </x:c>
      <x:c r="L1109" t="str">
        <x:f>IF(ISNUMBER(K1109),L1108+LN(K1109),"")</x:f>
      </x:c>
    </x:row>
    <x:row r="1110">
      <x:c r="J1110" t="n">
        <x:f>1106</x:f>
        <x:v>1106</x:v>
      </x:c>
      <x:c r="K1110" t="str">
        <x:f>IF(J1110&lt;=$B$6,LARGE('계산'!$K$2:$K$2001,J1110),"")</x:f>
      </x:c>
      <x:c r="L1110" t="str">
        <x:f>IF(ISNUMBER(K1110),L1109+LN(K1110),"")</x:f>
      </x:c>
    </x:row>
    <x:row r="1111">
      <x:c r="J1111" t="n">
        <x:f>1107</x:f>
        <x:v>1107</x:v>
      </x:c>
      <x:c r="K1111" t="str">
        <x:f>IF(J1111&lt;=$B$6,LARGE('계산'!$K$2:$K$2001,J1111),"")</x:f>
      </x:c>
      <x:c r="L1111" t="str">
        <x:f>IF(ISNUMBER(K1111),L1110+LN(K1111),"")</x:f>
      </x:c>
    </x:row>
    <x:row r="1112">
      <x:c r="J1112" t="n">
        <x:f>1108</x:f>
        <x:v>1108</x:v>
      </x:c>
      <x:c r="K1112" t="str">
        <x:f>IF(J1112&lt;=$B$6,LARGE('계산'!$K$2:$K$2001,J1112),"")</x:f>
      </x:c>
      <x:c r="L1112" t="str">
        <x:f>IF(ISNUMBER(K1112),L1111+LN(K1112),"")</x:f>
      </x:c>
    </x:row>
    <x:row r="1113">
      <x:c r="J1113" t="n">
        <x:f>1109</x:f>
        <x:v>1109</x:v>
      </x:c>
      <x:c r="K1113" t="str">
        <x:f>IF(J1113&lt;=$B$6,LARGE('계산'!$K$2:$K$2001,J1113),"")</x:f>
      </x:c>
      <x:c r="L1113" t="str">
        <x:f>IF(ISNUMBER(K1113),L1112+LN(K1113),"")</x:f>
      </x:c>
    </x:row>
    <x:row r="1114">
      <x:c r="J1114" t="n">
        <x:f>1110</x:f>
        <x:v>1110</x:v>
      </x:c>
      <x:c r="K1114" t="str">
        <x:f>IF(J1114&lt;=$B$6,LARGE('계산'!$K$2:$K$2001,J1114),"")</x:f>
      </x:c>
      <x:c r="L1114" t="str">
        <x:f>IF(ISNUMBER(K1114),L1113+LN(K1114),"")</x:f>
      </x:c>
    </x:row>
    <x:row r="1115">
      <x:c r="J1115" t="n">
        <x:f>1111</x:f>
        <x:v>1111</x:v>
      </x:c>
      <x:c r="K1115" t="str">
        <x:f>IF(J1115&lt;=$B$6,LARGE('계산'!$K$2:$K$2001,J1115),"")</x:f>
      </x:c>
      <x:c r="L1115" t="str">
        <x:f>IF(ISNUMBER(K1115),L1114+LN(K1115),"")</x:f>
      </x:c>
    </x:row>
    <x:row r="1116">
      <x:c r="J1116" t="n">
        <x:f>1112</x:f>
        <x:v>1112</x:v>
      </x:c>
      <x:c r="K1116" t="str">
        <x:f>IF(J1116&lt;=$B$6,LARGE('계산'!$K$2:$K$2001,J1116),"")</x:f>
      </x:c>
      <x:c r="L1116" t="str">
        <x:f>IF(ISNUMBER(K1116),L1115+LN(K1116),"")</x:f>
      </x:c>
    </x:row>
    <x:row r="1117">
      <x:c r="J1117" t="n">
        <x:f>1113</x:f>
        <x:v>1113</x:v>
      </x:c>
      <x:c r="K1117" t="str">
        <x:f>IF(J1117&lt;=$B$6,LARGE('계산'!$K$2:$K$2001,J1117),"")</x:f>
      </x:c>
      <x:c r="L1117" t="str">
        <x:f>IF(ISNUMBER(K1117),L1116+LN(K1117),"")</x:f>
      </x:c>
    </x:row>
    <x:row r="1118">
      <x:c r="J1118" t="n">
        <x:f>1114</x:f>
        <x:v>1114</x:v>
      </x:c>
      <x:c r="K1118" t="str">
        <x:f>IF(J1118&lt;=$B$6,LARGE('계산'!$K$2:$K$2001,J1118),"")</x:f>
      </x:c>
      <x:c r="L1118" t="str">
        <x:f>IF(ISNUMBER(K1118),L1117+LN(K1118),"")</x:f>
      </x:c>
    </x:row>
    <x:row r="1119">
      <x:c r="J1119" t="n">
        <x:f>1115</x:f>
        <x:v>1115</x:v>
      </x:c>
      <x:c r="K1119" t="str">
        <x:f>IF(J1119&lt;=$B$6,LARGE('계산'!$K$2:$K$2001,J1119),"")</x:f>
      </x:c>
      <x:c r="L1119" t="str">
        <x:f>IF(ISNUMBER(K1119),L1118+LN(K1119),"")</x:f>
      </x:c>
    </x:row>
    <x:row r="1120">
      <x:c r="J1120" t="n">
        <x:f>1116</x:f>
        <x:v>1116</x:v>
      </x:c>
      <x:c r="K1120" t="str">
        <x:f>IF(J1120&lt;=$B$6,LARGE('계산'!$K$2:$K$2001,J1120),"")</x:f>
      </x:c>
      <x:c r="L1120" t="str">
        <x:f>IF(ISNUMBER(K1120),L1119+LN(K1120),"")</x:f>
      </x:c>
    </x:row>
    <x:row r="1121">
      <x:c r="J1121" t="n">
        <x:f>1117</x:f>
        <x:v>1117</x:v>
      </x:c>
      <x:c r="K1121" t="str">
        <x:f>IF(J1121&lt;=$B$6,LARGE('계산'!$K$2:$K$2001,J1121),"")</x:f>
      </x:c>
      <x:c r="L1121" t="str">
        <x:f>IF(ISNUMBER(K1121),L1120+LN(K1121),"")</x:f>
      </x:c>
    </x:row>
    <x:row r="1122">
      <x:c r="J1122" t="n">
        <x:f>1118</x:f>
        <x:v>1118</x:v>
      </x:c>
      <x:c r="K1122" t="str">
        <x:f>IF(J1122&lt;=$B$6,LARGE('계산'!$K$2:$K$2001,J1122),"")</x:f>
      </x:c>
      <x:c r="L1122" t="str">
        <x:f>IF(ISNUMBER(K1122),L1121+LN(K1122),"")</x:f>
      </x:c>
    </x:row>
    <x:row r="1123">
      <x:c r="J1123" t="n">
        <x:f>1119</x:f>
        <x:v>1119</x:v>
      </x:c>
      <x:c r="K1123" t="str">
        <x:f>IF(J1123&lt;=$B$6,LARGE('계산'!$K$2:$K$2001,J1123),"")</x:f>
      </x:c>
      <x:c r="L1123" t="str">
        <x:f>IF(ISNUMBER(K1123),L1122+LN(K1123),"")</x:f>
      </x:c>
    </x:row>
    <x:row r="1124">
      <x:c r="J1124" t="n">
        <x:f>1120</x:f>
        <x:v>1120</x:v>
      </x:c>
      <x:c r="K1124" t="str">
        <x:f>IF(J1124&lt;=$B$6,LARGE('계산'!$K$2:$K$2001,J1124),"")</x:f>
      </x:c>
      <x:c r="L1124" t="str">
        <x:f>IF(ISNUMBER(K1124),L1123+LN(K1124),"")</x:f>
      </x:c>
    </x:row>
    <x:row r="1125">
      <x:c r="J1125" t="n">
        <x:f>1121</x:f>
        <x:v>1121</x:v>
      </x:c>
      <x:c r="K1125" t="str">
        <x:f>IF(J1125&lt;=$B$6,LARGE('계산'!$K$2:$K$2001,J1125),"")</x:f>
      </x:c>
      <x:c r="L1125" t="str">
        <x:f>IF(ISNUMBER(K1125),L1124+LN(K1125),"")</x:f>
      </x:c>
    </x:row>
    <x:row r="1126">
      <x:c r="J1126" t="n">
        <x:f>1122</x:f>
        <x:v>1122</x:v>
      </x:c>
      <x:c r="K1126" t="str">
        <x:f>IF(J1126&lt;=$B$6,LARGE('계산'!$K$2:$K$2001,J1126),"")</x:f>
      </x:c>
      <x:c r="L1126" t="str">
        <x:f>IF(ISNUMBER(K1126),L1125+LN(K1126),"")</x:f>
      </x:c>
    </x:row>
    <x:row r="1127">
      <x:c r="J1127" t="n">
        <x:f>1123</x:f>
        <x:v>1123</x:v>
      </x:c>
      <x:c r="K1127" t="str">
        <x:f>IF(J1127&lt;=$B$6,LARGE('계산'!$K$2:$K$2001,J1127),"")</x:f>
      </x:c>
      <x:c r="L1127" t="str">
        <x:f>IF(ISNUMBER(K1127),L1126+LN(K1127),"")</x:f>
      </x:c>
    </x:row>
    <x:row r="1128">
      <x:c r="J1128" t="n">
        <x:f>1124</x:f>
        <x:v>1124</x:v>
      </x:c>
      <x:c r="K1128" t="str">
        <x:f>IF(J1128&lt;=$B$6,LARGE('계산'!$K$2:$K$2001,J1128),"")</x:f>
      </x:c>
      <x:c r="L1128" t="str">
        <x:f>IF(ISNUMBER(K1128),L1127+LN(K1128),"")</x:f>
      </x:c>
    </x:row>
    <x:row r="1129">
      <x:c r="J1129" t="n">
        <x:f>1125</x:f>
        <x:v>1125</x:v>
      </x:c>
      <x:c r="K1129" t="str">
        <x:f>IF(J1129&lt;=$B$6,LARGE('계산'!$K$2:$K$2001,J1129),"")</x:f>
      </x:c>
      <x:c r="L1129" t="str">
        <x:f>IF(ISNUMBER(K1129),L1128+LN(K1129),"")</x:f>
      </x:c>
    </x:row>
    <x:row r="1130">
      <x:c r="J1130" t="n">
        <x:f>1126</x:f>
        <x:v>1126</x:v>
      </x:c>
      <x:c r="K1130" t="str">
        <x:f>IF(J1130&lt;=$B$6,LARGE('계산'!$K$2:$K$2001,J1130),"")</x:f>
      </x:c>
      <x:c r="L1130" t="str">
        <x:f>IF(ISNUMBER(K1130),L1129+LN(K1130),"")</x:f>
      </x:c>
    </x:row>
    <x:row r="1131">
      <x:c r="J1131" t="n">
        <x:f>1127</x:f>
        <x:v>1127</x:v>
      </x:c>
      <x:c r="K1131" t="str">
        <x:f>IF(J1131&lt;=$B$6,LARGE('계산'!$K$2:$K$2001,J1131),"")</x:f>
      </x:c>
      <x:c r="L1131" t="str">
        <x:f>IF(ISNUMBER(K1131),L1130+LN(K1131),"")</x:f>
      </x:c>
    </x:row>
    <x:row r="1132">
      <x:c r="J1132" t="n">
        <x:f>1128</x:f>
        <x:v>1128</x:v>
      </x:c>
      <x:c r="K1132" t="str">
        <x:f>IF(J1132&lt;=$B$6,LARGE('계산'!$K$2:$K$2001,J1132),"")</x:f>
      </x:c>
      <x:c r="L1132" t="str">
        <x:f>IF(ISNUMBER(K1132),L1131+LN(K1132),"")</x:f>
      </x:c>
    </x:row>
    <x:row r="1133">
      <x:c r="J1133" t="n">
        <x:f>1129</x:f>
        <x:v>1129</x:v>
      </x:c>
      <x:c r="K1133" t="str">
        <x:f>IF(J1133&lt;=$B$6,LARGE('계산'!$K$2:$K$2001,J1133),"")</x:f>
      </x:c>
      <x:c r="L1133" t="str">
        <x:f>IF(ISNUMBER(K1133),L1132+LN(K1133),"")</x:f>
      </x:c>
    </x:row>
    <x:row r="1134">
      <x:c r="J1134" t="n">
        <x:f>1130</x:f>
        <x:v>1130</x:v>
      </x:c>
      <x:c r="K1134" t="str">
        <x:f>IF(J1134&lt;=$B$6,LARGE('계산'!$K$2:$K$2001,J1134),"")</x:f>
      </x:c>
      <x:c r="L1134" t="str">
        <x:f>IF(ISNUMBER(K1134),L1133+LN(K1134),"")</x:f>
      </x:c>
    </x:row>
    <x:row r="1135">
      <x:c r="J1135" t="n">
        <x:f>1131</x:f>
        <x:v>1131</x:v>
      </x:c>
      <x:c r="K1135" t="str">
        <x:f>IF(J1135&lt;=$B$6,LARGE('계산'!$K$2:$K$2001,J1135),"")</x:f>
      </x:c>
      <x:c r="L1135" t="str">
        <x:f>IF(ISNUMBER(K1135),L1134+LN(K1135),"")</x:f>
      </x:c>
    </x:row>
    <x:row r="1136">
      <x:c r="J1136" t="n">
        <x:f>1132</x:f>
        <x:v>1132</x:v>
      </x:c>
      <x:c r="K1136" t="str">
        <x:f>IF(J1136&lt;=$B$6,LARGE('계산'!$K$2:$K$2001,J1136),"")</x:f>
      </x:c>
      <x:c r="L1136" t="str">
        <x:f>IF(ISNUMBER(K1136),L1135+LN(K1136),"")</x:f>
      </x:c>
    </x:row>
    <x:row r="1137">
      <x:c r="J1137" t="n">
        <x:f>1133</x:f>
        <x:v>1133</x:v>
      </x:c>
      <x:c r="K1137" t="str">
        <x:f>IF(J1137&lt;=$B$6,LARGE('계산'!$K$2:$K$2001,J1137),"")</x:f>
      </x:c>
      <x:c r="L1137" t="str">
        <x:f>IF(ISNUMBER(K1137),L1136+LN(K1137),"")</x:f>
      </x:c>
    </x:row>
    <x:row r="1138">
      <x:c r="J1138" t="n">
        <x:f>1134</x:f>
        <x:v>1134</x:v>
      </x:c>
      <x:c r="K1138" t="str">
        <x:f>IF(J1138&lt;=$B$6,LARGE('계산'!$K$2:$K$2001,J1138),"")</x:f>
      </x:c>
      <x:c r="L1138" t="str">
        <x:f>IF(ISNUMBER(K1138),L1137+LN(K1138),"")</x:f>
      </x:c>
    </x:row>
    <x:row r="1139">
      <x:c r="J1139" t="n">
        <x:f>1135</x:f>
        <x:v>1135</x:v>
      </x:c>
      <x:c r="K1139" t="str">
        <x:f>IF(J1139&lt;=$B$6,LARGE('계산'!$K$2:$K$2001,J1139),"")</x:f>
      </x:c>
      <x:c r="L1139" t="str">
        <x:f>IF(ISNUMBER(K1139),L1138+LN(K1139),"")</x:f>
      </x:c>
    </x:row>
    <x:row r="1140">
      <x:c r="J1140" t="n">
        <x:f>1136</x:f>
        <x:v>1136</x:v>
      </x:c>
      <x:c r="K1140" t="str">
        <x:f>IF(J1140&lt;=$B$6,LARGE('계산'!$K$2:$K$2001,J1140),"")</x:f>
      </x:c>
      <x:c r="L1140" t="str">
        <x:f>IF(ISNUMBER(K1140),L1139+LN(K1140),"")</x:f>
      </x:c>
    </x:row>
    <x:row r="1141">
      <x:c r="J1141" t="n">
        <x:f>1137</x:f>
        <x:v>1137</x:v>
      </x:c>
      <x:c r="K1141" t="str">
        <x:f>IF(J1141&lt;=$B$6,LARGE('계산'!$K$2:$K$2001,J1141),"")</x:f>
      </x:c>
      <x:c r="L1141" t="str">
        <x:f>IF(ISNUMBER(K1141),L1140+LN(K1141),"")</x:f>
      </x:c>
    </x:row>
    <x:row r="1142">
      <x:c r="J1142" t="n">
        <x:f>1138</x:f>
        <x:v>1138</x:v>
      </x:c>
      <x:c r="K1142" t="str">
        <x:f>IF(J1142&lt;=$B$6,LARGE('계산'!$K$2:$K$2001,J1142),"")</x:f>
      </x:c>
      <x:c r="L1142" t="str">
        <x:f>IF(ISNUMBER(K1142),L1141+LN(K1142),"")</x:f>
      </x:c>
    </x:row>
    <x:row r="1143">
      <x:c r="J1143" t="n">
        <x:f>1139</x:f>
        <x:v>1139</x:v>
      </x:c>
      <x:c r="K1143" t="str">
        <x:f>IF(J1143&lt;=$B$6,LARGE('계산'!$K$2:$K$2001,J1143),"")</x:f>
      </x:c>
      <x:c r="L1143" t="str">
        <x:f>IF(ISNUMBER(K1143),L1142+LN(K1143),"")</x:f>
      </x:c>
    </x:row>
    <x:row r="1144">
      <x:c r="J1144" t="n">
        <x:f>1140</x:f>
        <x:v>1140</x:v>
      </x:c>
      <x:c r="K1144" t="str">
        <x:f>IF(J1144&lt;=$B$6,LARGE('계산'!$K$2:$K$2001,J1144),"")</x:f>
      </x:c>
      <x:c r="L1144" t="str">
        <x:f>IF(ISNUMBER(K1144),L1143+LN(K1144),"")</x:f>
      </x:c>
    </x:row>
    <x:row r="1145">
      <x:c r="J1145" t="n">
        <x:f>1141</x:f>
        <x:v>1141</x:v>
      </x:c>
      <x:c r="K1145" t="str">
        <x:f>IF(J1145&lt;=$B$6,LARGE('계산'!$K$2:$K$2001,J1145),"")</x:f>
      </x:c>
      <x:c r="L1145" t="str">
        <x:f>IF(ISNUMBER(K1145),L1144+LN(K1145),"")</x:f>
      </x:c>
    </x:row>
    <x:row r="1146">
      <x:c r="J1146" t="n">
        <x:f>1142</x:f>
        <x:v>1142</x:v>
      </x:c>
      <x:c r="K1146" t="str">
        <x:f>IF(J1146&lt;=$B$6,LARGE('계산'!$K$2:$K$2001,J1146),"")</x:f>
      </x:c>
      <x:c r="L1146" t="str">
        <x:f>IF(ISNUMBER(K1146),L1145+LN(K1146),"")</x:f>
      </x:c>
    </x:row>
    <x:row r="1147">
      <x:c r="J1147" t="n">
        <x:f>1143</x:f>
        <x:v>1143</x:v>
      </x:c>
      <x:c r="K1147" t="str">
        <x:f>IF(J1147&lt;=$B$6,LARGE('계산'!$K$2:$K$2001,J1147),"")</x:f>
      </x:c>
      <x:c r="L1147" t="str">
        <x:f>IF(ISNUMBER(K1147),L1146+LN(K1147),"")</x:f>
      </x:c>
    </x:row>
    <x:row r="1148">
      <x:c r="J1148" t="n">
        <x:f>1144</x:f>
        <x:v>1144</x:v>
      </x:c>
      <x:c r="K1148" t="str">
        <x:f>IF(J1148&lt;=$B$6,LARGE('계산'!$K$2:$K$2001,J1148),"")</x:f>
      </x:c>
      <x:c r="L1148" t="str">
        <x:f>IF(ISNUMBER(K1148),L1147+LN(K1148),"")</x:f>
      </x:c>
    </x:row>
    <x:row r="1149">
      <x:c r="J1149" t="n">
        <x:f>1145</x:f>
        <x:v>1145</x:v>
      </x:c>
      <x:c r="K1149" t="str">
        <x:f>IF(J1149&lt;=$B$6,LARGE('계산'!$K$2:$K$2001,J1149),"")</x:f>
      </x:c>
      <x:c r="L1149" t="str">
        <x:f>IF(ISNUMBER(K1149),L1148+LN(K1149),"")</x:f>
      </x:c>
    </x:row>
    <x:row r="1150">
      <x:c r="J1150" t="n">
        <x:f>1146</x:f>
        <x:v>1146</x:v>
      </x:c>
      <x:c r="K1150" t="str">
        <x:f>IF(J1150&lt;=$B$6,LARGE('계산'!$K$2:$K$2001,J1150),"")</x:f>
      </x:c>
      <x:c r="L1150" t="str">
        <x:f>IF(ISNUMBER(K1150),L1149+LN(K1150),"")</x:f>
      </x:c>
    </x:row>
    <x:row r="1151">
      <x:c r="J1151" t="n">
        <x:f>1147</x:f>
        <x:v>1147</x:v>
      </x:c>
      <x:c r="K1151" t="str">
        <x:f>IF(J1151&lt;=$B$6,LARGE('계산'!$K$2:$K$2001,J1151),"")</x:f>
      </x:c>
      <x:c r="L1151" t="str">
        <x:f>IF(ISNUMBER(K1151),L1150+LN(K1151),"")</x:f>
      </x:c>
    </x:row>
    <x:row r="1152">
      <x:c r="J1152" t="n">
        <x:f>1148</x:f>
        <x:v>1148</x:v>
      </x:c>
      <x:c r="K1152" t="str">
        <x:f>IF(J1152&lt;=$B$6,LARGE('계산'!$K$2:$K$2001,J1152),"")</x:f>
      </x:c>
      <x:c r="L1152" t="str">
        <x:f>IF(ISNUMBER(K1152),L1151+LN(K1152),"")</x:f>
      </x:c>
    </x:row>
    <x:row r="1153">
      <x:c r="J1153" t="n">
        <x:f>1149</x:f>
        <x:v>1149</x:v>
      </x:c>
      <x:c r="K1153" t="str">
        <x:f>IF(J1153&lt;=$B$6,LARGE('계산'!$K$2:$K$2001,J1153),"")</x:f>
      </x:c>
      <x:c r="L1153" t="str">
        <x:f>IF(ISNUMBER(K1153),L1152+LN(K1153),"")</x:f>
      </x:c>
    </x:row>
    <x:row r="1154">
      <x:c r="J1154" t="n">
        <x:f>1150</x:f>
        <x:v>1150</x:v>
      </x:c>
      <x:c r="K1154" t="str">
        <x:f>IF(J1154&lt;=$B$6,LARGE('계산'!$K$2:$K$2001,J1154),"")</x:f>
      </x:c>
      <x:c r="L1154" t="str">
        <x:f>IF(ISNUMBER(K1154),L1153+LN(K1154),"")</x:f>
      </x:c>
    </x:row>
    <x:row r="1155">
      <x:c r="J1155" t="n">
        <x:f>1151</x:f>
        <x:v>1151</x:v>
      </x:c>
      <x:c r="K1155" t="str">
        <x:f>IF(J1155&lt;=$B$6,LARGE('계산'!$K$2:$K$2001,J1155),"")</x:f>
      </x:c>
      <x:c r="L1155" t="str">
        <x:f>IF(ISNUMBER(K1155),L1154+LN(K1155),"")</x:f>
      </x:c>
    </x:row>
    <x:row r="1156">
      <x:c r="J1156" t="n">
        <x:f>1152</x:f>
        <x:v>1152</x:v>
      </x:c>
      <x:c r="K1156" t="str">
        <x:f>IF(J1156&lt;=$B$6,LARGE('계산'!$K$2:$K$2001,J1156),"")</x:f>
      </x:c>
      <x:c r="L1156" t="str">
        <x:f>IF(ISNUMBER(K1156),L1155+LN(K1156),"")</x:f>
      </x:c>
    </x:row>
    <x:row r="1157">
      <x:c r="J1157" t="n">
        <x:f>1153</x:f>
        <x:v>1153</x:v>
      </x:c>
      <x:c r="K1157" t="str">
        <x:f>IF(J1157&lt;=$B$6,LARGE('계산'!$K$2:$K$2001,J1157),"")</x:f>
      </x:c>
      <x:c r="L1157" t="str">
        <x:f>IF(ISNUMBER(K1157),L1156+LN(K1157),"")</x:f>
      </x:c>
    </x:row>
    <x:row r="1158">
      <x:c r="J1158" t="n">
        <x:f>1154</x:f>
        <x:v>1154</x:v>
      </x:c>
      <x:c r="K1158" t="str">
        <x:f>IF(J1158&lt;=$B$6,LARGE('계산'!$K$2:$K$2001,J1158),"")</x:f>
      </x:c>
      <x:c r="L1158" t="str">
        <x:f>IF(ISNUMBER(K1158),L1157+LN(K1158),"")</x:f>
      </x:c>
    </x:row>
    <x:row r="1159">
      <x:c r="J1159" t="n">
        <x:f>1155</x:f>
        <x:v>1155</x:v>
      </x:c>
      <x:c r="K1159" t="str">
        <x:f>IF(J1159&lt;=$B$6,LARGE('계산'!$K$2:$K$2001,J1159),"")</x:f>
      </x:c>
      <x:c r="L1159" t="str">
        <x:f>IF(ISNUMBER(K1159),L1158+LN(K1159),"")</x:f>
      </x:c>
    </x:row>
    <x:row r="1160">
      <x:c r="J1160" t="n">
        <x:f>1156</x:f>
        <x:v>1156</x:v>
      </x:c>
      <x:c r="K1160" t="str">
        <x:f>IF(J1160&lt;=$B$6,LARGE('계산'!$K$2:$K$2001,J1160),"")</x:f>
      </x:c>
      <x:c r="L1160" t="str">
        <x:f>IF(ISNUMBER(K1160),L1159+LN(K1160),"")</x:f>
      </x:c>
    </x:row>
    <x:row r="1161">
      <x:c r="J1161" t="n">
        <x:f>1157</x:f>
        <x:v>1157</x:v>
      </x:c>
      <x:c r="K1161" t="str">
        <x:f>IF(J1161&lt;=$B$6,LARGE('계산'!$K$2:$K$2001,J1161),"")</x:f>
      </x:c>
      <x:c r="L1161" t="str">
        <x:f>IF(ISNUMBER(K1161),L1160+LN(K1161),"")</x:f>
      </x:c>
    </x:row>
    <x:row r="1162">
      <x:c r="J1162" t="n">
        <x:f>1158</x:f>
        <x:v>1158</x:v>
      </x:c>
      <x:c r="K1162" t="str">
        <x:f>IF(J1162&lt;=$B$6,LARGE('계산'!$K$2:$K$2001,J1162),"")</x:f>
      </x:c>
      <x:c r="L1162" t="str">
        <x:f>IF(ISNUMBER(K1162),L1161+LN(K1162),"")</x:f>
      </x:c>
    </x:row>
    <x:row r="1163">
      <x:c r="J1163" t="n">
        <x:f>1159</x:f>
        <x:v>1159</x:v>
      </x:c>
      <x:c r="K1163" t="str">
        <x:f>IF(J1163&lt;=$B$6,LARGE('계산'!$K$2:$K$2001,J1163),"")</x:f>
      </x:c>
      <x:c r="L1163" t="str">
        <x:f>IF(ISNUMBER(K1163),L1162+LN(K1163),"")</x:f>
      </x:c>
    </x:row>
    <x:row r="1164">
      <x:c r="J1164" t="n">
        <x:f>1160</x:f>
        <x:v>1160</x:v>
      </x:c>
      <x:c r="K1164" t="str">
        <x:f>IF(J1164&lt;=$B$6,LARGE('계산'!$K$2:$K$2001,J1164),"")</x:f>
      </x:c>
      <x:c r="L1164" t="str">
        <x:f>IF(ISNUMBER(K1164),L1163+LN(K1164),"")</x:f>
      </x:c>
    </x:row>
    <x:row r="1165">
      <x:c r="J1165" t="n">
        <x:f>1161</x:f>
        <x:v>1161</x:v>
      </x:c>
      <x:c r="K1165" t="str">
        <x:f>IF(J1165&lt;=$B$6,LARGE('계산'!$K$2:$K$2001,J1165),"")</x:f>
      </x:c>
      <x:c r="L1165" t="str">
        <x:f>IF(ISNUMBER(K1165),L1164+LN(K1165),"")</x:f>
      </x:c>
    </x:row>
    <x:row r="1166">
      <x:c r="J1166" t="n">
        <x:f>1162</x:f>
        <x:v>1162</x:v>
      </x:c>
      <x:c r="K1166" t="str">
        <x:f>IF(J1166&lt;=$B$6,LARGE('계산'!$K$2:$K$2001,J1166),"")</x:f>
      </x:c>
      <x:c r="L1166" t="str">
        <x:f>IF(ISNUMBER(K1166),L1165+LN(K1166),"")</x:f>
      </x:c>
    </x:row>
    <x:row r="1167">
      <x:c r="J1167" t="n">
        <x:f>1163</x:f>
        <x:v>1163</x:v>
      </x:c>
      <x:c r="K1167" t="str">
        <x:f>IF(J1167&lt;=$B$6,LARGE('계산'!$K$2:$K$2001,J1167),"")</x:f>
      </x:c>
      <x:c r="L1167" t="str">
        <x:f>IF(ISNUMBER(K1167),L1166+LN(K1167),"")</x:f>
      </x:c>
    </x:row>
    <x:row r="1168">
      <x:c r="J1168" t="n">
        <x:f>1164</x:f>
        <x:v>1164</x:v>
      </x:c>
      <x:c r="K1168" t="str">
        <x:f>IF(J1168&lt;=$B$6,LARGE('계산'!$K$2:$K$2001,J1168),"")</x:f>
      </x:c>
      <x:c r="L1168" t="str">
        <x:f>IF(ISNUMBER(K1168),L1167+LN(K1168),"")</x:f>
      </x:c>
    </x:row>
    <x:row r="1169">
      <x:c r="J1169" t="n">
        <x:f>1165</x:f>
        <x:v>1165</x:v>
      </x:c>
      <x:c r="K1169" t="str">
        <x:f>IF(J1169&lt;=$B$6,LARGE('계산'!$K$2:$K$2001,J1169),"")</x:f>
      </x:c>
      <x:c r="L1169" t="str">
        <x:f>IF(ISNUMBER(K1169),L1168+LN(K1169),"")</x:f>
      </x:c>
    </x:row>
    <x:row r="1170">
      <x:c r="J1170" t="n">
        <x:f>1166</x:f>
        <x:v>1166</x:v>
      </x:c>
      <x:c r="K1170" t="str">
        <x:f>IF(J1170&lt;=$B$6,LARGE('계산'!$K$2:$K$2001,J1170),"")</x:f>
      </x:c>
      <x:c r="L1170" t="str">
        <x:f>IF(ISNUMBER(K1170),L1169+LN(K1170),"")</x:f>
      </x:c>
    </x:row>
    <x:row r="1171">
      <x:c r="J1171" t="n">
        <x:f>1167</x:f>
        <x:v>1167</x:v>
      </x:c>
      <x:c r="K1171" t="str">
        <x:f>IF(J1171&lt;=$B$6,LARGE('계산'!$K$2:$K$2001,J1171),"")</x:f>
      </x:c>
      <x:c r="L1171" t="str">
        <x:f>IF(ISNUMBER(K1171),L1170+LN(K1171),"")</x:f>
      </x:c>
    </x:row>
    <x:row r="1172">
      <x:c r="J1172" t="n">
        <x:f>1168</x:f>
        <x:v>1168</x:v>
      </x:c>
      <x:c r="K1172" t="str">
        <x:f>IF(J1172&lt;=$B$6,LARGE('계산'!$K$2:$K$2001,J1172),"")</x:f>
      </x:c>
      <x:c r="L1172" t="str">
        <x:f>IF(ISNUMBER(K1172),L1171+LN(K1172),"")</x:f>
      </x:c>
    </x:row>
    <x:row r="1173">
      <x:c r="J1173" t="n">
        <x:f>1169</x:f>
        <x:v>1169</x:v>
      </x:c>
      <x:c r="K1173" t="str">
        <x:f>IF(J1173&lt;=$B$6,LARGE('계산'!$K$2:$K$2001,J1173),"")</x:f>
      </x:c>
      <x:c r="L1173" t="str">
        <x:f>IF(ISNUMBER(K1173),L1172+LN(K1173),"")</x:f>
      </x:c>
    </x:row>
    <x:row r="1174">
      <x:c r="J1174" t="n">
        <x:f>1170</x:f>
        <x:v>1170</x:v>
      </x:c>
      <x:c r="K1174" t="str">
        <x:f>IF(J1174&lt;=$B$6,LARGE('계산'!$K$2:$K$2001,J1174),"")</x:f>
      </x:c>
      <x:c r="L1174" t="str">
        <x:f>IF(ISNUMBER(K1174),L1173+LN(K1174),"")</x:f>
      </x:c>
    </x:row>
    <x:row r="1175">
      <x:c r="J1175" t="n">
        <x:f>1171</x:f>
        <x:v>1171</x:v>
      </x:c>
      <x:c r="K1175" t="str">
        <x:f>IF(J1175&lt;=$B$6,LARGE('계산'!$K$2:$K$2001,J1175),"")</x:f>
      </x:c>
      <x:c r="L1175" t="str">
        <x:f>IF(ISNUMBER(K1175),L1174+LN(K1175),"")</x:f>
      </x:c>
    </x:row>
    <x:row r="1176">
      <x:c r="J1176" t="n">
        <x:f>1172</x:f>
        <x:v>1172</x:v>
      </x:c>
      <x:c r="K1176" t="str">
        <x:f>IF(J1176&lt;=$B$6,LARGE('계산'!$K$2:$K$2001,J1176),"")</x:f>
      </x:c>
      <x:c r="L1176" t="str">
        <x:f>IF(ISNUMBER(K1176),L1175+LN(K1176),"")</x:f>
      </x:c>
    </x:row>
    <x:row r="1177">
      <x:c r="J1177" t="n">
        <x:f>1173</x:f>
        <x:v>1173</x:v>
      </x:c>
      <x:c r="K1177" t="str">
        <x:f>IF(J1177&lt;=$B$6,LARGE('계산'!$K$2:$K$2001,J1177),"")</x:f>
      </x:c>
      <x:c r="L1177" t="str">
        <x:f>IF(ISNUMBER(K1177),L1176+LN(K1177),"")</x:f>
      </x:c>
    </x:row>
    <x:row r="1178">
      <x:c r="J1178" t="n">
        <x:f>1174</x:f>
        <x:v>1174</x:v>
      </x:c>
      <x:c r="K1178" t="str">
        <x:f>IF(J1178&lt;=$B$6,LARGE('계산'!$K$2:$K$2001,J1178),"")</x:f>
      </x:c>
      <x:c r="L1178" t="str">
        <x:f>IF(ISNUMBER(K1178),L1177+LN(K1178),"")</x:f>
      </x:c>
    </x:row>
    <x:row r="1179">
      <x:c r="J1179" t="n">
        <x:f>1175</x:f>
        <x:v>1175</x:v>
      </x:c>
      <x:c r="K1179" t="str">
        <x:f>IF(J1179&lt;=$B$6,LARGE('계산'!$K$2:$K$2001,J1179),"")</x:f>
      </x:c>
      <x:c r="L1179" t="str">
        <x:f>IF(ISNUMBER(K1179),L1178+LN(K1179),"")</x:f>
      </x:c>
    </x:row>
    <x:row r="1180">
      <x:c r="J1180" t="n">
        <x:f>1176</x:f>
        <x:v>1176</x:v>
      </x:c>
      <x:c r="K1180" t="str">
        <x:f>IF(J1180&lt;=$B$6,LARGE('계산'!$K$2:$K$2001,J1180),"")</x:f>
      </x:c>
      <x:c r="L1180" t="str">
        <x:f>IF(ISNUMBER(K1180),L1179+LN(K1180),"")</x:f>
      </x:c>
    </x:row>
    <x:row r="1181">
      <x:c r="J1181" t="n">
        <x:f>1177</x:f>
        <x:v>1177</x:v>
      </x:c>
      <x:c r="K1181" t="str">
        <x:f>IF(J1181&lt;=$B$6,LARGE('계산'!$K$2:$K$2001,J1181),"")</x:f>
      </x:c>
      <x:c r="L1181" t="str">
        <x:f>IF(ISNUMBER(K1181),L1180+LN(K1181),"")</x:f>
      </x:c>
    </x:row>
    <x:row r="1182">
      <x:c r="J1182" t="n">
        <x:f>1178</x:f>
        <x:v>1178</x:v>
      </x:c>
      <x:c r="K1182" t="str">
        <x:f>IF(J1182&lt;=$B$6,LARGE('계산'!$K$2:$K$2001,J1182),"")</x:f>
      </x:c>
      <x:c r="L1182" t="str">
        <x:f>IF(ISNUMBER(K1182),L1181+LN(K1182),"")</x:f>
      </x:c>
    </x:row>
    <x:row r="1183">
      <x:c r="J1183" t="n">
        <x:f>1179</x:f>
        <x:v>1179</x:v>
      </x:c>
      <x:c r="K1183" t="str">
        <x:f>IF(J1183&lt;=$B$6,LARGE('계산'!$K$2:$K$2001,J1183),"")</x:f>
      </x:c>
      <x:c r="L1183" t="str">
        <x:f>IF(ISNUMBER(K1183),L1182+LN(K1183),"")</x:f>
      </x:c>
    </x:row>
    <x:row r="1184">
      <x:c r="J1184" t="n">
        <x:f>1180</x:f>
        <x:v>1180</x:v>
      </x:c>
      <x:c r="K1184" t="str">
        <x:f>IF(J1184&lt;=$B$6,LARGE('계산'!$K$2:$K$2001,J1184),"")</x:f>
      </x:c>
      <x:c r="L1184" t="str">
        <x:f>IF(ISNUMBER(K1184),L1183+LN(K1184),"")</x:f>
      </x:c>
    </x:row>
    <x:row r="1185">
      <x:c r="J1185" t="n">
        <x:f>1181</x:f>
        <x:v>1181</x:v>
      </x:c>
      <x:c r="K1185" t="str">
        <x:f>IF(J1185&lt;=$B$6,LARGE('계산'!$K$2:$K$2001,J1185),"")</x:f>
      </x:c>
      <x:c r="L1185" t="str">
        <x:f>IF(ISNUMBER(K1185),L1184+LN(K1185),"")</x:f>
      </x:c>
    </x:row>
    <x:row r="1186">
      <x:c r="J1186" t="n">
        <x:f>1182</x:f>
        <x:v>1182</x:v>
      </x:c>
      <x:c r="K1186" t="str">
        <x:f>IF(J1186&lt;=$B$6,LARGE('계산'!$K$2:$K$2001,J1186),"")</x:f>
      </x:c>
      <x:c r="L1186" t="str">
        <x:f>IF(ISNUMBER(K1186),L1185+LN(K1186),"")</x:f>
      </x:c>
    </x:row>
    <x:row r="1187">
      <x:c r="J1187" t="n">
        <x:f>1183</x:f>
        <x:v>1183</x:v>
      </x:c>
      <x:c r="K1187" t="str">
        <x:f>IF(J1187&lt;=$B$6,LARGE('계산'!$K$2:$K$2001,J1187),"")</x:f>
      </x:c>
      <x:c r="L1187" t="str">
        <x:f>IF(ISNUMBER(K1187),L1186+LN(K1187),"")</x:f>
      </x:c>
    </x:row>
    <x:row r="1188">
      <x:c r="J1188" t="n">
        <x:f>1184</x:f>
        <x:v>1184</x:v>
      </x:c>
      <x:c r="K1188" t="str">
        <x:f>IF(J1188&lt;=$B$6,LARGE('계산'!$K$2:$K$2001,J1188),"")</x:f>
      </x:c>
      <x:c r="L1188" t="str">
        <x:f>IF(ISNUMBER(K1188),L1187+LN(K1188),"")</x:f>
      </x:c>
    </x:row>
    <x:row r="1189">
      <x:c r="J1189" t="n">
        <x:f>1185</x:f>
        <x:v>1185</x:v>
      </x:c>
      <x:c r="K1189" t="str">
        <x:f>IF(J1189&lt;=$B$6,LARGE('계산'!$K$2:$K$2001,J1189),"")</x:f>
      </x:c>
      <x:c r="L1189" t="str">
        <x:f>IF(ISNUMBER(K1189),L1188+LN(K1189),"")</x:f>
      </x:c>
    </x:row>
    <x:row r="1190">
      <x:c r="J1190" t="n">
        <x:f>1186</x:f>
        <x:v>1186</x:v>
      </x:c>
      <x:c r="K1190" t="str">
        <x:f>IF(J1190&lt;=$B$6,LARGE('계산'!$K$2:$K$2001,J1190),"")</x:f>
      </x:c>
      <x:c r="L1190" t="str">
        <x:f>IF(ISNUMBER(K1190),L1189+LN(K1190),"")</x:f>
      </x:c>
    </x:row>
    <x:row r="1191">
      <x:c r="J1191" t="n">
        <x:f>1187</x:f>
        <x:v>1187</x:v>
      </x:c>
      <x:c r="K1191" t="str">
        <x:f>IF(J1191&lt;=$B$6,LARGE('계산'!$K$2:$K$2001,J1191),"")</x:f>
      </x:c>
      <x:c r="L1191" t="str">
        <x:f>IF(ISNUMBER(K1191),L1190+LN(K1191),"")</x:f>
      </x:c>
    </x:row>
    <x:row r="1192">
      <x:c r="J1192" t="n">
        <x:f>1188</x:f>
        <x:v>1188</x:v>
      </x:c>
      <x:c r="K1192" t="str">
        <x:f>IF(J1192&lt;=$B$6,LARGE('계산'!$K$2:$K$2001,J1192),"")</x:f>
      </x:c>
      <x:c r="L1192" t="str">
        <x:f>IF(ISNUMBER(K1192),L1191+LN(K1192),"")</x:f>
      </x:c>
    </x:row>
    <x:row r="1193">
      <x:c r="J1193" t="n">
        <x:f>1189</x:f>
        <x:v>1189</x:v>
      </x:c>
      <x:c r="K1193" t="str">
        <x:f>IF(J1193&lt;=$B$6,LARGE('계산'!$K$2:$K$2001,J1193),"")</x:f>
      </x:c>
      <x:c r="L1193" t="str">
        <x:f>IF(ISNUMBER(K1193),L1192+LN(K1193),"")</x:f>
      </x:c>
    </x:row>
    <x:row r="1194">
      <x:c r="J1194" t="n">
        <x:f>1190</x:f>
        <x:v>1190</x:v>
      </x:c>
      <x:c r="K1194" t="str">
        <x:f>IF(J1194&lt;=$B$6,LARGE('계산'!$K$2:$K$2001,J1194),"")</x:f>
      </x:c>
      <x:c r="L1194" t="str">
        <x:f>IF(ISNUMBER(K1194),L1193+LN(K1194),"")</x:f>
      </x:c>
    </x:row>
    <x:row r="1195">
      <x:c r="J1195" t="n">
        <x:f>1191</x:f>
        <x:v>1191</x:v>
      </x:c>
      <x:c r="K1195" t="str">
        <x:f>IF(J1195&lt;=$B$6,LARGE('계산'!$K$2:$K$2001,J1195),"")</x:f>
      </x:c>
      <x:c r="L1195" t="str">
        <x:f>IF(ISNUMBER(K1195),L1194+LN(K1195),"")</x:f>
      </x:c>
    </x:row>
    <x:row r="1196">
      <x:c r="J1196" t="n">
        <x:f>1192</x:f>
        <x:v>1192</x:v>
      </x:c>
      <x:c r="K1196" t="str">
        <x:f>IF(J1196&lt;=$B$6,LARGE('계산'!$K$2:$K$2001,J1196),"")</x:f>
      </x:c>
      <x:c r="L1196" t="str">
        <x:f>IF(ISNUMBER(K1196),L1195+LN(K1196),"")</x:f>
      </x:c>
    </x:row>
    <x:row r="1197">
      <x:c r="J1197" t="n">
        <x:f>1193</x:f>
        <x:v>1193</x:v>
      </x:c>
      <x:c r="K1197" t="str">
        <x:f>IF(J1197&lt;=$B$6,LARGE('계산'!$K$2:$K$2001,J1197),"")</x:f>
      </x:c>
      <x:c r="L1197" t="str">
        <x:f>IF(ISNUMBER(K1197),L1196+LN(K1197),"")</x:f>
      </x:c>
    </x:row>
    <x:row r="1198">
      <x:c r="J1198" t="n">
        <x:f>1194</x:f>
        <x:v>1194</x:v>
      </x:c>
      <x:c r="K1198" t="str">
        <x:f>IF(J1198&lt;=$B$6,LARGE('계산'!$K$2:$K$2001,J1198),"")</x:f>
      </x:c>
      <x:c r="L1198" t="str">
        <x:f>IF(ISNUMBER(K1198),L1197+LN(K1198),"")</x:f>
      </x:c>
    </x:row>
    <x:row r="1199">
      <x:c r="J1199" t="n">
        <x:f>1195</x:f>
        <x:v>1195</x:v>
      </x:c>
      <x:c r="K1199" t="str">
        <x:f>IF(J1199&lt;=$B$6,LARGE('계산'!$K$2:$K$2001,J1199),"")</x:f>
      </x:c>
      <x:c r="L1199" t="str">
        <x:f>IF(ISNUMBER(K1199),L1198+LN(K1199),"")</x:f>
      </x:c>
    </x:row>
    <x:row r="1200">
      <x:c r="J1200" t="n">
        <x:f>1196</x:f>
        <x:v>1196</x:v>
      </x:c>
      <x:c r="K1200" t="str">
        <x:f>IF(J1200&lt;=$B$6,LARGE('계산'!$K$2:$K$2001,J1200),"")</x:f>
      </x:c>
      <x:c r="L1200" t="str">
        <x:f>IF(ISNUMBER(K1200),L1199+LN(K1200),"")</x:f>
      </x:c>
    </x:row>
    <x:row r="1201">
      <x:c r="J1201" t="n">
        <x:f>1197</x:f>
        <x:v>1197</x:v>
      </x:c>
      <x:c r="K1201" t="str">
        <x:f>IF(J1201&lt;=$B$6,LARGE('계산'!$K$2:$K$2001,J1201),"")</x:f>
      </x:c>
      <x:c r="L1201" t="str">
        <x:f>IF(ISNUMBER(K1201),L1200+LN(K1201),"")</x:f>
      </x:c>
    </x:row>
    <x:row r="1202">
      <x:c r="J1202" t="n">
        <x:f>1198</x:f>
        <x:v>1198</x:v>
      </x:c>
      <x:c r="K1202" t="str">
        <x:f>IF(J1202&lt;=$B$6,LARGE('계산'!$K$2:$K$2001,J1202),"")</x:f>
      </x:c>
      <x:c r="L1202" t="str">
        <x:f>IF(ISNUMBER(K1202),L1201+LN(K1202),"")</x:f>
      </x:c>
    </x:row>
    <x:row r="1203">
      <x:c r="J1203" t="n">
        <x:f>1199</x:f>
        <x:v>1199</x:v>
      </x:c>
      <x:c r="K1203" t="str">
        <x:f>IF(J1203&lt;=$B$6,LARGE('계산'!$K$2:$K$2001,J1203),"")</x:f>
      </x:c>
      <x:c r="L1203" t="str">
        <x:f>IF(ISNUMBER(K1203),L1202+LN(K1203),"")</x:f>
      </x:c>
    </x:row>
    <x:row r="1204">
      <x:c r="J1204" t="n">
        <x:f>1200</x:f>
        <x:v>1200</x:v>
      </x:c>
      <x:c r="K1204" t="str">
        <x:f>IF(J1204&lt;=$B$6,LARGE('계산'!$K$2:$K$2001,J1204),"")</x:f>
      </x:c>
      <x:c r="L1204" t="str">
        <x:f>IF(ISNUMBER(K1204),L1203+LN(K1204),"")</x:f>
      </x:c>
    </x:row>
    <x:row r="1205">
      <x:c r="J1205" t="n">
        <x:f>1201</x:f>
        <x:v>1201</x:v>
      </x:c>
      <x:c r="K1205" t="str">
        <x:f>IF(J1205&lt;=$B$6,LARGE('계산'!$K$2:$K$2001,J1205),"")</x:f>
      </x:c>
      <x:c r="L1205" t="str">
        <x:f>IF(ISNUMBER(K1205),L1204+LN(K1205),"")</x:f>
      </x:c>
    </x:row>
    <x:row r="1206">
      <x:c r="J1206" t="n">
        <x:f>1202</x:f>
        <x:v>1202</x:v>
      </x:c>
      <x:c r="K1206" t="str">
        <x:f>IF(J1206&lt;=$B$6,LARGE('계산'!$K$2:$K$2001,J1206),"")</x:f>
      </x:c>
      <x:c r="L1206" t="str">
        <x:f>IF(ISNUMBER(K1206),L1205+LN(K1206),"")</x:f>
      </x:c>
    </x:row>
    <x:row r="1207">
      <x:c r="J1207" t="n">
        <x:f>1203</x:f>
        <x:v>1203</x:v>
      </x:c>
      <x:c r="K1207" t="str">
        <x:f>IF(J1207&lt;=$B$6,LARGE('계산'!$K$2:$K$2001,J1207),"")</x:f>
      </x:c>
      <x:c r="L1207" t="str">
        <x:f>IF(ISNUMBER(K1207),L1206+LN(K1207),"")</x:f>
      </x:c>
    </x:row>
    <x:row r="1208">
      <x:c r="J1208" t="n">
        <x:f>1204</x:f>
        <x:v>1204</x:v>
      </x:c>
      <x:c r="K1208" t="str">
        <x:f>IF(J1208&lt;=$B$6,LARGE('계산'!$K$2:$K$2001,J1208),"")</x:f>
      </x:c>
      <x:c r="L1208" t="str">
        <x:f>IF(ISNUMBER(K1208),L1207+LN(K1208),"")</x:f>
      </x:c>
    </x:row>
    <x:row r="1209">
      <x:c r="J1209" t="n">
        <x:f>1205</x:f>
        <x:v>1205</x:v>
      </x:c>
      <x:c r="K1209" t="str">
        <x:f>IF(J1209&lt;=$B$6,LARGE('계산'!$K$2:$K$2001,J1209),"")</x:f>
      </x:c>
      <x:c r="L1209" t="str">
        <x:f>IF(ISNUMBER(K1209),L1208+LN(K1209),"")</x:f>
      </x:c>
    </x:row>
    <x:row r="1210">
      <x:c r="J1210" t="n">
        <x:f>1206</x:f>
        <x:v>1206</x:v>
      </x:c>
      <x:c r="K1210" t="str">
        <x:f>IF(J1210&lt;=$B$6,LARGE('계산'!$K$2:$K$2001,J1210),"")</x:f>
      </x:c>
      <x:c r="L1210" t="str">
        <x:f>IF(ISNUMBER(K1210),L1209+LN(K1210),"")</x:f>
      </x:c>
    </x:row>
    <x:row r="1211">
      <x:c r="J1211" t="n">
        <x:f>1207</x:f>
        <x:v>1207</x:v>
      </x:c>
      <x:c r="K1211" t="str">
        <x:f>IF(J1211&lt;=$B$6,LARGE('계산'!$K$2:$K$2001,J1211),"")</x:f>
      </x:c>
      <x:c r="L1211" t="str">
        <x:f>IF(ISNUMBER(K1211),L1210+LN(K1211),"")</x:f>
      </x:c>
    </x:row>
    <x:row r="1212">
      <x:c r="J1212" t="n">
        <x:f>1208</x:f>
        <x:v>1208</x:v>
      </x:c>
      <x:c r="K1212" t="str">
        <x:f>IF(J1212&lt;=$B$6,LARGE('계산'!$K$2:$K$2001,J1212),"")</x:f>
      </x:c>
      <x:c r="L1212" t="str">
        <x:f>IF(ISNUMBER(K1212),L1211+LN(K1212),"")</x:f>
      </x:c>
    </x:row>
    <x:row r="1213">
      <x:c r="J1213" t="n">
        <x:f>1209</x:f>
        <x:v>1209</x:v>
      </x:c>
      <x:c r="K1213" t="str">
        <x:f>IF(J1213&lt;=$B$6,LARGE('계산'!$K$2:$K$2001,J1213),"")</x:f>
      </x:c>
      <x:c r="L1213" t="str">
        <x:f>IF(ISNUMBER(K1213),L1212+LN(K1213),"")</x:f>
      </x:c>
    </x:row>
    <x:row r="1214">
      <x:c r="J1214" t="n">
        <x:f>1210</x:f>
        <x:v>1210</x:v>
      </x:c>
      <x:c r="K1214" t="str">
        <x:f>IF(J1214&lt;=$B$6,LARGE('계산'!$K$2:$K$2001,J1214),"")</x:f>
      </x:c>
      <x:c r="L1214" t="str">
        <x:f>IF(ISNUMBER(K1214),L1213+LN(K1214),"")</x:f>
      </x:c>
    </x:row>
    <x:row r="1215">
      <x:c r="J1215" t="n">
        <x:f>1211</x:f>
        <x:v>1211</x:v>
      </x:c>
      <x:c r="K1215" t="str">
        <x:f>IF(J1215&lt;=$B$6,LARGE('계산'!$K$2:$K$2001,J1215),"")</x:f>
      </x:c>
      <x:c r="L1215" t="str">
        <x:f>IF(ISNUMBER(K1215),L1214+LN(K1215),"")</x:f>
      </x:c>
    </x:row>
    <x:row r="1216">
      <x:c r="J1216" t="n">
        <x:f>1212</x:f>
        <x:v>1212</x:v>
      </x:c>
      <x:c r="K1216" t="str">
        <x:f>IF(J1216&lt;=$B$6,LARGE('계산'!$K$2:$K$2001,J1216),"")</x:f>
      </x:c>
      <x:c r="L1216" t="str">
        <x:f>IF(ISNUMBER(K1216),L1215+LN(K1216),"")</x:f>
      </x:c>
    </x:row>
    <x:row r="1217">
      <x:c r="J1217" t="n">
        <x:f>1213</x:f>
        <x:v>1213</x:v>
      </x:c>
      <x:c r="K1217" t="str">
        <x:f>IF(J1217&lt;=$B$6,LARGE('계산'!$K$2:$K$2001,J1217),"")</x:f>
      </x:c>
      <x:c r="L1217" t="str">
        <x:f>IF(ISNUMBER(K1217),L1216+LN(K1217),"")</x:f>
      </x:c>
    </x:row>
    <x:row r="1218">
      <x:c r="J1218" t="n">
        <x:f>1214</x:f>
        <x:v>1214</x:v>
      </x:c>
      <x:c r="K1218" t="str">
        <x:f>IF(J1218&lt;=$B$6,LARGE('계산'!$K$2:$K$2001,J1218),"")</x:f>
      </x:c>
      <x:c r="L1218" t="str">
        <x:f>IF(ISNUMBER(K1218),L1217+LN(K1218),"")</x:f>
      </x:c>
    </x:row>
    <x:row r="1219">
      <x:c r="J1219" t="n">
        <x:f>1215</x:f>
        <x:v>1215</x:v>
      </x:c>
      <x:c r="K1219" t="str">
        <x:f>IF(J1219&lt;=$B$6,LARGE('계산'!$K$2:$K$2001,J1219),"")</x:f>
      </x:c>
      <x:c r="L1219" t="str">
        <x:f>IF(ISNUMBER(K1219),L1218+LN(K1219),"")</x:f>
      </x:c>
    </x:row>
    <x:row r="1220">
      <x:c r="J1220" t="n">
        <x:f>1216</x:f>
        <x:v>1216</x:v>
      </x:c>
      <x:c r="K1220" t="str">
        <x:f>IF(J1220&lt;=$B$6,LARGE('계산'!$K$2:$K$2001,J1220),"")</x:f>
      </x:c>
      <x:c r="L1220" t="str">
        <x:f>IF(ISNUMBER(K1220),L1219+LN(K1220),"")</x:f>
      </x:c>
    </x:row>
    <x:row r="1221">
      <x:c r="J1221" t="n">
        <x:f>1217</x:f>
        <x:v>1217</x:v>
      </x:c>
      <x:c r="K1221" t="str">
        <x:f>IF(J1221&lt;=$B$6,LARGE('계산'!$K$2:$K$2001,J1221),"")</x:f>
      </x:c>
      <x:c r="L1221" t="str">
        <x:f>IF(ISNUMBER(K1221),L1220+LN(K1221),"")</x:f>
      </x:c>
    </x:row>
    <x:row r="1222">
      <x:c r="J1222" t="n">
        <x:f>1218</x:f>
        <x:v>1218</x:v>
      </x:c>
      <x:c r="K1222" t="str">
        <x:f>IF(J1222&lt;=$B$6,LARGE('계산'!$K$2:$K$2001,J1222),"")</x:f>
      </x:c>
      <x:c r="L1222" t="str">
        <x:f>IF(ISNUMBER(K1222),L1221+LN(K1222),"")</x:f>
      </x:c>
    </x:row>
    <x:row r="1223">
      <x:c r="J1223" t="n">
        <x:f>1219</x:f>
        <x:v>1219</x:v>
      </x:c>
      <x:c r="K1223" t="str">
        <x:f>IF(J1223&lt;=$B$6,LARGE('계산'!$K$2:$K$2001,J1223),"")</x:f>
      </x:c>
      <x:c r="L1223" t="str">
        <x:f>IF(ISNUMBER(K1223),L1222+LN(K1223),"")</x:f>
      </x:c>
    </x:row>
    <x:row r="1224">
      <x:c r="J1224" t="n">
        <x:f>1220</x:f>
        <x:v>1220</x:v>
      </x:c>
      <x:c r="K1224" t="str">
        <x:f>IF(J1224&lt;=$B$6,LARGE('계산'!$K$2:$K$2001,J1224),"")</x:f>
      </x:c>
      <x:c r="L1224" t="str">
        <x:f>IF(ISNUMBER(K1224),L1223+LN(K1224),"")</x:f>
      </x:c>
    </x:row>
    <x:row r="1225">
      <x:c r="J1225" t="n">
        <x:f>1221</x:f>
        <x:v>1221</x:v>
      </x:c>
      <x:c r="K1225" t="str">
        <x:f>IF(J1225&lt;=$B$6,LARGE('계산'!$K$2:$K$2001,J1225),"")</x:f>
      </x:c>
      <x:c r="L1225" t="str">
        <x:f>IF(ISNUMBER(K1225),L1224+LN(K1225),"")</x:f>
      </x:c>
    </x:row>
    <x:row r="1226">
      <x:c r="J1226" t="n">
        <x:f>1222</x:f>
        <x:v>1222</x:v>
      </x:c>
      <x:c r="K1226" t="str">
        <x:f>IF(J1226&lt;=$B$6,LARGE('계산'!$K$2:$K$2001,J1226),"")</x:f>
      </x:c>
      <x:c r="L1226" t="str">
        <x:f>IF(ISNUMBER(K1226),L1225+LN(K1226),"")</x:f>
      </x:c>
    </x:row>
    <x:row r="1227">
      <x:c r="J1227" t="n">
        <x:f>1223</x:f>
        <x:v>1223</x:v>
      </x:c>
      <x:c r="K1227" t="str">
        <x:f>IF(J1227&lt;=$B$6,LARGE('계산'!$K$2:$K$2001,J1227),"")</x:f>
      </x:c>
      <x:c r="L1227" t="str">
        <x:f>IF(ISNUMBER(K1227),L1226+LN(K1227),"")</x:f>
      </x:c>
    </x:row>
    <x:row r="1228">
      <x:c r="J1228" t="n">
        <x:f>1224</x:f>
        <x:v>1224</x:v>
      </x:c>
      <x:c r="K1228" t="str">
        <x:f>IF(J1228&lt;=$B$6,LARGE('계산'!$K$2:$K$2001,J1228),"")</x:f>
      </x:c>
      <x:c r="L1228" t="str">
        <x:f>IF(ISNUMBER(K1228),L1227+LN(K1228),"")</x:f>
      </x:c>
    </x:row>
    <x:row r="1229">
      <x:c r="J1229" t="n">
        <x:f>1225</x:f>
        <x:v>1225</x:v>
      </x:c>
      <x:c r="K1229" t="str">
        <x:f>IF(J1229&lt;=$B$6,LARGE('계산'!$K$2:$K$2001,J1229),"")</x:f>
      </x:c>
      <x:c r="L1229" t="str">
        <x:f>IF(ISNUMBER(K1229),L1228+LN(K1229),"")</x:f>
      </x:c>
    </x:row>
    <x:row r="1230">
      <x:c r="J1230" t="n">
        <x:f>1226</x:f>
        <x:v>1226</x:v>
      </x:c>
      <x:c r="K1230" t="str">
        <x:f>IF(J1230&lt;=$B$6,LARGE('계산'!$K$2:$K$2001,J1230),"")</x:f>
      </x:c>
      <x:c r="L1230" t="str">
        <x:f>IF(ISNUMBER(K1230),L1229+LN(K1230),"")</x:f>
      </x:c>
    </x:row>
    <x:row r="1231">
      <x:c r="J1231" t="n">
        <x:f>1227</x:f>
        <x:v>1227</x:v>
      </x:c>
      <x:c r="K1231" t="str">
        <x:f>IF(J1231&lt;=$B$6,LARGE('계산'!$K$2:$K$2001,J1231),"")</x:f>
      </x:c>
      <x:c r="L1231" t="str">
        <x:f>IF(ISNUMBER(K1231),L1230+LN(K1231),"")</x:f>
      </x:c>
    </x:row>
    <x:row r="1232">
      <x:c r="J1232" t="n">
        <x:f>1228</x:f>
        <x:v>1228</x:v>
      </x:c>
      <x:c r="K1232" t="str">
        <x:f>IF(J1232&lt;=$B$6,LARGE('계산'!$K$2:$K$2001,J1232),"")</x:f>
      </x:c>
      <x:c r="L1232" t="str">
        <x:f>IF(ISNUMBER(K1232),L1231+LN(K1232),"")</x:f>
      </x:c>
    </x:row>
    <x:row r="1233">
      <x:c r="J1233" t="n">
        <x:f>1229</x:f>
        <x:v>1229</x:v>
      </x:c>
      <x:c r="K1233" t="str">
        <x:f>IF(J1233&lt;=$B$6,LARGE('계산'!$K$2:$K$2001,J1233),"")</x:f>
      </x:c>
      <x:c r="L1233" t="str">
        <x:f>IF(ISNUMBER(K1233),L1232+LN(K1233),"")</x:f>
      </x:c>
    </x:row>
    <x:row r="1234">
      <x:c r="J1234" t="n">
        <x:f>1230</x:f>
        <x:v>1230</x:v>
      </x:c>
      <x:c r="K1234" t="str">
        <x:f>IF(J1234&lt;=$B$6,LARGE('계산'!$K$2:$K$2001,J1234),"")</x:f>
      </x:c>
      <x:c r="L1234" t="str">
        <x:f>IF(ISNUMBER(K1234),L1233+LN(K1234),"")</x:f>
      </x:c>
    </x:row>
    <x:row r="1235">
      <x:c r="J1235" t="n">
        <x:f>1231</x:f>
        <x:v>1231</x:v>
      </x:c>
      <x:c r="K1235" t="str">
        <x:f>IF(J1235&lt;=$B$6,LARGE('계산'!$K$2:$K$2001,J1235),"")</x:f>
      </x:c>
      <x:c r="L1235" t="str">
        <x:f>IF(ISNUMBER(K1235),L1234+LN(K1235),"")</x:f>
      </x:c>
    </x:row>
    <x:row r="1236">
      <x:c r="J1236" t="n">
        <x:f>1232</x:f>
        <x:v>1232</x:v>
      </x:c>
      <x:c r="K1236" t="str">
        <x:f>IF(J1236&lt;=$B$6,LARGE('계산'!$K$2:$K$2001,J1236),"")</x:f>
      </x:c>
      <x:c r="L1236" t="str">
        <x:f>IF(ISNUMBER(K1236),L1235+LN(K1236),"")</x:f>
      </x:c>
    </x:row>
    <x:row r="1237">
      <x:c r="J1237" t="n">
        <x:f>1233</x:f>
        <x:v>1233</x:v>
      </x:c>
      <x:c r="K1237" t="str">
        <x:f>IF(J1237&lt;=$B$6,LARGE('계산'!$K$2:$K$2001,J1237),"")</x:f>
      </x:c>
      <x:c r="L1237" t="str">
        <x:f>IF(ISNUMBER(K1237),L1236+LN(K1237),"")</x:f>
      </x:c>
    </x:row>
    <x:row r="1238">
      <x:c r="J1238" t="n">
        <x:f>1234</x:f>
        <x:v>1234</x:v>
      </x:c>
      <x:c r="K1238" t="str">
        <x:f>IF(J1238&lt;=$B$6,LARGE('계산'!$K$2:$K$2001,J1238),"")</x:f>
      </x:c>
      <x:c r="L1238" t="str">
        <x:f>IF(ISNUMBER(K1238),L1237+LN(K1238),"")</x:f>
      </x:c>
    </x:row>
    <x:row r="1239">
      <x:c r="J1239" t="n">
        <x:f>1235</x:f>
        <x:v>1235</x:v>
      </x:c>
      <x:c r="K1239" t="str">
        <x:f>IF(J1239&lt;=$B$6,LARGE('계산'!$K$2:$K$2001,J1239),"")</x:f>
      </x:c>
      <x:c r="L1239" t="str">
        <x:f>IF(ISNUMBER(K1239),L1238+LN(K1239),"")</x:f>
      </x:c>
    </x:row>
    <x:row r="1240">
      <x:c r="J1240" t="n">
        <x:f>1236</x:f>
        <x:v>1236</x:v>
      </x:c>
      <x:c r="K1240" t="str">
        <x:f>IF(J1240&lt;=$B$6,LARGE('계산'!$K$2:$K$2001,J1240),"")</x:f>
      </x:c>
      <x:c r="L1240" t="str">
        <x:f>IF(ISNUMBER(K1240),L1239+LN(K1240),"")</x:f>
      </x:c>
    </x:row>
    <x:row r="1241">
      <x:c r="J1241" t="n">
        <x:f>1237</x:f>
        <x:v>1237</x:v>
      </x:c>
      <x:c r="K1241" t="str">
        <x:f>IF(J1241&lt;=$B$6,LARGE('계산'!$K$2:$K$2001,J1241),"")</x:f>
      </x:c>
      <x:c r="L1241" t="str">
        <x:f>IF(ISNUMBER(K1241),L1240+LN(K1241),"")</x:f>
      </x:c>
    </x:row>
    <x:row r="1242">
      <x:c r="J1242" t="n">
        <x:f>1238</x:f>
        <x:v>1238</x:v>
      </x:c>
      <x:c r="K1242" t="str">
        <x:f>IF(J1242&lt;=$B$6,LARGE('계산'!$K$2:$K$2001,J1242),"")</x:f>
      </x:c>
      <x:c r="L1242" t="str">
        <x:f>IF(ISNUMBER(K1242),L1241+LN(K1242),"")</x:f>
      </x:c>
    </x:row>
    <x:row r="1243">
      <x:c r="J1243" t="n">
        <x:f>1239</x:f>
        <x:v>1239</x:v>
      </x:c>
      <x:c r="K1243" t="str">
        <x:f>IF(J1243&lt;=$B$6,LARGE('계산'!$K$2:$K$2001,J1243),"")</x:f>
      </x:c>
      <x:c r="L1243" t="str">
        <x:f>IF(ISNUMBER(K1243),L1242+LN(K1243),"")</x:f>
      </x:c>
    </x:row>
    <x:row r="1244">
      <x:c r="J1244" t="n">
        <x:f>1240</x:f>
        <x:v>1240</x:v>
      </x:c>
      <x:c r="K1244" t="str">
        <x:f>IF(J1244&lt;=$B$6,LARGE('계산'!$K$2:$K$2001,J1244),"")</x:f>
      </x:c>
      <x:c r="L1244" t="str">
        <x:f>IF(ISNUMBER(K1244),L1243+LN(K1244),"")</x:f>
      </x:c>
    </x:row>
    <x:row r="1245">
      <x:c r="J1245" t="n">
        <x:f>1241</x:f>
        <x:v>1241</x:v>
      </x:c>
      <x:c r="K1245" t="str">
        <x:f>IF(J1245&lt;=$B$6,LARGE('계산'!$K$2:$K$2001,J1245),"")</x:f>
      </x:c>
      <x:c r="L1245" t="str">
        <x:f>IF(ISNUMBER(K1245),L1244+LN(K1245),"")</x:f>
      </x:c>
    </x:row>
    <x:row r="1246">
      <x:c r="J1246" t="n">
        <x:f>1242</x:f>
        <x:v>1242</x:v>
      </x:c>
      <x:c r="K1246" t="str">
        <x:f>IF(J1246&lt;=$B$6,LARGE('계산'!$K$2:$K$2001,J1246),"")</x:f>
      </x:c>
      <x:c r="L1246" t="str">
        <x:f>IF(ISNUMBER(K1246),L1245+LN(K1246),"")</x:f>
      </x:c>
    </x:row>
    <x:row r="1247">
      <x:c r="J1247" t="n">
        <x:f>1243</x:f>
        <x:v>1243</x:v>
      </x:c>
      <x:c r="K1247" t="str">
        <x:f>IF(J1247&lt;=$B$6,LARGE('계산'!$K$2:$K$2001,J1247),"")</x:f>
      </x:c>
      <x:c r="L1247" t="str">
        <x:f>IF(ISNUMBER(K1247),L1246+LN(K1247),"")</x:f>
      </x:c>
    </x:row>
    <x:row r="1248">
      <x:c r="J1248" t="n">
        <x:f>1244</x:f>
        <x:v>1244</x:v>
      </x:c>
      <x:c r="K1248" t="str">
        <x:f>IF(J1248&lt;=$B$6,LARGE('계산'!$K$2:$K$2001,J1248),"")</x:f>
      </x:c>
      <x:c r="L1248" t="str">
        <x:f>IF(ISNUMBER(K1248),L1247+LN(K1248),"")</x:f>
      </x:c>
    </x:row>
    <x:row r="1249">
      <x:c r="J1249" t="n">
        <x:f>1245</x:f>
        <x:v>1245</x:v>
      </x:c>
      <x:c r="K1249" t="str">
        <x:f>IF(J1249&lt;=$B$6,LARGE('계산'!$K$2:$K$2001,J1249),"")</x:f>
      </x:c>
      <x:c r="L1249" t="str">
        <x:f>IF(ISNUMBER(K1249),L1248+LN(K1249),"")</x:f>
      </x:c>
    </x:row>
    <x:row r="1250">
      <x:c r="J1250" t="n">
        <x:f>1246</x:f>
        <x:v>1246</x:v>
      </x:c>
      <x:c r="K1250" t="str">
        <x:f>IF(J1250&lt;=$B$6,LARGE('계산'!$K$2:$K$2001,J1250),"")</x:f>
      </x:c>
      <x:c r="L1250" t="str">
        <x:f>IF(ISNUMBER(K1250),L1249+LN(K1250),"")</x:f>
      </x:c>
    </x:row>
    <x:row r="1251">
      <x:c r="J1251" t="n">
        <x:f>1247</x:f>
        <x:v>1247</x:v>
      </x:c>
      <x:c r="K1251" t="str">
        <x:f>IF(J1251&lt;=$B$6,LARGE('계산'!$K$2:$K$2001,J1251),"")</x:f>
      </x:c>
      <x:c r="L1251" t="str">
        <x:f>IF(ISNUMBER(K1251),L1250+LN(K1251),"")</x:f>
      </x:c>
    </x:row>
    <x:row r="1252">
      <x:c r="J1252" t="n">
        <x:f>1248</x:f>
        <x:v>1248</x:v>
      </x:c>
      <x:c r="K1252" t="str">
        <x:f>IF(J1252&lt;=$B$6,LARGE('계산'!$K$2:$K$2001,J1252),"")</x:f>
      </x:c>
      <x:c r="L1252" t="str">
        <x:f>IF(ISNUMBER(K1252),L1251+LN(K1252),"")</x:f>
      </x:c>
    </x:row>
    <x:row r="1253">
      <x:c r="J1253" t="n">
        <x:f>1249</x:f>
        <x:v>1249</x:v>
      </x:c>
      <x:c r="K1253" t="str">
        <x:f>IF(J1253&lt;=$B$6,LARGE('계산'!$K$2:$K$2001,J1253),"")</x:f>
      </x:c>
      <x:c r="L1253" t="str">
        <x:f>IF(ISNUMBER(K1253),L1252+LN(K1253),"")</x:f>
      </x:c>
    </x:row>
    <x:row r="1254">
      <x:c r="J1254" t="n">
        <x:f>1250</x:f>
        <x:v>1250</x:v>
      </x:c>
      <x:c r="K1254" t="str">
        <x:f>IF(J1254&lt;=$B$6,LARGE('계산'!$K$2:$K$2001,J1254),"")</x:f>
      </x:c>
      <x:c r="L1254" t="str">
        <x:f>IF(ISNUMBER(K1254),L1253+LN(K1254),"")</x:f>
      </x:c>
    </x:row>
    <x:row r="1255">
      <x:c r="J1255" t="n">
        <x:f>1251</x:f>
        <x:v>1251</x:v>
      </x:c>
      <x:c r="K1255" t="str">
        <x:f>IF(J1255&lt;=$B$6,LARGE('계산'!$K$2:$K$2001,J1255),"")</x:f>
      </x:c>
      <x:c r="L1255" t="str">
        <x:f>IF(ISNUMBER(K1255),L1254+LN(K1255),"")</x:f>
      </x:c>
    </x:row>
    <x:row r="1256">
      <x:c r="J1256" t="n">
        <x:f>1252</x:f>
        <x:v>1252</x:v>
      </x:c>
      <x:c r="K1256" t="str">
        <x:f>IF(J1256&lt;=$B$6,LARGE('계산'!$K$2:$K$2001,J1256),"")</x:f>
      </x:c>
      <x:c r="L1256" t="str">
        <x:f>IF(ISNUMBER(K1256),L1255+LN(K1256),"")</x:f>
      </x:c>
    </x:row>
    <x:row r="1257">
      <x:c r="J1257" t="n">
        <x:f>1253</x:f>
        <x:v>1253</x:v>
      </x:c>
      <x:c r="K1257" t="str">
        <x:f>IF(J1257&lt;=$B$6,LARGE('계산'!$K$2:$K$2001,J1257),"")</x:f>
      </x:c>
      <x:c r="L1257" t="str">
        <x:f>IF(ISNUMBER(K1257),L1256+LN(K1257),"")</x:f>
      </x:c>
    </x:row>
    <x:row r="1258">
      <x:c r="J1258" t="n">
        <x:f>1254</x:f>
        <x:v>1254</x:v>
      </x:c>
      <x:c r="K1258" t="str">
        <x:f>IF(J1258&lt;=$B$6,LARGE('계산'!$K$2:$K$2001,J1258),"")</x:f>
      </x:c>
      <x:c r="L1258" t="str">
        <x:f>IF(ISNUMBER(K1258),L1257+LN(K1258),"")</x:f>
      </x:c>
    </x:row>
    <x:row r="1259">
      <x:c r="J1259" t="n">
        <x:f>1255</x:f>
        <x:v>1255</x:v>
      </x:c>
      <x:c r="K1259" t="str">
        <x:f>IF(J1259&lt;=$B$6,LARGE('계산'!$K$2:$K$2001,J1259),"")</x:f>
      </x:c>
      <x:c r="L1259" t="str">
        <x:f>IF(ISNUMBER(K1259),L1258+LN(K1259),"")</x:f>
      </x:c>
    </x:row>
    <x:row r="1260">
      <x:c r="J1260" t="n">
        <x:f>1256</x:f>
        <x:v>1256</x:v>
      </x:c>
      <x:c r="K1260" t="str">
        <x:f>IF(J1260&lt;=$B$6,LARGE('계산'!$K$2:$K$2001,J1260),"")</x:f>
      </x:c>
      <x:c r="L1260" t="str">
        <x:f>IF(ISNUMBER(K1260),L1259+LN(K1260),"")</x:f>
      </x:c>
    </x:row>
    <x:row r="1261">
      <x:c r="J1261" t="n">
        <x:f>1257</x:f>
        <x:v>1257</x:v>
      </x:c>
      <x:c r="K1261" t="str">
        <x:f>IF(J1261&lt;=$B$6,LARGE('계산'!$K$2:$K$2001,J1261),"")</x:f>
      </x:c>
      <x:c r="L1261" t="str">
        <x:f>IF(ISNUMBER(K1261),L1260+LN(K1261),"")</x:f>
      </x:c>
    </x:row>
    <x:row r="1262">
      <x:c r="J1262" t="n">
        <x:f>1258</x:f>
        <x:v>1258</x:v>
      </x:c>
      <x:c r="K1262" t="str">
        <x:f>IF(J1262&lt;=$B$6,LARGE('계산'!$K$2:$K$2001,J1262),"")</x:f>
      </x:c>
      <x:c r="L1262" t="str">
        <x:f>IF(ISNUMBER(K1262),L1261+LN(K1262),"")</x:f>
      </x:c>
    </x:row>
    <x:row r="1263">
      <x:c r="J1263" t="n">
        <x:f>1259</x:f>
        <x:v>1259</x:v>
      </x:c>
      <x:c r="K1263" t="str">
        <x:f>IF(J1263&lt;=$B$6,LARGE('계산'!$K$2:$K$2001,J1263),"")</x:f>
      </x:c>
      <x:c r="L1263" t="str">
        <x:f>IF(ISNUMBER(K1263),L1262+LN(K1263),"")</x:f>
      </x:c>
    </x:row>
    <x:row r="1264">
      <x:c r="J1264" t="n">
        <x:f>1260</x:f>
        <x:v>1260</x:v>
      </x:c>
      <x:c r="K1264" t="str">
        <x:f>IF(J1264&lt;=$B$6,LARGE('계산'!$K$2:$K$2001,J1264),"")</x:f>
      </x:c>
      <x:c r="L1264" t="str">
        <x:f>IF(ISNUMBER(K1264),L1263+LN(K1264),"")</x:f>
      </x:c>
    </x:row>
    <x:row r="1265">
      <x:c r="J1265" t="n">
        <x:f>1261</x:f>
        <x:v>1261</x:v>
      </x:c>
      <x:c r="K1265" t="str">
        <x:f>IF(J1265&lt;=$B$6,LARGE('계산'!$K$2:$K$2001,J1265),"")</x:f>
      </x:c>
      <x:c r="L1265" t="str">
        <x:f>IF(ISNUMBER(K1265),L1264+LN(K1265),"")</x:f>
      </x:c>
    </x:row>
    <x:row r="1266">
      <x:c r="J1266" t="n">
        <x:f>1262</x:f>
        <x:v>1262</x:v>
      </x:c>
      <x:c r="K1266" t="str">
        <x:f>IF(J1266&lt;=$B$6,LARGE('계산'!$K$2:$K$2001,J1266),"")</x:f>
      </x:c>
      <x:c r="L1266" t="str">
        <x:f>IF(ISNUMBER(K1266),L1265+LN(K1266),"")</x:f>
      </x:c>
    </x:row>
    <x:row r="1267">
      <x:c r="J1267" t="n">
        <x:f>1263</x:f>
        <x:v>1263</x:v>
      </x:c>
      <x:c r="K1267" t="str">
        <x:f>IF(J1267&lt;=$B$6,LARGE('계산'!$K$2:$K$2001,J1267),"")</x:f>
      </x:c>
      <x:c r="L1267" t="str">
        <x:f>IF(ISNUMBER(K1267),L1266+LN(K1267),"")</x:f>
      </x:c>
    </x:row>
    <x:row r="1268">
      <x:c r="J1268" t="n">
        <x:f>1264</x:f>
        <x:v>1264</x:v>
      </x:c>
      <x:c r="K1268" t="str">
        <x:f>IF(J1268&lt;=$B$6,LARGE('계산'!$K$2:$K$2001,J1268),"")</x:f>
      </x:c>
      <x:c r="L1268" t="str">
        <x:f>IF(ISNUMBER(K1268),L1267+LN(K1268),"")</x:f>
      </x:c>
    </x:row>
    <x:row r="1269">
      <x:c r="J1269" t="n">
        <x:f>1265</x:f>
        <x:v>1265</x:v>
      </x:c>
      <x:c r="K1269" t="str">
        <x:f>IF(J1269&lt;=$B$6,LARGE('계산'!$K$2:$K$2001,J1269),"")</x:f>
      </x:c>
      <x:c r="L1269" t="str">
        <x:f>IF(ISNUMBER(K1269),L1268+LN(K1269),"")</x:f>
      </x:c>
    </x:row>
    <x:row r="1270">
      <x:c r="J1270" t="n">
        <x:f>1266</x:f>
        <x:v>1266</x:v>
      </x:c>
      <x:c r="K1270" t="str">
        <x:f>IF(J1270&lt;=$B$6,LARGE('계산'!$K$2:$K$2001,J1270),"")</x:f>
      </x:c>
      <x:c r="L1270" t="str">
        <x:f>IF(ISNUMBER(K1270),L1269+LN(K1270),"")</x:f>
      </x:c>
    </x:row>
    <x:row r="1271">
      <x:c r="J1271" t="n">
        <x:f>1267</x:f>
        <x:v>1267</x:v>
      </x:c>
      <x:c r="K1271" t="str">
        <x:f>IF(J1271&lt;=$B$6,LARGE('계산'!$K$2:$K$2001,J1271),"")</x:f>
      </x:c>
      <x:c r="L1271" t="str">
        <x:f>IF(ISNUMBER(K1271),L1270+LN(K1271),"")</x:f>
      </x:c>
    </x:row>
    <x:row r="1272">
      <x:c r="J1272" t="n">
        <x:f>1268</x:f>
        <x:v>1268</x:v>
      </x:c>
      <x:c r="K1272" t="str">
        <x:f>IF(J1272&lt;=$B$6,LARGE('계산'!$K$2:$K$2001,J1272),"")</x:f>
      </x:c>
      <x:c r="L1272" t="str">
        <x:f>IF(ISNUMBER(K1272),L1271+LN(K1272),"")</x:f>
      </x:c>
    </x:row>
    <x:row r="1273">
      <x:c r="J1273" t="n">
        <x:f>1269</x:f>
        <x:v>1269</x:v>
      </x:c>
      <x:c r="K1273" t="str">
        <x:f>IF(J1273&lt;=$B$6,LARGE('계산'!$K$2:$K$2001,J1273),"")</x:f>
      </x:c>
      <x:c r="L1273" t="str">
        <x:f>IF(ISNUMBER(K1273),L1272+LN(K1273),"")</x:f>
      </x:c>
    </x:row>
    <x:row r="1274">
      <x:c r="J1274" t="n">
        <x:f>1270</x:f>
        <x:v>1270</x:v>
      </x:c>
      <x:c r="K1274" t="str">
        <x:f>IF(J1274&lt;=$B$6,LARGE('계산'!$K$2:$K$2001,J1274),"")</x:f>
      </x:c>
      <x:c r="L1274" t="str">
        <x:f>IF(ISNUMBER(K1274),L1273+LN(K1274),"")</x:f>
      </x:c>
    </x:row>
    <x:row r="1275">
      <x:c r="J1275" t="n">
        <x:f>1271</x:f>
        <x:v>1271</x:v>
      </x:c>
      <x:c r="K1275" t="str">
        <x:f>IF(J1275&lt;=$B$6,LARGE('계산'!$K$2:$K$2001,J1275),"")</x:f>
      </x:c>
      <x:c r="L1275" t="str">
        <x:f>IF(ISNUMBER(K1275),L1274+LN(K1275),"")</x:f>
      </x:c>
    </x:row>
    <x:row r="1276">
      <x:c r="J1276" t="n">
        <x:f>1272</x:f>
        <x:v>1272</x:v>
      </x:c>
      <x:c r="K1276" t="str">
        <x:f>IF(J1276&lt;=$B$6,LARGE('계산'!$K$2:$K$2001,J1276),"")</x:f>
      </x:c>
      <x:c r="L1276" t="str">
        <x:f>IF(ISNUMBER(K1276),L1275+LN(K1276),"")</x:f>
      </x:c>
    </x:row>
    <x:row r="1277">
      <x:c r="J1277" t="n">
        <x:f>1273</x:f>
        <x:v>1273</x:v>
      </x:c>
      <x:c r="K1277" t="str">
        <x:f>IF(J1277&lt;=$B$6,LARGE('계산'!$K$2:$K$2001,J1277),"")</x:f>
      </x:c>
      <x:c r="L1277" t="str">
        <x:f>IF(ISNUMBER(K1277),L1276+LN(K1277),"")</x:f>
      </x:c>
    </x:row>
    <x:row r="1278">
      <x:c r="J1278" t="n">
        <x:f>1274</x:f>
        <x:v>1274</x:v>
      </x:c>
      <x:c r="K1278" t="str">
        <x:f>IF(J1278&lt;=$B$6,LARGE('계산'!$K$2:$K$2001,J1278),"")</x:f>
      </x:c>
      <x:c r="L1278" t="str">
        <x:f>IF(ISNUMBER(K1278),L1277+LN(K1278),"")</x:f>
      </x:c>
    </x:row>
    <x:row r="1279">
      <x:c r="J1279" t="n">
        <x:f>1275</x:f>
        <x:v>1275</x:v>
      </x:c>
      <x:c r="K1279" t="str">
        <x:f>IF(J1279&lt;=$B$6,LARGE('계산'!$K$2:$K$2001,J1279),"")</x:f>
      </x:c>
      <x:c r="L1279" t="str">
        <x:f>IF(ISNUMBER(K1279),L1278+LN(K1279),"")</x:f>
      </x:c>
    </x:row>
    <x:row r="1280">
      <x:c r="J1280" t="n">
        <x:f>1276</x:f>
        <x:v>1276</x:v>
      </x:c>
      <x:c r="K1280" t="str">
        <x:f>IF(J1280&lt;=$B$6,LARGE('계산'!$K$2:$K$2001,J1280),"")</x:f>
      </x:c>
      <x:c r="L1280" t="str">
        <x:f>IF(ISNUMBER(K1280),L1279+LN(K1280),"")</x:f>
      </x:c>
    </x:row>
    <x:row r="1281">
      <x:c r="J1281" t="n">
        <x:f>1277</x:f>
        <x:v>1277</x:v>
      </x:c>
      <x:c r="K1281" t="str">
        <x:f>IF(J1281&lt;=$B$6,LARGE('계산'!$K$2:$K$2001,J1281),"")</x:f>
      </x:c>
      <x:c r="L1281" t="str">
        <x:f>IF(ISNUMBER(K1281),L1280+LN(K1281),"")</x:f>
      </x:c>
    </x:row>
    <x:row r="1282">
      <x:c r="J1282" t="n">
        <x:f>1278</x:f>
        <x:v>1278</x:v>
      </x:c>
      <x:c r="K1282" t="str">
        <x:f>IF(J1282&lt;=$B$6,LARGE('계산'!$K$2:$K$2001,J1282),"")</x:f>
      </x:c>
      <x:c r="L1282" t="str">
        <x:f>IF(ISNUMBER(K1282),L1281+LN(K1282),"")</x:f>
      </x:c>
    </x:row>
    <x:row r="1283">
      <x:c r="J1283" t="n">
        <x:f>1279</x:f>
        <x:v>1279</x:v>
      </x:c>
      <x:c r="K1283" t="str">
        <x:f>IF(J1283&lt;=$B$6,LARGE('계산'!$K$2:$K$2001,J1283),"")</x:f>
      </x:c>
      <x:c r="L1283" t="str">
        <x:f>IF(ISNUMBER(K1283),L1282+LN(K1283),"")</x:f>
      </x:c>
    </x:row>
    <x:row r="1284">
      <x:c r="J1284" t="n">
        <x:f>1280</x:f>
        <x:v>1280</x:v>
      </x:c>
      <x:c r="K1284" t="str">
        <x:f>IF(J1284&lt;=$B$6,LARGE('계산'!$K$2:$K$2001,J1284),"")</x:f>
      </x:c>
      <x:c r="L1284" t="str">
        <x:f>IF(ISNUMBER(K1284),L1283+LN(K1284),"")</x:f>
      </x:c>
    </x:row>
    <x:row r="1285">
      <x:c r="J1285" t="n">
        <x:f>1281</x:f>
        <x:v>1281</x:v>
      </x:c>
      <x:c r="K1285" t="str">
        <x:f>IF(J1285&lt;=$B$6,LARGE('계산'!$K$2:$K$2001,J1285),"")</x:f>
      </x:c>
      <x:c r="L1285" t="str">
        <x:f>IF(ISNUMBER(K1285),L1284+LN(K1285),"")</x:f>
      </x:c>
    </x:row>
    <x:row r="1286">
      <x:c r="J1286" t="n">
        <x:f>1282</x:f>
        <x:v>1282</x:v>
      </x:c>
      <x:c r="K1286" t="str">
        <x:f>IF(J1286&lt;=$B$6,LARGE('계산'!$K$2:$K$2001,J1286),"")</x:f>
      </x:c>
      <x:c r="L1286" t="str">
        <x:f>IF(ISNUMBER(K1286),L1285+LN(K1286),"")</x:f>
      </x:c>
    </x:row>
    <x:row r="1287">
      <x:c r="J1287" t="n">
        <x:f>1283</x:f>
        <x:v>1283</x:v>
      </x:c>
      <x:c r="K1287" t="str">
        <x:f>IF(J1287&lt;=$B$6,LARGE('계산'!$K$2:$K$2001,J1287),"")</x:f>
      </x:c>
      <x:c r="L1287" t="str">
        <x:f>IF(ISNUMBER(K1287),L1286+LN(K1287),"")</x:f>
      </x:c>
    </x:row>
    <x:row r="1288">
      <x:c r="J1288" t="n">
        <x:f>1284</x:f>
        <x:v>1284</x:v>
      </x:c>
      <x:c r="K1288" t="str">
        <x:f>IF(J1288&lt;=$B$6,LARGE('계산'!$K$2:$K$2001,J1288),"")</x:f>
      </x:c>
      <x:c r="L1288" t="str">
        <x:f>IF(ISNUMBER(K1288),L1287+LN(K1288),"")</x:f>
      </x:c>
    </x:row>
    <x:row r="1289">
      <x:c r="J1289" t="n">
        <x:f>1285</x:f>
        <x:v>1285</x:v>
      </x:c>
      <x:c r="K1289" t="str">
        <x:f>IF(J1289&lt;=$B$6,LARGE('계산'!$K$2:$K$2001,J1289),"")</x:f>
      </x:c>
      <x:c r="L1289" t="str">
        <x:f>IF(ISNUMBER(K1289),L1288+LN(K1289),"")</x:f>
      </x:c>
    </x:row>
    <x:row r="1290">
      <x:c r="J1290" t="n">
        <x:f>1286</x:f>
        <x:v>1286</x:v>
      </x:c>
      <x:c r="K1290" t="str">
        <x:f>IF(J1290&lt;=$B$6,LARGE('계산'!$K$2:$K$2001,J1290),"")</x:f>
      </x:c>
      <x:c r="L1290" t="str">
        <x:f>IF(ISNUMBER(K1290),L1289+LN(K1290),"")</x:f>
      </x:c>
    </x:row>
    <x:row r="1291">
      <x:c r="J1291" t="n">
        <x:f>1287</x:f>
        <x:v>1287</x:v>
      </x:c>
      <x:c r="K1291" t="str">
        <x:f>IF(J1291&lt;=$B$6,LARGE('계산'!$K$2:$K$2001,J1291),"")</x:f>
      </x:c>
      <x:c r="L1291" t="str">
        <x:f>IF(ISNUMBER(K1291),L1290+LN(K1291),"")</x:f>
      </x:c>
    </x:row>
    <x:row r="1292">
      <x:c r="J1292" t="n">
        <x:f>1288</x:f>
        <x:v>1288</x:v>
      </x:c>
      <x:c r="K1292" t="str">
        <x:f>IF(J1292&lt;=$B$6,LARGE('계산'!$K$2:$K$2001,J1292),"")</x:f>
      </x:c>
      <x:c r="L1292" t="str">
        <x:f>IF(ISNUMBER(K1292),L1291+LN(K1292),"")</x:f>
      </x:c>
    </x:row>
    <x:row r="1293">
      <x:c r="J1293" t="n">
        <x:f>1289</x:f>
        <x:v>1289</x:v>
      </x:c>
      <x:c r="K1293" t="str">
        <x:f>IF(J1293&lt;=$B$6,LARGE('계산'!$K$2:$K$2001,J1293),"")</x:f>
      </x:c>
      <x:c r="L1293" t="str">
        <x:f>IF(ISNUMBER(K1293),L1292+LN(K1293),"")</x:f>
      </x:c>
    </x:row>
    <x:row r="1294">
      <x:c r="J1294" t="n">
        <x:f>1290</x:f>
        <x:v>1290</x:v>
      </x:c>
      <x:c r="K1294" t="str">
        <x:f>IF(J1294&lt;=$B$6,LARGE('계산'!$K$2:$K$2001,J1294),"")</x:f>
      </x:c>
      <x:c r="L1294" t="str">
        <x:f>IF(ISNUMBER(K1294),L1293+LN(K1294),"")</x:f>
      </x:c>
    </x:row>
    <x:row r="1295">
      <x:c r="J1295" t="n">
        <x:f>1291</x:f>
        <x:v>1291</x:v>
      </x:c>
      <x:c r="K1295" t="str">
        <x:f>IF(J1295&lt;=$B$6,LARGE('계산'!$K$2:$K$2001,J1295),"")</x:f>
      </x:c>
      <x:c r="L1295" t="str">
        <x:f>IF(ISNUMBER(K1295),L1294+LN(K1295),"")</x:f>
      </x:c>
    </x:row>
    <x:row r="1296">
      <x:c r="J1296" t="n">
        <x:f>1292</x:f>
        <x:v>1292</x:v>
      </x:c>
      <x:c r="K1296" t="str">
        <x:f>IF(J1296&lt;=$B$6,LARGE('계산'!$K$2:$K$2001,J1296),"")</x:f>
      </x:c>
      <x:c r="L1296" t="str">
        <x:f>IF(ISNUMBER(K1296),L1295+LN(K1296),"")</x:f>
      </x:c>
    </x:row>
    <x:row r="1297">
      <x:c r="J1297" t="n">
        <x:f>1293</x:f>
        <x:v>1293</x:v>
      </x:c>
      <x:c r="K1297" t="str">
        <x:f>IF(J1297&lt;=$B$6,LARGE('계산'!$K$2:$K$2001,J1297),"")</x:f>
      </x:c>
      <x:c r="L1297" t="str">
        <x:f>IF(ISNUMBER(K1297),L1296+LN(K1297),"")</x:f>
      </x:c>
    </x:row>
    <x:row r="1298">
      <x:c r="J1298" t="n">
        <x:f>1294</x:f>
        <x:v>1294</x:v>
      </x:c>
      <x:c r="K1298" t="str">
        <x:f>IF(J1298&lt;=$B$6,LARGE('계산'!$K$2:$K$2001,J1298),"")</x:f>
      </x:c>
      <x:c r="L1298" t="str">
        <x:f>IF(ISNUMBER(K1298),L1297+LN(K1298),"")</x:f>
      </x:c>
    </x:row>
    <x:row r="1299">
      <x:c r="J1299" t="n">
        <x:f>1295</x:f>
        <x:v>1295</x:v>
      </x:c>
      <x:c r="K1299" t="str">
        <x:f>IF(J1299&lt;=$B$6,LARGE('계산'!$K$2:$K$2001,J1299),"")</x:f>
      </x:c>
      <x:c r="L1299" t="str">
        <x:f>IF(ISNUMBER(K1299),L1298+LN(K1299),"")</x:f>
      </x:c>
    </x:row>
    <x:row r="1300">
      <x:c r="J1300" t="n">
        <x:f>1296</x:f>
        <x:v>1296</x:v>
      </x:c>
      <x:c r="K1300" t="str">
        <x:f>IF(J1300&lt;=$B$6,LARGE('계산'!$K$2:$K$2001,J1300),"")</x:f>
      </x:c>
      <x:c r="L1300" t="str">
        <x:f>IF(ISNUMBER(K1300),L1299+LN(K1300),"")</x:f>
      </x:c>
    </x:row>
    <x:row r="1301">
      <x:c r="J1301" t="n">
        <x:f>1297</x:f>
        <x:v>1297</x:v>
      </x:c>
      <x:c r="K1301" t="str">
        <x:f>IF(J1301&lt;=$B$6,LARGE('계산'!$K$2:$K$2001,J1301),"")</x:f>
      </x:c>
      <x:c r="L1301" t="str">
        <x:f>IF(ISNUMBER(K1301),L1300+LN(K1301),"")</x:f>
      </x:c>
    </x:row>
    <x:row r="1302">
      <x:c r="J1302" t="n">
        <x:f>1298</x:f>
        <x:v>1298</x:v>
      </x:c>
      <x:c r="K1302" t="str">
        <x:f>IF(J1302&lt;=$B$6,LARGE('계산'!$K$2:$K$2001,J1302),"")</x:f>
      </x:c>
      <x:c r="L1302" t="str">
        <x:f>IF(ISNUMBER(K1302),L1301+LN(K1302),"")</x:f>
      </x:c>
    </x:row>
    <x:row r="1303">
      <x:c r="J1303" t="n">
        <x:f>1299</x:f>
        <x:v>1299</x:v>
      </x:c>
      <x:c r="K1303" t="str">
        <x:f>IF(J1303&lt;=$B$6,LARGE('계산'!$K$2:$K$2001,J1303),"")</x:f>
      </x:c>
      <x:c r="L1303" t="str">
        <x:f>IF(ISNUMBER(K1303),L1302+LN(K1303),"")</x:f>
      </x:c>
    </x:row>
    <x:row r="1304">
      <x:c r="J1304" t="n">
        <x:f>1300</x:f>
        <x:v>1300</x:v>
      </x:c>
      <x:c r="K1304" t="str">
        <x:f>IF(J1304&lt;=$B$6,LARGE('계산'!$K$2:$K$2001,J1304),"")</x:f>
      </x:c>
      <x:c r="L1304" t="str">
        <x:f>IF(ISNUMBER(K1304),L1303+LN(K1304),"")</x:f>
      </x:c>
    </x:row>
    <x:row r="1305">
      <x:c r="J1305" t="n">
        <x:f>1301</x:f>
        <x:v>1301</x:v>
      </x:c>
      <x:c r="K1305" t="str">
        <x:f>IF(J1305&lt;=$B$6,LARGE('계산'!$K$2:$K$2001,J1305),"")</x:f>
      </x:c>
      <x:c r="L1305" t="str">
        <x:f>IF(ISNUMBER(K1305),L1304+LN(K1305),"")</x:f>
      </x:c>
    </x:row>
    <x:row r="1306">
      <x:c r="J1306" t="n">
        <x:f>1302</x:f>
        <x:v>1302</x:v>
      </x:c>
      <x:c r="K1306" t="str">
        <x:f>IF(J1306&lt;=$B$6,LARGE('계산'!$K$2:$K$2001,J1306),"")</x:f>
      </x:c>
      <x:c r="L1306" t="str">
        <x:f>IF(ISNUMBER(K1306),L1305+LN(K1306),"")</x:f>
      </x:c>
    </x:row>
    <x:row r="1307">
      <x:c r="J1307" t="n">
        <x:f>1303</x:f>
        <x:v>1303</x:v>
      </x:c>
      <x:c r="K1307" t="str">
        <x:f>IF(J1307&lt;=$B$6,LARGE('계산'!$K$2:$K$2001,J1307),"")</x:f>
      </x:c>
      <x:c r="L1307" t="str">
        <x:f>IF(ISNUMBER(K1307),L1306+LN(K1307),"")</x:f>
      </x:c>
    </x:row>
    <x:row r="1308">
      <x:c r="J1308" t="n">
        <x:f>1304</x:f>
        <x:v>1304</x:v>
      </x:c>
      <x:c r="K1308" t="str">
        <x:f>IF(J1308&lt;=$B$6,LARGE('계산'!$K$2:$K$2001,J1308),"")</x:f>
      </x:c>
      <x:c r="L1308" t="str">
        <x:f>IF(ISNUMBER(K1308),L1307+LN(K1308),"")</x:f>
      </x:c>
    </x:row>
    <x:row r="1309">
      <x:c r="J1309" t="n">
        <x:f>1305</x:f>
        <x:v>1305</x:v>
      </x:c>
      <x:c r="K1309" t="str">
        <x:f>IF(J1309&lt;=$B$6,LARGE('계산'!$K$2:$K$2001,J1309),"")</x:f>
      </x:c>
      <x:c r="L1309" t="str">
        <x:f>IF(ISNUMBER(K1309),L1308+LN(K1309),"")</x:f>
      </x:c>
    </x:row>
    <x:row r="1310">
      <x:c r="J1310" t="n">
        <x:f>1306</x:f>
        <x:v>1306</x:v>
      </x:c>
      <x:c r="K1310" t="str">
        <x:f>IF(J1310&lt;=$B$6,LARGE('계산'!$K$2:$K$2001,J1310),"")</x:f>
      </x:c>
      <x:c r="L1310" t="str">
        <x:f>IF(ISNUMBER(K1310),L1309+LN(K1310),"")</x:f>
      </x:c>
    </x:row>
    <x:row r="1311">
      <x:c r="J1311" t="n">
        <x:f>1307</x:f>
        <x:v>1307</x:v>
      </x:c>
      <x:c r="K1311" t="str">
        <x:f>IF(J1311&lt;=$B$6,LARGE('계산'!$K$2:$K$2001,J1311),"")</x:f>
      </x:c>
      <x:c r="L1311" t="str">
        <x:f>IF(ISNUMBER(K1311),L1310+LN(K1311),"")</x:f>
      </x:c>
    </x:row>
    <x:row r="1312">
      <x:c r="J1312" t="n">
        <x:f>1308</x:f>
        <x:v>1308</x:v>
      </x:c>
      <x:c r="K1312" t="str">
        <x:f>IF(J1312&lt;=$B$6,LARGE('계산'!$K$2:$K$2001,J1312),"")</x:f>
      </x:c>
      <x:c r="L1312" t="str">
        <x:f>IF(ISNUMBER(K1312),L1311+LN(K1312),"")</x:f>
      </x:c>
    </x:row>
    <x:row r="1313">
      <x:c r="J1313" t="n">
        <x:f>1309</x:f>
        <x:v>1309</x:v>
      </x:c>
      <x:c r="K1313" t="str">
        <x:f>IF(J1313&lt;=$B$6,LARGE('계산'!$K$2:$K$2001,J1313),"")</x:f>
      </x:c>
      <x:c r="L1313" t="str">
        <x:f>IF(ISNUMBER(K1313),L1312+LN(K1313),"")</x:f>
      </x:c>
    </x:row>
    <x:row r="1314">
      <x:c r="J1314" t="n">
        <x:f>1310</x:f>
        <x:v>1310</x:v>
      </x:c>
      <x:c r="K1314" t="str">
        <x:f>IF(J1314&lt;=$B$6,LARGE('계산'!$K$2:$K$2001,J1314),"")</x:f>
      </x:c>
      <x:c r="L1314" t="str">
        <x:f>IF(ISNUMBER(K1314),L1313+LN(K1314),"")</x:f>
      </x:c>
    </x:row>
    <x:row r="1315">
      <x:c r="J1315" t="n">
        <x:f>1311</x:f>
        <x:v>1311</x:v>
      </x:c>
      <x:c r="K1315" t="str">
        <x:f>IF(J1315&lt;=$B$6,LARGE('계산'!$K$2:$K$2001,J1315),"")</x:f>
      </x:c>
      <x:c r="L1315" t="str">
        <x:f>IF(ISNUMBER(K1315),L1314+LN(K1315),"")</x:f>
      </x:c>
    </x:row>
    <x:row r="1316">
      <x:c r="J1316" t="n">
        <x:f>1312</x:f>
        <x:v>1312</x:v>
      </x:c>
      <x:c r="K1316" t="str">
        <x:f>IF(J1316&lt;=$B$6,LARGE('계산'!$K$2:$K$2001,J1316),"")</x:f>
      </x:c>
      <x:c r="L1316" t="str">
        <x:f>IF(ISNUMBER(K1316),L1315+LN(K1316),"")</x:f>
      </x:c>
    </x:row>
    <x:row r="1317">
      <x:c r="J1317" t="n">
        <x:f>1313</x:f>
        <x:v>1313</x:v>
      </x:c>
      <x:c r="K1317" t="str">
        <x:f>IF(J1317&lt;=$B$6,LARGE('계산'!$K$2:$K$2001,J1317),"")</x:f>
      </x:c>
      <x:c r="L1317" t="str">
        <x:f>IF(ISNUMBER(K1317),L1316+LN(K1317),"")</x:f>
      </x:c>
    </x:row>
    <x:row r="1318">
      <x:c r="J1318" t="n">
        <x:f>1314</x:f>
        <x:v>1314</x:v>
      </x:c>
      <x:c r="K1318" t="str">
        <x:f>IF(J1318&lt;=$B$6,LARGE('계산'!$K$2:$K$2001,J1318),"")</x:f>
      </x:c>
      <x:c r="L1318" t="str">
        <x:f>IF(ISNUMBER(K1318),L1317+LN(K1318),"")</x:f>
      </x:c>
    </x:row>
    <x:row r="1319">
      <x:c r="J1319" t="n">
        <x:f>1315</x:f>
        <x:v>1315</x:v>
      </x:c>
      <x:c r="K1319" t="str">
        <x:f>IF(J1319&lt;=$B$6,LARGE('계산'!$K$2:$K$2001,J1319),"")</x:f>
      </x:c>
      <x:c r="L1319" t="str">
        <x:f>IF(ISNUMBER(K1319),L1318+LN(K1319),"")</x:f>
      </x:c>
    </x:row>
    <x:row r="1320">
      <x:c r="J1320" t="n">
        <x:f>1316</x:f>
        <x:v>1316</x:v>
      </x:c>
      <x:c r="K1320" t="str">
        <x:f>IF(J1320&lt;=$B$6,LARGE('계산'!$K$2:$K$2001,J1320),"")</x:f>
      </x:c>
      <x:c r="L1320" t="str">
        <x:f>IF(ISNUMBER(K1320),L1319+LN(K1320),"")</x:f>
      </x:c>
    </x:row>
    <x:row r="1321">
      <x:c r="J1321" t="n">
        <x:f>1317</x:f>
        <x:v>1317</x:v>
      </x:c>
      <x:c r="K1321" t="str">
        <x:f>IF(J1321&lt;=$B$6,LARGE('계산'!$K$2:$K$2001,J1321),"")</x:f>
      </x:c>
      <x:c r="L1321" t="str">
        <x:f>IF(ISNUMBER(K1321),L1320+LN(K1321),"")</x:f>
      </x:c>
    </x:row>
    <x:row r="1322">
      <x:c r="J1322" t="n">
        <x:f>1318</x:f>
        <x:v>1318</x:v>
      </x:c>
      <x:c r="K1322" t="str">
        <x:f>IF(J1322&lt;=$B$6,LARGE('계산'!$K$2:$K$2001,J1322),"")</x:f>
      </x:c>
      <x:c r="L1322" t="str">
        <x:f>IF(ISNUMBER(K1322),L1321+LN(K1322),"")</x:f>
      </x:c>
    </x:row>
    <x:row r="1323">
      <x:c r="J1323" t="n">
        <x:f>1319</x:f>
        <x:v>1319</x:v>
      </x:c>
      <x:c r="K1323" t="str">
        <x:f>IF(J1323&lt;=$B$6,LARGE('계산'!$K$2:$K$2001,J1323),"")</x:f>
      </x:c>
      <x:c r="L1323" t="str">
        <x:f>IF(ISNUMBER(K1323),L1322+LN(K1323),"")</x:f>
      </x:c>
    </x:row>
    <x:row r="1324">
      <x:c r="J1324" t="n">
        <x:f>1320</x:f>
        <x:v>1320</x:v>
      </x:c>
      <x:c r="K1324" t="str">
        <x:f>IF(J1324&lt;=$B$6,LARGE('계산'!$K$2:$K$2001,J1324),"")</x:f>
      </x:c>
      <x:c r="L1324" t="str">
        <x:f>IF(ISNUMBER(K1324),L1323+LN(K1324),"")</x:f>
      </x:c>
    </x:row>
    <x:row r="1325">
      <x:c r="J1325" t="n">
        <x:f>1321</x:f>
        <x:v>1321</x:v>
      </x:c>
      <x:c r="K1325" t="str">
        <x:f>IF(J1325&lt;=$B$6,LARGE('계산'!$K$2:$K$2001,J1325),"")</x:f>
      </x:c>
      <x:c r="L1325" t="str">
        <x:f>IF(ISNUMBER(K1325),L1324+LN(K1325),"")</x:f>
      </x:c>
    </x:row>
    <x:row r="1326">
      <x:c r="J1326" t="n">
        <x:f>1322</x:f>
        <x:v>1322</x:v>
      </x:c>
      <x:c r="K1326" t="str">
        <x:f>IF(J1326&lt;=$B$6,LARGE('계산'!$K$2:$K$2001,J1326),"")</x:f>
      </x:c>
      <x:c r="L1326" t="str">
        <x:f>IF(ISNUMBER(K1326),L1325+LN(K1326),"")</x:f>
      </x:c>
    </x:row>
    <x:row r="1327">
      <x:c r="J1327" t="n">
        <x:f>1323</x:f>
        <x:v>1323</x:v>
      </x:c>
      <x:c r="K1327" t="str">
        <x:f>IF(J1327&lt;=$B$6,LARGE('계산'!$K$2:$K$2001,J1327),"")</x:f>
      </x:c>
      <x:c r="L1327" t="str">
        <x:f>IF(ISNUMBER(K1327),L1326+LN(K1327),"")</x:f>
      </x:c>
    </x:row>
    <x:row r="1328">
      <x:c r="J1328" t="n">
        <x:f>1324</x:f>
        <x:v>1324</x:v>
      </x:c>
      <x:c r="K1328" t="str">
        <x:f>IF(J1328&lt;=$B$6,LARGE('계산'!$K$2:$K$2001,J1328),"")</x:f>
      </x:c>
      <x:c r="L1328" t="str">
        <x:f>IF(ISNUMBER(K1328),L1327+LN(K1328),"")</x:f>
      </x:c>
    </x:row>
    <x:row r="1329">
      <x:c r="J1329" t="n">
        <x:f>1325</x:f>
        <x:v>1325</x:v>
      </x:c>
      <x:c r="K1329" t="str">
        <x:f>IF(J1329&lt;=$B$6,LARGE('계산'!$K$2:$K$2001,J1329),"")</x:f>
      </x:c>
      <x:c r="L1329" t="str">
        <x:f>IF(ISNUMBER(K1329),L1328+LN(K1329),"")</x:f>
      </x:c>
    </x:row>
    <x:row r="1330">
      <x:c r="J1330" t="n">
        <x:f>1326</x:f>
        <x:v>1326</x:v>
      </x:c>
      <x:c r="K1330" t="str">
        <x:f>IF(J1330&lt;=$B$6,LARGE('계산'!$K$2:$K$2001,J1330),"")</x:f>
      </x:c>
      <x:c r="L1330" t="str">
        <x:f>IF(ISNUMBER(K1330),L1329+LN(K1330),"")</x:f>
      </x:c>
    </x:row>
    <x:row r="1331">
      <x:c r="J1331" t="n">
        <x:f>1327</x:f>
        <x:v>1327</x:v>
      </x:c>
      <x:c r="K1331" t="str">
        <x:f>IF(J1331&lt;=$B$6,LARGE('계산'!$K$2:$K$2001,J1331),"")</x:f>
      </x:c>
      <x:c r="L1331" t="str">
        <x:f>IF(ISNUMBER(K1331),L1330+LN(K1331),"")</x:f>
      </x:c>
    </x:row>
    <x:row r="1332">
      <x:c r="J1332" t="n">
        <x:f>1328</x:f>
        <x:v>1328</x:v>
      </x:c>
      <x:c r="K1332" t="str">
        <x:f>IF(J1332&lt;=$B$6,LARGE('계산'!$K$2:$K$2001,J1332),"")</x:f>
      </x:c>
      <x:c r="L1332" t="str">
        <x:f>IF(ISNUMBER(K1332),L1331+LN(K1332),"")</x:f>
      </x:c>
    </x:row>
    <x:row r="1333">
      <x:c r="J1333" t="n">
        <x:f>1329</x:f>
        <x:v>1329</x:v>
      </x:c>
      <x:c r="K1333" t="str">
        <x:f>IF(J1333&lt;=$B$6,LARGE('계산'!$K$2:$K$2001,J1333),"")</x:f>
      </x:c>
      <x:c r="L1333" t="str">
        <x:f>IF(ISNUMBER(K1333),L1332+LN(K1333),"")</x:f>
      </x:c>
    </x:row>
    <x:row r="1334">
      <x:c r="J1334" t="n">
        <x:f>1330</x:f>
        <x:v>1330</x:v>
      </x:c>
      <x:c r="K1334" t="str">
        <x:f>IF(J1334&lt;=$B$6,LARGE('계산'!$K$2:$K$2001,J1334),"")</x:f>
      </x:c>
      <x:c r="L1334" t="str">
        <x:f>IF(ISNUMBER(K1334),L1333+LN(K1334),"")</x:f>
      </x:c>
    </x:row>
    <x:row r="1335">
      <x:c r="J1335" t="n">
        <x:f>1331</x:f>
        <x:v>1331</x:v>
      </x:c>
      <x:c r="K1335" t="str">
        <x:f>IF(J1335&lt;=$B$6,LARGE('계산'!$K$2:$K$2001,J1335),"")</x:f>
      </x:c>
      <x:c r="L1335" t="str">
        <x:f>IF(ISNUMBER(K1335),L1334+LN(K1335),"")</x:f>
      </x:c>
    </x:row>
    <x:row r="1336">
      <x:c r="J1336" t="n">
        <x:f>1332</x:f>
        <x:v>1332</x:v>
      </x:c>
      <x:c r="K1336" t="str">
        <x:f>IF(J1336&lt;=$B$6,LARGE('계산'!$K$2:$K$2001,J1336),"")</x:f>
      </x:c>
      <x:c r="L1336" t="str">
        <x:f>IF(ISNUMBER(K1336),L1335+LN(K1336),"")</x:f>
      </x:c>
    </x:row>
    <x:row r="1337">
      <x:c r="J1337" t="n">
        <x:f>1333</x:f>
        <x:v>1333</x:v>
      </x:c>
      <x:c r="K1337" t="str">
        <x:f>IF(J1337&lt;=$B$6,LARGE('계산'!$K$2:$K$2001,J1337),"")</x:f>
      </x:c>
      <x:c r="L1337" t="str">
        <x:f>IF(ISNUMBER(K1337),L1336+LN(K1337),"")</x:f>
      </x:c>
    </x:row>
    <x:row r="1338">
      <x:c r="J1338" t="n">
        <x:f>1334</x:f>
        <x:v>1334</x:v>
      </x:c>
      <x:c r="K1338" t="str">
        <x:f>IF(J1338&lt;=$B$6,LARGE('계산'!$K$2:$K$2001,J1338),"")</x:f>
      </x:c>
      <x:c r="L1338" t="str">
        <x:f>IF(ISNUMBER(K1338),L1337+LN(K1338),"")</x:f>
      </x:c>
    </x:row>
    <x:row r="1339">
      <x:c r="J1339" t="n">
        <x:f>1335</x:f>
        <x:v>1335</x:v>
      </x:c>
      <x:c r="K1339" t="str">
        <x:f>IF(J1339&lt;=$B$6,LARGE('계산'!$K$2:$K$2001,J1339),"")</x:f>
      </x:c>
      <x:c r="L1339" t="str">
        <x:f>IF(ISNUMBER(K1339),L1338+LN(K1339),"")</x:f>
      </x:c>
    </x:row>
    <x:row r="1340">
      <x:c r="J1340" t="n">
        <x:f>1336</x:f>
        <x:v>1336</x:v>
      </x:c>
      <x:c r="K1340" t="str">
        <x:f>IF(J1340&lt;=$B$6,LARGE('계산'!$K$2:$K$2001,J1340),"")</x:f>
      </x:c>
      <x:c r="L1340" t="str">
        <x:f>IF(ISNUMBER(K1340),L1339+LN(K1340),"")</x:f>
      </x:c>
    </x:row>
    <x:row r="1341">
      <x:c r="J1341" t="n">
        <x:f>1337</x:f>
        <x:v>1337</x:v>
      </x:c>
      <x:c r="K1341" t="str">
        <x:f>IF(J1341&lt;=$B$6,LARGE('계산'!$K$2:$K$2001,J1341),"")</x:f>
      </x:c>
      <x:c r="L1341" t="str">
        <x:f>IF(ISNUMBER(K1341),L1340+LN(K1341),"")</x:f>
      </x:c>
    </x:row>
    <x:row r="1342">
      <x:c r="J1342" t="n">
        <x:f>1338</x:f>
        <x:v>1338</x:v>
      </x:c>
      <x:c r="K1342" t="str">
        <x:f>IF(J1342&lt;=$B$6,LARGE('계산'!$K$2:$K$2001,J1342),"")</x:f>
      </x:c>
      <x:c r="L1342" t="str">
        <x:f>IF(ISNUMBER(K1342),L1341+LN(K1342),"")</x:f>
      </x:c>
    </x:row>
    <x:row r="1343">
      <x:c r="J1343" t="n">
        <x:f>1339</x:f>
        <x:v>1339</x:v>
      </x:c>
      <x:c r="K1343" t="str">
        <x:f>IF(J1343&lt;=$B$6,LARGE('계산'!$K$2:$K$2001,J1343),"")</x:f>
      </x:c>
      <x:c r="L1343" t="str">
        <x:f>IF(ISNUMBER(K1343),L1342+LN(K1343),"")</x:f>
      </x:c>
    </x:row>
    <x:row r="1344">
      <x:c r="J1344" t="n">
        <x:f>1340</x:f>
        <x:v>1340</x:v>
      </x:c>
      <x:c r="K1344" t="str">
        <x:f>IF(J1344&lt;=$B$6,LARGE('계산'!$K$2:$K$2001,J1344),"")</x:f>
      </x:c>
      <x:c r="L1344" t="str">
        <x:f>IF(ISNUMBER(K1344),L1343+LN(K1344),"")</x:f>
      </x:c>
    </x:row>
    <x:row r="1345">
      <x:c r="J1345" t="n">
        <x:f>1341</x:f>
        <x:v>1341</x:v>
      </x:c>
      <x:c r="K1345" t="str">
        <x:f>IF(J1345&lt;=$B$6,LARGE('계산'!$K$2:$K$2001,J1345),"")</x:f>
      </x:c>
      <x:c r="L1345" t="str">
        <x:f>IF(ISNUMBER(K1345),L1344+LN(K1345),"")</x:f>
      </x:c>
    </x:row>
    <x:row r="1346">
      <x:c r="J1346" t="n">
        <x:f>1342</x:f>
        <x:v>1342</x:v>
      </x:c>
      <x:c r="K1346" t="str">
        <x:f>IF(J1346&lt;=$B$6,LARGE('계산'!$K$2:$K$2001,J1346),"")</x:f>
      </x:c>
      <x:c r="L1346" t="str">
        <x:f>IF(ISNUMBER(K1346),L1345+LN(K1346),"")</x:f>
      </x:c>
    </x:row>
    <x:row r="1347">
      <x:c r="J1347" t="n">
        <x:f>1343</x:f>
        <x:v>1343</x:v>
      </x:c>
      <x:c r="K1347" t="str">
        <x:f>IF(J1347&lt;=$B$6,LARGE('계산'!$K$2:$K$2001,J1347),"")</x:f>
      </x:c>
      <x:c r="L1347" t="str">
        <x:f>IF(ISNUMBER(K1347),L1346+LN(K1347),"")</x:f>
      </x:c>
    </x:row>
    <x:row r="1348">
      <x:c r="J1348" t="n">
        <x:f>1344</x:f>
        <x:v>1344</x:v>
      </x:c>
      <x:c r="K1348" t="str">
        <x:f>IF(J1348&lt;=$B$6,LARGE('계산'!$K$2:$K$2001,J1348),"")</x:f>
      </x:c>
      <x:c r="L1348" t="str">
        <x:f>IF(ISNUMBER(K1348),L1347+LN(K1348),"")</x:f>
      </x:c>
    </x:row>
    <x:row r="1349">
      <x:c r="J1349" t="n">
        <x:f>1345</x:f>
        <x:v>1345</x:v>
      </x:c>
      <x:c r="K1349" t="str">
        <x:f>IF(J1349&lt;=$B$6,LARGE('계산'!$K$2:$K$2001,J1349),"")</x:f>
      </x:c>
      <x:c r="L1349" t="str">
        <x:f>IF(ISNUMBER(K1349),L1348+LN(K1349),"")</x:f>
      </x:c>
    </x:row>
    <x:row r="1350">
      <x:c r="J1350" t="n">
        <x:f>1346</x:f>
        <x:v>1346</x:v>
      </x:c>
      <x:c r="K1350" t="str">
        <x:f>IF(J1350&lt;=$B$6,LARGE('계산'!$K$2:$K$2001,J1350),"")</x:f>
      </x:c>
      <x:c r="L1350" t="str">
        <x:f>IF(ISNUMBER(K1350),L1349+LN(K1350),"")</x:f>
      </x:c>
    </x:row>
    <x:row r="1351">
      <x:c r="J1351" t="n">
        <x:f>1347</x:f>
        <x:v>1347</x:v>
      </x:c>
      <x:c r="K1351" t="str">
        <x:f>IF(J1351&lt;=$B$6,LARGE('계산'!$K$2:$K$2001,J1351),"")</x:f>
      </x:c>
      <x:c r="L1351" t="str">
        <x:f>IF(ISNUMBER(K1351),L1350+LN(K1351),"")</x:f>
      </x:c>
    </x:row>
    <x:row r="1352">
      <x:c r="J1352" t="n">
        <x:f>1348</x:f>
        <x:v>1348</x:v>
      </x:c>
      <x:c r="K1352" t="str">
        <x:f>IF(J1352&lt;=$B$6,LARGE('계산'!$K$2:$K$2001,J1352),"")</x:f>
      </x:c>
      <x:c r="L1352" t="str">
        <x:f>IF(ISNUMBER(K1352),L1351+LN(K1352),"")</x:f>
      </x:c>
    </x:row>
    <x:row r="1353">
      <x:c r="J1353" t="n">
        <x:f>1349</x:f>
        <x:v>1349</x:v>
      </x:c>
      <x:c r="K1353" t="str">
        <x:f>IF(J1353&lt;=$B$6,LARGE('계산'!$K$2:$K$2001,J1353),"")</x:f>
      </x:c>
      <x:c r="L1353" t="str">
        <x:f>IF(ISNUMBER(K1353),L1352+LN(K1353),"")</x:f>
      </x:c>
    </x:row>
    <x:row r="1354">
      <x:c r="J1354" t="n">
        <x:f>1350</x:f>
        <x:v>1350</x:v>
      </x:c>
      <x:c r="K1354" t="str">
        <x:f>IF(J1354&lt;=$B$6,LARGE('계산'!$K$2:$K$2001,J1354),"")</x:f>
      </x:c>
      <x:c r="L1354" t="str">
        <x:f>IF(ISNUMBER(K1354),L1353+LN(K1354),"")</x:f>
      </x:c>
    </x:row>
    <x:row r="1355">
      <x:c r="J1355" t="n">
        <x:f>1351</x:f>
        <x:v>1351</x:v>
      </x:c>
      <x:c r="K1355" t="str">
        <x:f>IF(J1355&lt;=$B$6,LARGE('계산'!$K$2:$K$2001,J1355),"")</x:f>
      </x:c>
      <x:c r="L1355" t="str">
        <x:f>IF(ISNUMBER(K1355),L1354+LN(K1355),"")</x:f>
      </x:c>
    </x:row>
    <x:row r="1356">
      <x:c r="J1356" t="n">
        <x:f>1352</x:f>
        <x:v>1352</x:v>
      </x:c>
      <x:c r="K1356" t="str">
        <x:f>IF(J1356&lt;=$B$6,LARGE('계산'!$K$2:$K$2001,J1356),"")</x:f>
      </x:c>
      <x:c r="L1356" t="str">
        <x:f>IF(ISNUMBER(K1356),L1355+LN(K1356),"")</x:f>
      </x:c>
    </x:row>
    <x:row r="1357">
      <x:c r="J1357" t="n">
        <x:f>1353</x:f>
        <x:v>1353</x:v>
      </x:c>
      <x:c r="K1357" t="str">
        <x:f>IF(J1357&lt;=$B$6,LARGE('계산'!$K$2:$K$2001,J1357),"")</x:f>
      </x:c>
      <x:c r="L1357" t="str">
        <x:f>IF(ISNUMBER(K1357),L1356+LN(K1357),"")</x:f>
      </x:c>
    </x:row>
    <x:row r="1358">
      <x:c r="J1358" t="n">
        <x:f>1354</x:f>
        <x:v>1354</x:v>
      </x:c>
      <x:c r="K1358" t="str">
        <x:f>IF(J1358&lt;=$B$6,LARGE('계산'!$K$2:$K$2001,J1358),"")</x:f>
      </x:c>
      <x:c r="L1358" t="str">
        <x:f>IF(ISNUMBER(K1358),L1357+LN(K1358),"")</x:f>
      </x:c>
    </x:row>
    <x:row r="1359">
      <x:c r="J1359" t="n">
        <x:f>1355</x:f>
        <x:v>1355</x:v>
      </x:c>
      <x:c r="K1359" t="str">
        <x:f>IF(J1359&lt;=$B$6,LARGE('계산'!$K$2:$K$2001,J1359),"")</x:f>
      </x:c>
      <x:c r="L1359" t="str">
        <x:f>IF(ISNUMBER(K1359),L1358+LN(K1359),"")</x:f>
      </x:c>
    </x:row>
    <x:row r="1360">
      <x:c r="J1360" t="n">
        <x:f>1356</x:f>
        <x:v>1356</x:v>
      </x:c>
      <x:c r="K1360" t="str">
        <x:f>IF(J1360&lt;=$B$6,LARGE('계산'!$K$2:$K$2001,J1360),"")</x:f>
      </x:c>
      <x:c r="L1360" t="str">
        <x:f>IF(ISNUMBER(K1360),L1359+LN(K1360),"")</x:f>
      </x:c>
    </x:row>
    <x:row r="1361">
      <x:c r="J1361" t="n">
        <x:f>1357</x:f>
        <x:v>1357</x:v>
      </x:c>
      <x:c r="K1361" t="str">
        <x:f>IF(J1361&lt;=$B$6,LARGE('계산'!$K$2:$K$2001,J1361),"")</x:f>
      </x:c>
      <x:c r="L1361" t="str">
        <x:f>IF(ISNUMBER(K1361),L1360+LN(K1361),"")</x:f>
      </x:c>
    </x:row>
    <x:row r="1362">
      <x:c r="J1362" t="n">
        <x:f>1358</x:f>
        <x:v>1358</x:v>
      </x:c>
      <x:c r="K1362" t="str">
        <x:f>IF(J1362&lt;=$B$6,LARGE('계산'!$K$2:$K$2001,J1362),"")</x:f>
      </x:c>
      <x:c r="L1362" t="str">
        <x:f>IF(ISNUMBER(K1362),L1361+LN(K1362),"")</x:f>
      </x:c>
    </x:row>
    <x:row r="1363">
      <x:c r="J1363" t="n">
        <x:f>1359</x:f>
        <x:v>1359</x:v>
      </x:c>
      <x:c r="K1363" t="str">
        <x:f>IF(J1363&lt;=$B$6,LARGE('계산'!$K$2:$K$2001,J1363),"")</x:f>
      </x:c>
      <x:c r="L1363" t="str">
        <x:f>IF(ISNUMBER(K1363),L1362+LN(K1363),"")</x:f>
      </x:c>
    </x:row>
    <x:row r="1364">
      <x:c r="J1364" t="n">
        <x:f>1360</x:f>
        <x:v>1360</x:v>
      </x:c>
      <x:c r="K1364" t="str">
        <x:f>IF(J1364&lt;=$B$6,LARGE('계산'!$K$2:$K$2001,J1364),"")</x:f>
      </x:c>
      <x:c r="L1364" t="str">
        <x:f>IF(ISNUMBER(K1364),L1363+LN(K1364),"")</x:f>
      </x:c>
    </x:row>
    <x:row r="1365">
      <x:c r="J1365" t="n">
        <x:f>1361</x:f>
        <x:v>1361</x:v>
      </x:c>
      <x:c r="K1365" t="str">
        <x:f>IF(J1365&lt;=$B$6,LARGE('계산'!$K$2:$K$2001,J1365),"")</x:f>
      </x:c>
      <x:c r="L1365" t="str">
        <x:f>IF(ISNUMBER(K1365),L1364+LN(K1365),"")</x:f>
      </x:c>
    </x:row>
    <x:row r="1366">
      <x:c r="J1366" t="n">
        <x:f>1362</x:f>
        <x:v>1362</x:v>
      </x:c>
      <x:c r="K1366" t="str">
        <x:f>IF(J1366&lt;=$B$6,LARGE('계산'!$K$2:$K$2001,J1366),"")</x:f>
      </x:c>
      <x:c r="L1366" t="str">
        <x:f>IF(ISNUMBER(K1366),L1365+LN(K1366),"")</x:f>
      </x:c>
    </x:row>
    <x:row r="1367">
      <x:c r="J1367" t="n">
        <x:f>1363</x:f>
        <x:v>1363</x:v>
      </x:c>
      <x:c r="K1367" t="str">
        <x:f>IF(J1367&lt;=$B$6,LARGE('계산'!$K$2:$K$2001,J1367),"")</x:f>
      </x:c>
      <x:c r="L1367" t="str">
        <x:f>IF(ISNUMBER(K1367),L1366+LN(K1367),"")</x:f>
      </x:c>
    </x:row>
    <x:row r="1368">
      <x:c r="J1368" t="n">
        <x:f>1364</x:f>
        <x:v>1364</x:v>
      </x:c>
      <x:c r="K1368" t="str">
        <x:f>IF(J1368&lt;=$B$6,LARGE('계산'!$K$2:$K$2001,J1368),"")</x:f>
      </x:c>
      <x:c r="L1368" t="str">
        <x:f>IF(ISNUMBER(K1368),L1367+LN(K1368),"")</x:f>
      </x:c>
    </x:row>
    <x:row r="1369">
      <x:c r="J1369" t="n">
        <x:f>1365</x:f>
        <x:v>1365</x:v>
      </x:c>
      <x:c r="K1369" t="str">
        <x:f>IF(J1369&lt;=$B$6,LARGE('계산'!$K$2:$K$2001,J1369),"")</x:f>
      </x:c>
      <x:c r="L1369" t="str">
        <x:f>IF(ISNUMBER(K1369),L1368+LN(K1369),"")</x:f>
      </x:c>
    </x:row>
    <x:row r="1370">
      <x:c r="J1370" t="n">
        <x:f>1366</x:f>
        <x:v>1366</x:v>
      </x:c>
      <x:c r="K1370" t="str">
        <x:f>IF(J1370&lt;=$B$6,LARGE('계산'!$K$2:$K$2001,J1370),"")</x:f>
      </x:c>
      <x:c r="L1370" t="str">
        <x:f>IF(ISNUMBER(K1370),L1369+LN(K1370),"")</x:f>
      </x:c>
    </x:row>
    <x:row r="1371">
      <x:c r="J1371" t="n">
        <x:f>1367</x:f>
        <x:v>1367</x:v>
      </x:c>
      <x:c r="K1371" t="str">
        <x:f>IF(J1371&lt;=$B$6,LARGE('계산'!$K$2:$K$2001,J1371),"")</x:f>
      </x:c>
      <x:c r="L1371" t="str">
        <x:f>IF(ISNUMBER(K1371),L1370+LN(K1371),"")</x:f>
      </x:c>
    </x:row>
    <x:row r="1372">
      <x:c r="J1372" t="n">
        <x:f>1368</x:f>
        <x:v>1368</x:v>
      </x:c>
      <x:c r="K1372" t="str">
        <x:f>IF(J1372&lt;=$B$6,LARGE('계산'!$K$2:$K$2001,J1372),"")</x:f>
      </x:c>
      <x:c r="L1372" t="str">
        <x:f>IF(ISNUMBER(K1372),L1371+LN(K1372),"")</x:f>
      </x:c>
    </x:row>
    <x:row r="1373">
      <x:c r="J1373" t="n">
        <x:f>1369</x:f>
        <x:v>1369</x:v>
      </x:c>
      <x:c r="K1373" t="str">
        <x:f>IF(J1373&lt;=$B$6,LARGE('계산'!$K$2:$K$2001,J1373),"")</x:f>
      </x:c>
      <x:c r="L1373" t="str">
        <x:f>IF(ISNUMBER(K1373),L1372+LN(K1373),"")</x:f>
      </x:c>
    </x:row>
    <x:row r="1374">
      <x:c r="J1374" t="n">
        <x:f>1370</x:f>
        <x:v>1370</x:v>
      </x:c>
      <x:c r="K1374" t="str">
        <x:f>IF(J1374&lt;=$B$6,LARGE('계산'!$K$2:$K$2001,J1374),"")</x:f>
      </x:c>
      <x:c r="L1374" t="str">
        <x:f>IF(ISNUMBER(K1374),L1373+LN(K1374),"")</x:f>
      </x:c>
    </x:row>
    <x:row r="1375">
      <x:c r="J1375" t="n">
        <x:f>1371</x:f>
        <x:v>1371</x:v>
      </x:c>
      <x:c r="K1375" t="str">
        <x:f>IF(J1375&lt;=$B$6,LARGE('계산'!$K$2:$K$2001,J1375),"")</x:f>
      </x:c>
      <x:c r="L1375" t="str">
        <x:f>IF(ISNUMBER(K1375),L1374+LN(K1375),"")</x:f>
      </x:c>
    </x:row>
    <x:row r="1376">
      <x:c r="J1376" t="n">
        <x:f>1372</x:f>
        <x:v>1372</x:v>
      </x:c>
      <x:c r="K1376" t="str">
        <x:f>IF(J1376&lt;=$B$6,LARGE('계산'!$K$2:$K$2001,J1376),"")</x:f>
      </x:c>
      <x:c r="L1376" t="str">
        <x:f>IF(ISNUMBER(K1376),L1375+LN(K1376),"")</x:f>
      </x:c>
    </x:row>
    <x:row r="1377">
      <x:c r="J1377" t="n">
        <x:f>1373</x:f>
        <x:v>1373</x:v>
      </x:c>
      <x:c r="K1377" t="str">
        <x:f>IF(J1377&lt;=$B$6,LARGE('계산'!$K$2:$K$2001,J1377),"")</x:f>
      </x:c>
      <x:c r="L1377" t="str">
        <x:f>IF(ISNUMBER(K1377),L1376+LN(K1377),"")</x:f>
      </x:c>
    </x:row>
    <x:row r="1378">
      <x:c r="J1378" t="n">
        <x:f>1374</x:f>
        <x:v>1374</x:v>
      </x:c>
      <x:c r="K1378" t="str">
        <x:f>IF(J1378&lt;=$B$6,LARGE('계산'!$K$2:$K$2001,J1378),"")</x:f>
      </x:c>
      <x:c r="L1378" t="str">
        <x:f>IF(ISNUMBER(K1378),L1377+LN(K1378),"")</x:f>
      </x:c>
    </x:row>
    <x:row r="1379">
      <x:c r="J1379" t="n">
        <x:f>1375</x:f>
        <x:v>1375</x:v>
      </x:c>
      <x:c r="K1379" t="str">
        <x:f>IF(J1379&lt;=$B$6,LARGE('계산'!$K$2:$K$2001,J1379),"")</x:f>
      </x:c>
      <x:c r="L1379" t="str">
        <x:f>IF(ISNUMBER(K1379),L1378+LN(K1379),"")</x:f>
      </x:c>
    </x:row>
    <x:row r="1380">
      <x:c r="J1380" t="n">
        <x:f>1376</x:f>
        <x:v>1376</x:v>
      </x:c>
      <x:c r="K1380" t="str">
        <x:f>IF(J1380&lt;=$B$6,LARGE('계산'!$K$2:$K$2001,J1380),"")</x:f>
      </x:c>
      <x:c r="L1380" t="str">
        <x:f>IF(ISNUMBER(K1380),L1379+LN(K1380),"")</x:f>
      </x:c>
    </x:row>
    <x:row r="1381">
      <x:c r="J1381" t="n">
        <x:f>1377</x:f>
        <x:v>1377</x:v>
      </x:c>
      <x:c r="K1381" t="str">
        <x:f>IF(J1381&lt;=$B$6,LARGE('계산'!$K$2:$K$2001,J1381),"")</x:f>
      </x:c>
      <x:c r="L1381" t="str">
        <x:f>IF(ISNUMBER(K1381),L1380+LN(K1381),"")</x:f>
      </x:c>
    </x:row>
    <x:row r="1382">
      <x:c r="J1382" t="n">
        <x:f>1378</x:f>
        <x:v>1378</x:v>
      </x:c>
      <x:c r="K1382" t="str">
        <x:f>IF(J1382&lt;=$B$6,LARGE('계산'!$K$2:$K$2001,J1382),"")</x:f>
      </x:c>
      <x:c r="L1382" t="str">
        <x:f>IF(ISNUMBER(K1382),L1381+LN(K1382),"")</x:f>
      </x:c>
    </x:row>
    <x:row r="1383">
      <x:c r="J1383" t="n">
        <x:f>1379</x:f>
        <x:v>1379</x:v>
      </x:c>
      <x:c r="K1383" t="str">
        <x:f>IF(J1383&lt;=$B$6,LARGE('계산'!$K$2:$K$2001,J1383),"")</x:f>
      </x:c>
      <x:c r="L1383" t="str">
        <x:f>IF(ISNUMBER(K1383),L1382+LN(K1383),"")</x:f>
      </x:c>
    </x:row>
    <x:row r="1384">
      <x:c r="J1384" t="n">
        <x:f>1380</x:f>
        <x:v>1380</x:v>
      </x:c>
      <x:c r="K1384" t="str">
        <x:f>IF(J1384&lt;=$B$6,LARGE('계산'!$K$2:$K$2001,J1384),"")</x:f>
      </x:c>
      <x:c r="L1384" t="str">
        <x:f>IF(ISNUMBER(K1384),L1383+LN(K1384),"")</x:f>
      </x:c>
    </x:row>
    <x:row r="1385">
      <x:c r="J1385" t="n">
        <x:f>1381</x:f>
        <x:v>1381</x:v>
      </x:c>
      <x:c r="K1385" t="str">
        <x:f>IF(J1385&lt;=$B$6,LARGE('계산'!$K$2:$K$2001,J1385),"")</x:f>
      </x:c>
      <x:c r="L1385" t="str">
        <x:f>IF(ISNUMBER(K1385),L1384+LN(K1385),"")</x:f>
      </x:c>
    </x:row>
    <x:row r="1386">
      <x:c r="J1386" t="n">
        <x:f>1382</x:f>
        <x:v>1382</x:v>
      </x:c>
      <x:c r="K1386" t="str">
        <x:f>IF(J1386&lt;=$B$6,LARGE('계산'!$K$2:$K$2001,J1386),"")</x:f>
      </x:c>
      <x:c r="L1386" t="str">
        <x:f>IF(ISNUMBER(K1386),L1385+LN(K1386),"")</x:f>
      </x:c>
    </x:row>
    <x:row r="1387">
      <x:c r="J1387" t="n">
        <x:f>1383</x:f>
        <x:v>1383</x:v>
      </x:c>
      <x:c r="K1387" t="str">
        <x:f>IF(J1387&lt;=$B$6,LARGE('계산'!$K$2:$K$2001,J1387),"")</x:f>
      </x:c>
      <x:c r="L1387" t="str">
        <x:f>IF(ISNUMBER(K1387),L1386+LN(K1387),"")</x:f>
      </x:c>
    </x:row>
    <x:row r="1388">
      <x:c r="J1388" t="n">
        <x:f>1384</x:f>
        <x:v>1384</x:v>
      </x:c>
      <x:c r="K1388" t="str">
        <x:f>IF(J1388&lt;=$B$6,LARGE('계산'!$K$2:$K$2001,J1388),"")</x:f>
      </x:c>
      <x:c r="L1388" t="str">
        <x:f>IF(ISNUMBER(K1388),L1387+LN(K1388),"")</x:f>
      </x:c>
    </x:row>
    <x:row r="1389">
      <x:c r="J1389" t="n">
        <x:f>1385</x:f>
        <x:v>1385</x:v>
      </x:c>
      <x:c r="K1389" t="str">
        <x:f>IF(J1389&lt;=$B$6,LARGE('계산'!$K$2:$K$2001,J1389),"")</x:f>
      </x:c>
      <x:c r="L1389" t="str">
        <x:f>IF(ISNUMBER(K1389),L1388+LN(K1389),"")</x:f>
      </x:c>
    </x:row>
    <x:row r="1390">
      <x:c r="J1390" t="n">
        <x:f>1386</x:f>
        <x:v>1386</x:v>
      </x:c>
      <x:c r="K1390" t="str">
        <x:f>IF(J1390&lt;=$B$6,LARGE('계산'!$K$2:$K$2001,J1390),"")</x:f>
      </x:c>
      <x:c r="L1390" t="str">
        <x:f>IF(ISNUMBER(K1390),L1389+LN(K1390),"")</x:f>
      </x:c>
    </x:row>
    <x:row r="1391">
      <x:c r="J1391" t="n">
        <x:f>1387</x:f>
        <x:v>1387</x:v>
      </x:c>
      <x:c r="K1391" t="str">
        <x:f>IF(J1391&lt;=$B$6,LARGE('계산'!$K$2:$K$2001,J1391),"")</x:f>
      </x:c>
      <x:c r="L1391" t="str">
        <x:f>IF(ISNUMBER(K1391),L1390+LN(K1391),"")</x:f>
      </x:c>
    </x:row>
    <x:row r="1392">
      <x:c r="J1392" t="n">
        <x:f>1388</x:f>
        <x:v>1388</x:v>
      </x:c>
      <x:c r="K1392" t="str">
        <x:f>IF(J1392&lt;=$B$6,LARGE('계산'!$K$2:$K$2001,J1392),"")</x:f>
      </x:c>
      <x:c r="L1392" t="str">
        <x:f>IF(ISNUMBER(K1392),L1391+LN(K1392),"")</x:f>
      </x:c>
    </x:row>
    <x:row r="1393">
      <x:c r="J1393" t="n">
        <x:f>1389</x:f>
        <x:v>1389</x:v>
      </x:c>
      <x:c r="K1393" t="str">
        <x:f>IF(J1393&lt;=$B$6,LARGE('계산'!$K$2:$K$2001,J1393),"")</x:f>
      </x:c>
      <x:c r="L1393" t="str">
        <x:f>IF(ISNUMBER(K1393),L1392+LN(K1393),"")</x:f>
      </x:c>
    </x:row>
    <x:row r="1394">
      <x:c r="J1394" t="n">
        <x:f>1390</x:f>
        <x:v>1390</x:v>
      </x:c>
      <x:c r="K1394" t="str">
        <x:f>IF(J1394&lt;=$B$6,LARGE('계산'!$K$2:$K$2001,J1394),"")</x:f>
      </x:c>
      <x:c r="L1394" t="str">
        <x:f>IF(ISNUMBER(K1394),L1393+LN(K1394),"")</x:f>
      </x:c>
    </x:row>
    <x:row r="1395">
      <x:c r="J1395" t="n">
        <x:f>1391</x:f>
        <x:v>1391</x:v>
      </x:c>
      <x:c r="K1395" t="str">
        <x:f>IF(J1395&lt;=$B$6,LARGE('계산'!$K$2:$K$2001,J1395),"")</x:f>
      </x:c>
      <x:c r="L1395" t="str">
        <x:f>IF(ISNUMBER(K1395),L1394+LN(K1395),"")</x:f>
      </x:c>
    </x:row>
    <x:row r="1396">
      <x:c r="J1396" t="n">
        <x:f>1392</x:f>
        <x:v>1392</x:v>
      </x:c>
      <x:c r="K1396" t="str">
        <x:f>IF(J1396&lt;=$B$6,LARGE('계산'!$K$2:$K$2001,J1396),"")</x:f>
      </x:c>
      <x:c r="L1396" t="str">
        <x:f>IF(ISNUMBER(K1396),L1395+LN(K1396),"")</x:f>
      </x:c>
    </x:row>
    <x:row r="1397">
      <x:c r="J1397" t="n">
        <x:f>1393</x:f>
        <x:v>1393</x:v>
      </x:c>
      <x:c r="K1397" t="str">
        <x:f>IF(J1397&lt;=$B$6,LARGE('계산'!$K$2:$K$2001,J1397),"")</x:f>
      </x:c>
      <x:c r="L1397" t="str">
        <x:f>IF(ISNUMBER(K1397),L1396+LN(K1397),"")</x:f>
      </x:c>
    </x:row>
    <x:row r="1398">
      <x:c r="J1398" t="n">
        <x:f>1394</x:f>
        <x:v>1394</x:v>
      </x:c>
      <x:c r="K1398" t="str">
        <x:f>IF(J1398&lt;=$B$6,LARGE('계산'!$K$2:$K$2001,J1398),"")</x:f>
      </x:c>
      <x:c r="L1398" t="str">
        <x:f>IF(ISNUMBER(K1398),L1397+LN(K1398),"")</x:f>
      </x:c>
    </x:row>
    <x:row r="1399">
      <x:c r="J1399" t="n">
        <x:f>1395</x:f>
        <x:v>1395</x:v>
      </x:c>
      <x:c r="K1399" t="str">
        <x:f>IF(J1399&lt;=$B$6,LARGE('계산'!$K$2:$K$2001,J1399),"")</x:f>
      </x:c>
      <x:c r="L1399" t="str">
        <x:f>IF(ISNUMBER(K1399),L1398+LN(K1399),"")</x:f>
      </x:c>
    </x:row>
    <x:row r="1400">
      <x:c r="J1400" t="n">
        <x:f>1396</x:f>
        <x:v>1396</x:v>
      </x:c>
      <x:c r="K1400" t="str">
        <x:f>IF(J1400&lt;=$B$6,LARGE('계산'!$K$2:$K$2001,J1400),"")</x:f>
      </x:c>
      <x:c r="L1400" t="str">
        <x:f>IF(ISNUMBER(K1400),L1399+LN(K1400),"")</x:f>
      </x:c>
    </x:row>
    <x:row r="1401">
      <x:c r="J1401" t="n">
        <x:f>1397</x:f>
        <x:v>1397</x:v>
      </x:c>
      <x:c r="K1401" t="str">
        <x:f>IF(J1401&lt;=$B$6,LARGE('계산'!$K$2:$K$2001,J1401),"")</x:f>
      </x:c>
      <x:c r="L1401" t="str">
        <x:f>IF(ISNUMBER(K1401),L1400+LN(K1401),"")</x:f>
      </x:c>
    </x:row>
    <x:row r="1402">
      <x:c r="J1402" t="n">
        <x:f>1398</x:f>
        <x:v>1398</x:v>
      </x:c>
      <x:c r="K1402" t="str">
        <x:f>IF(J1402&lt;=$B$6,LARGE('계산'!$K$2:$K$2001,J1402),"")</x:f>
      </x:c>
      <x:c r="L1402" t="str">
        <x:f>IF(ISNUMBER(K1402),L1401+LN(K1402),"")</x:f>
      </x:c>
    </x:row>
    <x:row r="1403">
      <x:c r="J1403" t="n">
        <x:f>1399</x:f>
        <x:v>1399</x:v>
      </x:c>
      <x:c r="K1403" t="str">
        <x:f>IF(J1403&lt;=$B$6,LARGE('계산'!$K$2:$K$2001,J1403),"")</x:f>
      </x:c>
      <x:c r="L1403" t="str">
        <x:f>IF(ISNUMBER(K1403),L1402+LN(K1403),"")</x:f>
      </x:c>
    </x:row>
    <x:row r="1404">
      <x:c r="J1404" t="n">
        <x:f>1400</x:f>
        <x:v>1400</x:v>
      </x:c>
      <x:c r="K1404" t="str">
        <x:f>IF(J1404&lt;=$B$6,LARGE('계산'!$K$2:$K$2001,J1404),"")</x:f>
      </x:c>
      <x:c r="L1404" t="str">
        <x:f>IF(ISNUMBER(K1404),L1403+LN(K1404),"")</x:f>
      </x:c>
    </x:row>
    <x:row r="1405">
      <x:c r="J1405" t="n">
        <x:f>1401</x:f>
        <x:v>1401</x:v>
      </x:c>
      <x:c r="K1405" t="str">
        <x:f>IF(J1405&lt;=$B$6,LARGE('계산'!$K$2:$K$2001,J1405),"")</x:f>
      </x:c>
      <x:c r="L1405" t="str">
        <x:f>IF(ISNUMBER(K1405),L1404+LN(K1405),"")</x:f>
      </x:c>
    </x:row>
    <x:row r="1406">
      <x:c r="J1406" t="n">
        <x:f>1402</x:f>
        <x:v>1402</x:v>
      </x:c>
      <x:c r="K1406" t="str">
        <x:f>IF(J1406&lt;=$B$6,LARGE('계산'!$K$2:$K$2001,J1406),"")</x:f>
      </x:c>
      <x:c r="L1406" t="str">
        <x:f>IF(ISNUMBER(K1406),L1405+LN(K1406),"")</x:f>
      </x:c>
    </x:row>
    <x:row r="1407">
      <x:c r="J1407" t="n">
        <x:f>1403</x:f>
        <x:v>1403</x:v>
      </x:c>
      <x:c r="K1407" t="str">
        <x:f>IF(J1407&lt;=$B$6,LARGE('계산'!$K$2:$K$2001,J1407),"")</x:f>
      </x:c>
      <x:c r="L1407" t="str">
        <x:f>IF(ISNUMBER(K1407),L1406+LN(K1407),"")</x:f>
      </x:c>
    </x:row>
    <x:row r="1408">
      <x:c r="J1408" t="n">
        <x:f>1404</x:f>
        <x:v>1404</x:v>
      </x:c>
      <x:c r="K1408" t="str">
        <x:f>IF(J1408&lt;=$B$6,LARGE('계산'!$K$2:$K$2001,J1408),"")</x:f>
      </x:c>
      <x:c r="L1408" t="str">
        <x:f>IF(ISNUMBER(K1408),L1407+LN(K1408),"")</x:f>
      </x:c>
    </x:row>
    <x:row r="1409">
      <x:c r="J1409" t="n">
        <x:f>1405</x:f>
        <x:v>1405</x:v>
      </x:c>
      <x:c r="K1409" t="str">
        <x:f>IF(J1409&lt;=$B$6,LARGE('계산'!$K$2:$K$2001,J1409),"")</x:f>
      </x:c>
      <x:c r="L1409" t="str">
        <x:f>IF(ISNUMBER(K1409),L1408+LN(K1409),"")</x:f>
      </x:c>
    </x:row>
    <x:row r="1410">
      <x:c r="J1410" t="n">
        <x:f>1406</x:f>
        <x:v>1406</x:v>
      </x:c>
      <x:c r="K1410" t="str">
        <x:f>IF(J1410&lt;=$B$6,LARGE('계산'!$K$2:$K$2001,J1410),"")</x:f>
      </x:c>
      <x:c r="L1410" t="str">
        <x:f>IF(ISNUMBER(K1410),L1409+LN(K1410),"")</x:f>
      </x:c>
    </x:row>
    <x:row r="1411">
      <x:c r="J1411" t="n">
        <x:f>1407</x:f>
        <x:v>1407</x:v>
      </x:c>
      <x:c r="K1411" t="str">
        <x:f>IF(J1411&lt;=$B$6,LARGE('계산'!$K$2:$K$2001,J1411),"")</x:f>
      </x:c>
      <x:c r="L1411" t="str">
        <x:f>IF(ISNUMBER(K1411),L1410+LN(K1411),"")</x:f>
      </x:c>
    </x:row>
    <x:row r="1412">
      <x:c r="J1412" t="n">
        <x:f>1408</x:f>
        <x:v>1408</x:v>
      </x:c>
      <x:c r="K1412" t="str">
        <x:f>IF(J1412&lt;=$B$6,LARGE('계산'!$K$2:$K$2001,J1412),"")</x:f>
      </x:c>
      <x:c r="L1412" t="str">
        <x:f>IF(ISNUMBER(K1412),L1411+LN(K1412),"")</x:f>
      </x:c>
    </x:row>
    <x:row r="1413">
      <x:c r="J1413" t="n">
        <x:f>1409</x:f>
        <x:v>1409</x:v>
      </x:c>
      <x:c r="K1413" t="str">
        <x:f>IF(J1413&lt;=$B$6,LARGE('계산'!$K$2:$K$2001,J1413),"")</x:f>
      </x:c>
      <x:c r="L1413" t="str">
        <x:f>IF(ISNUMBER(K1413),L1412+LN(K1413),"")</x:f>
      </x:c>
    </x:row>
    <x:row r="1414">
      <x:c r="J1414" t="n">
        <x:f>1410</x:f>
        <x:v>1410</x:v>
      </x:c>
      <x:c r="K1414" t="str">
        <x:f>IF(J1414&lt;=$B$6,LARGE('계산'!$K$2:$K$2001,J1414),"")</x:f>
      </x:c>
      <x:c r="L1414" t="str">
        <x:f>IF(ISNUMBER(K1414),L1413+LN(K1414),"")</x:f>
      </x:c>
    </x:row>
    <x:row r="1415">
      <x:c r="J1415" t="n">
        <x:f>1411</x:f>
        <x:v>1411</x:v>
      </x:c>
      <x:c r="K1415" t="str">
        <x:f>IF(J1415&lt;=$B$6,LARGE('계산'!$K$2:$K$2001,J1415),"")</x:f>
      </x:c>
      <x:c r="L1415" t="str">
        <x:f>IF(ISNUMBER(K1415),L1414+LN(K1415),"")</x:f>
      </x:c>
    </x:row>
    <x:row r="1416">
      <x:c r="J1416" t="n">
        <x:f>1412</x:f>
        <x:v>1412</x:v>
      </x:c>
      <x:c r="K1416" t="str">
        <x:f>IF(J1416&lt;=$B$6,LARGE('계산'!$K$2:$K$2001,J1416),"")</x:f>
      </x:c>
      <x:c r="L1416" t="str">
        <x:f>IF(ISNUMBER(K1416),L1415+LN(K1416),"")</x:f>
      </x:c>
    </x:row>
    <x:row r="1417">
      <x:c r="J1417" t="n">
        <x:f>1413</x:f>
        <x:v>1413</x:v>
      </x:c>
      <x:c r="K1417" t="str">
        <x:f>IF(J1417&lt;=$B$6,LARGE('계산'!$K$2:$K$2001,J1417),"")</x:f>
      </x:c>
      <x:c r="L1417" t="str">
        <x:f>IF(ISNUMBER(K1417),L1416+LN(K1417),"")</x:f>
      </x:c>
    </x:row>
    <x:row r="1418">
      <x:c r="J1418" t="n">
        <x:f>1414</x:f>
        <x:v>1414</x:v>
      </x:c>
      <x:c r="K1418" t="str">
        <x:f>IF(J1418&lt;=$B$6,LARGE('계산'!$K$2:$K$2001,J1418),"")</x:f>
      </x:c>
      <x:c r="L1418" t="str">
        <x:f>IF(ISNUMBER(K1418),L1417+LN(K1418),"")</x:f>
      </x:c>
    </x:row>
    <x:row r="1419">
      <x:c r="J1419" t="n">
        <x:f>1415</x:f>
        <x:v>1415</x:v>
      </x:c>
      <x:c r="K1419" t="str">
        <x:f>IF(J1419&lt;=$B$6,LARGE('계산'!$K$2:$K$2001,J1419),"")</x:f>
      </x:c>
      <x:c r="L1419" t="str">
        <x:f>IF(ISNUMBER(K1419),L1418+LN(K1419),"")</x:f>
      </x:c>
    </x:row>
    <x:row r="1420">
      <x:c r="J1420" t="n">
        <x:f>1416</x:f>
        <x:v>1416</x:v>
      </x:c>
      <x:c r="K1420" t="str">
        <x:f>IF(J1420&lt;=$B$6,LARGE('계산'!$K$2:$K$2001,J1420),"")</x:f>
      </x:c>
      <x:c r="L1420" t="str">
        <x:f>IF(ISNUMBER(K1420),L1419+LN(K1420),"")</x:f>
      </x:c>
    </x:row>
    <x:row r="1421">
      <x:c r="J1421" t="n">
        <x:f>1417</x:f>
        <x:v>1417</x:v>
      </x:c>
      <x:c r="K1421" t="str">
        <x:f>IF(J1421&lt;=$B$6,LARGE('계산'!$K$2:$K$2001,J1421),"")</x:f>
      </x:c>
      <x:c r="L1421" t="str">
        <x:f>IF(ISNUMBER(K1421),L1420+LN(K1421),"")</x:f>
      </x:c>
    </x:row>
    <x:row r="1422">
      <x:c r="J1422" t="n">
        <x:f>1418</x:f>
        <x:v>1418</x:v>
      </x:c>
      <x:c r="K1422" t="str">
        <x:f>IF(J1422&lt;=$B$6,LARGE('계산'!$K$2:$K$2001,J1422),"")</x:f>
      </x:c>
      <x:c r="L1422" t="str">
        <x:f>IF(ISNUMBER(K1422),L1421+LN(K1422),"")</x:f>
      </x:c>
    </x:row>
    <x:row r="1423">
      <x:c r="J1423" t="n">
        <x:f>1419</x:f>
        <x:v>1419</x:v>
      </x:c>
      <x:c r="K1423" t="str">
        <x:f>IF(J1423&lt;=$B$6,LARGE('계산'!$K$2:$K$2001,J1423),"")</x:f>
      </x:c>
      <x:c r="L1423" t="str">
        <x:f>IF(ISNUMBER(K1423),L1422+LN(K1423),"")</x:f>
      </x:c>
    </x:row>
    <x:row r="1424">
      <x:c r="J1424" t="n">
        <x:f>1420</x:f>
        <x:v>1420</x:v>
      </x:c>
      <x:c r="K1424" t="str">
        <x:f>IF(J1424&lt;=$B$6,LARGE('계산'!$K$2:$K$2001,J1424),"")</x:f>
      </x:c>
      <x:c r="L1424" t="str">
        <x:f>IF(ISNUMBER(K1424),L1423+LN(K1424),"")</x:f>
      </x:c>
    </x:row>
    <x:row r="1425">
      <x:c r="J1425" t="n">
        <x:f>1421</x:f>
        <x:v>1421</x:v>
      </x:c>
      <x:c r="K1425" t="str">
        <x:f>IF(J1425&lt;=$B$6,LARGE('계산'!$K$2:$K$2001,J1425),"")</x:f>
      </x:c>
      <x:c r="L1425" t="str">
        <x:f>IF(ISNUMBER(K1425),L1424+LN(K1425),"")</x:f>
      </x:c>
    </x:row>
    <x:row r="1426">
      <x:c r="J1426" t="n">
        <x:f>1422</x:f>
        <x:v>1422</x:v>
      </x:c>
      <x:c r="K1426" t="str">
        <x:f>IF(J1426&lt;=$B$6,LARGE('계산'!$K$2:$K$2001,J1426),"")</x:f>
      </x:c>
      <x:c r="L1426" t="str">
        <x:f>IF(ISNUMBER(K1426),L1425+LN(K1426),"")</x:f>
      </x:c>
    </x:row>
    <x:row r="1427">
      <x:c r="J1427" t="n">
        <x:f>1423</x:f>
        <x:v>1423</x:v>
      </x:c>
      <x:c r="K1427" t="str">
        <x:f>IF(J1427&lt;=$B$6,LARGE('계산'!$K$2:$K$2001,J1427),"")</x:f>
      </x:c>
      <x:c r="L1427" t="str">
        <x:f>IF(ISNUMBER(K1427),L1426+LN(K1427),"")</x:f>
      </x:c>
    </x:row>
    <x:row r="1428">
      <x:c r="J1428" t="n">
        <x:f>1424</x:f>
        <x:v>1424</x:v>
      </x:c>
      <x:c r="K1428" t="str">
        <x:f>IF(J1428&lt;=$B$6,LARGE('계산'!$K$2:$K$2001,J1428),"")</x:f>
      </x:c>
      <x:c r="L1428" t="str">
        <x:f>IF(ISNUMBER(K1428),L1427+LN(K1428),"")</x:f>
      </x:c>
    </x:row>
    <x:row r="1429">
      <x:c r="J1429" t="n">
        <x:f>1425</x:f>
        <x:v>1425</x:v>
      </x:c>
      <x:c r="K1429" t="str">
        <x:f>IF(J1429&lt;=$B$6,LARGE('계산'!$K$2:$K$2001,J1429),"")</x:f>
      </x:c>
      <x:c r="L1429" t="str">
        <x:f>IF(ISNUMBER(K1429),L1428+LN(K1429),"")</x:f>
      </x:c>
    </x:row>
    <x:row r="1430">
      <x:c r="J1430" t="n">
        <x:f>1426</x:f>
        <x:v>1426</x:v>
      </x:c>
      <x:c r="K1430" t="str">
        <x:f>IF(J1430&lt;=$B$6,LARGE('계산'!$K$2:$K$2001,J1430),"")</x:f>
      </x:c>
      <x:c r="L1430" t="str">
        <x:f>IF(ISNUMBER(K1430),L1429+LN(K1430),"")</x:f>
      </x:c>
    </x:row>
    <x:row r="1431">
      <x:c r="J1431" t="n">
        <x:f>1427</x:f>
        <x:v>1427</x:v>
      </x:c>
      <x:c r="K1431" t="str">
        <x:f>IF(J1431&lt;=$B$6,LARGE('계산'!$K$2:$K$2001,J1431),"")</x:f>
      </x:c>
      <x:c r="L1431" t="str">
        <x:f>IF(ISNUMBER(K1431),L1430+LN(K1431),"")</x:f>
      </x:c>
    </x:row>
    <x:row r="1432">
      <x:c r="J1432" t="n">
        <x:f>1428</x:f>
        <x:v>1428</x:v>
      </x:c>
      <x:c r="K1432" t="str">
        <x:f>IF(J1432&lt;=$B$6,LARGE('계산'!$K$2:$K$2001,J1432),"")</x:f>
      </x:c>
      <x:c r="L1432" t="str">
        <x:f>IF(ISNUMBER(K1432),L1431+LN(K1432),"")</x:f>
      </x:c>
    </x:row>
    <x:row r="1433">
      <x:c r="J1433" t="n">
        <x:f>1429</x:f>
        <x:v>1429</x:v>
      </x:c>
      <x:c r="K1433" t="str">
        <x:f>IF(J1433&lt;=$B$6,LARGE('계산'!$K$2:$K$2001,J1433),"")</x:f>
      </x:c>
      <x:c r="L1433" t="str">
        <x:f>IF(ISNUMBER(K1433),L1432+LN(K1433),"")</x:f>
      </x:c>
    </x:row>
    <x:row r="1434">
      <x:c r="J1434" t="n">
        <x:f>1430</x:f>
        <x:v>1430</x:v>
      </x:c>
      <x:c r="K1434" t="str">
        <x:f>IF(J1434&lt;=$B$6,LARGE('계산'!$K$2:$K$2001,J1434),"")</x:f>
      </x:c>
      <x:c r="L1434" t="str">
        <x:f>IF(ISNUMBER(K1434),L1433+LN(K1434),"")</x:f>
      </x:c>
    </x:row>
    <x:row r="1435">
      <x:c r="J1435" t="n">
        <x:f>1431</x:f>
        <x:v>1431</x:v>
      </x:c>
      <x:c r="K1435" t="str">
        <x:f>IF(J1435&lt;=$B$6,LARGE('계산'!$K$2:$K$2001,J1435),"")</x:f>
      </x:c>
      <x:c r="L1435" t="str">
        <x:f>IF(ISNUMBER(K1435),L1434+LN(K1435),"")</x:f>
      </x:c>
    </x:row>
    <x:row r="1436">
      <x:c r="J1436" t="n">
        <x:f>1432</x:f>
        <x:v>1432</x:v>
      </x:c>
      <x:c r="K1436" t="str">
        <x:f>IF(J1436&lt;=$B$6,LARGE('계산'!$K$2:$K$2001,J1436),"")</x:f>
      </x:c>
      <x:c r="L1436" t="str">
        <x:f>IF(ISNUMBER(K1436),L1435+LN(K1436),"")</x:f>
      </x:c>
    </x:row>
    <x:row r="1437">
      <x:c r="J1437" t="n">
        <x:f>1433</x:f>
        <x:v>1433</x:v>
      </x:c>
      <x:c r="K1437" t="str">
        <x:f>IF(J1437&lt;=$B$6,LARGE('계산'!$K$2:$K$2001,J1437),"")</x:f>
      </x:c>
      <x:c r="L1437" t="str">
        <x:f>IF(ISNUMBER(K1437),L1436+LN(K1437),"")</x:f>
      </x:c>
    </x:row>
    <x:row r="1438">
      <x:c r="J1438" t="n">
        <x:f>1434</x:f>
        <x:v>1434</x:v>
      </x:c>
      <x:c r="K1438" t="str">
        <x:f>IF(J1438&lt;=$B$6,LARGE('계산'!$K$2:$K$2001,J1438),"")</x:f>
      </x:c>
      <x:c r="L1438" t="str">
        <x:f>IF(ISNUMBER(K1438),L1437+LN(K1438),"")</x:f>
      </x:c>
    </x:row>
    <x:row r="1439">
      <x:c r="J1439" t="n">
        <x:f>1435</x:f>
        <x:v>1435</x:v>
      </x:c>
      <x:c r="K1439" t="str">
        <x:f>IF(J1439&lt;=$B$6,LARGE('계산'!$K$2:$K$2001,J1439),"")</x:f>
      </x:c>
      <x:c r="L1439" t="str">
        <x:f>IF(ISNUMBER(K1439),L1438+LN(K1439),"")</x:f>
      </x:c>
    </x:row>
    <x:row r="1440">
      <x:c r="J1440" t="n">
        <x:f>1436</x:f>
        <x:v>1436</x:v>
      </x:c>
      <x:c r="K1440" t="str">
        <x:f>IF(J1440&lt;=$B$6,LARGE('계산'!$K$2:$K$2001,J1440),"")</x:f>
      </x:c>
      <x:c r="L1440" t="str">
        <x:f>IF(ISNUMBER(K1440),L1439+LN(K1440),"")</x:f>
      </x:c>
    </x:row>
    <x:row r="1441">
      <x:c r="J1441" t="n">
        <x:f>1437</x:f>
        <x:v>1437</x:v>
      </x:c>
      <x:c r="K1441" t="str">
        <x:f>IF(J1441&lt;=$B$6,LARGE('계산'!$K$2:$K$2001,J1441),"")</x:f>
      </x:c>
      <x:c r="L1441" t="str">
        <x:f>IF(ISNUMBER(K1441),L1440+LN(K1441),"")</x:f>
      </x:c>
    </x:row>
    <x:row r="1442">
      <x:c r="J1442" t="n">
        <x:f>1438</x:f>
        <x:v>1438</x:v>
      </x:c>
      <x:c r="K1442" t="str">
        <x:f>IF(J1442&lt;=$B$6,LARGE('계산'!$K$2:$K$2001,J1442),"")</x:f>
      </x:c>
      <x:c r="L1442" t="str">
        <x:f>IF(ISNUMBER(K1442),L1441+LN(K1442),"")</x:f>
      </x:c>
    </x:row>
    <x:row r="1443">
      <x:c r="J1443" t="n">
        <x:f>1439</x:f>
        <x:v>1439</x:v>
      </x:c>
      <x:c r="K1443" t="str">
        <x:f>IF(J1443&lt;=$B$6,LARGE('계산'!$K$2:$K$2001,J1443),"")</x:f>
      </x:c>
      <x:c r="L1443" t="str">
        <x:f>IF(ISNUMBER(K1443),L1442+LN(K1443),"")</x:f>
      </x:c>
    </x:row>
    <x:row r="1444">
      <x:c r="J1444" t="n">
        <x:f>1440</x:f>
        <x:v>1440</x:v>
      </x:c>
      <x:c r="K1444" t="str">
        <x:f>IF(J1444&lt;=$B$6,LARGE('계산'!$K$2:$K$2001,J1444),"")</x:f>
      </x:c>
      <x:c r="L1444" t="str">
        <x:f>IF(ISNUMBER(K1444),L1443+LN(K1444),"")</x:f>
      </x:c>
    </x:row>
    <x:row r="1445">
      <x:c r="J1445" t="n">
        <x:f>1441</x:f>
        <x:v>1441</x:v>
      </x:c>
      <x:c r="K1445" t="str">
        <x:f>IF(J1445&lt;=$B$6,LARGE('계산'!$K$2:$K$2001,J1445),"")</x:f>
      </x:c>
      <x:c r="L1445" t="str">
        <x:f>IF(ISNUMBER(K1445),L1444+LN(K1445),"")</x:f>
      </x:c>
    </x:row>
    <x:row r="1446">
      <x:c r="J1446" t="n">
        <x:f>1442</x:f>
        <x:v>1442</x:v>
      </x:c>
      <x:c r="K1446" t="str">
        <x:f>IF(J1446&lt;=$B$6,LARGE('계산'!$K$2:$K$2001,J1446),"")</x:f>
      </x:c>
      <x:c r="L1446" t="str">
        <x:f>IF(ISNUMBER(K1446),L1445+LN(K1446),"")</x:f>
      </x:c>
    </x:row>
    <x:row r="1447">
      <x:c r="J1447" t="n">
        <x:f>1443</x:f>
        <x:v>1443</x:v>
      </x:c>
      <x:c r="K1447" t="str">
        <x:f>IF(J1447&lt;=$B$6,LARGE('계산'!$K$2:$K$2001,J1447),"")</x:f>
      </x:c>
      <x:c r="L1447" t="str">
        <x:f>IF(ISNUMBER(K1447),L1446+LN(K1447),"")</x:f>
      </x:c>
    </x:row>
    <x:row r="1448">
      <x:c r="J1448" t="n">
        <x:f>1444</x:f>
        <x:v>1444</x:v>
      </x:c>
      <x:c r="K1448" t="str">
        <x:f>IF(J1448&lt;=$B$6,LARGE('계산'!$K$2:$K$2001,J1448),"")</x:f>
      </x:c>
      <x:c r="L1448" t="str">
        <x:f>IF(ISNUMBER(K1448),L1447+LN(K1448),"")</x:f>
      </x:c>
    </x:row>
    <x:row r="1449">
      <x:c r="J1449" t="n">
        <x:f>1445</x:f>
        <x:v>1445</x:v>
      </x:c>
      <x:c r="K1449" t="str">
        <x:f>IF(J1449&lt;=$B$6,LARGE('계산'!$K$2:$K$2001,J1449),"")</x:f>
      </x:c>
      <x:c r="L1449" t="str">
        <x:f>IF(ISNUMBER(K1449),L1448+LN(K1449),"")</x:f>
      </x:c>
    </x:row>
    <x:row r="1450">
      <x:c r="J1450" t="n">
        <x:f>1446</x:f>
        <x:v>1446</x:v>
      </x:c>
      <x:c r="K1450" t="str">
        <x:f>IF(J1450&lt;=$B$6,LARGE('계산'!$K$2:$K$2001,J1450),"")</x:f>
      </x:c>
      <x:c r="L1450" t="str">
        <x:f>IF(ISNUMBER(K1450),L1449+LN(K1450),"")</x:f>
      </x:c>
    </x:row>
    <x:row r="1451">
      <x:c r="J1451" t="n">
        <x:f>1447</x:f>
        <x:v>1447</x:v>
      </x:c>
      <x:c r="K1451" t="str">
        <x:f>IF(J1451&lt;=$B$6,LARGE('계산'!$K$2:$K$2001,J1451),"")</x:f>
      </x:c>
      <x:c r="L1451" t="str">
        <x:f>IF(ISNUMBER(K1451),L1450+LN(K1451),"")</x:f>
      </x:c>
    </x:row>
    <x:row r="1452">
      <x:c r="J1452" t="n">
        <x:f>1448</x:f>
        <x:v>1448</x:v>
      </x:c>
      <x:c r="K1452" t="str">
        <x:f>IF(J1452&lt;=$B$6,LARGE('계산'!$K$2:$K$2001,J1452),"")</x:f>
      </x:c>
      <x:c r="L1452" t="str">
        <x:f>IF(ISNUMBER(K1452),L1451+LN(K1452),"")</x:f>
      </x:c>
    </x:row>
    <x:row r="1453">
      <x:c r="J1453" t="n">
        <x:f>1449</x:f>
        <x:v>1449</x:v>
      </x:c>
      <x:c r="K1453" t="str">
        <x:f>IF(J1453&lt;=$B$6,LARGE('계산'!$K$2:$K$2001,J1453),"")</x:f>
      </x:c>
      <x:c r="L1453" t="str">
        <x:f>IF(ISNUMBER(K1453),L1452+LN(K1453),"")</x:f>
      </x:c>
    </x:row>
    <x:row r="1454">
      <x:c r="J1454" t="n">
        <x:f>1450</x:f>
        <x:v>1450</x:v>
      </x:c>
      <x:c r="K1454" t="str">
        <x:f>IF(J1454&lt;=$B$6,LARGE('계산'!$K$2:$K$2001,J1454),"")</x:f>
      </x:c>
      <x:c r="L1454" t="str">
        <x:f>IF(ISNUMBER(K1454),L1453+LN(K1454),"")</x:f>
      </x:c>
    </x:row>
    <x:row r="1455">
      <x:c r="J1455" t="n">
        <x:f>1451</x:f>
        <x:v>1451</x:v>
      </x:c>
      <x:c r="K1455" t="str">
        <x:f>IF(J1455&lt;=$B$6,LARGE('계산'!$K$2:$K$2001,J1455),"")</x:f>
      </x:c>
      <x:c r="L1455" t="str">
        <x:f>IF(ISNUMBER(K1455),L1454+LN(K1455),"")</x:f>
      </x:c>
    </x:row>
    <x:row r="1456">
      <x:c r="J1456" t="n">
        <x:f>1452</x:f>
        <x:v>1452</x:v>
      </x:c>
      <x:c r="K1456" t="str">
        <x:f>IF(J1456&lt;=$B$6,LARGE('계산'!$K$2:$K$2001,J1456),"")</x:f>
      </x:c>
      <x:c r="L1456" t="str">
        <x:f>IF(ISNUMBER(K1456),L1455+LN(K1456),"")</x:f>
      </x:c>
    </x:row>
    <x:row r="1457">
      <x:c r="J1457" t="n">
        <x:f>1453</x:f>
        <x:v>1453</x:v>
      </x:c>
      <x:c r="K1457" t="str">
        <x:f>IF(J1457&lt;=$B$6,LARGE('계산'!$K$2:$K$2001,J1457),"")</x:f>
      </x:c>
      <x:c r="L1457" t="str">
        <x:f>IF(ISNUMBER(K1457),L1456+LN(K1457),"")</x:f>
      </x:c>
    </x:row>
    <x:row r="1458">
      <x:c r="J1458" t="n">
        <x:f>1454</x:f>
        <x:v>1454</x:v>
      </x:c>
      <x:c r="K1458" t="str">
        <x:f>IF(J1458&lt;=$B$6,LARGE('계산'!$K$2:$K$2001,J1458),"")</x:f>
      </x:c>
      <x:c r="L1458" t="str">
        <x:f>IF(ISNUMBER(K1458),L1457+LN(K1458),"")</x:f>
      </x:c>
    </x:row>
    <x:row r="1459">
      <x:c r="J1459" t="n">
        <x:f>1455</x:f>
        <x:v>1455</x:v>
      </x:c>
      <x:c r="K1459" t="str">
        <x:f>IF(J1459&lt;=$B$6,LARGE('계산'!$K$2:$K$2001,J1459),"")</x:f>
      </x:c>
      <x:c r="L1459" t="str">
        <x:f>IF(ISNUMBER(K1459),L1458+LN(K1459),"")</x:f>
      </x:c>
    </x:row>
    <x:row r="1460">
      <x:c r="J1460" t="n">
        <x:f>1456</x:f>
        <x:v>1456</x:v>
      </x:c>
      <x:c r="K1460" t="str">
        <x:f>IF(J1460&lt;=$B$6,LARGE('계산'!$K$2:$K$2001,J1460),"")</x:f>
      </x:c>
      <x:c r="L1460" t="str">
        <x:f>IF(ISNUMBER(K1460),L1459+LN(K1460),"")</x:f>
      </x:c>
    </x:row>
    <x:row r="1461">
      <x:c r="J1461" t="n">
        <x:f>1457</x:f>
        <x:v>1457</x:v>
      </x:c>
      <x:c r="K1461" t="str">
        <x:f>IF(J1461&lt;=$B$6,LARGE('계산'!$K$2:$K$2001,J1461),"")</x:f>
      </x:c>
      <x:c r="L1461" t="str">
        <x:f>IF(ISNUMBER(K1461),L1460+LN(K1461),"")</x:f>
      </x:c>
    </x:row>
    <x:row r="1462">
      <x:c r="J1462" t="n">
        <x:f>1458</x:f>
        <x:v>1458</x:v>
      </x:c>
      <x:c r="K1462" t="str">
        <x:f>IF(J1462&lt;=$B$6,LARGE('계산'!$K$2:$K$2001,J1462),"")</x:f>
      </x:c>
      <x:c r="L1462" t="str">
        <x:f>IF(ISNUMBER(K1462),L1461+LN(K1462),"")</x:f>
      </x:c>
    </x:row>
    <x:row r="1463">
      <x:c r="J1463" t="n">
        <x:f>1459</x:f>
        <x:v>1459</x:v>
      </x:c>
      <x:c r="K1463" t="str">
        <x:f>IF(J1463&lt;=$B$6,LARGE('계산'!$K$2:$K$2001,J1463),"")</x:f>
      </x:c>
      <x:c r="L1463" t="str">
        <x:f>IF(ISNUMBER(K1463),L1462+LN(K1463),"")</x:f>
      </x:c>
    </x:row>
    <x:row r="1464">
      <x:c r="J1464" t="n">
        <x:f>1460</x:f>
        <x:v>1460</x:v>
      </x:c>
      <x:c r="K1464" t="str">
        <x:f>IF(J1464&lt;=$B$6,LARGE('계산'!$K$2:$K$2001,J1464),"")</x:f>
      </x:c>
      <x:c r="L1464" t="str">
        <x:f>IF(ISNUMBER(K1464),L1463+LN(K1464),"")</x:f>
      </x:c>
    </x:row>
    <x:row r="1465">
      <x:c r="J1465" t="n">
        <x:f>1461</x:f>
        <x:v>1461</x:v>
      </x:c>
      <x:c r="K1465" t="str">
        <x:f>IF(J1465&lt;=$B$6,LARGE('계산'!$K$2:$K$2001,J1465),"")</x:f>
      </x:c>
      <x:c r="L1465" t="str">
        <x:f>IF(ISNUMBER(K1465),L1464+LN(K1465),"")</x:f>
      </x:c>
    </x:row>
    <x:row r="1466">
      <x:c r="J1466" t="n">
        <x:f>1462</x:f>
        <x:v>1462</x:v>
      </x:c>
      <x:c r="K1466" t="str">
        <x:f>IF(J1466&lt;=$B$6,LARGE('계산'!$K$2:$K$2001,J1466),"")</x:f>
      </x:c>
      <x:c r="L1466" t="str">
        <x:f>IF(ISNUMBER(K1466),L1465+LN(K1466),"")</x:f>
      </x:c>
    </x:row>
    <x:row r="1467">
      <x:c r="J1467" t="n">
        <x:f>1463</x:f>
        <x:v>1463</x:v>
      </x:c>
      <x:c r="K1467" t="str">
        <x:f>IF(J1467&lt;=$B$6,LARGE('계산'!$K$2:$K$2001,J1467),"")</x:f>
      </x:c>
      <x:c r="L1467" t="str">
        <x:f>IF(ISNUMBER(K1467),L1466+LN(K1467),"")</x:f>
      </x:c>
    </x:row>
    <x:row r="1468">
      <x:c r="J1468" t="n">
        <x:f>1464</x:f>
        <x:v>1464</x:v>
      </x:c>
      <x:c r="K1468" t="str">
        <x:f>IF(J1468&lt;=$B$6,LARGE('계산'!$K$2:$K$2001,J1468),"")</x:f>
      </x:c>
      <x:c r="L1468" t="str">
        <x:f>IF(ISNUMBER(K1468),L1467+LN(K1468),"")</x:f>
      </x:c>
    </x:row>
    <x:row r="1469">
      <x:c r="J1469" t="n">
        <x:f>1465</x:f>
        <x:v>1465</x:v>
      </x:c>
      <x:c r="K1469" t="str">
        <x:f>IF(J1469&lt;=$B$6,LARGE('계산'!$K$2:$K$2001,J1469),"")</x:f>
      </x:c>
      <x:c r="L1469" t="str">
        <x:f>IF(ISNUMBER(K1469),L1468+LN(K1469),"")</x:f>
      </x:c>
    </x:row>
    <x:row r="1470">
      <x:c r="J1470" t="n">
        <x:f>1466</x:f>
        <x:v>1466</x:v>
      </x:c>
      <x:c r="K1470" t="str">
        <x:f>IF(J1470&lt;=$B$6,LARGE('계산'!$K$2:$K$2001,J1470),"")</x:f>
      </x:c>
      <x:c r="L1470" t="str">
        <x:f>IF(ISNUMBER(K1470),L1469+LN(K1470),"")</x:f>
      </x:c>
    </x:row>
    <x:row r="1471">
      <x:c r="J1471" t="n">
        <x:f>1467</x:f>
        <x:v>1467</x:v>
      </x:c>
      <x:c r="K1471" t="str">
        <x:f>IF(J1471&lt;=$B$6,LARGE('계산'!$K$2:$K$2001,J1471),"")</x:f>
      </x:c>
      <x:c r="L1471" t="str">
        <x:f>IF(ISNUMBER(K1471),L1470+LN(K1471),"")</x:f>
      </x:c>
    </x:row>
    <x:row r="1472">
      <x:c r="J1472" t="n">
        <x:f>1468</x:f>
        <x:v>1468</x:v>
      </x:c>
      <x:c r="K1472" t="str">
        <x:f>IF(J1472&lt;=$B$6,LARGE('계산'!$K$2:$K$2001,J1472),"")</x:f>
      </x:c>
      <x:c r="L1472" t="str">
        <x:f>IF(ISNUMBER(K1472),L1471+LN(K1472),"")</x:f>
      </x:c>
    </x:row>
    <x:row r="1473">
      <x:c r="J1473" t="n">
        <x:f>1469</x:f>
        <x:v>1469</x:v>
      </x:c>
      <x:c r="K1473" t="str">
        <x:f>IF(J1473&lt;=$B$6,LARGE('계산'!$K$2:$K$2001,J1473),"")</x:f>
      </x:c>
      <x:c r="L1473" t="str">
        <x:f>IF(ISNUMBER(K1473),L1472+LN(K1473),"")</x:f>
      </x:c>
    </x:row>
    <x:row r="1474">
      <x:c r="J1474" t="n">
        <x:f>1470</x:f>
        <x:v>1470</x:v>
      </x:c>
      <x:c r="K1474" t="str">
        <x:f>IF(J1474&lt;=$B$6,LARGE('계산'!$K$2:$K$2001,J1474),"")</x:f>
      </x:c>
      <x:c r="L1474" t="str">
        <x:f>IF(ISNUMBER(K1474),L1473+LN(K1474),"")</x:f>
      </x:c>
    </x:row>
    <x:row r="1475">
      <x:c r="J1475" t="n">
        <x:f>1471</x:f>
        <x:v>1471</x:v>
      </x:c>
      <x:c r="K1475" t="str">
        <x:f>IF(J1475&lt;=$B$6,LARGE('계산'!$K$2:$K$2001,J1475),"")</x:f>
      </x:c>
      <x:c r="L1475" t="str">
        <x:f>IF(ISNUMBER(K1475),L1474+LN(K1475),"")</x:f>
      </x:c>
    </x:row>
    <x:row r="1476">
      <x:c r="J1476" t="n">
        <x:f>1472</x:f>
        <x:v>1472</x:v>
      </x:c>
      <x:c r="K1476" t="str">
        <x:f>IF(J1476&lt;=$B$6,LARGE('계산'!$K$2:$K$2001,J1476),"")</x:f>
      </x:c>
      <x:c r="L1476" t="str">
        <x:f>IF(ISNUMBER(K1476),L1475+LN(K1476),"")</x:f>
      </x:c>
    </x:row>
    <x:row r="1477">
      <x:c r="J1477" t="n">
        <x:f>1473</x:f>
        <x:v>1473</x:v>
      </x:c>
      <x:c r="K1477" t="str">
        <x:f>IF(J1477&lt;=$B$6,LARGE('계산'!$K$2:$K$2001,J1477),"")</x:f>
      </x:c>
      <x:c r="L1477" t="str">
        <x:f>IF(ISNUMBER(K1477),L1476+LN(K1477),"")</x:f>
      </x:c>
    </x:row>
    <x:row r="1478">
      <x:c r="J1478" t="n">
        <x:f>1474</x:f>
        <x:v>1474</x:v>
      </x:c>
      <x:c r="K1478" t="str">
        <x:f>IF(J1478&lt;=$B$6,LARGE('계산'!$K$2:$K$2001,J1478),"")</x:f>
      </x:c>
      <x:c r="L1478" t="str">
        <x:f>IF(ISNUMBER(K1478),L1477+LN(K1478),"")</x:f>
      </x:c>
    </x:row>
    <x:row r="1479">
      <x:c r="J1479" t="n">
        <x:f>1475</x:f>
        <x:v>1475</x:v>
      </x:c>
      <x:c r="K1479" t="str">
        <x:f>IF(J1479&lt;=$B$6,LARGE('계산'!$K$2:$K$2001,J1479),"")</x:f>
      </x:c>
      <x:c r="L1479" t="str">
        <x:f>IF(ISNUMBER(K1479),L1478+LN(K1479),"")</x:f>
      </x:c>
    </x:row>
    <x:row r="1480">
      <x:c r="J1480" t="n">
        <x:f>1476</x:f>
        <x:v>1476</x:v>
      </x:c>
      <x:c r="K1480" t="str">
        <x:f>IF(J1480&lt;=$B$6,LARGE('계산'!$K$2:$K$2001,J1480),"")</x:f>
      </x:c>
      <x:c r="L1480" t="str">
        <x:f>IF(ISNUMBER(K1480),L1479+LN(K1480),"")</x:f>
      </x:c>
    </x:row>
    <x:row r="1481">
      <x:c r="J1481" t="n">
        <x:f>1477</x:f>
        <x:v>1477</x:v>
      </x:c>
      <x:c r="K1481" t="str">
        <x:f>IF(J1481&lt;=$B$6,LARGE('계산'!$K$2:$K$2001,J1481),"")</x:f>
      </x:c>
      <x:c r="L1481" t="str">
        <x:f>IF(ISNUMBER(K1481),L1480+LN(K1481),"")</x:f>
      </x:c>
    </x:row>
    <x:row r="1482">
      <x:c r="J1482" t="n">
        <x:f>1478</x:f>
        <x:v>1478</x:v>
      </x:c>
      <x:c r="K1482" t="str">
        <x:f>IF(J1482&lt;=$B$6,LARGE('계산'!$K$2:$K$2001,J1482),"")</x:f>
      </x:c>
      <x:c r="L1482" t="str">
        <x:f>IF(ISNUMBER(K1482),L1481+LN(K1482),"")</x:f>
      </x:c>
    </x:row>
    <x:row r="1483">
      <x:c r="J1483" t="n">
        <x:f>1479</x:f>
        <x:v>1479</x:v>
      </x:c>
      <x:c r="K1483" t="str">
        <x:f>IF(J1483&lt;=$B$6,LARGE('계산'!$K$2:$K$2001,J1483),"")</x:f>
      </x:c>
      <x:c r="L1483" t="str">
        <x:f>IF(ISNUMBER(K1483),L1482+LN(K1483),"")</x:f>
      </x:c>
    </x:row>
    <x:row r="1484">
      <x:c r="J1484" t="n">
        <x:f>1480</x:f>
        <x:v>1480</x:v>
      </x:c>
      <x:c r="K1484" t="str">
        <x:f>IF(J1484&lt;=$B$6,LARGE('계산'!$K$2:$K$2001,J1484),"")</x:f>
      </x:c>
      <x:c r="L1484" t="str">
        <x:f>IF(ISNUMBER(K1484),L1483+LN(K1484),"")</x:f>
      </x:c>
    </x:row>
    <x:row r="1485">
      <x:c r="J1485" t="n">
        <x:f>1481</x:f>
        <x:v>1481</x:v>
      </x:c>
      <x:c r="K1485" t="str">
        <x:f>IF(J1485&lt;=$B$6,LARGE('계산'!$K$2:$K$2001,J1485),"")</x:f>
      </x:c>
      <x:c r="L1485" t="str">
        <x:f>IF(ISNUMBER(K1485),L1484+LN(K1485),"")</x:f>
      </x:c>
    </x:row>
    <x:row r="1486">
      <x:c r="J1486" t="n">
        <x:f>1482</x:f>
        <x:v>1482</x:v>
      </x:c>
      <x:c r="K1486" t="str">
        <x:f>IF(J1486&lt;=$B$6,LARGE('계산'!$K$2:$K$2001,J1486),"")</x:f>
      </x:c>
      <x:c r="L1486" t="str">
        <x:f>IF(ISNUMBER(K1486),L1485+LN(K1486),"")</x:f>
      </x:c>
    </x:row>
    <x:row r="1487">
      <x:c r="J1487" t="n">
        <x:f>1483</x:f>
        <x:v>1483</x:v>
      </x:c>
      <x:c r="K1487" t="str">
        <x:f>IF(J1487&lt;=$B$6,LARGE('계산'!$K$2:$K$2001,J1487),"")</x:f>
      </x:c>
      <x:c r="L1487" t="str">
        <x:f>IF(ISNUMBER(K1487),L1486+LN(K1487),"")</x:f>
      </x:c>
    </x:row>
    <x:row r="1488">
      <x:c r="J1488" t="n">
        <x:f>1484</x:f>
        <x:v>1484</x:v>
      </x:c>
      <x:c r="K1488" t="str">
        <x:f>IF(J1488&lt;=$B$6,LARGE('계산'!$K$2:$K$2001,J1488),"")</x:f>
      </x:c>
      <x:c r="L1488" t="str">
        <x:f>IF(ISNUMBER(K1488),L1487+LN(K1488),"")</x:f>
      </x:c>
    </x:row>
    <x:row r="1489">
      <x:c r="J1489" t="n">
        <x:f>1485</x:f>
        <x:v>1485</x:v>
      </x:c>
      <x:c r="K1489" t="str">
        <x:f>IF(J1489&lt;=$B$6,LARGE('계산'!$K$2:$K$2001,J1489),"")</x:f>
      </x:c>
      <x:c r="L1489" t="str">
        <x:f>IF(ISNUMBER(K1489),L1488+LN(K1489),"")</x:f>
      </x:c>
    </x:row>
    <x:row r="1490">
      <x:c r="J1490" t="n">
        <x:f>1486</x:f>
        <x:v>1486</x:v>
      </x:c>
      <x:c r="K1490" t="str">
        <x:f>IF(J1490&lt;=$B$6,LARGE('계산'!$K$2:$K$2001,J1490),"")</x:f>
      </x:c>
      <x:c r="L1490" t="str">
        <x:f>IF(ISNUMBER(K1490),L1489+LN(K1490),"")</x:f>
      </x:c>
    </x:row>
    <x:row r="1491">
      <x:c r="J1491" t="n">
        <x:f>1487</x:f>
        <x:v>1487</x:v>
      </x:c>
      <x:c r="K1491" t="str">
        <x:f>IF(J1491&lt;=$B$6,LARGE('계산'!$K$2:$K$2001,J1491),"")</x:f>
      </x:c>
      <x:c r="L1491" t="str">
        <x:f>IF(ISNUMBER(K1491),L1490+LN(K1491),"")</x:f>
      </x:c>
    </x:row>
    <x:row r="1492">
      <x:c r="J1492" t="n">
        <x:f>1488</x:f>
        <x:v>1488</x:v>
      </x:c>
      <x:c r="K1492" t="str">
        <x:f>IF(J1492&lt;=$B$6,LARGE('계산'!$K$2:$K$2001,J1492),"")</x:f>
      </x:c>
      <x:c r="L1492" t="str">
        <x:f>IF(ISNUMBER(K1492),L1491+LN(K1492),"")</x:f>
      </x:c>
    </x:row>
    <x:row r="1493">
      <x:c r="J1493" t="n">
        <x:f>1489</x:f>
        <x:v>1489</x:v>
      </x:c>
      <x:c r="K1493" t="str">
        <x:f>IF(J1493&lt;=$B$6,LARGE('계산'!$K$2:$K$2001,J1493),"")</x:f>
      </x:c>
      <x:c r="L1493" t="str">
        <x:f>IF(ISNUMBER(K1493),L1492+LN(K1493),"")</x:f>
      </x:c>
    </x:row>
    <x:row r="1494">
      <x:c r="J1494" t="n">
        <x:f>1490</x:f>
        <x:v>1490</x:v>
      </x:c>
      <x:c r="K1494" t="str">
        <x:f>IF(J1494&lt;=$B$6,LARGE('계산'!$K$2:$K$2001,J1494),"")</x:f>
      </x:c>
      <x:c r="L1494" t="str">
        <x:f>IF(ISNUMBER(K1494),L1493+LN(K1494),"")</x:f>
      </x:c>
    </x:row>
    <x:row r="1495">
      <x:c r="J1495" t="n">
        <x:f>1491</x:f>
        <x:v>1491</x:v>
      </x:c>
      <x:c r="K1495" t="str">
        <x:f>IF(J1495&lt;=$B$6,LARGE('계산'!$K$2:$K$2001,J1495),"")</x:f>
      </x:c>
      <x:c r="L1495" t="str">
        <x:f>IF(ISNUMBER(K1495),L1494+LN(K1495),"")</x:f>
      </x:c>
    </x:row>
    <x:row r="1496">
      <x:c r="J1496" t="n">
        <x:f>1492</x:f>
        <x:v>1492</x:v>
      </x:c>
      <x:c r="K1496" t="str">
        <x:f>IF(J1496&lt;=$B$6,LARGE('계산'!$K$2:$K$2001,J1496),"")</x:f>
      </x:c>
      <x:c r="L1496" t="str">
        <x:f>IF(ISNUMBER(K1496),L1495+LN(K1496),"")</x:f>
      </x:c>
    </x:row>
    <x:row r="1497">
      <x:c r="J1497" t="n">
        <x:f>1493</x:f>
        <x:v>1493</x:v>
      </x:c>
      <x:c r="K1497" t="str">
        <x:f>IF(J1497&lt;=$B$6,LARGE('계산'!$K$2:$K$2001,J1497),"")</x:f>
      </x:c>
      <x:c r="L1497" t="str">
        <x:f>IF(ISNUMBER(K1497),L1496+LN(K1497),"")</x:f>
      </x:c>
    </x:row>
    <x:row r="1498">
      <x:c r="J1498" t="n">
        <x:f>1494</x:f>
        <x:v>1494</x:v>
      </x:c>
      <x:c r="K1498" t="str">
        <x:f>IF(J1498&lt;=$B$6,LARGE('계산'!$K$2:$K$2001,J1498),"")</x:f>
      </x:c>
      <x:c r="L1498" t="str">
        <x:f>IF(ISNUMBER(K1498),L1497+LN(K1498),"")</x:f>
      </x:c>
    </x:row>
    <x:row r="1499">
      <x:c r="J1499" t="n">
        <x:f>1495</x:f>
        <x:v>1495</x:v>
      </x:c>
      <x:c r="K1499" t="str">
        <x:f>IF(J1499&lt;=$B$6,LARGE('계산'!$K$2:$K$2001,J1499),"")</x:f>
      </x:c>
      <x:c r="L1499" t="str">
        <x:f>IF(ISNUMBER(K1499),L1498+LN(K1499),"")</x:f>
      </x:c>
    </x:row>
    <x:row r="1500">
      <x:c r="J1500" t="n">
        <x:f>1496</x:f>
        <x:v>1496</x:v>
      </x:c>
      <x:c r="K1500" t="str">
        <x:f>IF(J1500&lt;=$B$6,LARGE('계산'!$K$2:$K$2001,J1500),"")</x:f>
      </x:c>
      <x:c r="L1500" t="str">
        <x:f>IF(ISNUMBER(K1500),L1499+LN(K1500),"")</x:f>
      </x:c>
    </x:row>
    <x:row r="1501">
      <x:c r="J1501" t="n">
        <x:f>1497</x:f>
        <x:v>1497</x:v>
      </x:c>
      <x:c r="K1501" t="str">
        <x:f>IF(J1501&lt;=$B$6,LARGE('계산'!$K$2:$K$2001,J1501),"")</x:f>
      </x:c>
      <x:c r="L1501" t="str">
        <x:f>IF(ISNUMBER(K1501),L1500+LN(K1501),"")</x:f>
      </x:c>
    </x:row>
    <x:row r="1502">
      <x:c r="J1502" t="n">
        <x:f>1498</x:f>
        <x:v>1498</x:v>
      </x:c>
      <x:c r="K1502" t="str">
        <x:f>IF(J1502&lt;=$B$6,LARGE('계산'!$K$2:$K$2001,J1502),"")</x:f>
      </x:c>
      <x:c r="L1502" t="str">
        <x:f>IF(ISNUMBER(K1502),L1501+LN(K1502),"")</x:f>
      </x:c>
    </x:row>
    <x:row r="1503">
      <x:c r="J1503" t="n">
        <x:f>1499</x:f>
        <x:v>1499</x:v>
      </x:c>
      <x:c r="K1503" t="str">
        <x:f>IF(J1503&lt;=$B$6,LARGE('계산'!$K$2:$K$2001,J1503),"")</x:f>
      </x:c>
      <x:c r="L1503" t="str">
        <x:f>IF(ISNUMBER(K1503),L1502+LN(K1503),"")</x:f>
      </x:c>
    </x:row>
    <x:row r="1504">
      <x:c r="J1504" t="n">
        <x:f>1500</x:f>
        <x:v>1500</x:v>
      </x:c>
      <x:c r="K1504" t="str">
        <x:f>IF(J1504&lt;=$B$6,LARGE('계산'!$K$2:$K$2001,J1504),"")</x:f>
      </x:c>
      <x:c r="L1504" t="str">
        <x:f>IF(ISNUMBER(K1504),L1503+LN(K1504),"")</x:f>
      </x:c>
    </x:row>
    <x:row r="1505">
      <x:c r="J1505" t="n">
        <x:f>1501</x:f>
        <x:v>1501</x:v>
      </x:c>
      <x:c r="K1505" t="str">
        <x:f>IF(J1505&lt;=$B$6,LARGE('계산'!$K$2:$K$2001,J1505),"")</x:f>
      </x:c>
      <x:c r="L1505" t="str">
        <x:f>IF(ISNUMBER(K1505),L1504+LN(K1505),"")</x:f>
      </x:c>
    </x:row>
    <x:row r="1506">
      <x:c r="J1506" t="n">
        <x:f>1502</x:f>
        <x:v>1502</x:v>
      </x:c>
      <x:c r="K1506" t="str">
        <x:f>IF(J1506&lt;=$B$6,LARGE('계산'!$K$2:$K$2001,J1506),"")</x:f>
      </x:c>
      <x:c r="L1506" t="str">
        <x:f>IF(ISNUMBER(K1506),L1505+LN(K1506),"")</x:f>
      </x:c>
    </x:row>
    <x:row r="1507">
      <x:c r="J1507" t="n">
        <x:f>1503</x:f>
        <x:v>1503</x:v>
      </x:c>
      <x:c r="K1507" t="str">
        <x:f>IF(J1507&lt;=$B$6,LARGE('계산'!$K$2:$K$2001,J1507),"")</x:f>
      </x:c>
      <x:c r="L1507" t="str">
        <x:f>IF(ISNUMBER(K1507),L1506+LN(K1507),"")</x:f>
      </x:c>
    </x:row>
    <x:row r="1508">
      <x:c r="J1508" t="n">
        <x:f>1504</x:f>
        <x:v>1504</x:v>
      </x:c>
      <x:c r="K1508" t="str">
        <x:f>IF(J1508&lt;=$B$6,LARGE('계산'!$K$2:$K$2001,J1508),"")</x:f>
      </x:c>
      <x:c r="L1508" t="str">
        <x:f>IF(ISNUMBER(K1508),L1507+LN(K1508),"")</x:f>
      </x:c>
    </x:row>
    <x:row r="1509">
      <x:c r="J1509" t="n">
        <x:f>1505</x:f>
        <x:v>1505</x:v>
      </x:c>
      <x:c r="K1509" t="str">
        <x:f>IF(J1509&lt;=$B$6,LARGE('계산'!$K$2:$K$2001,J1509),"")</x:f>
      </x:c>
      <x:c r="L1509" t="str">
        <x:f>IF(ISNUMBER(K1509),L1508+LN(K1509),"")</x:f>
      </x:c>
    </x:row>
    <x:row r="1510">
      <x:c r="J1510" t="n">
        <x:f>1506</x:f>
        <x:v>1506</x:v>
      </x:c>
      <x:c r="K1510" t="str">
        <x:f>IF(J1510&lt;=$B$6,LARGE('계산'!$K$2:$K$2001,J1510),"")</x:f>
      </x:c>
      <x:c r="L1510" t="str">
        <x:f>IF(ISNUMBER(K1510),L1509+LN(K1510),"")</x:f>
      </x:c>
    </x:row>
    <x:row r="1511">
      <x:c r="J1511" t="n">
        <x:f>1507</x:f>
        <x:v>1507</x:v>
      </x:c>
      <x:c r="K1511" t="str">
        <x:f>IF(J1511&lt;=$B$6,LARGE('계산'!$K$2:$K$2001,J1511),"")</x:f>
      </x:c>
      <x:c r="L1511" t="str">
        <x:f>IF(ISNUMBER(K1511),L1510+LN(K1511),"")</x:f>
      </x:c>
    </x:row>
    <x:row r="1512">
      <x:c r="J1512" t="n">
        <x:f>1508</x:f>
        <x:v>1508</x:v>
      </x:c>
      <x:c r="K1512" t="str">
        <x:f>IF(J1512&lt;=$B$6,LARGE('계산'!$K$2:$K$2001,J1512),"")</x:f>
      </x:c>
      <x:c r="L1512" t="str">
        <x:f>IF(ISNUMBER(K1512),L1511+LN(K1512),"")</x:f>
      </x:c>
    </x:row>
    <x:row r="1513">
      <x:c r="J1513" t="n">
        <x:f>1509</x:f>
        <x:v>1509</x:v>
      </x:c>
      <x:c r="K1513" t="str">
        <x:f>IF(J1513&lt;=$B$6,LARGE('계산'!$K$2:$K$2001,J1513),"")</x:f>
      </x:c>
      <x:c r="L1513" t="str">
        <x:f>IF(ISNUMBER(K1513),L1512+LN(K1513),"")</x:f>
      </x:c>
    </x:row>
    <x:row r="1514">
      <x:c r="J1514" t="n">
        <x:f>1510</x:f>
        <x:v>1510</x:v>
      </x:c>
      <x:c r="K1514" t="str">
        <x:f>IF(J1514&lt;=$B$6,LARGE('계산'!$K$2:$K$2001,J1514),"")</x:f>
      </x:c>
      <x:c r="L1514" t="str">
        <x:f>IF(ISNUMBER(K1514),L1513+LN(K1514),"")</x:f>
      </x:c>
    </x:row>
    <x:row r="1515">
      <x:c r="J1515" t="n">
        <x:f>1511</x:f>
        <x:v>1511</x:v>
      </x:c>
      <x:c r="K1515" t="str">
        <x:f>IF(J1515&lt;=$B$6,LARGE('계산'!$K$2:$K$2001,J1515),"")</x:f>
      </x:c>
      <x:c r="L1515" t="str">
        <x:f>IF(ISNUMBER(K1515),L1514+LN(K1515),"")</x:f>
      </x:c>
    </x:row>
    <x:row r="1516">
      <x:c r="J1516" t="n">
        <x:f>1512</x:f>
        <x:v>1512</x:v>
      </x:c>
      <x:c r="K1516" t="str">
        <x:f>IF(J1516&lt;=$B$6,LARGE('계산'!$K$2:$K$2001,J1516),"")</x:f>
      </x:c>
      <x:c r="L1516" t="str">
        <x:f>IF(ISNUMBER(K1516),L1515+LN(K1516),"")</x:f>
      </x:c>
    </x:row>
    <x:row r="1517">
      <x:c r="J1517" t="n">
        <x:f>1513</x:f>
        <x:v>1513</x:v>
      </x:c>
      <x:c r="K1517" t="str">
        <x:f>IF(J1517&lt;=$B$6,LARGE('계산'!$K$2:$K$2001,J1517),"")</x:f>
      </x:c>
      <x:c r="L1517" t="str">
        <x:f>IF(ISNUMBER(K1517),L1516+LN(K1517),"")</x:f>
      </x:c>
    </x:row>
    <x:row r="1518">
      <x:c r="J1518" t="n">
        <x:f>1514</x:f>
        <x:v>1514</x:v>
      </x:c>
      <x:c r="K1518" t="str">
        <x:f>IF(J1518&lt;=$B$6,LARGE('계산'!$K$2:$K$2001,J1518),"")</x:f>
      </x:c>
      <x:c r="L1518" t="str">
        <x:f>IF(ISNUMBER(K1518),L1517+LN(K1518),"")</x:f>
      </x:c>
    </x:row>
    <x:row r="1519">
      <x:c r="J1519" t="n">
        <x:f>1515</x:f>
        <x:v>1515</x:v>
      </x:c>
      <x:c r="K1519" t="str">
        <x:f>IF(J1519&lt;=$B$6,LARGE('계산'!$K$2:$K$2001,J1519),"")</x:f>
      </x:c>
      <x:c r="L1519" t="str">
        <x:f>IF(ISNUMBER(K1519),L1518+LN(K1519),"")</x:f>
      </x:c>
    </x:row>
    <x:row r="1520">
      <x:c r="J1520" t="n">
        <x:f>1516</x:f>
        <x:v>1516</x:v>
      </x:c>
      <x:c r="K1520" t="str">
        <x:f>IF(J1520&lt;=$B$6,LARGE('계산'!$K$2:$K$2001,J1520),"")</x:f>
      </x:c>
      <x:c r="L1520" t="str">
        <x:f>IF(ISNUMBER(K1520),L1519+LN(K1520),"")</x:f>
      </x:c>
    </x:row>
    <x:row r="1521">
      <x:c r="J1521" t="n">
        <x:f>1517</x:f>
        <x:v>1517</x:v>
      </x:c>
      <x:c r="K1521" t="str">
        <x:f>IF(J1521&lt;=$B$6,LARGE('계산'!$K$2:$K$2001,J1521),"")</x:f>
      </x:c>
      <x:c r="L1521" t="str">
        <x:f>IF(ISNUMBER(K1521),L1520+LN(K1521),"")</x:f>
      </x:c>
    </x:row>
    <x:row r="1522">
      <x:c r="J1522" t="n">
        <x:f>1518</x:f>
        <x:v>1518</x:v>
      </x:c>
      <x:c r="K1522" t="str">
        <x:f>IF(J1522&lt;=$B$6,LARGE('계산'!$K$2:$K$2001,J1522),"")</x:f>
      </x:c>
      <x:c r="L1522" t="str">
        <x:f>IF(ISNUMBER(K1522),L1521+LN(K1522),"")</x:f>
      </x:c>
    </x:row>
    <x:row r="1523">
      <x:c r="J1523" t="n">
        <x:f>1519</x:f>
        <x:v>1519</x:v>
      </x:c>
      <x:c r="K1523" t="str">
        <x:f>IF(J1523&lt;=$B$6,LARGE('계산'!$K$2:$K$2001,J1523),"")</x:f>
      </x:c>
      <x:c r="L1523" t="str">
        <x:f>IF(ISNUMBER(K1523),L1522+LN(K1523),"")</x:f>
      </x:c>
    </x:row>
    <x:row r="1524">
      <x:c r="J1524" t="n">
        <x:f>1520</x:f>
        <x:v>1520</x:v>
      </x:c>
      <x:c r="K1524" t="str">
        <x:f>IF(J1524&lt;=$B$6,LARGE('계산'!$K$2:$K$2001,J1524),"")</x:f>
      </x:c>
      <x:c r="L1524" t="str">
        <x:f>IF(ISNUMBER(K1524),L1523+LN(K1524),"")</x:f>
      </x:c>
    </x:row>
    <x:row r="1525">
      <x:c r="J1525" t="n">
        <x:f>1521</x:f>
        <x:v>1521</x:v>
      </x:c>
      <x:c r="K1525" t="str">
        <x:f>IF(J1525&lt;=$B$6,LARGE('계산'!$K$2:$K$2001,J1525),"")</x:f>
      </x:c>
      <x:c r="L1525" t="str">
        <x:f>IF(ISNUMBER(K1525),L1524+LN(K1525),"")</x:f>
      </x:c>
    </x:row>
    <x:row r="1526">
      <x:c r="J1526" t="n">
        <x:f>1522</x:f>
        <x:v>1522</x:v>
      </x:c>
      <x:c r="K1526" t="str">
        <x:f>IF(J1526&lt;=$B$6,LARGE('계산'!$K$2:$K$2001,J1526),"")</x:f>
      </x:c>
      <x:c r="L1526" t="str">
        <x:f>IF(ISNUMBER(K1526),L1525+LN(K1526),"")</x:f>
      </x:c>
    </x:row>
    <x:row r="1527">
      <x:c r="J1527" t="n">
        <x:f>1523</x:f>
        <x:v>1523</x:v>
      </x:c>
      <x:c r="K1527" t="str">
        <x:f>IF(J1527&lt;=$B$6,LARGE('계산'!$K$2:$K$2001,J1527),"")</x:f>
      </x:c>
      <x:c r="L1527" t="str">
        <x:f>IF(ISNUMBER(K1527),L1526+LN(K1527),"")</x:f>
      </x:c>
    </x:row>
    <x:row r="1528">
      <x:c r="J1528" t="n">
        <x:f>1524</x:f>
        <x:v>1524</x:v>
      </x:c>
      <x:c r="K1528" t="str">
        <x:f>IF(J1528&lt;=$B$6,LARGE('계산'!$K$2:$K$2001,J1528),"")</x:f>
      </x:c>
      <x:c r="L1528" t="str">
        <x:f>IF(ISNUMBER(K1528),L1527+LN(K1528),"")</x:f>
      </x:c>
    </x:row>
    <x:row r="1529">
      <x:c r="J1529" t="n">
        <x:f>1525</x:f>
        <x:v>1525</x:v>
      </x:c>
      <x:c r="K1529" t="str">
        <x:f>IF(J1529&lt;=$B$6,LARGE('계산'!$K$2:$K$2001,J1529),"")</x:f>
      </x:c>
      <x:c r="L1529" t="str">
        <x:f>IF(ISNUMBER(K1529),L1528+LN(K1529),"")</x:f>
      </x:c>
    </x:row>
    <x:row r="1530">
      <x:c r="J1530" t="n">
        <x:f>1526</x:f>
        <x:v>1526</x:v>
      </x:c>
      <x:c r="K1530" t="str">
        <x:f>IF(J1530&lt;=$B$6,LARGE('계산'!$K$2:$K$2001,J1530),"")</x:f>
      </x:c>
      <x:c r="L1530" t="str">
        <x:f>IF(ISNUMBER(K1530),L1529+LN(K1530),"")</x:f>
      </x:c>
    </x:row>
    <x:row r="1531">
      <x:c r="J1531" t="n">
        <x:f>1527</x:f>
        <x:v>1527</x:v>
      </x:c>
      <x:c r="K1531" t="str">
        <x:f>IF(J1531&lt;=$B$6,LARGE('계산'!$K$2:$K$2001,J1531),"")</x:f>
      </x:c>
      <x:c r="L1531" t="str">
        <x:f>IF(ISNUMBER(K1531),L1530+LN(K1531),"")</x:f>
      </x:c>
    </x:row>
    <x:row r="1532">
      <x:c r="J1532" t="n">
        <x:f>1528</x:f>
        <x:v>1528</x:v>
      </x:c>
      <x:c r="K1532" t="str">
        <x:f>IF(J1532&lt;=$B$6,LARGE('계산'!$K$2:$K$2001,J1532),"")</x:f>
      </x:c>
      <x:c r="L1532" t="str">
        <x:f>IF(ISNUMBER(K1532),L1531+LN(K1532),"")</x:f>
      </x:c>
    </x:row>
    <x:row r="1533">
      <x:c r="J1533" t="n">
        <x:f>1529</x:f>
        <x:v>1529</x:v>
      </x:c>
      <x:c r="K1533" t="str">
        <x:f>IF(J1533&lt;=$B$6,LARGE('계산'!$K$2:$K$2001,J1533),"")</x:f>
      </x:c>
      <x:c r="L1533" t="str">
        <x:f>IF(ISNUMBER(K1533),L1532+LN(K1533),"")</x:f>
      </x:c>
    </x:row>
    <x:row r="1534">
      <x:c r="J1534" t="n">
        <x:f>1530</x:f>
        <x:v>1530</x:v>
      </x:c>
      <x:c r="K1534" t="str">
        <x:f>IF(J1534&lt;=$B$6,LARGE('계산'!$K$2:$K$2001,J1534),"")</x:f>
      </x:c>
      <x:c r="L1534" t="str">
        <x:f>IF(ISNUMBER(K1534),L1533+LN(K1534),"")</x:f>
      </x:c>
    </x:row>
    <x:row r="1535">
      <x:c r="J1535" t="n">
        <x:f>1531</x:f>
        <x:v>1531</x:v>
      </x:c>
      <x:c r="K1535" t="str">
        <x:f>IF(J1535&lt;=$B$6,LARGE('계산'!$K$2:$K$2001,J1535),"")</x:f>
      </x:c>
      <x:c r="L1535" t="str">
        <x:f>IF(ISNUMBER(K1535),L1534+LN(K1535),"")</x:f>
      </x:c>
    </x:row>
    <x:row r="1536">
      <x:c r="J1536" t="n">
        <x:f>1532</x:f>
        <x:v>1532</x:v>
      </x:c>
      <x:c r="K1536" t="str">
        <x:f>IF(J1536&lt;=$B$6,LARGE('계산'!$K$2:$K$2001,J1536),"")</x:f>
      </x:c>
      <x:c r="L1536" t="str">
        <x:f>IF(ISNUMBER(K1536),L1535+LN(K1536),"")</x:f>
      </x:c>
    </x:row>
    <x:row r="1537">
      <x:c r="J1537" t="n">
        <x:f>1533</x:f>
        <x:v>1533</x:v>
      </x:c>
      <x:c r="K1537" t="str">
        <x:f>IF(J1537&lt;=$B$6,LARGE('계산'!$K$2:$K$2001,J1537),"")</x:f>
      </x:c>
      <x:c r="L1537" t="str">
        <x:f>IF(ISNUMBER(K1537),L1536+LN(K1537),"")</x:f>
      </x:c>
    </x:row>
    <x:row r="1538">
      <x:c r="J1538" t="n">
        <x:f>1534</x:f>
        <x:v>1534</x:v>
      </x:c>
      <x:c r="K1538" t="str">
        <x:f>IF(J1538&lt;=$B$6,LARGE('계산'!$K$2:$K$2001,J1538),"")</x:f>
      </x:c>
      <x:c r="L1538" t="str">
        <x:f>IF(ISNUMBER(K1538),L1537+LN(K1538),"")</x:f>
      </x:c>
    </x:row>
    <x:row r="1539">
      <x:c r="J1539" t="n">
        <x:f>1535</x:f>
        <x:v>1535</x:v>
      </x:c>
      <x:c r="K1539" t="str">
        <x:f>IF(J1539&lt;=$B$6,LARGE('계산'!$K$2:$K$2001,J1539),"")</x:f>
      </x:c>
      <x:c r="L1539" t="str">
        <x:f>IF(ISNUMBER(K1539),L1538+LN(K1539),"")</x:f>
      </x:c>
    </x:row>
    <x:row r="1540">
      <x:c r="J1540" t="n">
        <x:f>1536</x:f>
        <x:v>1536</x:v>
      </x:c>
      <x:c r="K1540" t="str">
        <x:f>IF(J1540&lt;=$B$6,LARGE('계산'!$K$2:$K$2001,J1540),"")</x:f>
      </x:c>
      <x:c r="L1540" t="str">
        <x:f>IF(ISNUMBER(K1540),L1539+LN(K1540),"")</x:f>
      </x:c>
    </x:row>
    <x:row r="1541">
      <x:c r="J1541" t="n">
        <x:f>1537</x:f>
        <x:v>1537</x:v>
      </x:c>
      <x:c r="K1541" t="str">
        <x:f>IF(J1541&lt;=$B$6,LARGE('계산'!$K$2:$K$2001,J1541),"")</x:f>
      </x:c>
      <x:c r="L1541" t="str">
        <x:f>IF(ISNUMBER(K1541),L1540+LN(K1541),"")</x:f>
      </x:c>
    </x:row>
    <x:row r="1542">
      <x:c r="J1542" t="n">
        <x:f>1538</x:f>
        <x:v>1538</x:v>
      </x:c>
      <x:c r="K1542" t="str">
        <x:f>IF(J1542&lt;=$B$6,LARGE('계산'!$K$2:$K$2001,J1542),"")</x:f>
      </x:c>
      <x:c r="L1542" t="str">
        <x:f>IF(ISNUMBER(K1542),L1541+LN(K1542),"")</x:f>
      </x:c>
    </x:row>
    <x:row r="1543">
      <x:c r="J1543" t="n">
        <x:f>1539</x:f>
        <x:v>1539</x:v>
      </x:c>
      <x:c r="K1543" t="str">
        <x:f>IF(J1543&lt;=$B$6,LARGE('계산'!$K$2:$K$2001,J1543),"")</x:f>
      </x:c>
      <x:c r="L1543" t="str">
        <x:f>IF(ISNUMBER(K1543),L1542+LN(K1543),"")</x:f>
      </x:c>
    </x:row>
    <x:row r="1544">
      <x:c r="J1544" t="n">
        <x:f>1540</x:f>
        <x:v>1540</x:v>
      </x:c>
      <x:c r="K1544" t="str">
        <x:f>IF(J1544&lt;=$B$6,LARGE('계산'!$K$2:$K$2001,J1544),"")</x:f>
      </x:c>
      <x:c r="L1544" t="str">
        <x:f>IF(ISNUMBER(K1544),L1543+LN(K1544),"")</x:f>
      </x:c>
    </x:row>
    <x:row r="1545">
      <x:c r="J1545" t="n">
        <x:f>1541</x:f>
        <x:v>1541</x:v>
      </x:c>
      <x:c r="K1545" t="str">
        <x:f>IF(J1545&lt;=$B$6,LARGE('계산'!$K$2:$K$2001,J1545),"")</x:f>
      </x:c>
      <x:c r="L1545" t="str">
        <x:f>IF(ISNUMBER(K1545),L1544+LN(K1545),"")</x:f>
      </x:c>
    </x:row>
    <x:row r="1546">
      <x:c r="J1546" t="n">
        <x:f>1542</x:f>
        <x:v>1542</x:v>
      </x:c>
      <x:c r="K1546" t="str">
        <x:f>IF(J1546&lt;=$B$6,LARGE('계산'!$K$2:$K$2001,J1546),"")</x:f>
      </x:c>
      <x:c r="L1546" t="str">
        <x:f>IF(ISNUMBER(K1546),L1545+LN(K1546),"")</x:f>
      </x:c>
    </x:row>
    <x:row r="1547">
      <x:c r="J1547" t="n">
        <x:f>1543</x:f>
        <x:v>1543</x:v>
      </x:c>
      <x:c r="K1547" t="str">
        <x:f>IF(J1547&lt;=$B$6,LARGE('계산'!$K$2:$K$2001,J1547),"")</x:f>
      </x:c>
      <x:c r="L1547" t="str">
        <x:f>IF(ISNUMBER(K1547),L1546+LN(K1547),"")</x:f>
      </x:c>
    </x:row>
    <x:row r="1548">
      <x:c r="J1548" t="n">
        <x:f>1544</x:f>
        <x:v>1544</x:v>
      </x:c>
      <x:c r="K1548" t="str">
        <x:f>IF(J1548&lt;=$B$6,LARGE('계산'!$K$2:$K$2001,J1548),"")</x:f>
      </x:c>
      <x:c r="L1548" t="str">
        <x:f>IF(ISNUMBER(K1548),L1547+LN(K1548),"")</x:f>
      </x:c>
    </x:row>
    <x:row r="1549">
      <x:c r="J1549" t="n">
        <x:f>1545</x:f>
        <x:v>1545</x:v>
      </x:c>
      <x:c r="K1549" t="str">
        <x:f>IF(J1549&lt;=$B$6,LARGE('계산'!$K$2:$K$2001,J1549),"")</x:f>
      </x:c>
      <x:c r="L1549" t="str">
        <x:f>IF(ISNUMBER(K1549),L1548+LN(K1549),"")</x:f>
      </x:c>
    </x:row>
    <x:row r="1550">
      <x:c r="J1550" t="n">
        <x:f>1546</x:f>
        <x:v>1546</x:v>
      </x:c>
      <x:c r="K1550" t="str">
        <x:f>IF(J1550&lt;=$B$6,LARGE('계산'!$K$2:$K$2001,J1550),"")</x:f>
      </x:c>
      <x:c r="L1550" t="str">
        <x:f>IF(ISNUMBER(K1550),L1549+LN(K1550),"")</x:f>
      </x:c>
    </x:row>
    <x:row r="1551">
      <x:c r="J1551" t="n">
        <x:f>1547</x:f>
        <x:v>1547</x:v>
      </x:c>
      <x:c r="K1551" t="str">
        <x:f>IF(J1551&lt;=$B$6,LARGE('계산'!$K$2:$K$2001,J1551),"")</x:f>
      </x:c>
      <x:c r="L1551" t="str">
        <x:f>IF(ISNUMBER(K1551),L1550+LN(K1551),"")</x:f>
      </x:c>
    </x:row>
    <x:row r="1552">
      <x:c r="J1552" t="n">
        <x:f>1548</x:f>
        <x:v>1548</x:v>
      </x:c>
      <x:c r="K1552" t="str">
        <x:f>IF(J1552&lt;=$B$6,LARGE('계산'!$K$2:$K$2001,J1552),"")</x:f>
      </x:c>
      <x:c r="L1552" t="str">
        <x:f>IF(ISNUMBER(K1552),L1551+LN(K1552),"")</x:f>
      </x:c>
    </x:row>
    <x:row r="1553">
      <x:c r="J1553" t="n">
        <x:f>1549</x:f>
        <x:v>1549</x:v>
      </x:c>
      <x:c r="K1553" t="str">
        <x:f>IF(J1553&lt;=$B$6,LARGE('계산'!$K$2:$K$2001,J1553),"")</x:f>
      </x:c>
      <x:c r="L1553" t="str">
        <x:f>IF(ISNUMBER(K1553),L1552+LN(K1553),"")</x:f>
      </x:c>
    </x:row>
    <x:row r="1554">
      <x:c r="J1554" t="n">
        <x:f>1550</x:f>
        <x:v>1550</x:v>
      </x:c>
      <x:c r="K1554" t="str">
        <x:f>IF(J1554&lt;=$B$6,LARGE('계산'!$K$2:$K$2001,J1554),"")</x:f>
      </x:c>
      <x:c r="L1554" t="str">
        <x:f>IF(ISNUMBER(K1554),L1553+LN(K1554),"")</x:f>
      </x:c>
    </x:row>
    <x:row r="1555">
      <x:c r="J1555" t="n">
        <x:f>1551</x:f>
        <x:v>1551</x:v>
      </x:c>
      <x:c r="K1555" t="str">
        <x:f>IF(J1555&lt;=$B$6,LARGE('계산'!$K$2:$K$2001,J1555),"")</x:f>
      </x:c>
      <x:c r="L1555" t="str">
        <x:f>IF(ISNUMBER(K1555),L1554+LN(K1555),"")</x:f>
      </x:c>
    </x:row>
    <x:row r="1556">
      <x:c r="J1556" t="n">
        <x:f>1552</x:f>
        <x:v>1552</x:v>
      </x:c>
      <x:c r="K1556" t="str">
        <x:f>IF(J1556&lt;=$B$6,LARGE('계산'!$K$2:$K$2001,J1556),"")</x:f>
      </x:c>
      <x:c r="L1556" t="str">
        <x:f>IF(ISNUMBER(K1556),L1555+LN(K1556),"")</x:f>
      </x:c>
    </x:row>
    <x:row r="1557">
      <x:c r="J1557" t="n">
        <x:f>1553</x:f>
        <x:v>1553</x:v>
      </x:c>
      <x:c r="K1557" t="str">
        <x:f>IF(J1557&lt;=$B$6,LARGE('계산'!$K$2:$K$2001,J1557),"")</x:f>
      </x:c>
      <x:c r="L1557" t="str">
        <x:f>IF(ISNUMBER(K1557),L1556+LN(K1557),"")</x:f>
      </x:c>
    </x:row>
    <x:row r="1558">
      <x:c r="J1558" t="n">
        <x:f>1554</x:f>
        <x:v>1554</x:v>
      </x:c>
      <x:c r="K1558" t="str">
        <x:f>IF(J1558&lt;=$B$6,LARGE('계산'!$K$2:$K$2001,J1558),"")</x:f>
      </x:c>
      <x:c r="L1558" t="str">
        <x:f>IF(ISNUMBER(K1558),L1557+LN(K1558),"")</x:f>
      </x:c>
    </x:row>
    <x:row r="1559">
      <x:c r="J1559" t="n">
        <x:f>1555</x:f>
        <x:v>1555</x:v>
      </x:c>
      <x:c r="K1559" t="str">
        <x:f>IF(J1559&lt;=$B$6,LARGE('계산'!$K$2:$K$2001,J1559),"")</x:f>
      </x:c>
      <x:c r="L1559" t="str">
        <x:f>IF(ISNUMBER(K1559),L1558+LN(K1559),"")</x:f>
      </x:c>
    </x:row>
    <x:row r="1560">
      <x:c r="J1560" t="n">
        <x:f>1556</x:f>
        <x:v>1556</x:v>
      </x:c>
      <x:c r="K1560" t="str">
        <x:f>IF(J1560&lt;=$B$6,LARGE('계산'!$K$2:$K$2001,J1560),"")</x:f>
      </x:c>
      <x:c r="L1560" t="str">
        <x:f>IF(ISNUMBER(K1560),L1559+LN(K1560),"")</x:f>
      </x:c>
    </x:row>
    <x:row r="1561">
      <x:c r="J1561" t="n">
        <x:f>1557</x:f>
        <x:v>1557</x:v>
      </x:c>
      <x:c r="K1561" t="str">
        <x:f>IF(J1561&lt;=$B$6,LARGE('계산'!$K$2:$K$2001,J1561),"")</x:f>
      </x:c>
      <x:c r="L1561" t="str">
        <x:f>IF(ISNUMBER(K1561),L1560+LN(K1561),"")</x:f>
      </x:c>
    </x:row>
    <x:row r="1562">
      <x:c r="J1562" t="n">
        <x:f>1558</x:f>
        <x:v>1558</x:v>
      </x:c>
      <x:c r="K1562" t="str">
        <x:f>IF(J1562&lt;=$B$6,LARGE('계산'!$K$2:$K$2001,J1562),"")</x:f>
      </x:c>
      <x:c r="L1562" t="str">
        <x:f>IF(ISNUMBER(K1562),L1561+LN(K1562),"")</x:f>
      </x:c>
    </x:row>
    <x:row r="1563">
      <x:c r="J1563" t="n">
        <x:f>1559</x:f>
        <x:v>1559</x:v>
      </x:c>
      <x:c r="K1563" t="str">
        <x:f>IF(J1563&lt;=$B$6,LARGE('계산'!$K$2:$K$2001,J1563),"")</x:f>
      </x:c>
      <x:c r="L1563" t="str">
        <x:f>IF(ISNUMBER(K1563),L1562+LN(K1563),"")</x:f>
      </x:c>
    </x:row>
    <x:row r="1564">
      <x:c r="J1564" t="n">
        <x:f>1560</x:f>
        <x:v>1560</x:v>
      </x:c>
      <x:c r="K1564" t="str">
        <x:f>IF(J1564&lt;=$B$6,LARGE('계산'!$K$2:$K$2001,J1564),"")</x:f>
      </x:c>
      <x:c r="L1564" t="str">
        <x:f>IF(ISNUMBER(K1564),L1563+LN(K1564),"")</x:f>
      </x:c>
    </x:row>
    <x:row r="1565">
      <x:c r="J1565" t="n">
        <x:f>1561</x:f>
        <x:v>1561</x:v>
      </x:c>
      <x:c r="K1565" t="str">
        <x:f>IF(J1565&lt;=$B$6,LARGE('계산'!$K$2:$K$2001,J1565),"")</x:f>
      </x:c>
      <x:c r="L1565" t="str">
        <x:f>IF(ISNUMBER(K1565),L1564+LN(K1565),"")</x:f>
      </x:c>
    </x:row>
    <x:row r="1566">
      <x:c r="J1566" t="n">
        <x:f>1562</x:f>
        <x:v>1562</x:v>
      </x:c>
      <x:c r="K1566" t="str">
        <x:f>IF(J1566&lt;=$B$6,LARGE('계산'!$K$2:$K$2001,J1566),"")</x:f>
      </x:c>
      <x:c r="L1566" t="str">
        <x:f>IF(ISNUMBER(K1566),L1565+LN(K1566),"")</x:f>
      </x:c>
    </x:row>
    <x:row r="1567">
      <x:c r="J1567" t="n">
        <x:f>1563</x:f>
        <x:v>1563</x:v>
      </x:c>
      <x:c r="K1567" t="str">
        <x:f>IF(J1567&lt;=$B$6,LARGE('계산'!$K$2:$K$2001,J1567),"")</x:f>
      </x:c>
      <x:c r="L1567" t="str">
        <x:f>IF(ISNUMBER(K1567),L1566+LN(K1567),"")</x:f>
      </x:c>
    </x:row>
    <x:row r="1568">
      <x:c r="J1568" t="n">
        <x:f>1564</x:f>
        <x:v>1564</x:v>
      </x:c>
      <x:c r="K1568" t="str">
        <x:f>IF(J1568&lt;=$B$6,LARGE('계산'!$K$2:$K$2001,J1568),"")</x:f>
      </x:c>
      <x:c r="L1568" t="str">
        <x:f>IF(ISNUMBER(K1568),L1567+LN(K1568),"")</x:f>
      </x:c>
    </x:row>
    <x:row r="1569">
      <x:c r="J1569" t="n">
        <x:f>1565</x:f>
        <x:v>1565</x:v>
      </x:c>
      <x:c r="K1569" t="str">
        <x:f>IF(J1569&lt;=$B$6,LARGE('계산'!$K$2:$K$2001,J1569),"")</x:f>
      </x:c>
      <x:c r="L1569" t="str">
        <x:f>IF(ISNUMBER(K1569),L1568+LN(K1569),"")</x:f>
      </x:c>
    </x:row>
    <x:row r="1570">
      <x:c r="J1570" t="n">
        <x:f>1566</x:f>
        <x:v>1566</x:v>
      </x:c>
      <x:c r="K1570" t="str">
        <x:f>IF(J1570&lt;=$B$6,LARGE('계산'!$K$2:$K$2001,J1570),"")</x:f>
      </x:c>
      <x:c r="L1570" t="str">
        <x:f>IF(ISNUMBER(K1570),L1569+LN(K1570),"")</x:f>
      </x:c>
    </x:row>
    <x:row r="1571">
      <x:c r="J1571" t="n">
        <x:f>1567</x:f>
        <x:v>1567</x:v>
      </x:c>
      <x:c r="K1571" t="str">
        <x:f>IF(J1571&lt;=$B$6,LARGE('계산'!$K$2:$K$2001,J1571),"")</x:f>
      </x:c>
      <x:c r="L1571" t="str">
        <x:f>IF(ISNUMBER(K1571),L1570+LN(K1571),"")</x:f>
      </x:c>
    </x:row>
    <x:row r="1572">
      <x:c r="J1572" t="n">
        <x:f>1568</x:f>
        <x:v>1568</x:v>
      </x:c>
      <x:c r="K1572" t="str">
        <x:f>IF(J1572&lt;=$B$6,LARGE('계산'!$K$2:$K$2001,J1572),"")</x:f>
      </x:c>
      <x:c r="L1572" t="str">
        <x:f>IF(ISNUMBER(K1572),L1571+LN(K1572),"")</x:f>
      </x:c>
    </x:row>
    <x:row r="1573">
      <x:c r="J1573" t="n">
        <x:f>1569</x:f>
        <x:v>1569</x:v>
      </x:c>
      <x:c r="K1573" t="str">
        <x:f>IF(J1573&lt;=$B$6,LARGE('계산'!$K$2:$K$2001,J1573),"")</x:f>
      </x:c>
      <x:c r="L1573" t="str">
        <x:f>IF(ISNUMBER(K1573),L1572+LN(K1573),"")</x:f>
      </x:c>
    </x:row>
    <x:row r="1574">
      <x:c r="J1574" t="n">
        <x:f>1570</x:f>
        <x:v>1570</x:v>
      </x:c>
      <x:c r="K1574" t="str">
        <x:f>IF(J1574&lt;=$B$6,LARGE('계산'!$K$2:$K$2001,J1574),"")</x:f>
      </x:c>
      <x:c r="L1574" t="str">
        <x:f>IF(ISNUMBER(K1574),L1573+LN(K1574),"")</x:f>
      </x:c>
    </x:row>
    <x:row r="1575">
      <x:c r="J1575" t="n">
        <x:f>1571</x:f>
        <x:v>1571</x:v>
      </x:c>
      <x:c r="K1575" t="str">
        <x:f>IF(J1575&lt;=$B$6,LARGE('계산'!$K$2:$K$2001,J1575),"")</x:f>
      </x:c>
      <x:c r="L1575" t="str">
        <x:f>IF(ISNUMBER(K1575),L1574+LN(K1575),"")</x:f>
      </x:c>
    </x:row>
    <x:row r="1576">
      <x:c r="J1576" t="n">
        <x:f>1572</x:f>
        <x:v>1572</x:v>
      </x:c>
      <x:c r="K1576" t="str">
        <x:f>IF(J1576&lt;=$B$6,LARGE('계산'!$K$2:$K$2001,J1576),"")</x:f>
      </x:c>
      <x:c r="L1576" t="str">
        <x:f>IF(ISNUMBER(K1576),L1575+LN(K1576),"")</x:f>
      </x:c>
    </x:row>
    <x:row r="1577">
      <x:c r="J1577" t="n">
        <x:f>1573</x:f>
        <x:v>1573</x:v>
      </x:c>
      <x:c r="K1577" t="str">
        <x:f>IF(J1577&lt;=$B$6,LARGE('계산'!$K$2:$K$2001,J1577),"")</x:f>
      </x:c>
      <x:c r="L1577" t="str">
        <x:f>IF(ISNUMBER(K1577),L1576+LN(K1577),"")</x:f>
      </x:c>
    </x:row>
    <x:row r="1578">
      <x:c r="J1578" t="n">
        <x:f>1574</x:f>
        <x:v>1574</x:v>
      </x:c>
      <x:c r="K1578" t="str">
        <x:f>IF(J1578&lt;=$B$6,LARGE('계산'!$K$2:$K$2001,J1578),"")</x:f>
      </x:c>
      <x:c r="L1578" t="str">
        <x:f>IF(ISNUMBER(K1578),L1577+LN(K1578),"")</x:f>
      </x:c>
    </x:row>
    <x:row r="1579">
      <x:c r="J1579" t="n">
        <x:f>1575</x:f>
        <x:v>1575</x:v>
      </x:c>
      <x:c r="K1579" t="str">
        <x:f>IF(J1579&lt;=$B$6,LARGE('계산'!$K$2:$K$2001,J1579),"")</x:f>
      </x:c>
      <x:c r="L1579" t="str">
        <x:f>IF(ISNUMBER(K1579),L1578+LN(K1579),"")</x:f>
      </x:c>
    </x:row>
    <x:row r="1580">
      <x:c r="J1580" t="n">
        <x:f>1576</x:f>
        <x:v>1576</x:v>
      </x:c>
      <x:c r="K1580" t="str">
        <x:f>IF(J1580&lt;=$B$6,LARGE('계산'!$K$2:$K$2001,J1580),"")</x:f>
      </x:c>
      <x:c r="L1580" t="str">
        <x:f>IF(ISNUMBER(K1580),L1579+LN(K1580),"")</x:f>
      </x:c>
    </x:row>
    <x:row r="1581">
      <x:c r="J1581" t="n">
        <x:f>1577</x:f>
        <x:v>1577</x:v>
      </x:c>
      <x:c r="K1581" t="str">
        <x:f>IF(J1581&lt;=$B$6,LARGE('계산'!$K$2:$K$2001,J1581),"")</x:f>
      </x:c>
      <x:c r="L1581" t="str">
        <x:f>IF(ISNUMBER(K1581),L1580+LN(K1581),"")</x:f>
      </x:c>
    </x:row>
    <x:row r="1582">
      <x:c r="J1582" t="n">
        <x:f>1578</x:f>
        <x:v>1578</x:v>
      </x:c>
      <x:c r="K1582" t="str">
        <x:f>IF(J1582&lt;=$B$6,LARGE('계산'!$K$2:$K$2001,J1582),"")</x:f>
      </x:c>
      <x:c r="L1582" t="str">
        <x:f>IF(ISNUMBER(K1582),L1581+LN(K1582),"")</x:f>
      </x:c>
    </x:row>
    <x:row r="1583">
      <x:c r="J1583" t="n">
        <x:f>1579</x:f>
        <x:v>1579</x:v>
      </x:c>
      <x:c r="K1583" t="str">
        <x:f>IF(J1583&lt;=$B$6,LARGE('계산'!$K$2:$K$2001,J1583),"")</x:f>
      </x:c>
      <x:c r="L1583" t="str">
        <x:f>IF(ISNUMBER(K1583),L1582+LN(K1583),"")</x:f>
      </x:c>
    </x:row>
    <x:row r="1584">
      <x:c r="J1584" t="n">
        <x:f>1580</x:f>
        <x:v>1580</x:v>
      </x:c>
      <x:c r="K1584" t="str">
        <x:f>IF(J1584&lt;=$B$6,LARGE('계산'!$K$2:$K$2001,J1584),"")</x:f>
      </x:c>
      <x:c r="L1584" t="str">
        <x:f>IF(ISNUMBER(K1584),L1583+LN(K1584),"")</x:f>
      </x:c>
    </x:row>
    <x:row r="1585">
      <x:c r="J1585" t="n">
        <x:f>1581</x:f>
        <x:v>1581</x:v>
      </x:c>
      <x:c r="K1585" t="str">
        <x:f>IF(J1585&lt;=$B$6,LARGE('계산'!$K$2:$K$2001,J1585),"")</x:f>
      </x:c>
      <x:c r="L1585" t="str">
        <x:f>IF(ISNUMBER(K1585),L1584+LN(K1585),"")</x:f>
      </x:c>
    </x:row>
    <x:row r="1586">
      <x:c r="J1586" t="n">
        <x:f>1582</x:f>
        <x:v>1582</x:v>
      </x:c>
      <x:c r="K1586" t="str">
        <x:f>IF(J1586&lt;=$B$6,LARGE('계산'!$K$2:$K$2001,J1586),"")</x:f>
      </x:c>
      <x:c r="L1586" t="str">
        <x:f>IF(ISNUMBER(K1586),L1585+LN(K1586),"")</x:f>
      </x:c>
    </x:row>
    <x:row r="1587">
      <x:c r="J1587" t="n">
        <x:f>1583</x:f>
        <x:v>1583</x:v>
      </x:c>
      <x:c r="K1587" t="str">
        <x:f>IF(J1587&lt;=$B$6,LARGE('계산'!$K$2:$K$2001,J1587),"")</x:f>
      </x:c>
      <x:c r="L1587" t="str">
        <x:f>IF(ISNUMBER(K1587),L1586+LN(K1587),"")</x:f>
      </x:c>
    </x:row>
    <x:row r="1588">
      <x:c r="J1588" t="n">
        <x:f>1584</x:f>
        <x:v>1584</x:v>
      </x:c>
      <x:c r="K1588" t="str">
        <x:f>IF(J1588&lt;=$B$6,LARGE('계산'!$K$2:$K$2001,J1588),"")</x:f>
      </x:c>
      <x:c r="L1588" t="str">
        <x:f>IF(ISNUMBER(K1588),L1587+LN(K1588),"")</x:f>
      </x:c>
    </x:row>
    <x:row r="1589">
      <x:c r="J1589" t="n">
        <x:f>1585</x:f>
        <x:v>1585</x:v>
      </x:c>
      <x:c r="K1589" t="str">
        <x:f>IF(J1589&lt;=$B$6,LARGE('계산'!$K$2:$K$2001,J1589),"")</x:f>
      </x:c>
      <x:c r="L1589" t="str">
        <x:f>IF(ISNUMBER(K1589),L1588+LN(K1589),"")</x:f>
      </x:c>
    </x:row>
    <x:row r="1590">
      <x:c r="J1590" t="n">
        <x:f>1586</x:f>
        <x:v>1586</x:v>
      </x:c>
      <x:c r="K1590" t="str">
        <x:f>IF(J1590&lt;=$B$6,LARGE('계산'!$K$2:$K$2001,J1590),"")</x:f>
      </x:c>
      <x:c r="L1590" t="str">
        <x:f>IF(ISNUMBER(K1590),L1589+LN(K1590),"")</x:f>
      </x:c>
    </x:row>
    <x:row r="1591">
      <x:c r="J1591" t="n">
        <x:f>1587</x:f>
        <x:v>1587</x:v>
      </x:c>
      <x:c r="K1591" t="str">
        <x:f>IF(J1591&lt;=$B$6,LARGE('계산'!$K$2:$K$2001,J1591),"")</x:f>
      </x:c>
      <x:c r="L1591" t="str">
        <x:f>IF(ISNUMBER(K1591),L1590+LN(K1591),"")</x:f>
      </x:c>
    </x:row>
    <x:row r="1592">
      <x:c r="J1592" t="n">
        <x:f>1588</x:f>
        <x:v>1588</x:v>
      </x:c>
      <x:c r="K1592" t="str">
        <x:f>IF(J1592&lt;=$B$6,LARGE('계산'!$K$2:$K$2001,J1592),"")</x:f>
      </x:c>
      <x:c r="L1592" t="str">
        <x:f>IF(ISNUMBER(K1592),L1591+LN(K1592),"")</x:f>
      </x:c>
    </x:row>
    <x:row r="1593">
      <x:c r="J1593" t="n">
        <x:f>1589</x:f>
        <x:v>1589</x:v>
      </x:c>
      <x:c r="K1593" t="str">
        <x:f>IF(J1593&lt;=$B$6,LARGE('계산'!$K$2:$K$2001,J1593),"")</x:f>
      </x:c>
      <x:c r="L1593" t="str">
        <x:f>IF(ISNUMBER(K1593),L1592+LN(K1593),"")</x:f>
      </x:c>
    </x:row>
    <x:row r="1594">
      <x:c r="J1594" t="n">
        <x:f>1590</x:f>
        <x:v>1590</x:v>
      </x:c>
      <x:c r="K1594" t="str">
        <x:f>IF(J1594&lt;=$B$6,LARGE('계산'!$K$2:$K$2001,J1594),"")</x:f>
      </x:c>
      <x:c r="L1594" t="str">
        <x:f>IF(ISNUMBER(K1594),L1593+LN(K1594),"")</x:f>
      </x:c>
    </x:row>
    <x:row r="1595">
      <x:c r="J1595" t="n">
        <x:f>1591</x:f>
        <x:v>1591</x:v>
      </x:c>
      <x:c r="K1595" t="str">
        <x:f>IF(J1595&lt;=$B$6,LARGE('계산'!$K$2:$K$2001,J1595),"")</x:f>
      </x:c>
      <x:c r="L1595" t="str">
        <x:f>IF(ISNUMBER(K1595),L1594+LN(K1595),"")</x:f>
      </x:c>
    </x:row>
    <x:row r="1596">
      <x:c r="J1596" t="n">
        <x:f>1592</x:f>
        <x:v>1592</x:v>
      </x:c>
      <x:c r="K1596" t="str">
        <x:f>IF(J1596&lt;=$B$6,LARGE('계산'!$K$2:$K$2001,J1596),"")</x:f>
      </x:c>
      <x:c r="L1596" t="str">
        <x:f>IF(ISNUMBER(K1596),L1595+LN(K1596),"")</x:f>
      </x:c>
    </x:row>
    <x:row r="1597">
      <x:c r="J1597" t="n">
        <x:f>1593</x:f>
        <x:v>1593</x:v>
      </x:c>
      <x:c r="K1597" t="str">
        <x:f>IF(J1597&lt;=$B$6,LARGE('계산'!$K$2:$K$2001,J1597),"")</x:f>
      </x:c>
      <x:c r="L1597" t="str">
        <x:f>IF(ISNUMBER(K1597),L1596+LN(K1597),"")</x:f>
      </x:c>
    </x:row>
    <x:row r="1598">
      <x:c r="J1598" t="n">
        <x:f>1594</x:f>
        <x:v>1594</x:v>
      </x:c>
      <x:c r="K1598" t="str">
        <x:f>IF(J1598&lt;=$B$6,LARGE('계산'!$K$2:$K$2001,J1598),"")</x:f>
      </x:c>
      <x:c r="L1598" t="str">
        <x:f>IF(ISNUMBER(K1598),L1597+LN(K1598),"")</x:f>
      </x:c>
    </x:row>
    <x:row r="1599">
      <x:c r="J1599" t="n">
        <x:f>1595</x:f>
        <x:v>1595</x:v>
      </x:c>
      <x:c r="K1599" t="str">
        <x:f>IF(J1599&lt;=$B$6,LARGE('계산'!$K$2:$K$2001,J1599),"")</x:f>
      </x:c>
      <x:c r="L1599" t="str">
        <x:f>IF(ISNUMBER(K1599),L1598+LN(K1599),"")</x:f>
      </x:c>
    </x:row>
    <x:row r="1600">
      <x:c r="J1600" t="n">
        <x:f>1596</x:f>
        <x:v>1596</x:v>
      </x:c>
      <x:c r="K1600" t="str">
        <x:f>IF(J1600&lt;=$B$6,LARGE('계산'!$K$2:$K$2001,J1600),"")</x:f>
      </x:c>
      <x:c r="L1600" t="str">
        <x:f>IF(ISNUMBER(K1600),L1599+LN(K1600),"")</x:f>
      </x:c>
    </x:row>
    <x:row r="1601">
      <x:c r="J1601" t="n">
        <x:f>1597</x:f>
        <x:v>1597</x:v>
      </x:c>
      <x:c r="K1601" t="str">
        <x:f>IF(J1601&lt;=$B$6,LARGE('계산'!$K$2:$K$2001,J1601),"")</x:f>
      </x:c>
      <x:c r="L1601" t="str">
        <x:f>IF(ISNUMBER(K1601),L1600+LN(K1601),"")</x:f>
      </x:c>
    </x:row>
    <x:row r="1602">
      <x:c r="J1602" t="n">
        <x:f>1598</x:f>
        <x:v>1598</x:v>
      </x:c>
      <x:c r="K1602" t="str">
        <x:f>IF(J1602&lt;=$B$6,LARGE('계산'!$K$2:$K$2001,J1602),"")</x:f>
      </x:c>
      <x:c r="L1602" t="str">
        <x:f>IF(ISNUMBER(K1602),L1601+LN(K1602),"")</x:f>
      </x:c>
    </x:row>
    <x:row r="1603">
      <x:c r="J1603" t="n">
        <x:f>1599</x:f>
        <x:v>1599</x:v>
      </x:c>
      <x:c r="K1603" t="str">
        <x:f>IF(J1603&lt;=$B$6,LARGE('계산'!$K$2:$K$2001,J1603),"")</x:f>
      </x:c>
      <x:c r="L1603" t="str">
        <x:f>IF(ISNUMBER(K1603),L1602+LN(K1603),"")</x:f>
      </x:c>
    </x:row>
    <x:row r="1604">
      <x:c r="J1604" t="n">
        <x:f>1600</x:f>
        <x:v>1600</x:v>
      </x:c>
      <x:c r="K1604" t="str">
        <x:f>IF(J1604&lt;=$B$6,LARGE('계산'!$K$2:$K$2001,J1604),"")</x:f>
      </x:c>
      <x:c r="L1604" t="str">
        <x:f>IF(ISNUMBER(K1604),L1603+LN(K1604),"")</x:f>
      </x:c>
    </x:row>
    <x:row r="1605">
      <x:c r="J1605" t="n">
        <x:f>1601</x:f>
        <x:v>1601</x:v>
      </x:c>
      <x:c r="K1605" t="str">
        <x:f>IF(J1605&lt;=$B$6,LARGE('계산'!$K$2:$K$2001,J1605),"")</x:f>
      </x:c>
      <x:c r="L1605" t="str">
        <x:f>IF(ISNUMBER(K1605),L1604+LN(K1605),"")</x:f>
      </x:c>
    </x:row>
    <x:row r="1606">
      <x:c r="J1606" t="n">
        <x:f>1602</x:f>
        <x:v>1602</x:v>
      </x:c>
      <x:c r="K1606" t="str">
        <x:f>IF(J1606&lt;=$B$6,LARGE('계산'!$K$2:$K$2001,J1606),"")</x:f>
      </x:c>
      <x:c r="L1606" t="str">
        <x:f>IF(ISNUMBER(K1606),L1605+LN(K1606),"")</x:f>
      </x:c>
    </x:row>
    <x:row r="1607">
      <x:c r="J1607" t="n">
        <x:f>1603</x:f>
        <x:v>1603</x:v>
      </x:c>
      <x:c r="K1607" t="str">
        <x:f>IF(J1607&lt;=$B$6,LARGE('계산'!$K$2:$K$2001,J1607),"")</x:f>
      </x:c>
      <x:c r="L1607" t="str">
        <x:f>IF(ISNUMBER(K1607),L1606+LN(K1607),"")</x:f>
      </x:c>
    </x:row>
    <x:row r="1608">
      <x:c r="J1608" t="n">
        <x:f>1604</x:f>
        <x:v>1604</x:v>
      </x:c>
      <x:c r="K1608" t="str">
        <x:f>IF(J1608&lt;=$B$6,LARGE('계산'!$K$2:$K$2001,J1608),"")</x:f>
      </x:c>
      <x:c r="L1608" t="str">
        <x:f>IF(ISNUMBER(K1608),L1607+LN(K1608),"")</x:f>
      </x:c>
    </x:row>
    <x:row r="1609">
      <x:c r="J1609" t="n">
        <x:f>1605</x:f>
        <x:v>1605</x:v>
      </x:c>
      <x:c r="K1609" t="str">
        <x:f>IF(J1609&lt;=$B$6,LARGE('계산'!$K$2:$K$2001,J1609),"")</x:f>
      </x:c>
      <x:c r="L1609" t="str">
        <x:f>IF(ISNUMBER(K1609),L1608+LN(K1609),"")</x:f>
      </x:c>
    </x:row>
    <x:row r="1610">
      <x:c r="J1610" t="n">
        <x:f>1606</x:f>
        <x:v>1606</x:v>
      </x:c>
      <x:c r="K1610" t="str">
        <x:f>IF(J1610&lt;=$B$6,LARGE('계산'!$K$2:$K$2001,J1610),"")</x:f>
      </x:c>
      <x:c r="L1610" t="str">
        <x:f>IF(ISNUMBER(K1610),L1609+LN(K1610),"")</x:f>
      </x:c>
    </x:row>
    <x:row r="1611">
      <x:c r="J1611" t="n">
        <x:f>1607</x:f>
        <x:v>1607</x:v>
      </x:c>
      <x:c r="K1611" t="str">
        <x:f>IF(J1611&lt;=$B$6,LARGE('계산'!$K$2:$K$2001,J1611),"")</x:f>
      </x:c>
      <x:c r="L1611" t="str">
        <x:f>IF(ISNUMBER(K1611),L1610+LN(K1611),"")</x:f>
      </x:c>
    </x:row>
    <x:row r="1612">
      <x:c r="J1612" t="n">
        <x:f>1608</x:f>
        <x:v>1608</x:v>
      </x:c>
      <x:c r="K1612" t="str">
        <x:f>IF(J1612&lt;=$B$6,LARGE('계산'!$K$2:$K$2001,J1612),"")</x:f>
      </x:c>
      <x:c r="L1612" t="str">
        <x:f>IF(ISNUMBER(K1612),L1611+LN(K1612),"")</x:f>
      </x:c>
    </x:row>
    <x:row r="1613">
      <x:c r="J1613" t="n">
        <x:f>1609</x:f>
        <x:v>1609</x:v>
      </x:c>
      <x:c r="K1613" t="str">
        <x:f>IF(J1613&lt;=$B$6,LARGE('계산'!$K$2:$K$2001,J1613),"")</x:f>
      </x:c>
      <x:c r="L1613" t="str">
        <x:f>IF(ISNUMBER(K1613),L1612+LN(K1613),"")</x:f>
      </x:c>
    </x:row>
    <x:row r="1614">
      <x:c r="J1614" t="n">
        <x:f>1610</x:f>
        <x:v>1610</x:v>
      </x:c>
      <x:c r="K1614" t="str">
        <x:f>IF(J1614&lt;=$B$6,LARGE('계산'!$K$2:$K$2001,J1614),"")</x:f>
      </x:c>
      <x:c r="L1614" t="str">
        <x:f>IF(ISNUMBER(K1614),L1613+LN(K1614),"")</x:f>
      </x:c>
    </x:row>
    <x:row r="1615">
      <x:c r="J1615" t="n">
        <x:f>1611</x:f>
        <x:v>1611</x:v>
      </x:c>
      <x:c r="K1615" t="str">
        <x:f>IF(J1615&lt;=$B$6,LARGE('계산'!$K$2:$K$2001,J1615),"")</x:f>
      </x:c>
      <x:c r="L1615" t="str">
        <x:f>IF(ISNUMBER(K1615),L1614+LN(K1615),"")</x:f>
      </x:c>
    </x:row>
    <x:row r="1616">
      <x:c r="J1616" t="n">
        <x:f>1612</x:f>
        <x:v>1612</x:v>
      </x:c>
      <x:c r="K1616" t="str">
        <x:f>IF(J1616&lt;=$B$6,LARGE('계산'!$K$2:$K$2001,J1616),"")</x:f>
      </x:c>
      <x:c r="L1616" t="str">
        <x:f>IF(ISNUMBER(K1616),L1615+LN(K1616),"")</x:f>
      </x:c>
    </x:row>
    <x:row r="1617">
      <x:c r="J1617" t="n">
        <x:f>1613</x:f>
        <x:v>1613</x:v>
      </x:c>
      <x:c r="K1617" t="str">
        <x:f>IF(J1617&lt;=$B$6,LARGE('계산'!$K$2:$K$2001,J1617),"")</x:f>
      </x:c>
      <x:c r="L1617" t="str">
        <x:f>IF(ISNUMBER(K1617),L1616+LN(K1617),"")</x:f>
      </x:c>
    </x:row>
    <x:row r="1618">
      <x:c r="J1618" t="n">
        <x:f>1614</x:f>
        <x:v>1614</x:v>
      </x:c>
      <x:c r="K1618" t="str">
        <x:f>IF(J1618&lt;=$B$6,LARGE('계산'!$K$2:$K$2001,J1618),"")</x:f>
      </x:c>
      <x:c r="L1618" t="str">
        <x:f>IF(ISNUMBER(K1618),L1617+LN(K1618),"")</x:f>
      </x:c>
    </x:row>
    <x:row r="1619">
      <x:c r="J1619" t="n">
        <x:f>1615</x:f>
        <x:v>1615</x:v>
      </x:c>
      <x:c r="K1619" t="str">
        <x:f>IF(J1619&lt;=$B$6,LARGE('계산'!$K$2:$K$2001,J1619),"")</x:f>
      </x:c>
      <x:c r="L1619" t="str">
        <x:f>IF(ISNUMBER(K1619),L1618+LN(K1619),"")</x:f>
      </x:c>
    </x:row>
    <x:row r="1620">
      <x:c r="J1620" t="n">
        <x:f>1616</x:f>
        <x:v>1616</x:v>
      </x:c>
      <x:c r="K1620" t="str">
        <x:f>IF(J1620&lt;=$B$6,LARGE('계산'!$K$2:$K$2001,J1620),"")</x:f>
      </x:c>
      <x:c r="L1620" t="str">
        <x:f>IF(ISNUMBER(K1620),L1619+LN(K1620),"")</x:f>
      </x:c>
    </x:row>
    <x:row r="1621">
      <x:c r="J1621" t="n">
        <x:f>1617</x:f>
        <x:v>1617</x:v>
      </x:c>
      <x:c r="K1621" t="str">
        <x:f>IF(J1621&lt;=$B$6,LARGE('계산'!$K$2:$K$2001,J1621),"")</x:f>
      </x:c>
      <x:c r="L1621" t="str">
        <x:f>IF(ISNUMBER(K1621),L1620+LN(K1621),"")</x:f>
      </x:c>
    </x:row>
    <x:row r="1622">
      <x:c r="J1622" t="n">
        <x:f>1618</x:f>
        <x:v>1618</x:v>
      </x:c>
      <x:c r="K1622" t="str">
        <x:f>IF(J1622&lt;=$B$6,LARGE('계산'!$K$2:$K$2001,J1622),"")</x:f>
      </x:c>
      <x:c r="L1622" t="str">
        <x:f>IF(ISNUMBER(K1622),L1621+LN(K1622),"")</x:f>
      </x:c>
    </x:row>
    <x:row r="1623">
      <x:c r="J1623" t="n">
        <x:f>1619</x:f>
        <x:v>1619</x:v>
      </x:c>
      <x:c r="K1623" t="str">
        <x:f>IF(J1623&lt;=$B$6,LARGE('계산'!$K$2:$K$2001,J1623),"")</x:f>
      </x:c>
      <x:c r="L1623" t="str">
        <x:f>IF(ISNUMBER(K1623),L1622+LN(K1623),"")</x:f>
      </x:c>
    </x:row>
    <x:row r="1624">
      <x:c r="J1624" t="n">
        <x:f>1620</x:f>
        <x:v>1620</x:v>
      </x:c>
      <x:c r="K1624" t="str">
        <x:f>IF(J1624&lt;=$B$6,LARGE('계산'!$K$2:$K$2001,J1624),"")</x:f>
      </x:c>
      <x:c r="L1624" t="str">
        <x:f>IF(ISNUMBER(K1624),L1623+LN(K1624),"")</x:f>
      </x:c>
    </x:row>
    <x:row r="1625">
      <x:c r="J1625" t="n">
        <x:f>1621</x:f>
        <x:v>1621</x:v>
      </x:c>
      <x:c r="K1625" t="str">
        <x:f>IF(J1625&lt;=$B$6,LARGE('계산'!$K$2:$K$2001,J1625),"")</x:f>
      </x:c>
      <x:c r="L1625" t="str">
        <x:f>IF(ISNUMBER(K1625),L1624+LN(K1625),"")</x:f>
      </x:c>
    </x:row>
    <x:row r="1626">
      <x:c r="J1626" t="n">
        <x:f>1622</x:f>
        <x:v>1622</x:v>
      </x:c>
      <x:c r="K1626" t="str">
        <x:f>IF(J1626&lt;=$B$6,LARGE('계산'!$K$2:$K$2001,J1626),"")</x:f>
      </x:c>
      <x:c r="L1626" t="str">
        <x:f>IF(ISNUMBER(K1626),L1625+LN(K1626),"")</x:f>
      </x:c>
    </x:row>
    <x:row r="1627">
      <x:c r="J1627" t="n">
        <x:f>1623</x:f>
        <x:v>1623</x:v>
      </x:c>
      <x:c r="K1627" t="str">
        <x:f>IF(J1627&lt;=$B$6,LARGE('계산'!$K$2:$K$2001,J1627),"")</x:f>
      </x:c>
      <x:c r="L1627" t="str">
        <x:f>IF(ISNUMBER(K1627),L1626+LN(K1627),"")</x:f>
      </x:c>
    </x:row>
    <x:row r="1628">
      <x:c r="J1628" t="n">
        <x:f>1624</x:f>
        <x:v>1624</x:v>
      </x:c>
      <x:c r="K1628" t="str">
        <x:f>IF(J1628&lt;=$B$6,LARGE('계산'!$K$2:$K$2001,J1628),"")</x:f>
      </x:c>
      <x:c r="L1628" t="str">
        <x:f>IF(ISNUMBER(K1628),L1627+LN(K1628),"")</x:f>
      </x:c>
    </x:row>
    <x:row r="1629">
      <x:c r="J1629" t="n">
        <x:f>1625</x:f>
        <x:v>1625</x:v>
      </x:c>
      <x:c r="K1629" t="str">
        <x:f>IF(J1629&lt;=$B$6,LARGE('계산'!$K$2:$K$2001,J1629),"")</x:f>
      </x:c>
      <x:c r="L1629" t="str">
        <x:f>IF(ISNUMBER(K1629),L1628+LN(K1629),"")</x:f>
      </x:c>
    </x:row>
    <x:row r="1630">
      <x:c r="J1630" t="n">
        <x:f>1626</x:f>
        <x:v>1626</x:v>
      </x:c>
      <x:c r="K1630" t="str">
        <x:f>IF(J1630&lt;=$B$6,LARGE('계산'!$K$2:$K$2001,J1630),"")</x:f>
      </x:c>
      <x:c r="L1630" t="str">
        <x:f>IF(ISNUMBER(K1630),L1629+LN(K1630),"")</x:f>
      </x:c>
    </x:row>
    <x:row r="1631">
      <x:c r="J1631" t="n">
        <x:f>1627</x:f>
        <x:v>1627</x:v>
      </x:c>
      <x:c r="K1631" t="str">
        <x:f>IF(J1631&lt;=$B$6,LARGE('계산'!$K$2:$K$2001,J1631),"")</x:f>
      </x:c>
      <x:c r="L1631" t="str">
        <x:f>IF(ISNUMBER(K1631),L1630+LN(K1631),"")</x:f>
      </x:c>
    </x:row>
    <x:row r="1632">
      <x:c r="J1632" t="n">
        <x:f>1628</x:f>
        <x:v>1628</x:v>
      </x:c>
      <x:c r="K1632" t="str">
        <x:f>IF(J1632&lt;=$B$6,LARGE('계산'!$K$2:$K$2001,J1632),"")</x:f>
      </x:c>
      <x:c r="L1632" t="str">
        <x:f>IF(ISNUMBER(K1632),L1631+LN(K1632),"")</x:f>
      </x:c>
    </x:row>
    <x:row r="1633">
      <x:c r="J1633" t="n">
        <x:f>1629</x:f>
        <x:v>1629</x:v>
      </x:c>
      <x:c r="K1633" t="str">
        <x:f>IF(J1633&lt;=$B$6,LARGE('계산'!$K$2:$K$2001,J1633),"")</x:f>
      </x:c>
      <x:c r="L1633" t="str">
        <x:f>IF(ISNUMBER(K1633),L1632+LN(K1633),"")</x:f>
      </x:c>
    </x:row>
    <x:row r="1634">
      <x:c r="J1634" t="n">
        <x:f>1630</x:f>
        <x:v>1630</x:v>
      </x:c>
      <x:c r="K1634" t="str">
        <x:f>IF(J1634&lt;=$B$6,LARGE('계산'!$K$2:$K$2001,J1634),"")</x:f>
      </x:c>
      <x:c r="L1634" t="str">
        <x:f>IF(ISNUMBER(K1634),L1633+LN(K1634),"")</x:f>
      </x:c>
    </x:row>
    <x:row r="1635">
      <x:c r="J1635" t="n">
        <x:f>1631</x:f>
        <x:v>1631</x:v>
      </x:c>
      <x:c r="K1635" t="str">
        <x:f>IF(J1635&lt;=$B$6,LARGE('계산'!$K$2:$K$2001,J1635),"")</x:f>
      </x:c>
      <x:c r="L1635" t="str">
        <x:f>IF(ISNUMBER(K1635),L1634+LN(K1635),"")</x:f>
      </x:c>
    </x:row>
    <x:row r="1636">
      <x:c r="J1636" t="n">
        <x:f>1632</x:f>
        <x:v>1632</x:v>
      </x:c>
      <x:c r="K1636" t="str">
        <x:f>IF(J1636&lt;=$B$6,LARGE('계산'!$K$2:$K$2001,J1636),"")</x:f>
      </x:c>
      <x:c r="L1636" t="str">
        <x:f>IF(ISNUMBER(K1636),L1635+LN(K1636),"")</x:f>
      </x:c>
    </x:row>
    <x:row r="1637">
      <x:c r="J1637" t="n">
        <x:f>1633</x:f>
        <x:v>1633</x:v>
      </x:c>
      <x:c r="K1637" t="str">
        <x:f>IF(J1637&lt;=$B$6,LARGE('계산'!$K$2:$K$2001,J1637),"")</x:f>
      </x:c>
      <x:c r="L1637" t="str">
        <x:f>IF(ISNUMBER(K1637),L1636+LN(K1637),"")</x:f>
      </x:c>
    </x:row>
    <x:row r="1638">
      <x:c r="J1638" t="n">
        <x:f>1634</x:f>
        <x:v>1634</x:v>
      </x:c>
      <x:c r="K1638" t="str">
        <x:f>IF(J1638&lt;=$B$6,LARGE('계산'!$K$2:$K$2001,J1638),"")</x:f>
      </x:c>
      <x:c r="L1638" t="str">
        <x:f>IF(ISNUMBER(K1638),L1637+LN(K1638),"")</x:f>
      </x:c>
    </x:row>
    <x:row r="1639">
      <x:c r="J1639" t="n">
        <x:f>1635</x:f>
        <x:v>1635</x:v>
      </x:c>
      <x:c r="K1639" t="str">
        <x:f>IF(J1639&lt;=$B$6,LARGE('계산'!$K$2:$K$2001,J1639),"")</x:f>
      </x:c>
      <x:c r="L1639" t="str">
        <x:f>IF(ISNUMBER(K1639),L1638+LN(K1639),"")</x:f>
      </x:c>
    </x:row>
    <x:row r="1640">
      <x:c r="J1640" t="n">
        <x:f>1636</x:f>
        <x:v>1636</x:v>
      </x:c>
      <x:c r="K1640" t="str">
        <x:f>IF(J1640&lt;=$B$6,LARGE('계산'!$K$2:$K$2001,J1640),"")</x:f>
      </x:c>
      <x:c r="L1640" t="str">
        <x:f>IF(ISNUMBER(K1640),L1639+LN(K1640),"")</x:f>
      </x:c>
    </x:row>
    <x:row r="1641">
      <x:c r="J1641" t="n">
        <x:f>1637</x:f>
        <x:v>1637</x:v>
      </x:c>
      <x:c r="K1641" t="str">
        <x:f>IF(J1641&lt;=$B$6,LARGE('계산'!$K$2:$K$2001,J1641),"")</x:f>
      </x:c>
      <x:c r="L1641" t="str">
        <x:f>IF(ISNUMBER(K1641),L1640+LN(K1641),"")</x:f>
      </x:c>
    </x:row>
    <x:row r="1642">
      <x:c r="J1642" t="n">
        <x:f>1638</x:f>
        <x:v>1638</x:v>
      </x:c>
      <x:c r="K1642" t="str">
        <x:f>IF(J1642&lt;=$B$6,LARGE('계산'!$K$2:$K$2001,J1642),"")</x:f>
      </x:c>
      <x:c r="L1642" t="str">
        <x:f>IF(ISNUMBER(K1642),L1641+LN(K1642),"")</x:f>
      </x:c>
    </x:row>
    <x:row r="1643">
      <x:c r="J1643" t="n">
        <x:f>1639</x:f>
        <x:v>1639</x:v>
      </x:c>
      <x:c r="K1643" t="str">
        <x:f>IF(J1643&lt;=$B$6,LARGE('계산'!$K$2:$K$2001,J1643),"")</x:f>
      </x:c>
      <x:c r="L1643" t="str">
        <x:f>IF(ISNUMBER(K1643),L1642+LN(K1643),"")</x:f>
      </x:c>
    </x:row>
    <x:row r="1644">
      <x:c r="J1644" t="n">
        <x:f>1640</x:f>
        <x:v>1640</x:v>
      </x:c>
      <x:c r="K1644" t="str">
        <x:f>IF(J1644&lt;=$B$6,LARGE('계산'!$K$2:$K$2001,J1644),"")</x:f>
      </x:c>
      <x:c r="L1644" t="str">
        <x:f>IF(ISNUMBER(K1644),L1643+LN(K1644),"")</x:f>
      </x:c>
    </x:row>
    <x:row r="1645">
      <x:c r="J1645" t="n">
        <x:f>1641</x:f>
        <x:v>1641</x:v>
      </x:c>
      <x:c r="K1645" t="str">
        <x:f>IF(J1645&lt;=$B$6,LARGE('계산'!$K$2:$K$2001,J1645),"")</x:f>
      </x:c>
      <x:c r="L1645" t="str">
        <x:f>IF(ISNUMBER(K1645),L1644+LN(K1645),"")</x:f>
      </x:c>
    </x:row>
    <x:row r="1646">
      <x:c r="J1646" t="n">
        <x:f>1642</x:f>
        <x:v>1642</x:v>
      </x:c>
      <x:c r="K1646" t="str">
        <x:f>IF(J1646&lt;=$B$6,LARGE('계산'!$K$2:$K$2001,J1646),"")</x:f>
      </x:c>
      <x:c r="L1646" t="str">
        <x:f>IF(ISNUMBER(K1646),L1645+LN(K1646),"")</x:f>
      </x:c>
    </x:row>
    <x:row r="1647">
      <x:c r="J1647" t="n">
        <x:f>1643</x:f>
        <x:v>1643</x:v>
      </x:c>
      <x:c r="K1647" t="str">
        <x:f>IF(J1647&lt;=$B$6,LARGE('계산'!$K$2:$K$2001,J1647),"")</x:f>
      </x:c>
      <x:c r="L1647" t="str">
        <x:f>IF(ISNUMBER(K1647),L1646+LN(K1647),"")</x:f>
      </x:c>
    </x:row>
    <x:row r="1648">
      <x:c r="J1648" t="n">
        <x:f>1644</x:f>
        <x:v>1644</x:v>
      </x:c>
      <x:c r="K1648" t="str">
        <x:f>IF(J1648&lt;=$B$6,LARGE('계산'!$K$2:$K$2001,J1648),"")</x:f>
      </x:c>
      <x:c r="L1648" t="str">
        <x:f>IF(ISNUMBER(K1648),L1647+LN(K1648),"")</x:f>
      </x:c>
    </x:row>
    <x:row r="1649">
      <x:c r="J1649" t="n">
        <x:f>1645</x:f>
        <x:v>1645</x:v>
      </x:c>
      <x:c r="K1649" t="str">
        <x:f>IF(J1649&lt;=$B$6,LARGE('계산'!$K$2:$K$2001,J1649),"")</x:f>
      </x:c>
      <x:c r="L1649" t="str">
        <x:f>IF(ISNUMBER(K1649),L1648+LN(K1649),"")</x:f>
      </x:c>
    </x:row>
    <x:row r="1650">
      <x:c r="J1650" t="n">
        <x:f>1646</x:f>
        <x:v>1646</x:v>
      </x:c>
      <x:c r="K1650" t="str">
        <x:f>IF(J1650&lt;=$B$6,LARGE('계산'!$K$2:$K$2001,J1650),"")</x:f>
      </x:c>
      <x:c r="L1650" t="str">
        <x:f>IF(ISNUMBER(K1650),L1649+LN(K1650),"")</x:f>
      </x:c>
    </x:row>
    <x:row r="1651">
      <x:c r="J1651" t="n">
        <x:f>1647</x:f>
        <x:v>1647</x:v>
      </x:c>
      <x:c r="K1651" t="str">
        <x:f>IF(J1651&lt;=$B$6,LARGE('계산'!$K$2:$K$2001,J1651),"")</x:f>
      </x:c>
      <x:c r="L1651" t="str">
        <x:f>IF(ISNUMBER(K1651),L1650+LN(K1651),"")</x:f>
      </x:c>
    </x:row>
    <x:row r="1652">
      <x:c r="J1652" t="n">
        <x:f>1648</x:f>
        <x:v>1648</x:v>
      </x:c>
      <x:c r="K1652" t="str">
        <x:f>IF(J1652&lt;=$B$6,LARGE('계산'!$K$2:$K$2001,J1652),"")</x:f>
      </x:c>
      <x:c r="L1652" t="str">
        <x:f>IF(ISNUMBER(K1652),L1651+LN(K1652),"")</x:f>
      </x:c>
    </x:row>
    <x:row r="1653">
      <x:c r="J1653" t="n">
        <x:f>1649</x:f>
        <x:v>1649</x:v>
      </x:c>
      <x:c r="K1653" t="str">
        <x:f>IF(J1653&lt;=$B$6,LARGE('계산'!$K$2:$K$2001,J1653),"")</x:f>
      </x:c>
      <x:c r="L1653" t="str">
        <x:f>IF(ISNUMBER(K1653),L1652+LN(K1653),"")</x:f>
      </x:c>
    </x:row>
    <x:row r="1654">
      <x:c r="J1654" t="n">
        <x:f>1650</x:f>
        <x:v>1650</x:v>
      </x:c>
      <x:c r="K1654" t="str">
        <x:f>IF(J1654&lt;=$B$6,LARGE('계산'!$K$2:$K$2001,J1654),"")</x:f>
      </x:c>
      <x:c r="L1654" t="str">
        <x:f>IF(ISNUMBER(K1654),L1653+LN(K1654),"")</x:f>
      </x:c>
    </x:row>
    <x:row r="1655">
      <x:c r="J1655" t="n">
        <x:f>1651</x:f>
        <x:v>1651</x:v>
      </x:c>
      <x:c r="K1655" t="str">
        <x:f>IF(J1655&lt;=$B$6,LARGE('계산'!$K$2:$K$2001,J1655),"")</x:f>
      </x:c>
      <x:c r="L1655" t="str">
        <x:f>IF(ISNUMBER(K1655),L1654+LN(K1655),"")</x:f>
      </x:c>
    </x:row>
    <x:row r="1656">
      <x:c r="J1656" t="n">
        <x:f>1652</x:f>
        <x:v>1652</x:v>
      </x:c>
      <x:c r="K1656" t="str">
        <x:f>IF(J1656&lt;=$B$6,LARGE('계산'!$K$2:$K$2001,J1656),"")</x:f>
      </x:c>
      <x:c r="L1656" t="str">
        <x:f>IF(ISNUMBER(K1656),L1655+LN(K1656),"")</x:f>
      </x:c>
    </x:row>
    <x:row r="1657">
      <x:c r="J1657" t="n">
        <x:f>1653</x:f>
        <x:v>1653</x:v>
      </x:c>
      <x:c r="K1657" t="str">
        <x:f>IF(J1657&lt;=$B$6,LARGE('계산'!$K$2:$K$2001,J1657),"")</x:f>
      </x:c>
      <x:c r="L1657" t="str">
        <x:f>IF(ISNUMBER(K1657),L1656+LN(K1657),"")</x:f>
      </x:c>
    </x:row>
    <x:row r="1658">
      <x:c r="J1658" t="n">
        <x:f>1654</x:f>
        <x:v>1654</x:v>
      </x:c>
      <x:c r="K1658" t="str">
        <x:f>IF(J1658&lt;=$B$6,LARGE('계산'!$K$2:$K$2001,J1658),"")</x:f>
      </x:c>
      <x:c r="L1658" t="str">
        <x:f>IF(ISNUMBER(K1658),L1657+LN(K1658),"")</x:f>
      </x:c>
    </x:row>
    <x:row r="1659">
      <x:c r="J1659" t="n">
        <x:f>1655</x:f>
        <x:v>1655</x:v>
      </x:c>
      <x:c r="K1659" t="str">
        <x:f>IF(J1659&lt;=$B$6,LARGE('계산'!$K$2:$K$2001,J1659),"")</x:f>
      </x:c>
      <x:c r="L1659" t="str">
        <x:f>IF(ISNUMBER(K1659),L1658+LN(K1659),"")</x:f>
      </x:c>
    </x:row>
    <x:row r="1660">
      <x:c r="J1660" t="n">
        <x:f>1656</x:f>
        <x:v>1656</x:v>
      </x:c>
      <x:c r="K1660" t="str">
        <x:f>IF(J1660&lt;=$B$6,LARGE('계산'!$K$2:$K$2001,J1660),"")</x:f>
      </x:c>
      <x:c r="L1660" t="str">
        <x:f>IF(ISNUMBER(K1660),L1659+LN(K1660),"")</x:f>
      </x:c>
    </x:row>
    <x:row r="1661">
      <x:c r="J1661" t="n">
        <x:f>1657</x:f>
        <x:v>1657</x:v>
      </x:c>
      <x:c r="K1661" t="str">
        <x:f>IF(J1661&lt;=$B$6,LARGE('계산'!$K$2:$K$2001,J1661),"")</x:f>
      </x:c>
      <x:c r="L1661" t="str">
        <x:f>IF(ISNUMBER(K1661),L1660+LN(K1661),"")</x:f>
      </x:c>
    </x:row>
    <x:row r="1662">
      <x:c r="J1662" t="n">
        <x:f>1658</x:f>
        <x:v>1658</x:v>
      </x:c>
      <x:c r="K1662" t="str">
        <x:f>IF(J1662&lt;=$B$6,LARGE('계산'!$K$2:$K$2001,J1662),"")</x:f>
      </x:c>
      <x:c r="L1662" t="str">
        <x:f>IF(ISNUMBER(K1662),L1661+LN(K1662),"")</x:f>
      </x:c>
    </x:row>
    <x:row r="1663">
      <x:c r="J1663" t="n">
        <x:f>1659</x:f>
        <x:v>1659</x:v>
      </x:c>
      <x:c r="K1663" t="str">
        <x:f>IF(J1663&lt;=$B$6,LARGE('계산'!$K$2:$K$2001,J1663),"")</x:f>
      </x:c>
      <x:c r="L1663" t="str">
        <x:f>IF(ISNUMBER(K1663),L1662+LN(K1663),"")</x:f>
      </x:c>
    </x:row>
    <x:row r="1664">
      <x:c r="J1664" t="n">
        <x:f>1660</x:f>
        <x:v>1660</x:v>
      </x:c>
      <x:c r="K1664" t="str">
        <x:f>IF(J1664&lt;=$B$6,LARGE('계산'!$K$2:$K$2001,J1664),"")</x:f>
      </x:c>
      <x:c r="L1664" t="str">
        <x:f>IF(ISNUMBER(K1664),L1663+LN(K1664),"")</x:f>
      </x:c>
    </x:row>
    <x:row r="1665">
      <x:c r="J1665" t="n">
        <x:f>1661</x:f>
        <x:v>1661</x:v>
      </x:c>
      <x:c r="K1665" t="str">
        <x:f>IF(J1665&lt;=$B$6,LARGE('계산'!$K$2:$K$2001,J1665),"")</x:f>
      </x:c>
      <x:c r="L1665" t="str">
        <x:f>IF(ISNUMBER(K1665),L1664+LN(K1665),"")</x:f>
      </x:c>
    </x:row>
    <x:row r="1666">
      <x:c r="J1666" t="n">
        <x:f>1662</x:f>
        <x:v>1662</x:v>
      </x:c>
      <x:c r="K1666" t="str">
        <x:f>IF(J1666&lt;=$B$6,LARGE('계산'!$K$2:$K$2001,J1666),"")</x:f>
      </x:c>
      <x:c r="L1666" t="str">
        <x:f>IF(ISNUMBER(K1666),L1665+LN(K1666),"")</x:f>
      </x:c>
    </x:row>
    <x:row r="1667">
      <x:c r="J1667" t="n">
        <x:f>1663</x:f>
        <x:v>1663</x:v>
      </x:c>
      <x:c r="K1667" t="str">
        <x:f>IF(J1667&lt;=$B$6,LARGE('계산'!$K$2:$K$2001,J1667),"")</x:f>
      </x:c>
      <x:c r="L1667" t="str">
        <x:f>IF(ISNUMBER(K1667),L1666+LN(K1667),"")</x:f>
      </x:c>
    </x:row>
    <x:row r="1668">
      <x:c r="J1668" t="n">
        <x:f>1664</x:f>
        <x:v>1664</x:v>
      </x:c>
      <x:c r="K1668" t="str">
        <x:f>IF(J1668&lt;=$B$6,LARGE('계산'!$K$2:$K$2001,J1668),"")</x:f>
      </x:c>
      <x:c r="L1668" t="str">
        <x:f>IF(ISNUMBER(K1668),L1667+LN(K1668),"")</x:f>
      </x:c>
    </x:row>
    <x:row r="1669">
      <x:c r="J1669" t="n">
        <x:f>1665</x:f>
        <x:v>1665</x:v>
      </x:c>
      <x:c r="K1669" t="str">
        <x:f>IF(J1669&lt;=$B$6,LARGE('계산'!$K$2:$K$2001,J1669),"")</x:f>
      </x:c>
      <x:c r="L1669" t="str">
        <x:f>IF(ISNUMBER(K1669),L1668+LN(K1669),"")</x:f>
      </x:c>
    </x:row>
    <x:row r="1670">
      <x:c r="J1670" t="n">
        <x:f>1666</x:f>
        <x:v>1666</x:v>
      </x:c>
      <x:c r="K1670" t="str">
        <x:f>IF(J1670&lt;=$B$6,LARGE('계산'!$K$2:$K$2001,J1670),"")</x:f>
      </x:c>
      <x:c r="L1670" t="str">
        <x:f>IF(ISNUMBER(K1670),L1669+LN(K1670),"")</x:f>
      </x:c>
    </x:row>
    <x:row r="1671">
      <x:c r="J1671" t="n">
        <x:f>1667</x:f>
        <x:v>1667</x:v>
      </x:c>
      <x:c r="K1671" t="str">
        <x:f>IF(J1671&lt;=$B$6,LARGE('계산'!$K$2:$K$2001,J1671),"")</x:f>
      </x:c>
      <x:c r="L1671" t="str">
        <x:f>IF(ISNUMBER(K1671),L1670+LN(K1671),"")</x:f>
      </x:c>
    </x:row>
    <x:row r="1672">
      <x:c r="J1672" t="n">
        <x:f>1668</x:f>
        <x:v>1668</x:v>
      </x:c>
      <x:c r="K1672" t="str">
        <x:f>IF(J1672&lt;=$B$6,LARGE('계산'!$K$2:$K$2001,J1672),"")</x:f>
      </x:c>
      <x:c r="L1672" t="str">
        <x:f>IF(ISNUMBER(K1672),L1671+LN(K1672),"")</x:f>
      </x:c>
    </x:row>
    <x:row r="1673">
      <x:c r="J1673" t="n">
        <x:f>1669</x:f>
        <x:v>1669</x:v>
      </x:c>
      <x:c r="K1673" t="str">
        <x:f>IF(J1673&lt;=$B$6,LARGE('계산'!$K$2:$K$2001,J1673),"")</x:f>
      </x:c>
      <x:c r="L1673" t="str">
        <x:f>IF(ISNUMBER(K1673),L1672+LN(K1673),"")</x:f>
      </x:c>
    </x:row>
    <x:row r="1674">
      <x:c r="J1674" t="n">
        <x:f>1670</x:f>
        <x:v>1670</x:v>
      </x:c>
      <x:c r="K1674" t="str">
        <x:f>IF(J1674&lt;=$B$6,LARGE('계산'!$K$2:$K$2001,J1674),"")</x:f>
      </x:c>
      <x:c r="L1674" t="str">
        <x:f>IF(ISNUMBER(K1674),L1673+LN(K1674),"")</x:f>
      </x:c>
    </x:row>
    <x:row r="1675">
      <x:c r="J1675" t="n">
        <x:f>1671</x:f>
        <x:v>1671</x:v>
      </x:c>
      <x:c r="K1675" t="str">
        <x:f>IF(J1675&lt;=$B$6,LARGE('계산'!$K$2:$K$2001,J1675),"")</x:f>
      </x:c>
      <x:c r="L1675" t="str">
        <x:f>IF(ISNUMBER(K1675),L1674+LN(K1675),"")</x:f>
      </x:c>
    </x:row>
    <x:row r="1676">
      <x:c r="J1676" t="n">
        <x:f>1672</x:f>
        <x:v>1672</x:v>
      </x:c>
      <x:c r="K1676" t="str">
        <x:f>IF(J1676&lt;=$B$6,LARGE('계산'!$K$2:$K$2001,J1676),"")</x:f>
      </x:c>
      <x:c r="L1676" t="str">
        <x:f>IF(ISNUMBER(K1676),L1675+LN(K1676),"")</x:f>
      </x:c>
    </x:row>
    <x:row r="1677">
      <x:c r="J1677" t="n">
        <x:f>1673</x:f>
        <x:v>1673</x:v>
      </x:c>
      <x:c r="K1677" t="str">
        <x:f>IF(J1677&lt;=$B$6,LARGE('계산'!$K$2:$K$2001,J1677),"")</x:f>
      </x:c>
      <x:c r="L1677" t="str">
        <x:f>IF(ISNUMBER(K1677),L1676+LN(K1677),"")</x:f>
      </x:c>
    </x:row>
    <x:row r="1678">
      <x:c r="J1678" t="n">
        <x:f>1674</x:f>
        <x:v>1674</x:v>
      </x:c>
      <x:c r="K1678" t="str">
        <x:f>IF(J1678&lt;=$B$6,LARGE('계산'!$K$2:$K$2001,J1678),"")</x:f>
      </x:c>
      <x:c r="L1678" t="str">
        <x:f>IF(ISNUMBER(K1678),L1677+LN(K1678),"")</x:f>
      </x:c>
    </x:row>
    <x:row r="1679">
      <x:c r="J1679" t="n">
        <x:f>1675</x:f>
        <x:v>1675</x:v>
      </x:c>
      <x:c r="K1679" t="str">
        <x:f>IF(J1679&lt;=$B$6,LARGE('계산'!$K$2:$K$2001,J1679),"")</x:f>
      </x:c>
      <x:c r="L1679" t="str">
        <x:f>IF(ISNUMBER(K1679),L1678+LN(K1679),"")</x:f>
      </x:c>
    </x:row>
    <x:row r="1680">
      <x:c r="J1680" t="n">
        <x:f>1676</x:f>
        <x:v>1676</x:v>
      </x:c>
      <x:c r="K1680" t="str">
        <x:f>IF(J1680&lt;=$B$6,LARGE('계산'!$K$2:$K$2001,J1680),"")</x:f>
      </x:c>
      <x:c r="L1680" t="str">
        <x:f>IF(ISNUMBER(K1680),L1679+LN(K1680),"")</x:f>
      </x:c>
    </x:row>
    <x:row r="1681">
      <x:c r="J1681" t="n">
        <x:f>1677</x:f>
        <x:v>1677</x:v>
      </x:c>
      <x:c r="K1681" t="str">
        <x:f>IF(J1681&lt;=$B$6,LARGE('계산'!$K$2:$K$2001,J1681),"")</x:f>
      </x:c>
      <x:c r="L1681" t="str">
        <x:f>IF(ISNUMBER(K1681),L1680+LN(K1681),"")</x:f>
      </x:c>
    </x:row>
    <x:row r="1682">
      <x:c r="J1682" t="n">
        <x:f>1678</x:f>
        <x:v>1678</x:v>
      </x:c>
      <x:c r="K1682" t="str">
        <x:f>IF(J1682&lt;=$B$6,LARGE('계산'!$K$2:$K$2001,J1682),"")</x:f>
      </x:c>
      <x:c r="L1682" t="str">
        <x:f>IF(ISNUMBER(K1682),L1681+LN(K1682),"")</x:f>
      </x:c>
    </x:row>
    <x:row r="1683">
      <x:c r="J1683" t="n">
        <x:f>1679</x:f>
        <x:v>1679</x:v>
      </x:c>
      <x:c r="K1683" t="str">
        <x:f>IF(J1683&lt;=$B$6,LARGE('계산'!$K$2:$K$2001,J1683),"")</x:f>
      </x:c>
      <x:c r="L1683" t="str">
        <x:f>IF(ISNUMBER(K1683),L1682+LN(K1683),"")</x:f>
      </x:c>
    </x:row>
    <x:row r="1684">
      <x:c r="J1684" t="n">
        <x:f>1680</x:f>
        <x:v>1680</x:v>
      </x:c>
      <x:c r="K1684" t="str">
        <x:f>IF(J1684&lt;=$B$6,LARGE('계산'!$K$2:$K$2001,J1684),"")</x:f>
      </x:c>
      <x:c r="L1684" t="str">
        <x:f>IF(ISNUMBER(K1684),L1683+LN(K1684),"")</x:f>
      </x:c>
    </x:row>
    <x:row r="1685">
      <x:c r="J1685" t="n">
        <x:f>1681</x:f>
        <x:v>1681</x:v>
      </x:c>
      <x:c r="K1685" t="str">
        <x:f>IF(J1685&lt;=$B$6,LARGE('계산'!$K$2:$K$2001,J1685),"")</x:f>
      </x:c>
      <x:c r="L1685" t="str">
        <x:f>IF(ISNUMBER(K1685),L1684+LN(K1685),"")</x:f>
      </x:c>
    </x:row>
    <x:row r="1686">
      <x:c r="J1686" t="n">
        <x:f>1682</x:f>
        <x:v>1682</x:v>
      </x:c>
      <x:c r="K1686" t="str">
        <x:f>IF(J1686&lt;=$B$6,LARGE('계산'!$K$2:$K$2001,J1686),"")</x:f>
      </x:c>
      <x:c r="L1686" t="str">
        <x:f>IF(ISNUMBER(K1686),L1685+LN(K1686),"")</x:f>
      </x:c>
    </x:row>
    <x:row r="1687">
      <x:c r="J1687" t="n">
        <x:f>1683</x:f>
        <x:v>1683</x:v>
      </x:c>
      <x:c r="K1687" t="str">
        <x:f>IF(J1687&lt;=$B$6,LARGE('계산'!$K$2:$K$2001,J1687),"")</x:f>
      </x:c>
      <x:c r="L1687" t="str">
        <x:f>IF(ISNUMBER(K1687),L1686+LN(K1687),"")</x:f>
      </x:c>
    </x:row>
    <x:row r="1688">
      <x:c r="J1688" t="n">
        <x:f>1684</x:f>
        <x:v>1684</x:v>
      </x:c>
      <x:c r="K1688" t="str">
        <x:f>IF(J1688&lt;=$B$6,LARGE('계산'!$K$2:$K$2001,J1688),"")</x:f>
      </x:c>
      <x:c r="L1688" t="str">
        <x:f>IF(ISNUMBER(K1688),L1687+LN(K1688),"")</x:f>
      </x:c>
    </x:row>
    <x:row r="1689">
      <x:c r="J1689" t="n">
        <x:f>1685</x:f>
        <x:v>1685</x:v>
      </x:c>
      <x:c r="K1689" t="str">
        <x:f>IF(J1689&lt;=$B$6,LARGE('계산'!$K$2:$K$2001,J1689),"")</x:f>
      </x:c>
      <x:c r="L1689" t="str">
        <x:f>IF(ISNUMBER(K1689),L1688+LN(K1689),"")</x:f>
      </x:c>
    </x:row>
    <x:row r="1690">
      <x:c r="J1690" t="n">
        <x:f>1686</x:f>
        <x:v>1686</x:v>
      </x:c>
      <x:c r="K1690" t="str">
        <x:f>IF(J1690&lt;=$B$6,LARGE('계산'!$K$2:$K$2001,J1690),"")</x:f>
      </x:c>
      <x:c r="L1690" t="str">
        <x:f>IF(ISNUMBER(K1690),L1689+LN(K1690),"")</x:f>
      </x:c>
    </x:row>
    <x:row r="1691">
      <x:c r="J1691" t="n">
        <x:f>1687</x:f>
        <x:v>1687</x:v>
      </x:c>
      <x:c r="K1691" t="str">
        <x:f>IF(J1691&lt;=$B$6,LARGE('계산'!$K$2:$K$2001,J1691),"")</x:f>
      </x:c>
      <x:c r="L1691" t="str">
        <x:f>IF(ISNUMBER(K1691),L1690+LN(K1691),"")</x:f>
      </x:c>
    </x:row>
    <x:row r="1692">
      <x:c r="J1692" t="n">
        <x:f>1688</x:f>
        <x:v>1688</x:v>
      </x:c>
      <x:c r="K1692" t="str">
        <x:f>IF(J1692&lt;=$B$6,LARGE('계산'!$K$2:$K$2001,J1692),"")</x:f>
      </x:c>
      <x:c r="L1692" t="str">
        <x:f>IF(ISNUMBER(K1692),L1691+LN(K1692),"")</x:f>
      </x:c>
    </x:row>
    <x:row r="1693">
      <x:c r="J1693" t="n">
        <x:f>1689</x:f>
        <x:v>1689</x:v>
      </x:c>
      <x:c r="K1693" t="str">
        <x:f>IF(J1693&lt;=$B$6,LARGE('계산'!$K$2:$K$2001,J1693),"")</x:f>
      </x:c>
      <x:c r="L1693" t="str">
        <x:f>IF(ISNUMBER(K1693),L1692+LN(K1693),"")</x:f>
      </x:c>
    </x:row>
    <x:row r="1694">
      <x:c r="J1694" t="n">
        <x:f>1690</x:f>
        <x:v>1690</x:v>
      </x:c>
      <x:c r="K1694" t="str">
        <x:f>IF(J1694&lt;=$B$6,LARGE('계산'!$K$2:$K$2001,J1694),"")</x:f>
      </x:c>
      <x:c r="L1694" t="str">
        <x:f>IF(ISNUMBER(K1694),L1693+LN(K1694),"")</x:f>
      </x:c>
    </x:row>
    <x:row r="1695">
      <x:c r="J1695" t="n">
        <x:f>1691</x:f>
        <x:v>1691</x:v>
      </x:c>
      <x:c r="K1695" t="str">
        <x:f>IF(J1695&lt;=$B$6,LARGE('계산'!$K$2:$K$2001,J1695),"")</x:f>
      </x:c>
      <x:c r="L1695" t="str">
        <x:f>IF(ISNUMBER(K1695),L1694+LN(K1695),"")</x:f>
      </x:c>
    </x:row>
    <x:row r="1696">
      <x:c r="J1696" t="n">
        <x:f>1692</x:f>
        <x:v>1692</x:v>
      </x:c>
      <x:c r="K1696" t="str">
        <x:f>IF(J1696&lt;=$B$6,LARGE('계산'!$K$2:$K$2001,J1696),"")</x:f>
      </x:c>
      <x:c r="L1696" t="str">
        <x:f>IF(ISNUMBER(K1696),L1695+LN(K1696),"")</x:f>
      </x:c>
    </x:row>
    <x:row r="1697">
      <x:c r="J1697" t="n">
        <x:f>1693</x:f>
        <x:v>1693</x:v>
      </x:c>
      <x:c r="K1697" t="str">
        <x:f>IF(J1697&lt;=$B$6,LARGE('계산'!$K$2:$K$2001,J1697),"")</x:f>
      </x:c>
      <x:c r="L1697" t="str">
        <x:f>IF(ISNUMBER(K1697),L1696+LN(K1697),"")</x:f>
      </x:c>
    </x:row>
    <x:row r="1698">
      <x:c r="J1698" t="n">
        <x:f>1694</x:f>
        <x:v>1694</x:v>
      </x:c>
      <x:c r="K1698" t="str">
        <x:f>IF(J1698&lt;=$B$6,LARGE('계산'!$K$2:$K$2001,J1698),"")</x:f>
      </x:c>
      <x:c r="L1698" t="str">
        <x:f>IF(ISNUMBER(K1698),L1697+LN(K1698),"")</x:f>
      </x:c>
    </x:row>
    <x:row r="1699">
      <x:c r="J1699" t="n">
        <x:f>1695</x:f>
        <x:v>1695</x:v>
      </x:c>
      <x:c r="K1699" t="str">
        <x:f>IF(J1699&lt;=$B$6,LARGE('계산'!$K$2:$K$2001,J1699),"")</x:f>
      </x:c>
      <x:c r="L1699" t="str">
        <x:f>IF(ISNUMBER(K1699),L1698+LN(K1699),"")</x:f>
      </x:c>
    </x:row>
    <x:row r="1700">
      <x:c r="J1700" t="n">
        <x:f>1696</x:f>
        <x:v>1696</x:v>
      </x:c>
      <x:c r="K1700" t="str">
        <x:f>IF(J1700&lt;=$B$6,LARGE('계산'!$K$2:$K$2001,J1700),"")</x:f>
      </x:c>
      <x:c r="L1700" t="str">
        <x:f>IF(ISNUMBER(K1700),L1699+LN(K1700),"")</x:f>
      </x:c>
    </x:row>
    <x:row r="1701">
      <x:c r="J1701" t="n">
        <x:f>1697</x:f>
        <x:v>1697</x:v>
      </x:c>
      <x:c r="K1701" t="str">
        <x:f>IF(J1701&lt;=$B$6,LARGE('계산'!$K$2:$K$2001,J1701),"")</x:f>
      </x:c>
      <x:c r="L1701" t="str">
        <x:f>IF(ISNUMBER(K1701),L1700+LN(K1701),"")</x:f>
      </x:c>
    </x:row>
    <x:row r="1702">
      <x:c r="J1702" t="n">
        <x:f>1698</x:f>
        <x:v>1698</x:v>
      </x:c>
      <x:c r="K1702" t="str">
        <x:f>IF(J1702&lt;=$B$6,LARGE('계산'!$K$2:$K$2001,J1702),"")</x:f>
      </x:c>
      <x:c r="L1702" t="str">
        <x:f>IF(ISNUMBER(K1702),L1701+LN(K1702),"")</x:f>
      </x:c>
    </x:row>
    <x:row r="1703">
      <x:c r="J1703" t="n">
        <x:f>1699</x:f>
        <x:v>1699</x:v>
      </x:c>
      <x:c r="K1703" t="str">
        <x:f>IF(J1703&lt;=$B$6,LARGE('계산'!$K$2:$K$2001,J1703),"")</x:f>
      </x:c>
      <x:c r="L1703" t="str">
        <x:f>IF(ISNUMBER(K1703),L1702+LN(K1703),"")</x:f>
      </x:c>
    </x:row>
    <x:row r="1704">
      <x:c r="J1704" t="n">
        <x:f>1700</x:f>
        <x:v>1700</x:v>
      </x:c>
      <x:c r="K1704" t="str">
        <x:f>IF(J1704&lt;=$B$6,LARGE('계산'!$K$2:$K$2001,J1704),"")</x:f>
      </x:c>
      <x:c r="L1704" t="str">
        <x:f>IF(ISNUMBER(K1704),L1703+LN(K1704),"")</x:f>
      </x:c>
    </x:row>
    <x:row r="1705">
      <x:c r="J1705" t="n">
        <x:f>1701</x:f>
        <x:v>1701</x:v>
      </x:c>
      <x:c r="K1705" t="str">
        <x:f>IF(J1705&lt;=$B$6,LARGE('계산'!$K$2:$K$2001,J1705),"")</x:f>
      </x:c>
      <x:c r="L1705" t="str">
        <x:f>IF(ISNUMBER(K1705),L1704+LN(K1705),"")</x:f>
      </x:c>
    </x:row>
    <x:row r="1706">
      <x:c r="J1706" t="n">
        <x:f>1702</x:f>
        <x:v>1702</x:v>
      </x:c>
      <x:c r="K1706" t="str">
        <x:f>IF(J1706&lt;=$B$6,LARGE('계산'!$K$2:$K$2001,J1706),"")</x:f>
      </x:c>
      <x:c r="L1706" t="str">
        <x:f>IF(ISNUMBER(K1706),L1705+LN(K1706),"")</x:f>
      </x:c>
    </x:row>
    <x:row r="1707">
      <x:c r="J1707" t="n">
        <x:f>1703</x:f>
        <x:v>1703</x:v>
      </x:c>
      <x:c r="K1707" t="str">
        <x:f>IF(J1707&lt;=$B$6,LARGE('계산'!$K$2:$K$2001,J1707),"")</x:f>
      </x:c>
      <x:c r="L1707" t="str">
        <x:f>IF(ISNUMBER(K1707),L1706+LN(K1707),"")</x:f>
      </x:c>
    </x:row>
    <x:row r="1708">
      <x:c r="J1708" t="n">
        <x:f>1704</x:f>
        <x:v>1704</x:v>
      </x:c>
      <x:c r="K1708" t="str">
        <x:f>IF(J1708&lt;=$B$6,LARGE('계산'!$K$2:$K$2001,J1708),"")</x:f>
      </x:c>
      <x:c r="L1708" t="str">
        <x:f>IF(ISNUMBER(K1708),L1707+LN(K1708),"")</x:f>
      </x:c>
    </x:row>
    <x:row r="1709">
      <x:c r="J1709" t="n">
        <x:f>1705</x:f>
        <x:v>1705</x:v>
      </x:c>
      <x:c r="K1709" t="str">
        <x:f>IF(J1709&lt;=$B$6,LARGE('계산'!$K$2:$K$2001,J1709),"")</x:f>
      </x:c>
      <x:c r="L1709" t="str">
        <x:f>IF(ISNUMBER(K1709),L1708+LN(K1709),"")</x:f>
      </x:c>
    </x:row>
    <x:row r="1710">
      <x:c r="J1710" t="n">
        <x:f>1706</x:f>
        <x:v>1706</x:v>
      </x:c>
      <x:c r="K1710" t="str">
        <x:f>IF(J1710&lt;=$B$6,LARGE('계산'!$K$2:$K$2001,J1710),"")</x:f>
      </x:c>
      <x:c r="L1710" t="str">
        <x:f>IF(ISNUMBER(K1710),L1709+LN(K1710),"")</x:f>
      </x:c>
    </x:row>
    <x:row r="1711">
      <x:c r="J1711" t="n">
        <x:f>1707</x:f>
        <x:v>1707</x:v>
      </x:c>
      <x:c r="K1711" t="str">
        <x:f>IF(J1711&lt;=$B$6,LARGE('계산'!$K$2:$K$2001,J1711),"")</x:f>
      </x:c>
      <x:c r="L1711" t="str">
        <x:f>IF(ISNUMBER(K1711),L1710+LN(K1711),"")</x:f>
      </x:c>
    </x:row>
    <x:row r="1712">
      <x:c r="J1712" t="n">
        <x:f>1708</x:f>
        <x:v>1708</x:v>
      </x:c>
      <x:c r="K1712" t="str">
        <x:f>IF(J1712&lt;=$B$6,LARGE('계산'!$K$2:$K$2001,J1712),"")</x:f>
      </x:c>
      <x:c r="L1712" t="str">
        <x:f>IF(ISNUMBER(K1712),L1711+LN(K1712),"")</x:f>
      </x:c>
    </x:row>
    <x:row r="1713">
      <x:c r="J1713" t="n">
        <x:f>1709</x:f>
        <x:v>1709</x:v>
      </x:c>
      <x:c r="K1713" t="str">
        <x:f>IF(J1713&lt;=$B$6,LARGE('계산'!$K$2:$K$2001,J1713),"")</x:f>
      </x:c>
      <x:c r="L1713" t="str">
        <x:f>IF(ISNUMBER(K1713),L1712+LN(K1713),"")</x:f>
      </x:c>
    </x:row>
    <x:row r="1714">
      <x:c r="J1714" t="n">
        <x:f>1710</x:f>
        <x:v>1710</x:v>
      </x:c>
      <x:c r="K1714" t="str">
        <x:f>IF(J1714&lt;=$B$6,LARGE('계산'!$K$2:$K$2001,J1714),"")</x:f>
      </x:c>
      <x:c r="L1714" t="str">
        <x:f>IF(ISNUMBER(K1714),L1713+LN(K1714),"")</x:f>
      </x:c>
    </x:row>
    <x:row r="1715">
      <x:c r="J1715" t="n">
        <x:f>1711</x:f>
        <x:v>1711</x:v>
      </x:c>
      <x:c r="K1715" t="str">
        <x:f>IF(J1715&lt;=$B$6,LARGE('계산'!$K$2:$K$2001,J1715),"")</x:f>
      </x:c>
      <x:c r="L1715" t="str">
        <x:f>IF(ISNUMBER(K1715),L1714+LN(K1715),"")</x:f>
      </x:c>
    </x:row>
    <x:row r="1716">
      <x:c r="J1716" t="n">
        <x:f>1712</x:f>
        <x:v>1712</x:v>
      </x:c>
      <x:c r="K1716" t="str">
        <x:f>IF(J1716&lt;=$B$6,LARGE('계산'!$K$2:$K$2001,J1716),"")</x:f>
      </x:c>
      <x:c r="L1716" t="str">
        <x:f>IF(ISNUMBER(K1716),L1715+LN(K1716),"")</x:f>
      </x:c>
    </x:row>
    <x:row r="1717">
      <x:c r="J1717" t="n">
        <x:f>1713</x:f>
        <x:v>1713</x:v>
      </x:c>
      <x:c r="K1717" t="str">
        <x:f>IF(J1717&lt;=$B$6,LARGE('계산'!$K$2:$K$2001,J1717),"")</x:f>
      </x:c>
      <x:c r="L1717" t="str">
        <x:f>IF(ISNUMBER(K1717),L1716+LN(K1717),"")</x:f>
      </x:c>
    </x:row>
    <x:row r="1718">
      <x:c r="J1718" t="n">
        <x:f>1714</x:f>
        <x:v>1714</x:v>
      </x:c>
      <x:c r="K1718" t="str">
        <x:f>IF(J1718&lt;=$B$6,LARGE('계산'!$K$2:$K$2001,J1718),"")</x:f>
      </x:c>
      <x:c r="L1718" t="str">
        <x:f>IF(ISNUMBER(K1718),L1717+LN(K1718),"")</x:f>
      </x:c>
    </x:row>
    <x:row r="1719">
      <x:c r="J1719" t="n">
        <x:f>1715</x:f>
        <x:v>1715</x:v>
      </x:c>
      <x:c r="K1719" t="str">
        <x:f>IF(J1719&lt;=$B$6,LARGE('계산'!$K$2:$K$2001,J1719),"")</x:f>
      </x:c>
      <x:c r="L1719" t="str">
        <x:f>IF(ISNUMBER(K1719),L1718+LN(K1719),"")</x:f>
      </x:c>
    </x:row>
    <x:row r="1720">
      <x:c r="J1720" t="n">
        <x:f>1716</x:f>
        <x:v>1716</x:v>
      </x:c>
      <x:c r="K1720" t="str">
        <x:f>IF(J1720&lt;=$B$6,LARGE('계산'!$K$2:$K$2001,J1720),"")</x:f>
      </x:c>
      <x:c r="L1720" t="str">
        <x:f>IF(ISNUMBER(K1720),L1719+LN(K1720),"")</x:f>
      </x:c>
    </x:row>
    <x:row r="1721">
      <x:c r="J1721" t="n">
        <x:f>1717</x:f>
        <x:v>1717</x:v>
      </x:c>
      <x:c r="K1721" t="str">
        <x:f>IF(J1721&lt;=$B$6,LARGE('계산'!$K$2:$K$2001,J1721),"")</x:f>
      </x:c>
      <x:c r="L1721" t="str">
        <x:f>IF(ISNUMBER(K1721),L1720+LN(K1721),"")</x:f>
      </x:c>
    </x:row>
    <x:row r="1722">
      <x:c r="J1722" t="n">
        <x:f>1718</x:f>
        <x:v>1718</x:v>
      </x:c>
      <x:c r="K1722" t="str">
        <x:f>IF(J1722&lt;=$B$6,LARGE('계산'!$K$2:$K$2001,J1722),"")</x:f>
      </x:c>
      <x:c r="L1722" t="str">
        <x:f>IF(ISNUMBER(K1722),L1721+LN(K1722),"")</x:f>
      </x:c>
    </x:row>
    <x:row r="1723">
      <x:c r="J1723" t="n">
        <x:f>1719</x:f>
        <x:v>1719</x:v>
      </x:c>
      <x:c r="K1723" t="str">
        <x:f>IF(J1723&lt;=$B$6,LARGE('계산'!$K$2:$K$2001,J1723),"")</x:f>
      </x:c>
      <x:c r="L1723" t="str">
        <x:f>IF(ISNUMBER(K1723),L1722+LN(K1723),"")</x:f>
      </x:c>
    </x:row>
    <x:row r="1724">
      <x:c r="J1724" t="n">
        <x:f>1720</x:f>
        <x:v>1720</x:v>
      </x:c>
      <x:c r="K1724" t="str">
        <x:f>IF(J1724&lt;=$B$6,LARGE('계산'!$K$2:$K$2001,J1724),"")</x:f>
      </x:c>
      <x:c r="L1724" t="str">
        <x:f>IF(ISNUMBER(K1724),L1723+LN(K1724),"")</x:f>
      </x:c>
    </x:row>
    <x:row r="1725">
      <x:c r="J1725" t="n">
        <x:f>1721</x:f>
        <x:v>1721</x:v>
      </x:c>
      <x:c r="K1725" t="str">
        <x:f>IF(J1725&lt;=$B$6,LARGE('계산'!$K$2:$K$2001,J1725),"")</x:f>
      </x:c>
      <x:c r="L1725" t="str">
        <x:f>IF(ISNUMBER(K1725),L1724+LN(K1725),"")</x:f>
      </x:c>
    </x:row>
    <x:row r="1726">
      <x:c r="J1726" t="n">
        <x:f>1722</x:f>
        <x:v>1722</x:v>
      </x:c>
      <x:c r="K1726" t="str">
        <x:f>IF(J1726&lt;=$B$6,LARGE('계산'!$K$2:$K$2001,J1726),"")</x:f>
      </x:c>
      <x:c r="L1726" t="str">
        <x:f>IF(ISNUMBER(K1726),L1725+LN(K1726),"")</x:f>
      </x:c>
    </x:row>
    <x:row r="1727">
      <x:c r="J1727" t="n">
        <x:f>1723</x:f>
        <x:v>1723</x:v>
      </x:c>
      <x:c r="K1727" t="str">
        <x:f>IF(J1727&lt;=$B$6,LARGE('계산'!$K$2:$K$2001,J1727),"")</x:f>
      </x:c>
      <x:c r="L1727" t="str">
        <x:f>IF(ISNUMBER(K1727),L1726+LN(K1727),"")</x:f>
      </x:c>
    </x:row>
    <x:row r="1728">
      <x:c r="J1728" t="n">
        <x:f>1724</x:f>
        <x:v>1724</x:v>
      </x:c>
      <x:c r="K1728" t="str">
        <x:f>IF(J1728&lt;=$B$6,LARGE('계산'!$K$2:$K$2001,J1728),"")</x:f>
      </x:c>
      <x:c r="L1728" t="str">
        <x:f>IF(ISNUMBER(K1728),L1727+LN(K1728),"")</x:f>
      </x:c>
    </x:row>
    <x:row r="1729">
      <x:c r="J1729" t="n">
        <x:f>1725</x:f>
        <x:v>1725</x:v>
      </x:c>
      <x:c r="K1729" t="str">
        <x:f>IF(J1729&lt;=$B$6,LARGE('계산'!$K$2:$K$2001,J1729),"")</x:f>
      </x:c>
      <x:c r="L1729" t="str">
        <x:f>IF(ISNUMBER(K1729),L1728+LN(K1729),"")</x:f>
      </x:c>
    </x:row>
    <x:row r="1730">
      <x:c r="J1730" t="n">
        <x:f>1726</x:f>
        <x:v>1726</x:v>
      </x:c>
      <x:c r="K1730" t="str">
        <x:f>IF(J1730&lt;=$B$6,LARGE('계산'!$K$2:$K$2001,J1730),"")</x:f>
      </x:c>
      <x:c r="L1730" t="str">
        <x:f>IF(ISNUMBER(K1730),L1729+LN(K1730),"")</x:f>
      </x:c>
    </x:row>
    <x:row r="1731">
      <x:c r="J1731" t="n">
        <x:f>1727</x:f>
        <x:v>1727</x:v>
      </x:c>
      <x:c r="K1731" t="str">
        <x:f>IF(J1731&lt;=$B$6,LARGE('계산'!$K$2:$K$2001,J1731),"")</x:f>
      </x:c>
      <x:c r="L1731" t="str">
        <x:f>IF(ISNUMBER(K1731),L1730+LN(K1731),"")</x:f>
      </x:c>
    </x:row>
    <x:row r="1732">
      <x:c r="J1732" t="n">
        <x:f>1728</x:f>
        <x:v>1728</x:v>
      </x:c>
      <x:c r="K1732" t="str">
        <x:f>IF(J1732&lt;=$B$6,LARGE('계산'!$K$2:$K$2001,J1732),"")</x:f>
      </x:c>
      <x:c r="L1732" t="str">
        <x:f>IF(ISNUMBER(K1732),L1731+LN(K1732),"")</x:f>
      </x:c>
    </x:row>
    <x:row r="1733">
      <x:c r="J1733" t="n">
        <x:f>1729</x:f>
        <x:v>1729</x:v>
      </x:c>
      <x:c r="K1733" t="str">
        <x:f>IF(J1733&lt;=$B$6,LARGE('계산'!$K$2:$K$2001,J1733),"")</x:f>
      </x:c>
      <x:c r="L1733" t="str">
        <x:f>IF(ISNUMBER(K1733),L1732+LN(K1733),"")</x:f>
      </x:c>
    </x:row>
    <x:row r="1734">
      <x:c r="J1734" t="n">
        <x:f>1730</x:f>
        <x:v>1730</x:v>
      </x:c>
      <x:c r="K1734" t="str">
        <x:f>IF(J1734&lt;=$B$6,LARGE('계산'!$K$2:$K$2001,J1734),"")</x:f>
      </x:c>
      <x:c r="L1734" t="str">
        <x:f>IF(ISNUMBER(K1734),L1733+LN(K1734),"")</x:f>
      </x:c>
    </x:row>
    <x:row r="1735">
      <x:c r="J1735" t="n">
        <x:f>1731</x:f>
        <x:v>1731</x:v>
      </x:c>
      <x:c r="K1735" t="str">
        <x:f>IF(J1735&lt;=$B$6,LARGE('계산'!$K$2:$K$2001,J1735),"")</x:f>
      </x:c>
      <x:c r="L1735" t="str">
        <x:f>IF(ISNUMBER(K1735),L1734+LN(K1735),"")</x:f>
      </x:c>
    </x:row>
    <x:row r="1736">
      <x:c r="J1736" t="n">
        <x:f>1732</x:f>
        <x:v>1732</x:v>
      </x:c>
      <x:c r="K1736" t="str">
        <x:f>IF(J1736&lt;=$B$6,LARGE('계산'!$K$2:$K$2001,J1736),"")</x:f>
      </x:c>
      <x:c r="L1736" t="str">
        <x:f>IF(ISNUMBER(K1736),L1735+LN(K1736),"")</x:f>
      </x:c>
    </x:row>
    <x:row r="1737">
      <x:c r="J1737" t="n">
        <x:f>1733</x:f>
        <x:v>1733</x:v>
      </x:c>
      <x:c r="K1737" t="str">
        <x:f>IF(J1737&lt;=$B$6,LARGE('계산'!$K$2:$K$2001,J1737),"")</x:f>
      </x:c>
      <x:c r="L1737" t="str">
        <x:f>IF(ISNUMBER(K1737),L1736+LN(K1737),"")</x:f>
      </x:c>
    </x:row>
    <x:row r="1738">
      <x:c r="J1738" t="n">
        <x:f>1734</x:f>
        <x:v>1734</x:v>
      </x:c>
      <x:c r="K1738" t="str">
        <x:f>IF(J1738&lt;=$B$6,LARGE('계산'!$K$2:$K$2001,J1738),"")</x:f>
      </x:c>
      <x:c r="L1738" t="str">
        <x:f>IF(ISNUMBER(K1738),L1737+LN(K1738),"")</x:f>
      </x:c>
    </x:row>
    <x:row r="1739">
      <x:c r="J1739" t="n">
        <x:f>1735</x:f>
        <x:v>1735</x:v>
      </x:c>
      <x:c r="K1739" t="str">
        <x:f>IF(J1739&lt;=$B$6,LARGE('계산'!$K$2:$K$2001,J1739),"")</x:f>
      </x:c>
      <x:c r="L1739" t="str">
        <x:f>IF(ISNUMBER(K1739),L1738+LN(K1739),"")</x:f>
      </x:c>
    </x:row>
    <x:row r="1740">
      <x:c r="J1740" t="n">
        <x:f>1736</x:f>
        <x:v>1736</x:v>
      </x:c>
      <x:c r="K1740" t="str">
        <x:f>IF(J1740&lt;=$B$6,LARGE('계산'!$K$2:$K$2001,J1740),"")</x:f>
      </x:c>
      <x:c r="L1740" t="str">
        <x:f>IF(ISNUMBER(K1740),L1739+LN(K1740),"")</x:f>
      </x:c>
    </x:row>
    <x:row r="1741">
      <x:c r="J1741" t="n">
        <x:f>1737</x:f>
        <x:v>1737</x:v>
      </x:c>
      <x:c r="K1741" t="str">
        <x:f>IF(J1741&lt;=$B$6,LARGE('계산'!$K$2:$K$2001,J1741),"")</x:f>
      </x:c>
      <x:c r="L1741" t="str">
        <x:f>IF(ISNUMBER(K1741),L1740+LN(K1741),"")</x:f>
      </x:c>
    </x:row>
    <x:row r="1742">
      <x:c r="J1742" t="n">
        <x:f>1738</x:f>
        <x:v>1738</x:v>
      </x:c>
      <x:c r="K1742" t="str">
        <x:f>IF(J1742&lt;=$B$6,LARGE('계산'!$K$2:$K$2001,J1742),"")</x:f>
      </x:c>
      <x:c r="L1742" t="str">
        <x:f>IF(ISNUMBER(K1742),L1741+LN(K1742),"")</x:f>
      </x:c>
    </x:row>
    <x:row r="1743">
      <x:c r="J1743" t="n">
        <x:f>1739</x:f>
        <x:v>1739</x:v>
      </x:c>
      <x:c r="K1743" t="str">
        <x:f>IF(J1743&lt;=$B$6,LARGE('계산'!$K$2:$K$2001,J1743),"")</x:f>
      </x:c>
      <x:c r="L1743" t="str">
        <x:f>IF(ISNUMBER(K1743),L1742+LN(K1743),"")</x:f>
      </x:c>
    </x:row>
    <x:row r="1744">
      <x:c r="J1744" t="n">
        <x:f>1740</x:f>
        <x:v>1740</x:v>
      </x:c>
      <x:c r="K1744" t="str">
        <x:f>IF(J1744&lt;=$B$6,LARGE('계산'!$K$2:$K$2001,J1744),"")</x:f>
      </x:c>
      <x:c r="L1744" t="str">
        <x:f>IF(ISNUMBER(K1744),L1743+LN(K1744),"")</x:f>
      </x:c>
    </x:row>
    <x:row r="1745">
      <x:c r="J1745" t="n">
        <x:f>1741</x:f>
        <x:v>1741</x:v>
      </x:c>
      <x:c r="K1745" t="str">
        <x:f>IF(J1745&lt;=$B$6,LARGE('계산'!$K$2:$K$2001,J1745),"")</x:f>
      </x:c>
      <x:c r="L1745" t="str">
        <x:f>IF(ISNUMBER(K1745),L1744+LN(K1745),"")</x:f>
      </x:c>
    </x:row>
    <x:row r="1746">
      <x:c r="J1746" t="n">
        <x:f>1742</x:f>
        <x:v>1742</x:v>
      </x:c>
      <x:c r="K1746" t="str">
        <x:f>IF(J1746&lt;=$B$6,LARGE('계산'!$K$2:$K$2001,J1746),"")</x:f>
      </x:c>
      <x:c r="L1746" t="str">
        <x:f>IF(ISNUMBER(K1746),L1745+LN(K1746),"")</x:f>
      </x:c>
    </x:row>
    <x:row r="1747">
      <x:c r="J1747" t="n">
        <x:f>1743</x:f>
        <x:v>1743</x:v>
      </x:c>
      <x:c r="K1747" t="str">
        <x:f>IF(J1747&lt;=$B$6,LARGE('계산'!$K$2:$K$2001,J1747),"")</x:f>
      </x:c>
      <x:c r="L1747" t="str">
        <x:f>IF(ISNUMBER(K1747),L1746+LN(K1747),"")</x:f>
      </x:c>
    </x:row>
    <x:row r="1748">
      <x:c r="J1748" t="n">
        <x:f>1744</x:f>
        <x:v>1744</x:v>
      </x:c>
      <x:c r="K1748" t="str">
        <x:f>IF(J1748&lt;=$B$6,LARGE('계산'!$K$2:$K$2001,J1748),"")</x:f>
      </x:c>
      <x:c r="L1748" t="str">
        <x:f>IF(ISNUMBER(K1748),L1747+LN(K1748),"")</x:f>
      </x:c>
    </x:row>
    <x:row r="1749">
      <x:c r="J1749" t="n">
        <x:f>1745</x:f>
        <x:v>1745</x:v>
      </x:c>
      <x:c r="K1749" t="str">
        <x:f>IF(J1749&lt;=$B$6,LARGE('계산'!$K$2:$K$2001,J1749),"")</x:f>
      </x:c>
      <x:c r="L1749" t="str">
        <x:f>IF(ISNUMBER(K1749),L1748+LN(K1749),"")</x:f>
      </x:c>
    </x:row>
    <x:row r="1750">
      <x:c r="J1750" t="n">
        <x:f>1746</x:f>
        <x:v>1746</x:v>
      </x:c>
      <x:c r="K1750" t="str">
        <x:f>IF(J1750&lt;=$B$6,LARGE('계산'!$K$2:$K$2001,J1750),"")</x:f>
      </x:c>
      <x:c r="L1750" t="str">
        <x:f>IF(ISNUMBER(K1750),L1749+LN(K1750),"")</x:f>
      </x:c>
    </x:row>
    <x:row r="1751">
      <x:c r="J1751" t="n">
        <x:f>1747</x:f>
        <x:v>1747</x:v>
      </x:c>
      <x:c r="K1751" t="str">
        <x:f>IF(J1751&lt;=$B$6,LARGE('계산'!$K$2:$K$2001,J1751),"")</x:f>
      </x:c>
      <x:c r="L1751" t="str">
        <x:f>IF(ISNUMBER(K1751),L1750+LN(K1751),"")</x:f>
      </x:c>
    </x:row>
    <x:row r="1752">
      <x:c r="J1752" t="n">
        <x:f>1748</x:f>
        <x:v>1748</x:v>
      </x:c>
      <x:c r="K1752" t="str">
        <x:f>IF(J1752&lt;=$B$6,LARGE('계산'!$K$2:$K$2001,J1752),"")</x:f>
      </x:c>
      <x:c r="L1752" t="str">
        <x:f>IF(ISNUMBER(K1752),L1751+LN(K1752),"")</x:f>
      </x:c>
    </x:row>
    <x:row r="1753">
      <x:c r="J1753" t="n">
        <x:f>1749</x:f>
        <x:v>1749</x:v>
      </x:c>
      <x:c r="K1753" t="str">
        <x:f>IF(J1753&lt;=$B$6,LARGE('계산'!$K$2:$K$2001,J1753),"")</x:f>
      </x:c>
      <x:c r="L1753" t="str">
        <x:f>IF(ISNUMBER(K1753),L1752+LN(K1753),"")</x:f>
      </x:c>
    </x:row>
    <x:row r="1754">
      <x:c r="J1754" t="n">
        <x:f>1750</x:f>
        <x:v>1750</x:v>
      </x:c>
      <x:c r="K1754" t="str">
        <x:f>IF(J1754&lt;=$B$6,LARGE('계산'!$K$2:$K$2001,J1754),"")</x:f>
      </x:c>
      <x:c r="L1754" t="str">
        <x:f>IF(ISNUMBER(K1754),L1753+LN(K1754),"")</x:f>
      </x:c>
    </x:row>
    <x:row r="1755">
      <x:c r="J1755" t="n">
        <x:f>1751</x:f>
        <x:v>1751</x:v>
      </x:c>
      <x:c r="K1755" t="str">
        <x:f>IF(J1755&lt;=$B$6,LARGE('계산'!$K$2:$K$2001,J1755),"")</x:f>
      </x:c>
      <x:c r="L1755" t="str">
        <x:f>IF(ISNUMBER(K1755),L1754+LN(K1755),"")</x:f>
      </x:c>
    </x:row>
    <x:row r="1756">
      <x:c r="J1756" t="n">
        <x:f>1752</x:f>
        <x:v>1752</x:v>
      </x:c>
      <x:c r="K1756" t="str">
        <x:f>IF(J1756&lt;=$B$6,LARGE('계산'!$K$2:$K$2001,J1756),"")</x:f>
      </x:c>
      <x:c r="L1756" t="str">
        <x:f>IF(ISNUMBER(K1756),L1755+LN(K1756),"")</x:f>
      </x:c>
    </x:row>
    <x:row r="1757">
      <x:c r="J1757" t="n">
        <x:f>1753</x:f>
        <x:v>1753</x:v>
      </x:c>
      <x:c r="K1757" t="str">
        <x:f>IF(J1757&lt;=$B$6,LARGE('계산'!$K$2:$K$2001,J1757),"")</x:f>
      </x:c>
      <x:c r="L1757" t="str">
        <x:f>IF(ISNUMBER(K1757),L1756+LN(K1757),"")</x:f>
      </x:c>
    </x:row>
    <x:row r="1758">
      <x:c r="J1758" t="n">
        <x:f>1754</x:f>
        <x:v>1754</x:v>
      </x:c>
      <x:c r="K1758" t="str">
        <x:f>IF(J1758&lt;=$B$6,LARGE('계산'!$K$2:$K$2001,J1758),"")</x:f>
      </x:c>
      <x:c r="L1758" t="str">
        <x:f>IF(ISNUMBER(K1758),L1757+LN(K1758),"")</x:f>
      </x:c>
    </x:row>
    <x:row r="1759">
      <x:c r="J1759" t="n">
        <x:f>1755</x:f>
        <x:v>1755</x:v>
      </x:c>
      <x:c r="K1759" t="str">
        <x:f>IF(J1759&lt;=$B$6,LARGE('계산'!$K$2:$K$2001,J1759),"")</x:f>
      </x:c>
      <x:c r="L1759" t="str">
        <x:f>IF(ISNUMBER(K1759),L1758+LN(K1759),"")</x:f>
      </x:c>
    </x:row>
    <x:row r="1760">
      <x:c r="J1760" t="n">
        <x:f>1756</x:f>
        <x:v>1756</x:v>
      </x:c>
      <x:c r="K1760" t="str">
        <x:f>IF(J1760&lt;=$B$6,LARGE('계산'!$K$2:$K$2001,J1760),"")</x:f>
      </x:c>
      <x:c r="L1760" t="str">
        <x:f>IF(ISNUMBER(K1760),L1759+LN(K1760),"")</x:f>
      </x:c>
    </x:row>
    <x:row r="1761">
      <x:c r="J1761" t="n">
        <x:f>1757</x:f>
        <x:v>1757</x:v>
      </x:c>
      <x:c r="K1761" t="str">
        <x:f>IF(J1761&lt;=$B$6,LARGE('계산'!$K$2:$K$2001,J1761),"")</x:f>
      </x:c>
      <x:c r="L1761" t="str">
        <x:f>IF(ISNUMBER(K1761),L1760+LN(K1761),"")</x:f>
      </x:c>
    </x:row>
    <x:row r="1762">
      <x:c r="J1762" t="n">
        <x:f>1758</x:f>
        <x:v>1758</x:v>
      </x:c>
      <x:c r="K1762" t="str">
        <x:f>IF(J1762&lt;=$B$6,LARGE('계산'!$K$2:$K$2001,J1762),"")</x:f>
      </x:c>
      <x:c r="L1762" t="str">
        <x:f>IF(ISNUMBER(K1762),L1761+LN(K1762),"")</x:f>
      </x:c>
    </x:row>
    <x:row r="1763">
      <x:c r="J1763" t="n">
        <x:f>1759</x:f>
        <x:v>1759</x:v>
      </x:c>
      <x:c r="K1763" t="str">
        <x:f>IF(J1763&lt;=$B$6,LARGE('계산'!$K$2:$K$2001,J1763),"")</x:f>
      </x:c>
      <x:c r="L1763" t="str">
        <x:f>IF(ISNUMBER(K1763),L1762+LN(K1763),"")</x:f>
      </x:c>
    </x:row>
    <x:row r="1764">
      <x:c r="J1764" t="n">
        <x:f>1760</x:f>
        <x:v>1760</x:v>
      </x:c>
      <x:c r="K1764" t="str">
        <x:f>IF(J1764&lt;=$B$6,LARGE('계산'!$K$2:$K$2001,J1764),"")</x:f>
      </x:c>
      <x:c r="L1764" t="str">
        <x:f>IF(ISNUMBER(K1764),L1763+LN(K1764),"")</x:f>
      </x:c>
    </x:row>
    <x:row r="1765">
      <x:c r="J1765" t="n">
        <x:f>1761</x:f>
        <x:v>1761</x:v>
      </x:c>
      <x:c r="K1765" t="str">
        <x:f>IF(J1765&lt;=$B$6,LARGE('계산'!$K$2:$K$2001,J1765),"")</x:f>
      </x:c>
      <x:c r="L1765" t="str">
        <x:f>IF(ISNUMBER(K1765),L1764+LN(K1765),"")</x:f>
      </x:c>
    </x:row>
    <x:row r="1766">
      <x:c r="J1766" t="n">
        <x:f>1762</x:f>
        <x:v>1762</x:v>
      </x:c>
      <x:c r="K1766" t="str">
        <x:f>IF(J1766&lt;=$B$6,LARGE('계산'!$K$2:$K$2001,J1766),"")</x:f>
      </x:c>
      <x:c r="L1766" t="str">
        <x:f>IF(ISNUMBER(K1766),L1765+LN(K1766),"")</x:f>
      </x:c>
    </x:row>
    <x:row r="1767">
      <x:c r="J1767" t="n">
        <x:f>1763</x:f>
        <x:v>1763</x:v>
      </x:c>
      <x:c r="K1767" t="str">
        <x:f>IF(J1767&lt;=$B$6,LARGE('계산'!$K$2:$K$2001,J1767),"")</x:f>
      </x:c>
      <x:c r="L1767" t="str">
        <x:f>IF(ISNUMBER(K1767),L1766+LN(K1767),"")</x:f>
      </x:c>
    </x:row>
    <x:row r="1768">
      <x:c r="J1768" t="n">
        <x:f>1764</x:f>
        <x:v>1764</x:v>
      </x:c>
      <x:c r="K1768" t="str">
        <x:f>IF(J1768&lt;=$B$6,LARGE('계산'!$K$2:$K$2001,J1768),"")</x:f>
      </x:c>
      <x:c r="L1768" t="str">
        <x:f>IF(ISNUMBER(K1768),L1767+LN(K1768),"")</x:f>
      </x:c>
    </x:row>
    <x:row r="1769">
      <x:c r="J1769" t="n">
        <x:f>1765</x:f>
        <x:v>1765</x:v>
      </x:c>
      <x:c r="K1769" t="str">
        <x:f>IF(J1769&lt;=$B$6,LARGE('계산'!$K$2:$K$2001,J1769),"")</x:f>
      </x:c>
      <x:c r="L1769" t="str">
        <x:f>IF(ISNUMBER(K1769),L1768+LN(K1769),"")</x:f>
      </x:c>
    </x:row>
    <x:row r="1770">
      <x:c r="J1770" t="n">
        <x:f>1766</x:f>
        <x:v>1766</x:v>
      </x:c>
      <x:c r="K1770" t="str">
        <x:f>IF(J1770&lt;=$B$6,LARGE('계산'!$K$2:$K$2001,J1770),"")</x:f>
      </x:c>
      <x:c r="L1770" t="str">
        <x:f>IF(ISNUMBER(K1770),L1769+LN(K1770),"")</x:f>
      </x:c>
    </x:row>
    <x:row r="1771">
      <x:c r="J1771" t="n">
        <x:f>1767</x:f>
        <x:v>1767</x:v>
      </x:c>
      <x:c r="K1771" t="str">
        <x:f>IF(J1771&lt;=$B$6,LARGE('계산'!$K$2:$K$2001,J1771),"")</x:f>
      </x:c>
      <x:c r="L1771" t="str">
        <x:f>IF(ISNUMBER(K1771),L1770+LN(K1771),"")</x:f>
      </x:c>
    </x:row>
    <x:row r="1772">
      <x:c r="J1772" t="n">
        <x:f>1768</x:f>
        <x:v>1768</x:v>
      </x:c>
      <x:c r="K1772" t="str">
        <x:f>IF(J1772&lt;=$B$6,LARGE('계산'!$K$2:$K$2001,J1772),"")</x:f>
      </x:c>
      <x:c r="L1772" t="str">
        <x:f>IF(ISNUMBER(K1772),L1771+LN(K1772),"")</x:f>
      </x:c>
    </x:row>
    <x:row r="1773">
      <x:c r="J1773" t="n">
        <x:f>1769</x:f>
        <x:v>1769</x:v>
      </x:c>
      <x:c r="K1773" t="str">
        <x:f>IF(J1773&lt;=$B$6,LARGE('계산'!$K$2:$K$2001,J1773),"")</x:f>
      </x:c>
      <x:c r="L1773" t="str">
        <x:f>IF(ISNUMBER(K1773),L1772+LN(K1773),"")</x:f>
      </x:c>
    </x:row>
    <x:row r="1774">
      <x:c r="J1774" t="n">
        <x:f>1770</x:f>
        <x:v>1770</x:v>
      </x:c>
      <x:c r="K1774" t="str">
        <x:f>IF(J1774&lt;=$B$6,LARGE('계산'!$K$2:$K$2001,J1774),"")</x:f>
      </x:c>
      <x:c r="L1774" t="str">
        <x:f>IF(ISNUMBER(K1774),L1773+LN(K1774),"")</x:f>
      </x:c>
    </x:row>
    <x:row r="1775">
      <x:c r="J1775" t="n">
        <x:f>1771</x:f>
        <x:v>1771</x:v>
      </x:c>
      <x:c r="K1775" t="str">
        <x:f>IF(J1775&lt;=$B$6,LARGE('계산'!$K$2:$K$2001,J1775),"")</x:f>
      </x:c>
      <x:c r="L1775" t="str">
        <x:f>IF(ISNUMBER(K1775),L1774+LN(K1775),"")</x:f>
      </x:c>
    </x:row>
    <x:row r="1776">
      <x:c r="J1776" t="n">
        <x:f>1772</x:f>
        <x:v>1772</x:v>
      </x:c>
      <x:c r="K1776" t="str">
        <x:f>IF(J1776&lt;=$B$6,LARGE('계산'!$K$2:$K$2001,J1776),"")</x:f>
      </x:c>
      <x:c r="L1776" t="str">
        <x:f>IF(ISNUMBER(K1776),L1775+LN(K1776),"")</x:f>
      </x:c>
    </x:row>
    <x:row r="1777">
      <x:c r="J1777" t="n">
        <x:f>1773</x:f>
        <x:v>1773</x:v>
      </x:c>
      <x:c r="K1777" t="str">
        <x:f>IF(J1777&lt;=$B$6,LARGE('계산'!$K$2:$K$2001,J1777),"")</x:f>
      </x:c>
      <x:c r="L1777" t="str">
        <x:f>IF(ISNUMBER(K1777),L1776+LN(K1777),"")</x:f>
      </x:c>
    </x:row>
    <x:row r="1778">
      <x:c r="J1778" t="n">
        <x:f>1774</x:f>
        <x:v>1774</x:v>
      </x:c>
      <x:c r="K1778" t="str">
        <x:f>IF(J1778&lt;=$B$6,LARGE('계산'!$K$2:$K$2001,J1778),"")</x:f>
      </x:c>
      <x:c r="L1778" t="str">
        <x:f>IF(ISNUMBER(K1778),L1777+LN(K1778),"")</x:f>
      </x:c>
    </x:row>
    <x:row r="1779">
      <x:c r="J1779" t="n">
        <x:f>1775</x:f>
        <x:v>1775</x:v>
      </x:c>
      <x:c r="K1779" t="str">
        <x:f>IF(J1779&lt;=$B$6,LARGE('계산'!$K$2:$K$2001,J1779),"")</x:f>
      </x:c>
      <x:c r="L1779" t="str">
        <x:f>IF(ISNUMBER(K1779),L1778+LN(K1779),"")</x:f>
      </x:c>
    </x:row>
    <x:row r="1780">
      <x:c r="J1780" t="n">
        <x:f>1776</x:f>
        <x:v>1776</x:v>
      </x:c>
      <x:c r="K1780" t="str">
        <x:f>IF(J1780&lt;=$B$6,LARGE('계산'!$K$2:$K$2001,J1780),"")</x:f>
      </x:c>
      <x:c r="L1780" t="str">
        <x:f>IF(ISNUMBER(K1780),L1779+LN(K1780),"")</x:f>
      </x:c>
    </x:row>
    <x:row r="1781">
      <x:c r="J1781" t="n">
        <x:f>1777</x:f>
        <x:v>1777</x:v>
      </x:c>
      <x:c r="K1781" t="str">
        <x:f>IF(J1781&lt;=$B$6,LARGE('계산'!$K$2:$K$2001,J1781),"")</x:f>
      </x:c>
      <x:c r="L1781" t="str">
        <x:f>IF(ISNUMBER(K1781),L1780+LN(K1781),"")</x:f>
      </x:c>
    </x:row>
    <x:row r="1782">
      <x:c r="J1782" t="n">
        <x:f>1778</x:f>
        <x:v>1778</x:v>
      </x:c>
      <x:c r="K1782" t="str">
        <x:f>IF(J1782&lt;=$B$6,LARGE('계산'!$K$2:$K$2001,J1782),"")</x:f>
      </x:c>
      <x:c r="L1782" t="str">
        <x:f>IF(ISNUMBER(K1782),L1781+LN(K1782),"")</x:f>
      </x:c>
    </x:row>
    <x:row r="1783">
      <x:c r="J1783" t="n">
        <x:f>1779</x:f>
        <x:v>1779</x:v>
      </x:c>
      <x:c r="K1783" t="str">
        <x:f>IF(J1783&lt;=$B$6,LARGE('계산'!$K$2:$K$2001,J1783),"")</x:f>
      </x:c>
      <x:c r="L1783" t="str">
        <x:f>IF(ISNUMBER(K1783),L1782+LN(K1783),"")</x:f>
      </x:c>
    </x:row>
    <x:row r="1784">
      <x:c r="J1784" t="n">
        <x:f>1780</x:f>
        <x:v>1780</x:v>
      </x:c>
      <x:c r="K1784" t="str">
        <x:f>IF(J1784&lt;=$B$6,LARGE('계산'!$K$2:$K$2001,J1784),"")</x:f>
      </x:c>
      <x:c r="L1784" t="str">
        <x:f>IF(ISNUMBER(K1784),L1783+LN(K1784),"")</x:f>
      </x:c>
    </x:row>
    <x:row r="1785">
      <x:c r="J1785" t="n">
        <x:f>1781</x:f>
        <x:v>1781</x:v>
      </x:c>
      <x:c r="K1785" t="str">
        <x:f>IF(J1785&lt;=$B$6,LARGE('계산'!$K$2:$K$2001,J1785),"")</x:f>
      </x:c>
      <x:c r="L1785" t="str">
        <x:f>IF(ISNUMBER(K1785),L1784+LN(K1785),"")</x:f>
      </x:c>
    </x:row>
    <x:row r="1786">
      <x:c r="J1786" t="n">
        <x:f>1782</x:f>
        <x:v>1782</x:v>
      </x:c>
      <x:c r="K1786" t="str">
        <x:f>IF(J1786&lt;=$B$6,LARGE('계산'!$K$2:$K$2001,J1786),"")</x:f>
      </x:c>
      <x:c r="L1786" t="str">
        <x:f>IF(ISNUMBER(K1786),L1785+LN(K1786),"")</x:f>
      </x:c>
    </x:row>
    <x:row r="1787">
      <x:c r="J1787" t="n">
        <x:f>1783</x:f>
        <x:v>1783</x:v>
      </x:c>
      <x:c r="K1787" t="str">
        <x:f>IF(J1787&lt;=$B$6,LARGE('계산'!$K$2:$K$2001,J1787),"")</x:f>
      </x:c>
      <x:c r="L1787" t="str">
        <x:f>IF(ISNUMBER(K1787),L1786+LN(K1787),"")</x:f>
      </x:c>
    </x:row>
    <x:row r="1788">
      <x:c r="J1788" t="n">
        <x:f>1784</x:f>
        <x:v>1784</x:v>
      </x:c>
      <x:c r="K1788" t="str">
        <x:f>IF(J1788&lt;=$B$6,LARGE('계산'!$K$2:$K$2001,J1788),"")</x:f>
      </x:c>
      <x:c r="L1788" t="str">
        <x:f>IF(ISNUMBER(K1788),L1787+LN(K1788),"")</x:f>
      </x:c>
    </x:row>
    <x:row r="1789">
      <x:c r="J1789" t="n">
        <x:f>1785</x:f>
        <x:v>1785</x:v>
      </x:c>
      <x:c r="K1789" t="str">
        <x:f>IF(J1789&lt;=$B$6,LARGE('계산'!$K$2:$K$2001,J1789),"")</x:f>
      </x:c>
      <x:c r="L1789" t="str">
        <x:f>IF(ISNUMBER(K1789),L1788+LN(K1789),"")</x:f>
      </x:c>
    </x:row>
    <x:row r="1790">
      <x:c r="J1790" t="n">
        <x:f>1786</x:f>
        <x:v>1786</x:v>
      </x:c>
      <x:c r="K1790" t="str">
        <x:f>IF(J1790&lt;=$B$6,LARGE('계산'!$K$2:$K$2001,J1790),"")</x:f>
      </x:c>
      <x:c r="L1790" t="str">
        <x:f>IF(ISNUMBER(K1790),L1789+LN(K1790),"")</x:f>
      </x:c>
    </x:row>
    <x:row r="1791">
      <x:c r="J1791" t="n">
        <x:f>1787</x:f>
        <x:v>1787</x:v>
      </x:c>
      <x:c r="K1791" t="str">
        <x:f>IF(J1791&lt;=$B$6,LARGE('계산'!$K$2:$K$2001,J1791),"")</x:f>
      </x:c>
      <x:c r="L1791" t="str">
        <x:f>IF(ISNUMBER(K1791),L1790+LN(K1791),"")</x:f>
      </x:c>
    </x:row>
    <x:row r="1792">
      <x:c r="J1792" t="n">
        <x:f>1788</x:f>
        <x:v>1788</x:v>
      </x:c>
      <x:c r="K1792" t="str">
        <x:f>IF(J1792&lt;=$B$6,LARGE('계산'!$K$2:$K$2001,J1792),"")</x:f>
      </x:c>
      <x:c r="L1792" t="str">
        <x:f>IF(ISNUMBER(K1792),L1791+LN(K1792),"")</x:f>
      </x:c>
    </x:row>
    <x:row r="1793">
      <x:c r="J1793" t="n">
        <x:f>1789</x:f>
        <x:v>1789</x:v>
      </x:c>
      <x:c r="K1793" t="str">
        <x:f>IF(J1793&lt;=$B$6,LARGE('계산'!$K$2:$K$2001,J1793),"")</x:f>
      </x:c>
      <x:c r="L1793" t="str">
        <x:f>IF(ISNUMBER(K1793),L1792+LN(K1793),"")</x:f>
      </x:c>
    </x:row>
    <x:row r="1794">
      <x:c r="J1794" t="n">
        <x:f>1790</x:f>
        <x:v>1790</x:v>
      </x:c>
      <x:c r="K1794" t="str">
        <x:f>IF(J1794&lt;=$B$6,LARGE('계산'!$K$2:$K$2001,J1794),"")</x:f>
      </x:c>
      <x:c r="L1794" t="str">
        <x:f>IF(ISNUMBER(K1794),L1793+LN(K1794),"")</x:f>
      </x:c>
    </x:row>
    <x:row r="1795">
      <x:c r="J1795" t="n">
        <x:f>1791</x:f>
        <x:v>1791</x:v>
      </x:c>
      <x:c r="K1795" t="str">
        <x:f>IF(J1795&lt;=$B$6,LARGE('계산'!$K$2:$K$2001,J1795),"")</x:f>
      </x:c>
      <x:c r="L1795" t="str">
        <x:f>IF(ISNUMBER(K1795),L1794+LN(K1795),"")</x:f>
      </x:c>
    </x:row>
    <x:row r="1796">
      <x:c r="J1796" t="n">
        <x:f>1792</x:f>
        <x:v>1792</x:v>
      </x:c>
      <x:c r="K1796" t="str">
        <x:f>IF(J1796&lt;=$B$6,LARGE('계산'!$K$2:$K$2001,J1796),"")</x:f>
      </x:c>
      <x:c r="L1796" t="str">
        <x:f>IF(ISNUMBER(K1796),L1795+LN(K1796),"")</x:f>
      </x:c>
    </x:row>
    <x:row r="1797">
      <x:c r="J1797" t="n">
        <x:f>1793</x:f>
        <x:v>1793</x:v>
      </x:c>
      <x:c r="K1797" t="str">
        <x:f>IF(J1797&lt;=$B$6,LARGE('계산'!$K$2:$K$2001,J1797),"")</x:f>
      </x:c>
      <x:c r="L1797" t="str">
        <x:f>IF(ISNUMBER(K1797),L1796+LN(K1797),"")</x:f>
      </x:c>
    </x:row>
    <x:row r="1798">
      <x:c r="J1798" t="n">
        <x:f>1794</x:f>
        <x:v>1794</x:v>
      </x:c>
      <x:c r="K1798" t="str">
        <x:f>IF(J1798&lt;=$B$6,LARGE('계산'!$K$2:$K$2001,J1798),"")</x:f>
      </x:c>
      <x:c r="L1798" t="str">
        <x:f>IF(ISNUMBER(K1798),L1797+LN(K1798),"")</x:f>
      </x:c>
    </x:row>
    <x:row r="1799">
      <x:c r="J1799" t="n">
        <x:f>1795</x:f>
        <x:v>1795</x:v>
      </x:c>
      <x:c r="K1799" t="str">
        <x:f>IF(J1799&lt;=$B$6,LARGE('계산'!$K$2:$K$2001,J1799),"")</x:f>
      </x:c>
      <x:c r="L1799" t="str">
        <x:f>IF(ISNUMBER(K1799),L1798+LN(K1799),"")</x:f>
      </x:c>
    </x:row>
    <x:row r="1800">
      <x:c r="J1800" t="n">
        <x:f>1796</x:f>
        <x:v>1796</x:v>
      </x:c>
      <x:c r="K1800" t="str">
        <x:f>IF(J1800&lt;=$B$6,LARGE('계산'!$K$2:$K$2001,J1800),"")</x:f>
      </x:c>
      <x:c r="L1800" t="str">
        <x:f>IF(ISNUMBER(K1800),L1799+LN(K1800),"")</x:f>
      </x:c>
    </x:row>
    <x:row r="1801">
      <x:c r="J1801" t="n">
        <x:f>1797</x:f>
        <x:v>1797</x:v>
      </x:c>
      <x:c r="K1801" t="str">
        <x:f>IF(J1801&lt;=$B$6,LARGE('계산'!$K$2:$K$2001,J1801),"")</x:f>
      </x:c>
      <x:c r="L1801" t="str">
        <x:f>IF(ISNUMBER(K1801),L1800+LN(K1801),"")</x:f>
      </x:c>
    </x:row>
    <x:row r="1802">
      <x:c r="J1802" t="n">
        <x:f>1798</x:f>
        <x:v>1798</x:v>
      </x:c>
      <x:c r="K1802" t="str">
        <x:f>IF(J1802&lt;=$B$6,LARGE('계산'!$K$2:$K$2001,J1802),"")</x:f>
      </x:c>
      <x:c r="L1802" t="str">
        <x:f>IF(ISNUMBER(K1802),L1801+LN(K1802),"")</x:f>
      </x:c>
    </x:row>
    <x:row r="1803">
      <x:c r="J1803" t="n">
        <x:f>1799</x:f>
        <x:v>1799</x:v>
      </x:c>
      <x:c r="K1803" t="str">
        <x:f>IF(J1803&lt;=$B$6,LARGE('계산'!$K$2:$K$2001,J1803),"")</x:f>
      </x:c>
      <x:c r="L1803" t="str">
        <x:f>IF(ISNUMBER(K1803),L1802+LN(K1803),"")</x:f>
      </x:c>
    </x:row>
    <x:row r="1804">
      <x:c r="J1804" t="n">
        <x:f>1800</x:f>
        <x:v>1800</x:v>
      </x:c>
      <x:c r="K1804" t="str">
        <x:f>IF(J1804&lt;=$B$6,LARGE('계산'!$K$2:$K$2001,J1804),"")</x:f>
      </x:c>
      <x:c r="L1804" t="str">
        <x:f>IF(ISNUMBER(K1804),L1803+LN(K1804),"")</x:f>
      </x:c>
    </x:row>
    <x:row r="1805">
      <x:c r="J1805" t="n">
        <x:f>1801</x:f>
        <x:v>1801</x:v>
      </x:c>
      <x:c r="K1805" t="str">
        <x:f>IF(J1805&lt;=$B$6,LARGE('계산'!$K$2:$K$2001,J1805),"")</x:f>
      </x:c>
      <x:c r="L1805" t="str">
        <x:f>IF(ISNUMBER(K1805),L1804+LN(K1805),"")</x:f>
      </x:c>
    </x:row>
    <x:row r="1806">
      <x:c r="J1806" t="n">
        <x:f>1802</x:f>
        <x:v>1802</x:v>
      </x:c>
      <x:c r="K1806" t="str">
        <x:f>IF(J1806&lt;=$B$6,LARGE('계산'!$K$2:$K$2001,J1806),"")</x:f>
      </x:c>
      <x:c r="L1806" t="str">
        <x:f>IF(ISNUMBER(K1806),L1805+LN(K1806),"")</x:f>
      </x:c>
    </x:row>
    <x:row r="1807">
      <x:c r="J1807" t="n">
        <x:f>1803</x:f>
        <x:v>1803</x:v>
      </x:c>
      <x:c r="K1807" t="str">
        <x:f>IF(J1807&lt;=$B$6,LARGE('계산'!$K$2:$K$2001,J1807),"")</x:f>
      </x:c>
      <x:c r="L1807" t="str">
        <x:f>IF(ISNUMBER(K1807),L1806+LN(K1807),"")</x:f>
      </x:c>
    </x:row>
    <x:row r="1808">
      <x:c r="J1808" t="n">
        <x:f>1804</x:f>
        <x:v>1804</x:v>
      </x:c>
      <x:c r="K1808" t="str">
        <x:f>IF(J1808&lt;=$B$6,LARGE('계산'!$K$2:$K$2001,J1808),"")</x:f>
      </x:c>
      <x:c r="L1808" t="str">
        <x:f>IF(ISNUMBER(K1808),L1807+LN(K1808),"")</x:f>
      </x:c>
    </x:row>
    <x:row r="1809">
      <x:c r="J1809" t="n">
        <x:f>1805</x:f>
        <x:v>1805</x:v>
      </x:c>
      <x:c r="K1809" t="str">
        <x:f>IF(J1809&lt;=$B$6,LARGE('계산'!$K$2:$K$2001,J1809),"")</x:f>
      </x:c>
      <x:c r="L1809" t="str">
        <x:f>IF(ISNUMBER(K1809),L1808+LN(K1809),"")</x:f>
      </x:c>
    </x:row>
    <x:row r="1810">
      <x:c r="J1810" t="n">
        <x:f>1806</x:f>
        <x:v>1806</x:v>
      </x:c>
      <x:c r="K1810" t="str">
        <x:f>IF(J1810&lt;=$B$6,LARGE('계산'!$K$2:$K$2001,J1810),"")</x:f>
      </x:c>
      <x:c r="L1810" t="str">
        <x:f>IF(ISNUMBER(K1810),L1809+LN(K1810),"")</x:f>
      </x:c>
    </x:row>
    <x:row r="1811">
      <x:c r="J1811" t="n">
        <x:f>1807</x:f>
        <x:v>1807</x:v>
      </x:c>
      <x:c r="K1811" t="str">
        <x:f>IF(J1811&lt;=$B$6,LARGE('계산'!$K$2:$K$2001,J1811),"")</x:f>
      </x:c>
      <x:c r="L1811" t="str">
        <x:f>IF(ISNUMBER(K1811),L1810+LN(K1811),"")</x:f>
      </x:c>
    </x:row>
    <x:row r="1812">
      <x:c r="J1812" t="n">
        <x:f>1808</x:f>
        <x:v>1808</x:v>
      </x:c>
      <x:c r="K1812" t="str">
        <x:f>IF(J1812&lt;=$B$6,LARGE('계산'!$K$2:$K$2001,J1812),"")</x:f>
      </x:c>
      <x:c r="L1812" t="str">
        <x:f>IF(ISNUMBER(K1812),L1811+LN(K1812),"")</x:f>
      </x:c>
    </x:row>
    <x:row r="1813">
      <x:c r="J1813" t="n">
        <x:f>1809</x:f>
        <x:v>1809</x:v>
      </x:c>
      <x:c r="K1813" t="str">
        <x:f>IF(J1813&lt;=$B$6,LARGE('계산'!$K$2:$K$2001,J1813),"")</x:f>
      </x:c>
      <x:c r="L1813" t="str">
        <x:f>IF(ISNUMBER(K1813),L1812+LN(K1813),"")</x:f>
      </x:c>
    </x:row>
    <x:row r="1814">
      <x:c r="J1814" t="n">
        <x:f>1810</x:f>
        <x:v>1810</x:v>
      </x:c>
      <x:c r="K1814" t="str">
        <x:f>IF(J1814&lt;=$B$6,LARGE('계산'!$K$2:$K$2001,J1814),"")</x:f>
      </x:c>
      <x:c r="L1814" t="str">
        <x:f>IF(ISNUMBER(K1814),L1813+LN(K1814),"")</x:f>
      </x:c>
    </x:row>
    <x:row r="1815">
      <x:c r="J1815" t="n">
        <x:f>1811</x:f>
        <x:v>1811</x:v>
      </x:c>
      <x:c r="K1815" t="str">
        <x:f>IF(J1815&lt;=$B$6,LARGE('계산'!$K$2:$K$2001,J1815),"")</x:f>
      </x:c>
      <x:c r="L1815" t="str">
        <x:f>IF(ISNUMBER(K1815),L1814+LN(K1815),"")</x:f>
      </x:c>
    </x:row>
    <x:row r="1816">
      <x:c r="J1816" t="n">
        <x:f>1812</x:f>
        <x:v>1812</x:v>
      </x:c>
      <x:c r="K1816" t="str">
        <x:f>IF(J1816&lt;=$B$6,LARGE('계산'!$K$2:$K$2001,J1816),"")</x:f>
      </x:c>
      <x:c r="L1816" t="str">
        <x:f>IF(ISNUMBER(K1816),L1815+LN(K1816),"")</x:f>
      </x:c>
    </x:row>
    <x:row r="1817">
      <x:c r="J1817" t="n">
        <x:f>1813</x:f>
        <x:v>1813</x:v>
      </x:c>
      <x:c r="K1817" t="str">
        <x:f>IF(J1817&lt;=$B$6,LARGE('계산'!$K$2:$K$2001,J1817),"")</x:f>
      </x:c>
      <x:c r="L1817" t="str">
        <x:f>IF(ISNUMBER(K1817),L1816+LN(K1817),"")</x:f>
      </x:c>
    </x:row>
    <x:row r="1818">
      <x:c r="J1818" t="n">
        <x:f>1814</x:f>
        <x:v>1814</x:v>
      </x:c>
      <x:c r="K1818" t="str">
        <x:f>IF(J1818&lt;=$B$6,LARGE('계산'!$K$2:$K$2001,J1818),"")</x:f>
      </x:c>
      <x:c r="L1818" t="str">
        <x:f>IF(ISNUMBER(K1818),L1817+LN(K1818),"")</x:f>
      </x:c>
    </x:row>
    <x:row r="1819">
      <x:c r="J1819" t="n">
        <x:f>1815</x:f>
        <x:v>1815</x:v>
      </x:c>
      <x:c r="K1819" t="str">
        <x:f>IF(J1819&lt;=$B$6,LARGE('계산'!$K$2:$K$2001,J1819),"")</x:f>
      </x:c>
      <x:c r="L1819" t="str">
        <x:f>IF(ISNUMBER(K1819),L1818+LN(K1819),"")</x:f>
      </x:c>
    </x:row>
    <x:row r="1820">
      <x:c r="J1820" t="n">
        <x:f>1816</x:f>
        <x:v>1816</x:v>
      </x:c>
      <x:c r="K1820" t="str">
        <x:f>IF(J1820&lt;=$B$6,LARGE('계산'!$K$2:$K$2001,J1820),"")</x:f>
      </x:c>
      <x:c r="L1820" t="str">
        <x:f>IF(ISNUMBER(K1820),L1819+LN(K1820),"")</x:f>
      </x:c>
    </x:row>
    <x:row r="1821">
      <x:c r="J1821" t="n">
        <x:f>1817</x:f>
        <x:v>1817</x:v>
      </x:c>
      <x:c r="K1821" t="str">
        <x:f>IF(J1821&lt;=$B$6,LARGE('계산'!$K$2:$K$2001,J1821),"")</x:f>
      </x:c>
      <x:c r="L1821" t="str">
        <x:f>IF(ISNUMBER(K1821),L1820+LN(K1821),"")</x:f>
      </x:c>
    </x:row>
    <x:row r="1822">
      <x:c r="J1822" t="n">
        <x:f>1818</x:f>
        <x:v>1818</x:v>
      </x:c>
      <x:c r="K1822" t="str">
        <x:f>IF(J1822&lt;=$B$6,LARGE('계산'!$K$2:$K$2001,J1822),"")</x:f>
      </x:c>
      <x:c r="L1822" t="str">
        <x:f>IF(ISNUMBER(K1822),L1821+LN(K1822),"")</x:f>
      </x:c>
    </x:row>
    <x:row r="1823">
      <x:c r="J1823" t="n">
        <x:f>1819</x:f>
        <x:v>1819</x:v>
      </x:c>
      <x:c r="K1823" t="str">
        <x:f>IF(J1823&lt;=$B$6,LARGE('계산'!$K$2:$K$2001,J1823),"")</x:f>
      </x:c>
      <x:c r="L1823" t="str">
        <x:f>IF(ISNUMBER(K1823),L1822+LN(K1823),"")</x:f>
      </x:c>
    </x:row>
    <x:row r="1824">
      <x:c r="J1824" t="n">
        <x:f>1820</x:f>
        <x:v>1820</x:v>
      </x:c>
      <x:c r="K1824" t="str">
        <x:f>IF(J1824&lt;=$B$6,LARGE('계산'!$K$2:$K$2001,J1824),"")</x:f>
      </x:c>
      <x:c r="L1824" t="str">
        <x:f>IF(ISNUMBER(K1824),L1823+LN(K1824),"")</x:f>
      </x:c>
    </x:row>
    <x:row r="1825">
      <x:c r="J1825" t="n">
        <x:f>1821</x:f>
        <x:v>1821</x:v>
      </x:c>
      <x:c r="K1825" t="str">
        <x:f>IF(J1825&lt;=$B$6,LARGE('계산'!$K$2:$K$2001,J1825),"")</x:f>
      </x:c>
      <x:c r="L1825" t="str">
        <x:f>IF(ISNUMBER(K1825),L1824+LN(K1825),"")</x:f>
      </x:c>
    </x:row>
    <x:row r="1826">
      <x:c r="J1826" t="n">
        <x:f>1822</x:f>
        <x:v>1822</x:v>
      </x:c>
      <x:c r="K1826" t="str">
        <x:f>IF(J1826&lt;=$B$6,LARGE('계산'!$K$2:$K$2001,J1826),"")</x:f>
      </x:c>
      <x:c r="L1826" t="str">
        <x:f>IF(ISNUMBER(K1826),L1825+LN(K1826),"")</x:f>
      </x:c>
    </x:row>
    <x:row r="1827">
      <x:c r="J1827" t="n">
        <x:f>1823</x:f>
        <x:v>1823</x:v>
      </x:c>
      <x:c r="K1827" t="str">
        <x:f>IF(J1827&lt;=$B$6,LARGE('계산'!$K$2:$K$2001,J1827),"")</x:f>
      </x:c>
      <x:c r="L1827" t="str">
        <x:f>IF(ISNUMBER(K1827),L1826+LN(K1827),"")</x:f>
      </x:c>
    </x:row>
    <x:row r="1828">
      <x:c r="J1828" t="n">
        <x:f>1824</x:f>
        <x:v>1824</x:v>
      </x:c>
      <x:c r="K1828" t="str">
        <x:f>IF(J1828&lt;=$B$6,LARGE('계산'!$K$2:$K$2001,J1828),"")</x:f>
      </x:c>
      <x:c r="L1828" t="str">
        <x:f>IF(ISNUMBER(K1828),L1827+LN(K1828),"")</x:f>
      </x:c>
    </x:row>
    <x:row r="1829">
      <x:c r="J1829" t="n">
        <x:f>1825</x:f>
        <x:v>1825</x:v>
      </x:c>
      <x:c r="K1829" t="str">
        <x:f>IF(J1829&lt;=$B$6,LARGE('계산'!$K$2:$K$2001,J1829),"")</x:f>
      </x:c>
      <x:c r="L1829" t="str">
        <x:f>IF(ISNUMBER(K1829),L1828+LN(K1829),"")</x:f>
      </x:c>
    </x:row>
    <x:row r="1830">
      <x:c r="J1830" t="n">
        <x:f>1826</x:f>
        <x:v>1826</x:v>
      </x:c>
      <x:c r="K1830" t="str">
        <x:f>IF(J1830&lt;=$B$6,LARGE('계산'!$K$2:$K$2001,J1830),"")</x:f>
      </x:c>
      <x:c r="L1830" t="str">
        <x:f>IF(ISNUMBER(K1830),L1829+LN(K1830),"")</x:f>
      </x:c>
    </x:row>
    <x:row r="1831">
      <x:c r="J1831" t="n">
        <x:f>1827</x:f>
        <x:v>1827</x:v>
      </x:c>
      <x:c r="K1831" t="str">
        <x:f>IF(J1831&lt;=$B$6,LARGE('계산'!$K$2:$K$2001,J1831),"")</x:f>
      </x:c>
      <x:c r="L1831" t="str">
        <x:f>IF(ISNUMBER(K1831),L1830+LN(K1831),"")</x:f>
      </x:c>
    </x:row>
    <x:row r="1832">
      <x:c r="J1832" t="n">
        <x:f>1828</x:f>
        <x:v>1828</x:v>
      </x:c>
      <x:c r="K1832" t="str">
        <x:f>IF(J1832&lt;=$B$6,LARGE('계산'!$K$2:$K$2001,J1832),"")</x:f>
      </x:c>
      <x:c r="L1832" t="str">
        <x:f>IF(ISNUMBER(K1832),L1831+LN(K1832),"")</x:f>
      </x:c>
    </x:row>
    <x:row r="1833">
      <x:c r="J1833" t="n">
        <x:f>1829</x:f>
        <x:v>1829</x:v>
      </x:c>
      <x:c r="K1833" t="str">
        <x:f>IF(J1833&lt;=$B$6,LARGE('계산'!$K$2:$K$2001,J1833),"")</x:f>
      </x:c>
      <x:c r="L1833" t="str">
        <x:f>IF(ISNUMBER(K1833),L1832+LN(K1833),"")</x:f>
      </x:c>
    </x:row>
    <x:row r="1834">
      <x:c r="J1834" t="n">
        <x:f>1830</x:f>
        <x:v>1830</x:v>
      </x:c>
      <x:c r="K1834" t="str">
        <x:f>IF(J1834&lt;=$B$6,LARGE('계산'!$K$2:$K$2001,J1834),"")</x:f>
      </x:c>
      <x:c r="L1834" t="str">
        <x:f>IF(ISNUMBER(K1834),L1833+LN(K1834),"")</x:f>
      </x:c>
    </x:row>
    <x:row r="1835">
      <x:c r="J1835" t="n">
        <x:f>1831</x:f>
        <x:v>1831</x:v>
      </x:c>
      <x:c r="K1835" t="str">
        <x:f>IF(J1835&lt;=$B$6,LARGE('계산'!$K$2:$K$2001,J1835),"")</x:f>
      </x:c>
      <x:c r="L1835" t="str">
        <x:f>IF(ISNUMBER(K1835),L1834+LN(K1835),"")</x:f>
      </x:c>
    </x:row>
    <x:row r="1836">
      <x:c r="J1836" t="n">
        <x:f>1832</x:f>
        <x:v>1832</x:v>
      </x:c>
      <x:c r="K1836" t="str">
        <x:f>IF(J1836&lt;=$B$6,LARGE('계산'!$K$2:$K$2001,J1836),"")</x:f>
      </x:c>
      <x:c r="L1836" t="str">
        <x:f>IF(ISNUMBER(K1836),L1835+LN(K1836),"")</x:f>
      </x:c>
    </x:row>
    <x:row r="1837">
      <x:c r="J1837" t="n">
        <x:f>1833</x:f>
        <x:v>1833</x:v>
      </x:c>
      <x:c r="K1837" t="str">
        <x:f>IF(J1837&lt;=$B$6,LARGE('계산'!$K$2:$K$2001,J1837),"")</x:f>
      </x:c>
      <x:c r="L1837" t="str">
        <x:f>IF(ISNUMBER(K1837),L1836+LN(K1837),"")</x:f>
      </x:c>
    </x:row>
    <x:row r="1838">
      <x:c r="J1838" t="n">
        <x:f>1834</x:f>
        <x:v>1834</x:v>
      </x:c>
      <x:c r="K1838" t="str">
        <x:f>IF(J1838&lt;=$B$6,LARGE('계산'!$K$2:$K$2001,J1838),"")</x:f>
      </x:c>
      <x:c r="L1838" t="str">
        <x:f>IF(ISNUMBER(K1838),L1837+LN(K1838),"")</x:f>
      </x:c>
    </x:row>
    <x:row r="1839">
      <x:c r="J1839" t="n">
        <x:f>1835</x:f>
        <x:v>1835</x:v>
      </x:c>
      <x:c r="K1839" t="str">
        <x:f>IF(J1839&lt;=$B$6,LARGE('계산'!$K$2:$K$2001,J1839),"")</x:f>
      </x:c>
      <x:c r="L1839" t="str">
        <x:f>IF(ISNUMBER(K1839),L1838+LN(K1839),"")</x:f>
      </x:c>
    </x:row>
    <x:row r="1840">
      <x:c r="J1840" t="n">
        <x:f>1836</x:f>
        <x:v>1836</x:v>
      </x:c>
      <x:c r="K1840" t="str">
        <x:f>IF(J1840&lt;=$B$6,LARGE('계산'!$K$2:$K$2001,J1840),"")</x:f>
      </x:c>
      <x:c r="L1840" t="str">
        <x:f>IF(ISNUMBER(K1840),L1839+LN(K1840),"")</x:f>
      </x:c>
    </x:row>
    <x:row r="1841">
      <x:c r="J1841" t="n">
        <x:f>1837</x:f>
        <x:v>1837</x:v>
      </x:c>
      <x:c r="K1841" t="str">
        <x:f>IF(J1841&lt;=$B$6,LARGE('계산'!$K$2:$K$2001,J1841),"")</x:f>
      </x:c>
      <x:c r="L1841" t="str">
        <x:f>IF(ISNUMBER(K1841),L1840+LN(K1841),"")</x:f>
      </x:c>
    </x:row>
    <x:row r="1842">
      <x:c r="J1842" t="n">
        <x:f>1838</x:f>
        <x:v>1838</x:v>
      </x:c>
      <x:c r="K1842" t="str">
        <x:f>IF(J1842&lt;=$B$6,LARGE('계산'!$K$2:$K$2001,J1842),"")</x:f>
      </x:c>
      <x:c r="L1842" t="str">
        <x:f>IF(ISNUMBER(K1842),L1841+LN(K1842),"")</x:f>
      </x:c>
    </x:row>
    <x:row r="1843">
      <x:c r="J1843" t="n">
        <x:f>1839</x:f>
        <x:v>1839</x:v>
      </x:c>
      <x:c r="K1843" t="str">
        <x:f>IF(J1843&lt;=$B$6,LARGE('계산'!$K$2:$K$2001,J1843),"")</x:f>
      </x:c>
      <x:c r="L1843" t="str">
        <x:f>IF(ISNUMBER(K1843),L1842+LN(K1843),"")</x:f>
      </x:c>
    </x:row>
    <x:row r="1844">
      <x:c r="J1844" t="n">
        <x:f>1840</x:f>
        <x:v>1840</x:v>
      </x:c>
      <x:c r="K1844" t="str">
        <x:f>IF(J1844&lt;=$B$6,LARGE('계산'!$K$2:$K$2001,J1844),"")</x:f>
      </x:c>
      <x:c r="L1844" t="str">
        <x:f>IF(ISNUMBER(K1844),L1843+LN(K1844),"")</x:f>
      </x:c>
    </x:row>
    <x:row r="1845">
      <x:c r="J1845" t="n">
        <x:f>1841</x:f>
        <x:v>1841</x:v>
      </x:c>
      <x:c r="K1845" t="str">
        <x:f>IF(J1845&lt;=$B$6,LARGE('계산'!$K$2:$K$2001,J1845),"")</x:f>
      </x:c>
      <x:c r="L1845" t="str">
        <x:f>IF(ISNUMBER(K1845),L1844+LN(K1845),"")</x:f>
      </x:c>
    </x:row>
    <x:row r="1846">
      <x:c r="J1846" t="n">
        <x:f>1842</x:f>
        <x:v>1842</x:v>
      </x:c>
      <x:c r="K1846" t="str">
        <x:f>IF(J1846&lt;=$B$6,LARGE('계산'!$K$2:$K$2001,J1846),"")</x:f>
      </x:c>
      <x:c r="L1846" t="str">
        <x:f>IF(ISNUMBER(K1846),L1845+LN(K1846),"")</x:f>
      </x:c>
    </x:row>
    <x:row r="1847">
      <x:c r="J1847" t="n">
        <x:f>1843</x:f>
        <x:v>1843</x:v>
      </x:c>
      <x:c r="K1847" t="str">
        <x:f>IF(J1847&lt;=$B$6,LARGE('계산'!$K$2:$K$2001,J1847),"")</x:f>
      </x:c>
      <x:c r="L1847" t="str">
        <x:f>IF(ISNUMBER(K1847),L1846+LN(K1847),"")</x:f>
      </x:c>
    </x:row>
    <x:row r="1848">
      <x:c r="J1848" t="n">
        <x:f>1844</x:f>
        <x:v>1844</x:v>
      </x:c>
      <x:c r="K1848" t="str">
        <x:f>IF(J1848&lt;=$B$6,LARGE('계산'!$K$2:$K$2001,J1848),"")</x:f>
      </x:c>
      <x:c r="L1848" t="str">
        <x:f>IF(ISNUMBER(K1848),L1847+LN(K1848),"")</x:f>
      </x:c>
    </x:row>
    <x:row r="1849">
      <x:c r="J1849" t="n">
        <x:f>1845</x:f>
        <x:v>1845</x:v>
      </x:c>
      <x:c r="K1849" t="str">
        <x:f>IF(J1849&lt;=$B$6,LARGE('계산'!$K$2:$K$2001,J1849),"")</x:f>
      </x:c>
      <x:c r="L1849" t="str">
        <x:f>IF(ISNUMBER(K1849),L1848+LN(K1849),"")</x:f>
      </x:c>
    </x:row>
    <x:row r="1850">
      <x:c r="J1850" t="n">
        <x:f>1846</x:f>
        <x:v>1846</x:v>
      </x:c>
      <x:c r="K1850" t="str">
        <x:f>IF(J1850&lt;=$B$6,LARGE('계산'!$K$2:$K$2001,J1850),"")</x:f>
      </x:c>
      <x:c r="L1850" t="str">
        <x:f>IF(ISNUMBER(K1850),L1849+LN(K1850),"")</x:f>
      </x:c>
    </x:row>
    <x:row r="1851">
      <x:c r="J1851" t="n">
        <x:f>1847</x:f>
        <x:v>1847</x:v>
      </x:c>
      <x:c r="K1851" t="str">
        <x:f>IF(J1851&lt;=$B$6,LARGE('계산'!$K$2:$K$2001,J1851),"")</x:f>
      </x:c>
      <x:c r="L1851" t="str">
        <x:f>IF(ISNUMBER(K1851),L1850+LN(K1851),"")</x:f>
      </x:c>
    </x:row>
    <x:row r="1852">
      <x:c r="J1852" t="n">
        <x:f>1848</x:f>
        <x:v>1848</x:v>
      </x:c>
      <x:c r="K1852" t="str">
        <x:f>IF(J1852&lt;=$B$6,LARGE('계산'!$K$2:$K$2001,J1852),"")</x:f>
      </x:c>
      <x:c r="L1852" t="str">
        <x:f>IF(ISNUMBER(K1852),L1851+LN(K1852),"")</x:f>
      </x:c>
    </x:row>
    <x:row r="1853">
      <x:c r="J1853" t="n">
        <x:f>1849</x:f>
        <x:v>1849</x:v>
      </x:c>
      <x:c r="K1853" t="str">
        <x:f>IF(J1853&lt;=$B$6,LARGE('계산'!$K$2:$K$2001,J1853),"")</x:f>
      </x:c>
      <x:c r="L1853" t="str">
        <x:f>IF(ISNUMBER(K1853),L1852+LN(K1853),"")</x:f>
      </x:c>
    </x:row>
    <x:row r="1854">
      <x:c r="J1854" t="n">
        <x:f>1850</x:f>
        <x:v>1850</x:v>
      </x:c>
      <x:c r="K1854" t="str">
        <x:f>IF(J1854&lt;=$B$6,LARGE('계산'!$K$2:$K$2001,J1854),"")</x:f>
      </x:c>
      <x:c r="L1854" t="str">
        <x:f>IF(ISNUMBER(K1854),L1853+LN(K1854),"")</x:f>
      </x:c>
    </x:row>
    <x:row r="1855">
      <x:c r="J1855" t="n">
        <x:f>1851</x:f>
        <x:v>1851</x:v>
      </x:c>
      <x:c r="K1855" t="str">
        <x:f>IF(J1855&lt;=$B$6,LARGE('계산'!$K$2:$K$2001,J1855),"")</x:f>
      </x:c>
      <x:c r="L1855" t="str">
        <x:f>IF(ISNUMBER(K1855),L1854+LN(K1855),"")</x:f>
      </x:c>
    </x:row>
    <x:row r="1856">
      <x:c r="J1856" t="n">
        <x:f>1852</x:f>
        <x:v>1852</x:v>
      </x:c>
      <x:c r="K1856" t="str">
        <x:f>IF(J1856&lt;=$B$6,LARGE('계산'!$K$2:$K$2001,J1856),"")</x:f>
      </x:c>
      <x:c r="L1856" t="str">
        <x:f>IF(ISNUMBER(K1856),L1855+LN(K1856),"")</x:f>
      </x:c>
    </x:row>
    <x:row r="1857">
      <x:c r="J1857" t="n">
        <x:f>1853</x:f>
        <x:v>1853</x:v>
      </x:c>
      <x:c r="K1857" t="str">
        <x:f>IF(J1857&lt;=$B$6,LARGE('계산'!$K$2:$K$2001,J1857),"")</x:f>
      </x:c>
      <x:c r="L1857" t="str">
        <x:f>IF(ISNUMBER(K1857),L1856+LN(K1857),"")</x:f>
      </x:c>
    </x:row>
    <x:row r="1858">
      <x:c r="J1858" t="n">
        <x:f>1854</x:f>
        <x:v>1854</x:v>
      </x:c>
      <x:c r="K1858" t="str">
        <x:f>IF(J1858&lt;=$B$6,LARGE('계산'!$K$2:$K$2001,J1858),"")</x:f>
      </x:c>
      <x:c r="L1858" t="str">
        <x:f>IF(ISNUMBER(K1858),L1857+LN(K1858),"")</x:f>
      </x:c>
    </x:row>
    <x:row r="1859">
      <x:c r="J1859" t="n">
        <x:f>1855</x:f>
        <x:v>1855</x:v>
      </x:c>
      <x:c r="K1859" t="str">
        <x:f>IF(J1859&lt;=$B$6,LARGE('계산'!$K$2:$K$2001,J1859),"")</x:f>
      </x:c>
      <x:c r="L1859" t="str">
        <x:f>IF(ISNUMBER(K1859),L1858+LN(K1859),"")</x:f>
      </x:c>
    </x:row>
    <x:row r="1860">
      <x:c r="J1860" t="n">
        <x:f>1856</x:f>
        <x:v>1856</x:v>
      </x:c>
      <x:c r="K1860" t="str">
        <x:f>IF(J1860&lt;=$B$6,LARGE('계산'!$K$2:$K$2001,J1860),"")</x:f>
      </x:c>
      <x:c r="L1860" t="str">
        <x:f>IF(ISNUMBER(K1860),L1859+LN(K1860),"")</x:f>
      </x:c>
    </x:row>
    <x:row r="1861">
      <x:c r="J1861" t="n">
        <x:f>1857</x:f>
        <x:v>1857</x:v>
      </x:c>
      <x:c r="K1861" t="str">
        <x:f>IF(J1861&lt;=$B$6,LARGE('계산'!$K$2:$K$2001,J1861),"")</x:f>
      </x:c>
      <x:c r="L1861" t="str">
        <x:f>IF(ISNUMBER(K1861),L1860+LN(K1861),"")</x:f>
      </x:c>
    </x:row>
    <x:row r="1862">
      <x:c r="J1862" t="n">
        <x:f>1858</x:f>
        <x:v>1858</x:v>
      </x:c>
      <x:c r="K1862" t="str">
        <x:f>IF(J1862&lt;=$B$6,LARGE('계산'!$K$2:$K$2001,J1862),"")</x:f>
      </x:c>
      <x:c r="L1862" t="str">
        <x:f>IF(ISNUMBER(K1862),L1861+LN(K1862),"")</x:f>
      </x:c>
    </x:row>
    <x:row r="1863">
      <x:c r="J1863" t="n">
        <x:f>1859</x:f>
        <x:v>1859</x:v>
      </x:c>
      <x:c r="K1863" t="str">
        <x:f>IF(J1863&lt;=$B$6,LARGE('계산'!$K$2:$K$2001,J1863),"")</x:f>
      </x:c>
      <x:c r="L1863" t="str">
        <x:f>IF(ISNUMBER(K1863),L1862+LN(K1863),"")</x:f>
      </x:c>
    </x:row>
    <x:row r="1864">
      <x:c r="J1864" t="n">
        <x:f>1860</x:f>
        <x:v>1860</x:v>
      </x:c>
      <x:c r="K1864" t="str">
        <x:f>IF(J1864&lt;=$B$6,LARGE('계산'!$K$2:$K$2001,J1864),"")</x:f>
      </x:c>
      <x:c r="L1864" t="str">
        <x:f>IF(ISNUMBER(K1864),L1863+LN(K1864),"")</x:f>
      </x:c>
    </x:row>
    <x:row r="1865">
      <x:c r="J1865" t="n">
        <x:f>1861</x:f>
        <x:v>1861</x:v>
      </x:c>
      <x:c r="K1865" t="str">
        <x:f>IF(J1865&lt;=$B$6,LARGE('계산'!$K$2:$K$2001,J1865),"")</x:f>
      </x:c>
      <x:c r="L1865" t="str">
        <x:f>IF(ISNUMBER(K1865),L1864+LN(K1865),"")</x:f>
      </x:c>
    </x:row>
    <x:row r="1866">
      <x:c r="J1866" t="n">
        <x:f>1862</x:f>
        <x:v>1862</x:v>
      </x:c>
      <x:c r="K1866" t="str">
        <x:f>IF(J1866&lt;=$B$6,LARGE('계산'!$K$2:$K$2001,J1866),"")</x:f>
      </x:c>
      <x:c r="L1866" t="str">
        <x:f>IF(ISNUMBER(K1866),L1865+LN(K1866),"")</x:f>
      </x:c>
    </x:row>
    <x:row r="1867">
      <x:c r="J1867" t="n">
        <x:f>1863</x:f>
        <x:v>1863</x:v>
      </x:c>
      <x:c r="K1867" t="str">
        <x:f>IF(J1867&lt;=$B$6,LARGE('계산'!$K$2:$K$2001,J1867),"")</x:f>
      </x:c>
      <x:c r="L1867" t="str">
        <x:f>IF(ISNUMBER(K1867),L1866+LN(K1867),"")</x:f>
      </x:c>
    </x:row>
    <x:row r="1868">
      <x:c r="J1868" t="n">
        <x:f>1864</x:f>
        <x:v>1864</x:v>
      </x:c>
      <x:c r="K1868" t="str">
        <x:f>IF(J1868&lt;=$B$6,LARGE('계산'!$K$2:$K$2001,J1868),"")</x:f>
      </x:c>
      <x:c r="L1868" t="str">
        <x:f>IF(ISNUMBER(K1868),L1867+LN(K1868),"")</x:f>
      </x:c>
    </x:row>
    <x:row r="1869">
      <x:c r="J1869" t="n">
        <x:f>1865</x:f>
        <x:v>1865</x:v>
      </x:c>
      <x:c r="K1869" t="str">
        <x:f>IF(J1869&lt;=$B$6,LARGE('계산'!$K$2:$K$2001,J1869),"")</x:f>
      </x:c>
      <x:c r="L1869" t="str">
        <x:f>IF(ISNUMBER(K1869),L1868+LN(K1869),"")</x:f>
      </x:c>
    </x:row>
    <x:row r="1870">
      <x:c r="J1870" t="n">
        <x:f>1866</x:f>
        <x:v>1866</x:v>
      </x:c>
      <x:c r="K1870" t="str">
        <x:f>IF(J1870&lt;=$B$6,LARGE('계산'!$K$2:$K$2001,J1870),"")</x:f>
      </x:c>
      <x:c r="L1870" t="str">
        <x:f>IF(ISNUMBER(K1870),L1869+LN(K1870),"")</x:f>
      </x:c>
    </x:row>
    <x:row r="1871">
      <x:c r="J1871" t="n">
        <x:f>1867</x:f>
        <x:v>1867</x:v>
      </x:c>
      <x:c r="K1871" t="str">
        <x:f>IF(J1871&lt;=$B$6,LARGE('계산'!$K$2:$K$2001,J1871),"")</x:f>
      </x:c>
      <x:c r="L1871" t="str">
        <x:f>IF(ISNUMBER(K1871),L1870+LN(K1871),"")</x:f>
      </x:c>
    </x:row>
    <x:row r="1872">
      <x:c r="J1872" t="n">
        <x:f>1868</x:f>
        <x:v>1868</x:v>
      </x:c>
      <x:c r="K1872" t="str">
        <x:f>IF(J1872&lt;=$B$6,LARGE('계산'!$K$2:$K$2001,J1872),"")</x:f>
      </x:c>
      <x:c r="L1872" t="str">
        <x:f>IF(ISNUMBER(K1872),L1871+LN(K1872),"")</x:f>
      </x:c>
    </x:row>
    <x:row r="1873">
      <x:c r="J1873" t="n">
        <x:f>1869</x:f>
        <x:v>1869</x:v>
      </x:c>
      <x:c r="K1873" t="str">
        <x:f>IF(J1873&lt;=$B$6,LARGE('계산'!$K$2:$K$2001,J1873),"")</x:f>
      </x:c>
      <x:c r="L1873" t="str">
        <x:f>IF(ISNUMBER(K1873),L1872+LN(K1873),"")</x:f>
      </x:c>
    </x:row>
    <x:row r="1874">
      <x:c r="J1874" t="n">
        <x:f>1870</x:f>
        <x:v>1870</x:v>
      </x:c>
      <x:c r="K1874" t="str">
        <x:f>IF(J1874&lt;=$B$6,LARGE('계산'!$K$2:$K$2001,J1874),"")</x:f>
      </x:c>
      <x:c r="L1874" t="str">
        <x:f>IF(ISNUMBER(K1874),L1873+LN(K1874),"")</x:f>
      </x:c>
    </x:row>
    <x:row r="1875">
      <x:c r="J1875" t="n">
        <x:f>1871</x:f>
        <x:v>1871</x:v>
      </x:c>
      <x:c r="K1875" t="str">
        <x:f>IF(J1875&lt;=$B$6,LARGE('계산'!$K$2:$K$2001,J1875),"")</x:f>
      </x:c>
      <x:c r="L1875" t="str">
        <x:f>IF(ISNUMBER(K1875),L1874+LN(K1875),"")</x:f>
      </x:c>
    </x:row>
    <x:row r="1876">
      <x:c r="J1876" t="n">
        <x:f>1872</x:f>
        <x:v>1872</x:v>
      </x:c>
      <x:c r="K1876" t="str">
        <x:f>IF(J1876&lt;=$B$6,LARGE('계산'!$K$2:$K$2001,J1876),"")</x:f>
      </x:c>
      <x:c r="L1876" t="str">
        <x:f>IF(ISNUMBER(K1876),L1875+LN(K1876),"")</x:f>
      </x:c>
    </x:row>
    <x:row r="1877">
      <x:c r="J1877" t="n">
        <x:f>1873</x:f>
        <x:v>1873</x:v>
      </x:c>
      <x:c r="K1877" t="str">
        <x:f>IF(J1877&lt;=$B$6,LARGE('계산'!$K$2:$K$2001,J1877),"")</x:f>
      </x:c>
      <x:c r="L1877" t="str">
        <x:f>IF(ISNUMBER(K1877),L1876+LN(K1877),"")</x:f>
      </x:c>
    </x:row>
    <x:row r="1878">
      <x:c r="J1878" t="n">
        <x:f>1874</x:f>
        <x:v>1874</x:v>
      </x:c>
      <x:c r="K1878" t="str">
        <x:f>IF(J1878&lt;=$B$6,LARGE('계산'!$K$2:$K$2001,J1878),"")</x:f>
      </x:c>
      <x:c r="L1878" t="str">
        <x:f>IF(ISNUMBER(K1878),L1877+LN(K1878),"")</x:f>
      </x:c>
    </x:row>
    <x:row r="1879">
      <x:c r="J1879" t="n">
        <x:f>1875</x:f>
        <x:v>1875</x:v>
      </x:c>
      <x:c r="K1879" t="str">
        <x:f>IF(J1879&lt;=$B$6,LARGE('계산'!$K$2:$K$2001,J1879),"")</x:f>
      </x:c>
      <x:c r="L1879" t="str">
        <x:f>IF(ISNUMBER(K1879),L1878+LN(K1879),"")</x:f>
      </x:c>
    </x:row>
    <x:row r="1880">
      <x:c r="J1880" t="n">
        <x:f>1876</x:f>
        <x:v>1876</x:v>
      </x:c>
      <x:c r="K1880" t="str">
        <x:f>IF(J1880&lt;=$B$6,LARGE('계산'!$K$2:$K$2001,J1880),"")</x:f>
      </x:c>
      <x:c r="L1880" t="str">
        <x:f>IF(ISNUMBER(K1880),L1879+LN(K1880),"")</x:f>
      </x:c>
    </x:row>
    <x:row r="1881">
      <x:c r="J1881" t="n">
        <x:f>1877</x:f>
        <x:v>1877</x:v>
      </x:c>
      <x:c r="K1881" t="str">
        <x:f>IF(J1881&lt;=$B$6,LARGE('계산'!$K$2:$K$2001,J1881),"")</x:f>
      </x:c>
      <x:c r="L1881" t="str">
        <x:f>IF(ISNUMBER(K1881),L1880+LN(K1881),"")</x:f>
      </x:c>
    </x:row>
    <x:row r="1882">
      <x:c r="J1882" t="n">
        <x:f>1878</x:f>
        <x:v>1878</x:v>
      </x:c>
      <x:c r="K1882" t="str">
        <x:f>IF(J1882&lt;=$B$6,LARGE('계산'!$K$2:$K$2001,J1882),"")</x:f>
      </x:c>
      <x:c r="L1882" t="str">
        <x:f>IF(ISNUMBER(K1882),L1881+LN(K1882),"")</x:f>
      </x:c>
    </x:row>
    <x:row r="1883">
      <x:c r="J1883" t="n">
        <x:f>1879</x:f>
        <x:v>1879</x:v>
      </x:c>
      <x:c r="K1883" t="str">
        <x:f>IF(J1883&lt;=$B$6,LARGE('계산'!$K$2:$K$2001,J1883),"")</x:f>
      </x:c>
      <x:c r="L1883" t="str">
        <x:f>IF(ISNUMBER(K1883),L1882+LN(K1883),"")</x:f>
      </x:c>
    </x:row>
    <x:row r="1884">
      <x:c r="J1884" t="n">
        <x:f>1880</x:f>
        <x:v>1880</x:v>
      </x:c>
      <x:c r="K1884" t="str">
        <x:f>IF(J1884&lt;=$B$6,LARGE('계산'!$K$2:$K$2001,J1884),"")</x:f>
      </x:c>
      <x:c r="L1884" t="str">
        <x:f>IF(ISNUMBER(K1884),L1883+LN(K1884),"")</x:f>
      </x:c>
    </x:row>
    <x:row r="1885">
      <x:c r="J1885" t="n">
        <x:f>1881</x:f>
        <x:v>1881</x:v>
      </x:c>
      <x:c r="K1885" t="str">
        <x:f>IF(J1885&lt;=$B$6,LARGE('계산'!$K$2:$K$2001,J1885),"")</x:f>
      </x:c>
      <x:c r="L1885" t="str">
        <x:f>IF(ISNUMBER(K1885),L1884+LN(K1885),"")</x:f>
      </x:c>
    </x:row>
    <x:row r="1886">
      <x:c r="J1886" t="n">
        <x:f>1882</x:f>
        <x:v>1882</x:v>
      </x:c>
      <x:c r="K1886" t="str">
        <x:f>IF(J1886&lt;=$B$6,LARGE('계산'!$K$2:$K$2001,J1886),"")</x:f>
      </x:c>
      <x:c r="L1886" t="str">
        <x:f>IF(ISNUMBER(K1886),L1885+LN(K1886),"")</x:f>
      </x:c>
    </x:row>
    <x:row r="1887">
      <x:c r="J1887" t="n">
        <x:f>1883</x:f>
        <x:v>1883</x:v>
      </x:c>
      <x:c r="K1887" t="str">
        <x:f>IF(J1887&lt;=$B$6,LARGE('계산'!$K$2:$K$2001,J1887),"")</x:f>
      </x:c>
      <x:c r="L1887" t="str">
        <x:f>IF(ISNUMBER(K1887),L1886+LN(K1887),"")</x:f>
      </x:c>
    </x:row>
    <x:row r="1888">
      <x:c r="J1888" t="n">
        <x:f>1884</x:f>
        <x:v>1884</x:v>
      </x:c>
      <x:c r="K1888" t="str">
        <x:f>IF(J1888&lt;=$B$6,LARGE('계산'!$K$2:$K$2001,J1888),"")</x:f>
      </x:c>
      <x:c r="L1888" t="str">
        <x:f>IF(ISNUMBER(K1888),L1887+LN(K1888),"")</x:f>
      </x:c>
    </x:row>
    <x:row r="1889">
      <x:c r="J1889" t="n">
        <x:f>1885</x:f>
        <x:v>1885</x:v>
      </x:c>
      <x:c r="K1889" t="str">
        <x:f>IF(J1889&lt;=$B$6,LARGE('계산'!$K$2:$K$2001,J1889),"")</x:f>
      </x:c>
      <x:c r="L1889" t="str">
        <x:f>IF(ISNUMBER(K1889),L1888+LN(K1889),"")</x:f>
      </x:c>
    </x:row>
    <x:row r="1890">
      <x:c r="J1890" t="n">
        <x:f>1886</x:f>
        <x:v>1886</x:v>
      </x:c>
      <x:c r="K1890" t="str">
        <x:f>IF(J1890&lt;=$B$6,LARGE('계산'!$K$2:$K$2001,J1890),"")</x:f>
      </x:c>
      <x:c r="L1890" t="str">
        <x:f>IF(ISNUMBER(K1890),L1889+LN(K1890),"")</x:f>
      </x:c>
    </x:row>
    <x:row r="1891">
      <x:c r="J1891" t="n">
        <x:f>1887</x:f>
        <x:v>1887</x:v>
      </x:c>
      <x:c r="K1891" t="str">
        <x:f>IF(J1891&lt;=$B$6,LARGE('계산'!$K$2:$K$2001,J1891),"")</x:f>
      </x:c>
      <x:c r="L1891" t="str">
        <x:f>IF(ISNUMBER(K1891),L1890+LN(K1891),"")</x:f>
      </x:c>
    </x:row>
    <x:row r="1892">
      <x:c r="J1892" t="n">
        <x:f>1888</x:f>
        <x:v>1888</x:v>
      </x:c>
      <x:c r="K1892" t="str">
        <x:f>IF(J1892&lt;=$B$6,LARGE('계산'!$K$2:$K$2001,J1892),"")</x:f>
      </x:c>
      <x:c r="L1892" t="str">
        <x:f>IF(ISNUMBER(K1892),L1891+LN(K1892),"")</x:f>
      </x:c>
    </x:row>
    <x:row r="1893">
      <x:c r="J1893" t="n">
        <x:f>1889</x:f>
        <x:v>1889</x:v>
      </x:c>
      <x:c r="K1893" t="str">
        <x:f>IF(J1893&lt;=$B$6,LARGE('계산'!$K$2:$K$2001,J1893),"")</x:f>
      </x:c>
      <x:c r="L1893" t="str">
        <x:f>IF(ISNUMBER(K1893),L1892+LN(K1893),"")</x:f>
      </x:c>
    </x:row>
    <x:row r="1894">
      <x:c r="J1894" t="n">
        <x:f>1890</x:f>
        <x:v>1890</x:v>
      </x:c>
      <x:c r="K1894" t="str">
        <x:f>IF(J1894&lt;=$B$6,LARGE('계산'!$K$2:$K$2001,J1894),"")</x:f>
      </x:c>
      <x:c r="L1894" t="str">
        <x:f>IF(ISNUMBER(K1894),L1893+LN(K1894),"")</x:f>
      </x:c>
    </x:row>
    <x:row r="1895">
      <x:c r="J1895" t="n">
        <x:f>1891</x:f>
        <x:v>1891</x:v>
      </x:c>
      <x:c r="K1895" t="str">
        <x:f>IF(J1895&lt;=$B$6,LARGE('계산'!$K$2:$K$2001,J1895),"")</x:f>
      </x:c>
      <x:c r="L1895" t="str">
        <x:f>IF(ISNUMBER(K1895),L1894+LN(K1895),"")</x:f>
      </x:c>
    </x:row>
    <x:row r="1896">
      <x:c r="J1896" t="n">
        <x:f>1892</x:f>
        <x:v>1892</x:v>
      </x:c>
      <x:c r="K1896" t="str">
        <x:f>IF(J1896&lt;=$B$6,LARGE('계산'!$K$2:$K$2001,J1896),"")</x:f>
      </x:c>
      <x:c r="L1896" t="str">
        <x:f>IF(ISNUMBER(K1896),L1895+LN(K1896),"")</x:f>
      </x:c>
    </x:row>
    <x:row r="1897">
      <x:c r="J1897" t="n">
        <x:f>1893</x:f>
        <x:v>1893</x:v>
      </x:c>
      <x:c r="K1897" t="str">
        <x:f>IF(J1897&lt;=$B$6,LARGE('계산'!$K$2:$K$2001,J1897),"")</x:f>
      </x:c>
      <x:c r="L1897" t="str">
        <x:f>IF(ISNUMBER(K1897),L1896+LN(K1897),"")</x:f>
      </x:c>
    </x:row>
    <x:row r="1898">
      <x:c r="J1898" t="n">
        <x:f>1894</x:f>
        <x:v>1894</x:v>
      </x:c>
      <x:c r="K1898" t="str">
        <x:f>IF(J1898&lt;=$B$6,LARGE('계산'!$K$2:$K$2001,J1898),"")</x:f>
      </x:c>
      <x:c r="L1898" t="str">
        <x:f>IF(ISNUMBER(K1898),L1897+LN(K1898),"")</x:f>
      </x:c>
    </x:row>
    <x:row r="1899">
      <x:c r="J1899" t="n">
        <x:f>1895</x:f>
        <x:v>1895</x:v>
      </x:c>
      <x:c r="K1899" t="str">
        <x:f>IF(J1899&lt;=$B$6,LARGE('계산'!$K$2:$K$2001,J1899),"")</x:f>
      </x:c>
      <x:c r="L1899" t="str">
        <x:f>IF(ISNUMBER(K1899),L1898+LN(K1899),"")</x:f>
      </x:c>
    </x:row>
    <x:row r="1900">
      <x:c r="J1900" t="n">
        <x:f>1896</x:f>
        <x:v>1896</x:v>
      </x:c>
      <x:c r="K1900" t="str">
        <x:f>IF(J1900&lt;=$B$6,LARGE('계산'!$K$2:$K$2001,J1900),"")</x:f>
      </x:c>
      <x:c r="L1900" t="str">
        <x:f>IF(ISNUMBER(K1900),L1899+LN(K1900),"")</x:f>
      </x:c>
    </x:row>
    <x:row r="1901">
      <x:c r="J1901" t="n">
        <x:f>1897</x:f>
        <x:v>1897</x:v>
      </x:c>
      <x:c r="K1901" t="str">
        <x:f>IF(J1901&lt;=$B$6,LARGE('계산'!$K$2:$K$2001,J1901),"")</x:f>
      </x:c>
      <x:c r="L1901" t="str">
        <x:f>IF(ISNUMBER(K1901),L1900+LN(K1901),"")</x:f>
      </x:c>
    </x:row>
    <x:row r="1902">
      <x:c r="J1902" t="n">
        <x:f>1898</x:f>
        <x:v>1898</x:v>
      </x:c>
      <x:c r="K1902" t="str">
        <x:f>IF(J1902&lt;=$B$6,LARGE('계산'!$K$2:$K$2001,J1902),"")</x:f>
      </x:c>
      <x:c r="L1902" t="str">
        <x:f>IF(ISNUMBER(K1902),L1901+LN(K1902),"")</x:f>
      </x:c>
    </x:row>
    <x:row r="1903">
      <x:c r="J1903" t="n">
        <x:f>1899</x:f>
        <x:v>1899</x:v>
      </x:c>
      <x:c r="K1903" t="str">
        <x:f>IF(J1903&lt;=$B$6,LARGE('계산'!$K$2:$K$2001,J1903),"")</x:f>
      </x:c>
      <x:c r="L1903" t="str">
        <x:f>IF(ISNUMBER(K1903),L1902+LN(K1903),"")</x:f>
      </x:c>
    </x:row>
    <x:row r="1904">
      <x:c r="J1904" t="n">
        <x:f>1900</x:f>
        <x:v>1900</x:v>
      </x:c>
      <x:c r="K1904" t="str">
        <x:f>IF(J1904&lt;=$B$6,LARGE('계산'!$K$2:$K$2001,J1904),"")</x:f>
      </x:c>
      <x:c r="L1904" t="str">
        <x:f>IF(ISNUMBER(K1904),L1903+LN(K1904),"")</x:f>
      </x:c>
    </x:row>
    <x:row r="1905">
      <x:c r="J1905" t="n">
        <x:f>1901</x:f>
        <x:v>1901</x:v>
      </x:c>
      <x:c r="K1905" t="str">
        <x:f>IF(J1905&lt;=$B$6,LARGE('계산'!$K$2:$K$2001,J1905),"")</x:f>
      </x:c>
      <x:c r="L1905" t="str">
        <x:f>IF(ISNUMBER(K1905),L1904+LN(K1905),"")</x:f>
      </x:c>
    </x:row>
    <x:row r="1906">
      <x:c r="J1906" t="n">
        <x:f>1902</x:f>
        <x:v>1902</x:v>
      </x:c>
      <x:c r="K1906" t="str">
        <x:f>IF(J1906&lt;=$B$6,LARGE('계산'!$K$2:$K$2001,J1906),"")</x:f>
      </x:c>
      <x:c r="L1906" t="str">
        <x:f>IF(ISNUMBER(K1906),L1905+LN(K1906),"")</x:f>
      </x:c>
    </x:row>
    <x:row r="1907">
      <x:c r="J1907" t="n">
        <x:f>1903</x:f>
        <x:v>1903</x:v>
      </x:c>
      <x:c r="K1907" t="str">
        <x:f>IF(J1907&lt;=$B$6,LARGE('계산'!$K$2:$K$2001,J1907),"")</x:f>
      </x:c>
      <x:c r="L1907" t="str">
        <x:f>IF(ISNUMBER(K1907),L1906+LN(K1907),"")</x:f>
      </x:c>
    </x:row>
    <x:row r="1908">
      <x:c r="J1908" t="n">
        <x:f>1904</x:f>
        <x:v>1904</x:v>
      </x:c>
      <x:c r="K1908" t="str">
        <x:f>IF(J1908&lt;=$B$6,LARGE('계산'!$K$2:$K$2001,J1908),"")</x:f>
      </x:c>
      <x:c r="L1908" t="str">
        <x:f>IF(ISNUMBER(K1908),L1907+LN(K1908),"")</x:f>
      </x:c>
    </x:row>
    <x:row r="1909">
      <x:c r="J1909" t="n">
        <x:f>1905</x:f>
        <x:v>1905</x:v>
      </x:c>
      <x:c r="K1909" t="str">
        <x:f>IF(J1909&lt;=$B$6,LARGE('계산'!$K$2:$K$2001,J1909),"")</x:f>
      </x:c>
      <x:c r="L1909" t="str">
        <x:f>IF(ISNUMBER(K1909),L1908+LN(K1909),"")</x:f>
      </x:c>
    </x:row>
    <x:row r="1910">
      <x:c r="J1910" t="n">
        <x:f>1906</x:f>
        <x:v>1906</x:v>
      </x:c>
      <x:c r="K1910" t="str">
        <x:f>IF(J1910&lt;=$B$6,LARGE('계산'!$K$2:$K$2001,J1910),"")</x:f>
      </x:c>
      <x:c r="L1910" t="str">
        <x:f>IF(ISNUMBER(K1910),L1909+LN(K1910),"")</x:f>
      </x:c>
    </x:row>
    <x:row r="1911">
      <x:c r="J1911" t="n">
        <x:f>1907</x:f>
        <x:v>1907</x:v>
      </x:c>
      <x:c r="K1911" t="str">
        <x:f>IF(J1911&lt;=$B$6,LARGE('계산'!$K$2:$K$2001,J1911),"")</x:f>
      </x:c>
      <x:c r="L1911" t="str">
        <x:f>IF(ISNUMBER(K1911),L1910+LN(K1911),"")</x:f>
      </x:c>
    </x:row>
    <x:row r="1912">
      <x:c r="J1912" t="n">
        <x:f>1908</x:f>
        <x:v>1908</x:v>
      </x:c>
      <x:c r="K1912" t="str">
        <x:f>IF(J1912&lt;=$B$6,LARGE('계산'!$K$2:$K$2001,J1912),"")</x:f>
      </x:c>
      <x:c r="L1912" t="str">
        <x:f>IF(ISNUMBER(K1912),L1911+LN(K1912),"")</x:f>
      </x:c>
    </x:row>
    <x:row r="1913">
      <x:c r="J1913" t="n">
        <x:f>1909</x:f>
        <x:v>1909</x:v>
      </x:c>
      <x:c r="K1913" t="str">
        <x:f>IF(J1913&lt;=$B$6,LARGE('계산'!$K$2:$K$2001,J1913),"")</x:f>
      </x:c>
      <x:c r="L1913" t="str">
        <x:f>IF(ISNUMBER(K1913),L1912+LN(K1913),"")</x:f>
      </x:c>
    </x:row>
    <x:row r="1914">
      <x:c r="J1914" t="n">
        <x:f>1910</x:f>
        <x:v>1910</x:v>
      </x:c>
      <x:c r="K1914" t="str">
        <x:f>IF(J1914&lt;=$B$6,LARGE('계산'!$K$2:$K$2001,J1914),"")</x:f>
      </x:c>
      <x:c r="L1914" t="str">
        <x:f>IF(ISNUMBER(K1914),L1913+LN(K1914),"")</x:f>
      </x:c>
    </x:row>
    <x:row r="1915">
      <x:c r="J1915" t="n">
        <x:f>1911</x:f>
        <x:v>1911</x:v>
      </x:c>
      <x:c r="K1915" t="str">
        <x:f>IF(J1915&lt;=$B$6,LARGE('계산'!$K$2:$K$2001,J1915),"")</x:f>
      </x:c>
      <x:c r="L1915" t="str">
        <x:f>IF(ISNUMBER(K1915),L1914+LN(K1915),"")</x:f>
      </x:c>
    </x:row>
    <x:row r="1916">
      <x:c r="J1916" t="n">
        <x:f>1912</x:f>
        <x:v>1912</x:v>
      </x:c>
      <x:c r="K1916" t="str">
        <x:f>IF(J1916&lt;=$B$6,LARGE('계산'!$K$2:$K$2001,J1916),"")</x:f>
      </x:c>
      <x:c r="L1916" t="str">
        <x:f>IF(ISNUMBER(K1916),L1915+LN(K1916),"")</x:f>
      </x:c>
    </x:row>
    <x:row r="1917">
      <x:c r="J1917" t="n">
        <x:f>1913</x:f>
        <x:v>1913</x:v>
      </x:c>
      <x:c r="K1917" t="str">
        <x:f>IF(J1917&lt;=$B$6,LARGE('계산'!$K$2:$K$2001,J1917),"")</x:f>
      </x:c>
      <x:c r="L1917" t="str">
        <x:f>IF(ISNUMBER(K1917),L1916+LN(K1917),"")</x:f>
      </x:c>
    </x:row>
    <x:row r="1918">
      <x:c r="J1918" t="n">
        <x:f>1914</x:f>
        <x:v>1914</x:v>
      </x:c>
      <x:c r="K1918" t="str">
        <x:f>IF(J1918&lt;=$B$6,LARGE('계산'!$K$2:$K$2001,J1918),"")</x:f>
      </x:c>
      <x:c r="L1918" t="str">
        <x:f>IF(ISNUMBER(K1918),L1917+LN(K1918),"")</x:f>
      </x:c>
    </x:row>
    <x:row r="1919">
      <x:c r="J1919" t="n">
        <x:f>1915</x:f>
        <x:v>1915</x:v>
      </x:c>
      <x:c r="K1919" t="str">
        <x:f>IF(J1919&lt;=$B$6,LARGE('계산'!$K$2:$K$2001,J1919),"")</x:f>
      </x:c>
      <x:c r="L1919" t="str">
        <x:f>IF(ISNUMBER(K1919),L1918+LN(K1919),"")</x:f>
      </x:c>
    </x:row>
    <x:row r="1920">
      <x:c r="J1920" t="n">
        <x:f>1916</x:f>
        <x:v>1916</x:v>
      </x:c>
      <x:c r="K1920" t="str">
        <x:f>IF(J1920&lt;=$B$6,LARGE('계산'!$K$2:$K$2001,J1920),"")</x:f>
      </x:c>
      <x:c r="L1920" t="str">
        <x:f>IF(ISNUMBER(K1920),L1919+LN(K1920),"")</x:f>
      </x:c>
    </x:row>
    <x:row r="1921">
      <x:c r="J1921" t="n">
        <x:f>1917</x:f>
        <x:v>1917</x:v>
      </x:c>
      <x:c r="K1921" t="str">
        <x:f>IF(J1921&lt;=$B$6,LARGE('계산'!$K$2:$K$2001,J1921),"")</x:f>
      </x:c>
      <x:c r="L1921" t="str">
        <x:f>IF(ISNUMBER(K1921),L1920+LN(K1921),"")</x:f>
      </x:c>
    </x:row>
    <x:row r="1922">
      <x:c r="J1922" t="n">
        <x:f>1918</x:f>
        <x:v>1918</x:v>
      </x:c>
      <x:c r="K1922" t="str">
        <x:f>IF(J1922&lt;=$B$6,LARGE('계산'!$K$2:$K$2001,J1922),"")</x:f>
      </x:c>
      <x:c r="L1922" t="str">
        <x:f>IF(ISNUMBER(K1922),L1921+LN(K1922),"")</x:f>
      </x:c>
    </x:row>
    <x:row r="1923">
      <x:c r="J1923" t="n">
        <x:f>1919</x:f>
        <x:v>1919</x:v>
      </x:c>
      <x:c r="K1923" t="str">
        <x:f>IF(J1923&lt;=$B$6,LARGE('계산'!$K$2:$K$2001,J1923),"")</x:f>
      </x:c>
      <x:c r="L1923" t="str">
        <x:f>IF(ISNUMBER(K1923),L1922+LN(K1923),"")</x:f>
      </x:c>
    </x:row>
    <x:row r="1924">
      <x:c r="J1924" t="n">
        <x:f>1920</x:f>
        <x:v>1920</x:v>
      </x:c>
      <x:c r="K1924" t="str">
        <x:f>IF(J1924&lt;=$B$6,LARGE('계산'!$K$2:$K$2001,J1924),"")</x:f>
      </x:c>
      <x:c r="L1924" t="str">
        <x:f>IF(ISNUMBER(K1924),L1923+LN(K1924),"")</x:f>
      </x:c>
    </x:row>
    <x:row r="1925">
      <x:c r="J1925" t="n">
        <x:f>1921</x:f>
        <x:v>1921</x:v>
      </x:c>
      <x:c r="K1925" t="str">
        <x:f>IF(J1925&lt;=$B$6,LARGE('계산'!$K$2:$K$2001,J1925),"")</x:f>
      </x:c>
      <x:c r="L1925" t="str">
        <x:f>IF(ISNUMBER(K1925),L1924+LN(K1925),"")</x:f>
      </x:c>
    </x:row>
    <x:row r="1926">
      <x:c r="J1926" t="n">
        <x:f>1922</x:f>
        <x:v>1922</x:v>
      </x:c>
      <x:c r="K1926" t="str">
        <x:f>IF(J1926&lt;=$B$6,LARGE('계산'!$K$2:$K$2001,J1926),"")</x:f>
      </x:c>
      <x:c r="L1926" t="str">
        <x:f>IF(ISNUMBER(K1926),L1925+LN(K1926),"")</x:f>
      </x:c>
    </x:row>
    <x:row r="1927">
      <x:c r="J1927" t="n">
        <x:f>1923</x:f>
        <x:v>1923</x:v>
      </x:c>
      <x:c r="K1927" t="str">
        <x:f>IF(J1927&lt;=$B$6,LARGE('계산'!$K$2:$K$2001,J1927),"")</x:f>
      </x:c>
      <x:c r="L1927" t="str">
        <x:f>IF(ISNUMBER(K1927),L1926+LN(K1927),"")</x:f>
      </x:c>
    </x:row>
    <x:row r="1928">
      <x:c r="J1928" t="n">
        <x:f>1924</x:f>
        <x:v>1924</x:v>
      </x:c>
      <x:c r="K1928" t="str">
        <x:f>IF(J1928&lt;=$B$6,LARGE('계산'!$K$2:$K$2001,J1928),"")</x:f>
      </x:c>
      <x:c r="L1928" t="str">
        <x:f>IF(ISNUMBER(K1928),L1927+LN(K1928),"")</x:f>
      </x:c>
    </x:row>
    <x:row r="1929">
      <x:c r="J1929" t="n">
        <x:f>1925</x:f>
        <x:v>1925</x:v>
      </x:c>
      <x:c r="K1929" t="str">
        <x:f>IF(J1929&lt;=$B$6,LARGE('계산'!$K$2:$K$2001,J1929),"")</x:f>
      </x:c>
      <x:c r="L1929" t="str">
        <x:f>IF(ISNUMBER(K1929),L1928+LN(K1929),"")</x:f>
      </x:c>
    </x:row>
    <x:row r="1930">
      <x:c r="J1930" t="n">
        <x:f>1926</x:f>
        <x:v>1926</x:v>
      </x:c>
      <x:c r="K1930" t="str">
        <x:f>IF(J1930&lt;=$B$6,LARGE('계산'!$K$2:$K$2001,J1930),"")</x:f>
      </x:c>
      <x:c r="L1930" t="str">
        <x:f>IF(ISNUMBER(K1930),L1929+LN(K1930),"")</x:f>
      </x:c>
    </x:row>
    <x:row r="1931">
      <x:c r="J1931" t="n">
        <x:f>1927</x:f>
        <x:v>1927</x:v>
      </x:c>
      <x:c r="K1931" t="str">
        <x:f>IF(J1931&lt;=$B$6,LARGE('계산'!$K$2:$K$2001,J1931),"")</x:f>
      </x:c>
      <x:c r="L1931" t="str">
        <x:f>IF(ISNUMBER(K1931),L1930+LN(K1931),"")</x:f>
      </x:c>
    </x:row>
    <x:row r="1932">
      <x:c r="J1932" t="n">
        <x:f>1928</x:f>
        <x:v>1928</x:v>
      </x:c>
      <x:c r="K1932" t="str">
        <x:f>IF(J1932&lt;=$B$6,LARGE('계산'!$K$2:$K$2001,J1932),"")</x:f>
      </x:c>
      <x:c r="L1932" t="str">
        <x:f>IF(ISNUMBER(K1932),L1931+LN(K1932),"")</x:f>
      </x:c>
    </x:row>
    <x:row r="1933">
      <x:c r="J1933" t="n">
        <x:f>1929</x:f>
        <x:v>1929</x:v>
      </x:c>
      <x:c r="K1933" t="str">
        <x:f>IF(J1933&lt;=$B$6,LARGE('계산'!$K$2:$K$2001,J1933),"")</x:f>
      </x:c>
      <x:c r="L1933" t="str">
        <x:f>IF(ISNUMBER(K1933),L1932+LN(K1933),"")</x:f>
      </x:c>
    </x:row>
    <x:row r="1934">
      <x:c r="J1934" t="n">
        <x:f>1930</x:f>
        <x:v>1930</x:v>
      </x:c>
      <x:c r="K1934" t="str">
        <x:f>IF(J1934&lt;=$B$6,LARGE('계산'!$K$2:$K$2001,J1934),"")</x:f>
      </x:c>
      <x:c r="L1934" t="str">
        <x:f>IF(ISNUMBER(K1934),L1933+LN(K1934),"")</x:f>
      </x:c>
    </x:row>
    <x:row r="1935">
      <x:c r="J1935" t="n">
        <x:f>1931</x:f>
        <x:v>1931</x:v>
      </x:c>
      <x:c r="K1935" t="str">
        <x:f>IF(J1935&lt;=$B$6,LARGE('계산'!$K$2:$K$2001,J1935),"")</x:f>
      </x:c>
      <x:c r="L1935" t="str">
        <x:f>IF(ISNUMBER(K1935),L1934+LN(K1935),"")</x:f>
      </x:c>
    </x:row>
    <x:row r="1936">
      <x:c r="J1936" t="n">
        <x:f>1932</x:f>
        <x:v>1932</x:v>
      </x:c>
      <x:c r="K1936" t="str">
        <x:f>IF(J1936&lt;=$B$6,LARGE('계산'!$K$2:$K$2001,J1936),"")</x:f>
      </x:c>
      <x:c r="L1936" t="str">
        <x:f>IF(ISNUMBER(K1936),L1935+LN(K1936),"")</x:f>
      </x:c>
    </x:row>
    <x:row r="1937">
      <x:c r="J1937" t="n">
        <x:f>1933</x:f>
        <x:v>1933</x:v>
      </x:c>
      <x:c r="K1937" t="str">
        <x:f>IF(J1937&lt;=$B$6,LARGE('계산'!$K$2:$K$2001,J1937),"")</x:f>
      </x:c>
      <x:c r="L1937" t="str">
        <x:f>IF(ISNUMBER(K1937),L1936+LN(K1937),"")</x:f>
      </x:c>
    </x:row>
    <x:row r="1938">
      <x:c r="J1938" t="n">
        <x:f>1934</x:f>
        <x:v>1934</x:v>
      </x:c>
      <x:c r="K1938" t="str">
        <x:f>IF(J1938&lt;=$B$6,LARGE('계산'!$K$2:$K$2001,J1938),"")</x:f>
      </x:c>
      <x:c r="L1938" t="str">
        <x:f>IF(ISNUMBER(K1938),L1937+LN(K1938),"")</x:f>
      </x:c>
    </x:row>
    <x:row r="1939">
      <x:c r="J1939" t="n">
        <x:f>1935</x:f>
        <x:v>1935</x:v>
      </x:c>
      <x:c r="K1939" t="str">
        <x:f>IF(J1939&lt;=$B$6,LARGE('계산'!$K$2:$K$2001,J1939),"")</x:f>
      </x:c>
      <x:c r="L1939" t="str">
        <x:f>IF(ISNUMBER(K1939),L1938+LN(K1939),"")</x:f>
      </x:c>
    </x:row>
    <x:row r="1940">
      <x:c r="J1940" t="n">
        <x:f>1936</x:f>
        <x:v>1936</x:v>
      </x:c>
      <x:c r="K1940" t="str">
        <x:f>IF(J1940&lt;=$B$6,LARGE('계산'!$K$2:$K$2001,J1940),"")</x:f>
      </x:c>
      <x:c r="L1940" t="str">
        <x:f>IF(ISNUMBER(K1940),L1939+LN(K1940),"")</x:f>
      </x:c>
    </x:row>
    <x:row r="1941">
      <x:c r="J1941" t="n">
        <x:f>1937</x:f>
        <x:v>1937</x:v>
      </x:c>
      <x:c r="K1941" t="str">
        <x:f>IF(J1941&lt;=$B$6,LARGE('계산'!$K$2:$K$2001,J1941),"")</x:f>
      </x:c>
      <x:c r="L1941" t="str">
        <x:f>IF(ISNUMBER(K1941),L1940+LN(K1941),"")</x:f>
      </x:c>
    </x:row>
    <x:row r="1942">
      <x:c r="J1942" t="n">
        <x:f>1938</x:f>
        <x:v>1938</x:v>
      </x:c>
      <x:c r="K1942" t="str">
        <x:f>IF(J1942&lt;=$B$6,LARGE('계산'!$K$2:$K$2001,J1942),"")</x:f>
      </x:c>
      <x:c r="L1942" t="str">
        <x:f>IF(ISNUMBER(K1942),L1941+LN(K1942),"")</x:f>
      </x:c>
    </x:row>
    <x:row r="1943">
      <x:c r="J1943" t="n">
        <x:f>1939</x:f>
        <x:v>1939</x:v>
      </x:c>
      <x:c r="K1943" t="str">
        <x:f>IF(J1943&lt;=$B$6,LARGE('계산'!$K$2:$K$2001,J1943),"")</x:f>
      </x:c>
      <x:c r="L1943" t="str">
        <x:f>IF(ISNUMBER(K1943),L1942+LN(K1943),"")</x:f>
      </x:c>
    </x:row>
    <x:row r="1944">
      <x:c r="J1944" t="n">
        <x:f>1940</x:f>
        <x:v>1940</x:v>
      </x:c>
      <x:c r="K1944" t="str">
        <x:f>IF(J1944&lt;=$B$6,LARGE('계산'!$K$2:$K$2001,J1944),"")</x:f>
      </x:c>
      <x:c r="L1944" t="str">
        <x:f>IF(ISNUMBER(K1944),L1943+LN(K1944),"")</x:f>
      </x:c>
    </x:row>
    <x:row r="1945">
      <x:c r="J1945" t="n">
        <x:f>1941</x:f>
        <x:v>1941</x:v>
      </x:c>
      <x:c r="K1945" t="str">
        <x:f>IF(J1945&lt;=$B$6,LARGE('계산'!$K$2:$K$2001,J1945),"")</x:f>
      </x:c>
      <x:c r="L1945" t="str">
        <x:f>IF(ISNUMBER(K1945),L1944+LN(K1945),"")</x:f>
      </x:c>
    </x:row>
    <x:row r="1946">
      <x:c r="J1946" t="n">
        <x:f>1942</x:f>
        <x:v>1942</x:v>
      </x:c>
      <x:c r="K1946" t="str">
        <x:f>IF(J1946&lt;=$B$6,LARGE('계산'!$K$2:$K$2001,J1946),"")</x:f>
      </x:c>
      <x:c r="L1946" t="str">
        <x:f>IF(ISNUMBER(K1946),L1945+LN(K1946),"")</x:f>
      </x:c>
    </x:row>
    <x:row r="1947">
      <x:c r="J1947" t="n">
        <x:f>1943</x:f>
        <x:v>1943</x:v>
      </x:c>
      <x:c r="K1947" t="str">
        <x:f>IF(J1947&lt;=$B$6,LARGE('계산'!$K$2:$K$2001,J1947),"")</x:f>
      </x:c>
      <x:c r="L1947" t="str">
        <x:f>IF(ISNUMBER(K1947),L1946+LN(K1947),"")</x:f>
      </x:c>
    </x:row>
    <x:row r="1948">
      <x:c r="J1948" t="n">
        <x:f>1944</x:f>
        <x:v>1944</x:v>
      </x:c>
      <x:c r="K1948" t="str">
        <x:f>IF(J1948&lt;=$B$6,LARGE('계산'!$K$2:$K$2001,J1948),"")</x:f>
      </x:c>
      <x:c r="L1948" t="str">
        <x:f>IF(ISNUMBER(K1948),L1947+LN(K1948),"")</x:f>
      </x:c>
    </x:row>
    <x:row r="1949">
      <x:c r="J1949" t="n">
        <x:f>1945</x:f>
        <x:v>1945</x:v>
      </x:c>
      <x:c r="K1949" t="str">
        <x:f>IF(J1949&lt;=$B$6,LARGE('계산'!$K$2:$K$2001,J1949),"")</x:f>
      </x:c>
      <x:c r="L1949" t="str">
        <x:f>IF(ISNUMBER(K1949),L1948+LN(K1949),"")</x:f>
      </x:c>
    </x:row>
    <x:row r="1950">
      <x:c r="J1950" t="n">
        <x:f>1946</x:f>
        <x:v>1946</x:v>
      </x:c>
      <x:c r="K1950" t="str">
        <x:f>IF(J1950&lt;=$B$6,LARGE('계산'!$K$2:$K$2001,J1950),"")</x:f>
      </x:c>
      <x:c r="L1950" t="str">
        <x:f>IF(ISNUMBER(K1950),L1949+LN(K1950),"")</x:f>
      </x:c>
    </x:row>
    <x:row r="1951">
      <x:c r="J1951" t="n">
        <x:f>1947</x:f>
        <x:v>1947</x:v>
      </x:c>
      <x:c r="K1951" t="str">
        <x:f>IF(J1951&lt;=$B$6,LARGE('계산'!$K$2:$K$2001,J1951),"")</x:f>
      </x:c>
      <x:c r="L1951" t="str">
        <x:f>IF(ISNUMBER(K1951),L1950+LN(K1951),"")</x:f>
      </x:c>
    </x:row>
    <x:row r="1952">
      <x:c r="J1952" t="n">
        <x:f>1948</x:f>
        <x:v>1948</x:v>
      </x:c>
      <x:c r="K1952" t="str">
        <x:f>IF(J1952&lt;=$B$6,LARGE('계산'!$K$2:$K$2001,J1952),"")</x:f>
      </x:c>
      <x:c r="L1952" t="str">
        <x:f>IF(ISNUMBER(K1952),L1951+LN(K1952),"")</x:f>
      </x:c>
    </x:row>
    <x:row r="1953">
      <x:c r="J1953" t="n">
        <x:f>1949</x:f>
        <x:v>1949</x:v>
      </x:c>
      <x:c r="K1953" t="str">
        <x:f>IF(J1953&lt;=$B$6,LARGE('계산'!$K$2:$K$2001,J1953),"")</x:f>
      </x:c>
      <x:c r="L1953" t="str">
        <x:f>IF(ISNUMBER(K1953),L1952+LN(K1953),"")</x:f>
      </x:c>
    </x:row>
    <x:row r="1954">
      <x:c r="J1954" t="n">
        <x:f>1950</x:f>
        <x:v>1950</x:v>
      </x:c>
      <x:c r="K1954" t="str">
        <x:f>IF(J1954&lt;=$B$6,LARGE('계산'!$K$2:$K$2001,J1954),"")</x:f>
      </x:c>
      <x:c r="L1954" t="str">
        <x:f>IF(ISNUMBER(K1954),L1953+LN(K1954),"")</x:f>
      </x:c>
    </x:row>
    <x:row r="1955">
      <x:c r="J1955" t="n">
        <x:f>1951</x:f>
        <x:v>1951</x:v>
      </x:c>
      <x:c r="K1955" t="str">
        <x:f>IF(J1955&lt;=$B$6,LARGE('계산'!$K$2:$K$2001,J1955),"")</x:f>
      </x:c>
      <x:c r="L1955" t="str">
        <x:f>IF(ISNUMBER(K1955),L1954+LN(K1955),"")</x:f>
      </x:c>
    </x:row>
    <x:row r="1956">
      <x:c r="J1956" t="n">
        <x:f>1952</x:f>
        <x:v>1952</x:v>
      </x:c>
      <x:c r="K1956" t="str">
        <x:f>IF(J1956&lt;=$B$6,LARGE('계산'!$K$2:$K$2001,J1956),"")</x:f>
      </x:c>
      <x:c r="L1956" t="str">
        <x:f>IF(ISNUMBER(K1956),L1955+LN(K1956),"")</x:f>
      </x:c>
    </x:row>
    <x:row r="1957">
      <x:c r="J1957" t="n">
        <x:f>1953</x:f>
        <x:v>1953</x:v>
      </x:c>
      <x:c r="K1957" t="str">
        <x:f>IF(J1957&lt;=$B$6,LARGE('계산'!$K$2:$K$2001,J1957),"")</x:f>
      </x:c>
      <x:c r="L1957" t="str">
        <x:f>IF(ISNUMBER(K1957),L1956+LN(K1957),"")</x:f>
      </x:c>
    </x:row>
    <x:row r="1958">
      <x:c r="J1958" t="n">
        <x:f>1954</x:f>
        <x:v>1954</x:v>
      </x:c>
      <x:c r="K1958" t="str">
        <x:f>IF(J1958&lt;=$B$6,LARGE('계산'!$K$2:$K$2001,J1958),"")</x:f>
      </x:c>
      <x:c r="L1958" t="str">
        <x:f>IF(ISNUMBER(K1958),L1957+LN(K1958),"")</x:f>
      </x:c>
    </x:row>
    <x:row r="1959">
      <x:c r="J1959" t="n">
        <x:f>1955</x:f>
        <x:v>1955</x:v>
      </x:c>
      <x:c r="K1959" t="str">
        <x:f>IF(J1959&lt;=$B$6,LARGE('계산'!$K$2:$K$2001,J1959),"")</x:f>
      </x:c>
      <x:c r="L1959" t="str">
        <x:f>IF(ISNUMBER(K1959),L1958+LN(K1959),"")</x:f>
      </x:c>
    </x:row>
    <x:row r="1960">
      <x:c r="J1960" t="n">
        <x:f>1956</x:f>
        <x:v>1956</x:v>
      </x:c>
      <x:c r="K1960" t="str">
        <x:f>IF(J1960&lt;=$B$6,LARGE('계산'!$K$2:$K$2001,J1960),"")</x:f>
      </x:c>
      <x:c r="L1960" t="str">
        <x:f>IF(ISNUMBER(K1960),L1959+LN(K1960),"")</x:f>
      </x:c>
    </x:row>
    <x:row r="1961">
      <x:c r="J1961" t="n">
        <x:f>1957</x:f>
        <x:v>1957</x:v>
      </x:c>
      <x:c r="K1961" t="str">
        <x:f>IF(J1961&lt;=$B$6,LARGE('계산'!$K$2:$K$2001,J1961),"")</x:f>
      </x:c>
      <x:c r="L1961" t="str">
        <x:f>IF(ISNUMBER(K1961),L1960+LN(K1961),"")</x:f>
      </x:c>
    </x:row>
    <x:row r="1962">
      <x:c r="J1962" t="n">
        <x:f>1958</x:f>
        <x:v>1958</x:v>
      </x:c>
      <x:c r="K1962" t="str">
        <x:f>IF(J1962&lt;=$B$6,LARGE('계산'!$K$2:$K$2001,J1962),"")</x:f>
      </x:c>
      <x:c r="L1962" t="str">
        <x:f>IF(ISNUMBER(K1962),L1961+LN(K1962),"")</x:f>
      </x:c>
    </x:row>
    <x:row r="1963">
      <x:c r="J1963" t="n">
        <x:f>1959</x:f>
        <x:v>1959</x:v>
      </x:c>
      <x:c r="K1963" t="str">
        <x:f>IF(J1963&lt;=$B$6,LARGE('계산'!$K$2:$K$2001,J1963),"")</x:f>
      </x:c>
      <x:c r="L1963" t="str">
        <x:f>IF(ISNUMBER(K1963),L1962+LN(K1963),"")</x:f>
      </x:c>
    </x:row>
    <x:row r="1964">
      <x:c r="J1964" t="n">
        <x:f>1960</x:f>
        <x:v>1960</x:v>
      </x:c>
      <x:c r="K1964" t="str">
        <x:f>IF(J1964&lt;=$B$6,LARGE('계산'!$K$2:$K$2001,J1964),"")</x:f>
      </x:c>
      <x:c r="L1964" t="str">
        <x:f>IF(ISNUMBER(K1964),L1963+LN(K1964),"")</x:f>
      </x:c>
    </x:row>
    <x:row r="1965">
      <x:c r="J1965" t="n">
        <x:f>1961</x:f>
        <x:v>1961</x:v>
      </x:c>
      <x:c r="K1965" t="str">
        <x:f>IF(J1965&lt;=$B$6,LARGE('계산'!$K$2:$K$2001,J1965),"")</x:f>
      </x:c>
      <x:c r="L1965" t="str">
        <x:f>IF(ISNUMBER(K1965),L1964+LN(K1965),"")</x:f>
      </x:c>
    </x:row>
    <x:row r="1966">
      <x:c r="J1966" t="n">
        <x:f>1962</x:f>
        <x:v>1962</x:v>
      </x:c>
      <x:c r="K1966" t="str">
        <x:f>IF(J1966&lt;=$B$6,LARGE('계산'!$K$2:$K$2001,J1966),"")</x:f>
      </x:c>
      <x:c r="L1966" t="str">
        <x:f>IF(ISNUMBER(K1966),L1965+LN(K1966),"")</x:f>
      </x:c>
    </x:row>
    <x:row r="1967">
      <x:c r="J1967" t="n">
        <x:f>1963</x:f>
        <x:v>1963</x:v>
      </x:c>
      <x:c r="K1967" t="str">
        <x:f>IF(J1967&lt;=$B$6,LARGE('계산'!$K$2:$K$2001,J1967),"")</x:f>
      </x:c>
      <x:c r="L1967" t="str">
        <x:f>IF(ISNUMBER(K1967),L1966+LN(K1967),"")</x:f>
      </x:c>
    </x:row>
    <x:row r="1968">
      <x:c r="J1968" t="n">
        <x:f>1964</x:f>
        <x:v>1964</x:v>
      </x:c>
      <x:c r="K1968" t="str">
        <x:f>IF(J1968&lt;=$B$6,LARGE('계산'!$K$2:$K$2001,J1968),"")</x:f>
      </x:c>
      <x:c r="L1968" t="str">
        <x:f>IF(ISNUMBER(K1968),L1967+LN(K1968),"")</x:f>
      </x:c>
    </x:row>
    <x:row r="1969">
      <x:c r="J1969" t="n">
        <x:f>1965</x:f>
        <x:v>1965</x:v>
      </x:c>
      <x:c r="K1969" t="str">
        <x:f>IF(J1969&lt;=$B$6,LARGE('계산'!$K$2:$K$2001,J1969),"")</x:f>
      </x:c>
      <x:c r="L1969" t="str">
        <x:f>IF(ISNUMBER(K1969),L1968+LN(K1969),"")</x:f>
      </x:c>
    </x:row>
    <x:row r="1970">
      <x:c r="J1970" t="n">
        <x:f>1966</x:f>
        <x:v>1966</x:v>
      </x:c>
      <x:c r="K1970" t="str">
        <x:f>IF(J1970&lt;=$B$6,LARGE('계산'!$K$2:$K$2001,J1970),"")</x:f>
      </x:c>
      <x:c r="L1970" t="str">
        <x:f>IF(ISNUMBER(K1970),L1969+LN(K1970),"")</x:f>
      </x:c>
    </x:row>
    <x:row r="1971">
      <x:c r="J1971" t="n">
        <x:f>1967</x:f>
        <x:v>1967</x:v>
      </x:c>
      <x:c r="K1971" t="str">
        <x:f>IF(J1971&lt;=$B$6,LARGE('계산'!$K$2:$K$2001,J1971),"")</x:f>
      </x:c>
      <x:c r="L1971" t="str">
        <x:f>IF(ISNUMBER(K1971),L1970+LN(K1971),"")</x:f>
      </x:c>
    </x:row>
    <x:row r="1972">
      <x:c r="J1972" t="n">
        <x:f>1968</x:f>
        <x:v>1968</x:v>
      </x:c>
      <x:c r="K1972" t="str">
        <x:f>IF(J1972&lt;=$B$6,LARGE('계산'!$K$2:$K$2001,J1972),"")</x:f>
      </x:c>
      <x:c r="L1972" t="str">
        <x:f>IF(ISNUMBER(K1972),L1971+LN(K1972),"")</x:f>
      </x:c>
    </x:row>
    <x:row r="1973">
      <x:c r="J1973" t="n">
        <x:f>1969</x:f>
        <x:v>1969</x:v>
      </x:c>
      <x:c r="K1973" t="str">
        <x:f>IF(J1973&lt;=$B$6,LARGE('계산'!$K$2:$K$2001,J1973),"")</x:f>
      </x:c>
      <x:c r="L1973" t="str">
        <x:f>IF(ISNUMBER(K1973),L1972+LN(K1973),"")</x:f>
      </x:c>
    </x:row>
    <x:row r="1974">
      <x:c r="J1974" t="n">
        <x:f>1970</x:f>
        <x:v>1970</x:v>
      </x:c>
      <x:c r="K1974" t="str">
        <x:f>IF(J1974&lt;=$B$6,LARGE('계산'!$K$2:$K$2001,J1974),"")</x:f>
      </x:c>
      <x:c r="L1974" t="str">
        <x:f>IF(ISNUMBER(K1974),L1973+LN(K1974),"")</x:f>
      </x:c>
    </x:row>
    <x:row r="1975">
      <x:c r="J1975" t="n">
        <x:f>1971</x:f>
        <x:v>1971</x:v>
      </x:c>
      <x:c r="K1975" t="str">
        <x:f>IF(J1975&lt;=$B$6,LARGE('계산'!$K$2:$K$2001,J1975),"")</x:f>
      </x:c>
      <x:c r="L1975" t="str">
        <x:f>IF(ISNUMBER(K1975),L1974+LN(K1975),"")</x:f>
      </x:c>
    </x:row>
    <x:row r="1976">
      <x:c r="J1976" t="n">
        <x:f>1972</x:f>
        <x:v>1972</x:v>
      </x:c>
      <x:c r="K1976" t="str">
        <x:f>IF(J1976&lt;=$B$6,LARGE('계산'!$K$2:$K$2001,J1976),"")</x:f>
      </x:c>
      <x:c r="L1976" t="str">
        <x:f>IF(ISNUMBER(K1976),L1975+LN(K1976),"")</x:f>
      </x:c>
    </x:row>
    <x:row r="1977">
      <x:c r="J1977" t="n">
        <x:f>1973</x:f>
        <x:v>1973</x:v>
      </x:c>
      <x:c r="K1977" t="str">
        <x:f>IF(J1977&lt;=$B$6,LARGE('계산'!$K$2:$K$2001,J1977),"")</x:f>
      </x:c>
      <x:c r="L1977" t="str">
        <x:f>IF(ISNUMBER(K1977),L1976+LN(K1977),"")</x:f>
      </x:c>
    </x:row>
    <x:row r="1978">
      <x:c r="J1978" t="n">
        <x:f>1974</x:f>
        <x:v>1974</x:v>
      </x:c>
      <x:c r="K1978" t="str">
        <x:f>IF(J1978&lt;=$B$6,LARGE('계산'!$K$2:$K$2001,J1978),"")</x:f>
      </x:c>
      <x:c r="L1978" t="str">
        <x:f>IF(ISNUMBER(K1978),L1977+LN(K1978),"")</x:f>
      </x:c>
    </x:row>
    <x:row r="1979">
      <x:c r="J1979" t="n">
        <x:f>1975</x:f>
        <x:v>1975</x:v>
      </x:c>
      <x:c r="K1979" t="str">
        <x:f>IF(J1979&lt;=$B$6,LARGE('계산'!$K$2:$K$2001,J1979),"")</x:f>
      </x:c>
      <x:c r="L1979" t="str">
        <x:f>IF(ISNUMBER(K1979),L1978+LN(K1979),"")</x:f>
      </x:c>
    </x:row>
    <x:row r="1980">
      <x:c r="J1980" t="n">
        <x:f>1976</x:f>
        <x:v>1976</x:v>
      </x:c>
      <x:c r="K1980" t="str">
        <x:f>IF(J1980&lt;=$B$6,LARGE('계산'!$K$2:$K$2001,J1980),"")</x:f>
      </x:c>
      <x:c r="L1980" t="str">
        <x:f>IF(ISNUMBER(K1980),L1979+LN(K1980),"")</x:f>
      </x:c>
    </x:row>
    <x:row r="1981">
      <x:c r="J1981" t="n">
        <x:f>1977</x:f>
        <x:v>1977</x:v>
      </x:c>
      <x:c r="K1981" t="str">
        <x:f>IF(J1981&lt;=$B$6,LARGE('계산'!$K$2:$K$2001,J1981),"")</x:f>
      </x:c>
      <x:c r="L1981" t="str">
        <x:f>IF(ISNUMBER(K1981),L1980+LN(K1981),"")</x:f>
      </x:c>
    </x:row>
    <x:row r="1982">
      <x:c r="J1982" t="n">
        <x:f>1978</x:f>
        <x:v>1978</x:v>
      </x:c>
      <x:c r="K1982" t="str">
        <x:f>IF(J1982&lt;=$B$6,LARGE('계산'!$K$2:$K$2001,J1982),"")</x:f>
      </x:c>
      <x:c r="L1982" t="str">
        <x:f>IF(ISNUMBER(K1982),L1981+LN(K1982),"")</x:f>
      </x:c>
    </x:row>
    <x:row r="1983">
      <x:c r="J1983" t="n">
        <x:f>1979</x:f>
        <x:v>1979</x:v>
      </x:c>
      <x:c r="K1983" t="str">
        <x:f>IF(J1983&lt;=$B$6,LARGE('계산'!$K$2:$K$2001,J1983),"")</x:f>
      </x:c>
      <x:c r="L1983" t="str">
        <x:f>IF(ISNUMBER(K1983),L1982+LN(K1983),"")</x:f>
      </x:c>
    </x:row>
    <x:row r="1984">
      <x:c r="J1984" t="n">
        <x:f>1980</x:f>
        <x:v>1980</x:v>
      </x:c>
      <x:c r="K1984" t="str">
        <x:f>IF(J1984&lt;=$B$6,LARGE('계산'!$K$2:$K$2001,J1984),"")</x:f>
      </x:c>
      <x:c r="L1984" t="str">
        <x:f>IF(ISNUMBER(K1984),L1983+LN(K1984),"")</x:f>
      </x:c>
    </x:row>
    <x:row r="1985">
      <x:c r="J1985" t="n">
        <x:f>1981</x:f>
        <x:v>1981</x:v>
      </x:c>
      <x:c r="K1985" t="str">
        <x:f>IF(J1985&lt;=$B$6,LARGE('계산'!$K$2:$K$2001,J1985),"")</x:f>
      </x:c>
      <x:c r="L1985" t="str">
        <x:f>IF(ISNUMBER(K1985),L1984+LN(K1985),"")</x:f>
      </x:c>
    </x:row>
    <x:row r="1986">
      <x:c r="J1986" t="n">
        <x:f>1982</x:f>
        <x:v>1982</x:v>
      </x:c>
      <x:c r="K1986" t="str">
        <x:f>IF(J1986&lt;=$B$6,LARGE('계산'!$K$2:$K$2001,J1986),"")</x:f>
      </x:c>
      <x:c r="L1986" t="str">
        <x:f>IF(ISNUMBER(K1986),L1985+LN(K1986),"")</x:f>
      </x:c>
    </x:row>
    <x:row r="1987">
      <x:c r="J1987" t="n">
        <x:f>1983</x:f>
        <x:v>1983</x:v>
      </x:c>
      <x:c r="K1987" t="str">
        <x:f>IF(J1987&lt;=$B$6,LARGE('계산'!$K$2:$K$2001,J1987),"")</x:f>
      </x:c>
      <x:c r="L1987" t="str">
        <x:f>IF(ISNUMBER(K1987),L1986+LN(K1987),"")</x:f>
      </x:c>
    </x:row>
    <x:row r="1988">
      <x:c r="J1988" t="n">
        <x:f>1984</x:f>
        <x:v>1984</x:v>
      </x:c>
      <x:c r="K1988" t="str">
        <x:f>IF(J1988&lt;=$B$6,LARGE('계산'!$K$2:$K$2001,J1988),"")</x:f>
      </x:c>
      <x:c r="L1988" t="str">
        <x:f>IF(ISNUMBER(K1988),L1987+LN(K1988),"")</x:f>
      </x:c>
    </x:row>
    <x:row r="1989">
      <x:c r="J1989" t="n">
        <x:f>1985</x:f>
        <x:v>1985</x:v>
      </x:c>
      <x:c r="K1989" t="str">
        <x:f>IF(J1989&lt;=$B$6,LARGE('계산'!$K$2:$K$2001,J1989),"")</x:f>
      </x:c>
      <x:c r="L1989" t="str">
        <x:f>IF(ISNUMBER(K1989),L1988+LN(K1989),"")</x:f>
      </x:c>
    </x:row>
    <x:row r="1990">
      <x:c r="J1990" t="n">
        <x:f>1986</x:f>
        <x:v>1986</x:v>
      </x:c>
      <x:c r="K1990" t="str">
        <x:f>IF(J1990&lt;=$B$6,LARGE('계산'!$K$2:$K$2001,J1990),"")</x:f>
      </x:c>
      <x:c r="L1990" t="str">
        <x:f>IF(ISNUMBER(K1990),L1989+LN(K1990),"")</x:f>
      </x:c>
    </x:row>
    <x:row r="1991">
      <x:c r="J1991" t="n">
        <x:f>1987</x:f>
        <x:v>1987</x:v>
      </x:c>
      <x:c r="K1991" t="str">
        <x:f>IF(J1991&lt;=$B$6,LARGE('계산'!$K$2:$K$2001,J1991),"")</x:f>
      </x:c>
      <x:c r="L1991" t="str">
        <x:f>IF(ISNUMBER(K1991),L1990+LN(K1991),"")</x:f>
      </x:c>
    </x:row>
    <x:row r="1992">
      <x:c r="J1992" t="n">
        <x:f>1988</x:f>
        <x:v>1988</x:v>
      </x:c>
      <x:c r="K1992" t="str">
        <x:f>IF(J1992&lt;=$B$6,LARGE('계산'!$K$2:$K$2001,J1992),"")</x:f>
      </x:c>
      <x:c r="L1992" t="str">
        <x:f>IF(ISNUMBER(K1992),L1991+LN(K1992),"")</x:f>
      </x:c>
    </x:row>
    <x:row r="1993">
      <x:c r="J1993" t="n">
        <x:f>1989</x:f>
        <x:v>1989</x:v>
      </x:c>
      <x:c r="K1993" t="str">
        <x:f>IF(J1993&lt;=$B$6,LARGE('계산'!$K$2:$K$2001,J1993),"")</x:f>
      </x:c>
      <x:c r="L1993" t="str">
        <x:f>IF(ISNUMBER(K1993),L1992+LN(K1993),"")</x:f>
      </x:c>
    </x:row>
    <x:row r="1994">
      <x:c r="J1994" t="n">
        <x:f>1990</x:f>
        <x:v>1990</x:v>
      </x:c>
      <x:c r="K1994" t="str">
        <x:f>IF(J1994&lt;=$B$6,LARGE('계산'!$K$2:$K$2001,J1994),"")</x:f>
      </x:c>
      <x:c r="L1994" t="str">
        <x:f>IF(ISNUMBER(K1994),L1993+LN(K1994),"")</x:f>
      </x:c>
    </x:row>
    <x:row r="1995">
      <x:c r="J1995" t="n">
        <x:f>1991</x:f>
        <x:v>1991</x:v>
      </x:c>
      <x:c r="K1995" t="str">
        <x:f>IF(J1995&lt;=$B$6,LARGE('계산'!$K$2:$K$2001,J1995),"")</x:f>
      </x:c>
      <x:c r="L1995" t="str">
        <x:f>IF(ISNUMBER(K1995),L1994+LN(K1995),"")</x:f>
      </x:c>
    </x:row>
    <x:row r="1996">
      <x:c r="J1996" t="n">
        <x:f>1992</x:f>
        <x:v>1992</x:v>
      </x:c>
      <x:c r="K1996" t="str">
        <x:f>IF(J1996&lt;=$B$6,LARGE('계산'!$K$2:$K$2001,J1996),"")</x:f>
      </x:c>
      <x:c r="L1996" t="str">
        <x:f>IF(ISNUMBER(K1996),L1995+LN(K1996),"")</x:f>
      </x:c>
    </x:row>
    <x:row r="1997">
      <x:c r="J1997" t="n">
        <x:f>1993</x:f>
        <x:v>1993</x:v>
      </x:c>
      <x:c r="K1997" t="str">
        <x:f>IF(J1997&lt;=$B$6,LARGE('계산'!$K$2:$K$2001,J1997),"")</x:f>
      </x:c>
      <x:c r="L1997" t="str">
        <x:f>IF(ISNUMBER(K1997),L1996+LN(K1997),"")</x:f>
      </x:c>
    </x:row>
    <x:row r="1998">
      <x:c r="J1998" t="n">
        <x:f>1994</x:f>
        <x:v>1994</x:v>
      </x:c>
      <x:c r="K1998" t="str">
        <x:f>IF(J1998&lt;=$B$6,LARGE('계산'!$K$2:$K$2001,J1998),"")</x:f>
      </x:c>
      <x:c r="L1998" t="str">
        <x:f>IF(ISNUMBER(K1998),L1997+LN(K1998),"")</x:f>
      </x:c>
    </x:row>
    <x:row r="1999">
      <x:c r="J1999" t="n">
        <x:f>1995</x:f>
        <x:v>1995</x:v>
      </x:c>
      <x:c r="K1999" t="str">
        <x:f>IF(J1999&lt;=$B$6,LARGE('계산'!$K$2:$K$2001,J1999),"")</x:f>
      </x:c>
      <x:c r="L1999" t="str">
        <x:f>IF(ISNUMBER(K1999),L1998+LN(K1999),"")</x:f>
      </x:c>
    </x:row>
    <x:row r="2000">
      <x:c r="J2000" t="n">
        <x:f>1996</x:f>
        <x:v>1996</x:v>
      </x:c>
      <x:c r="K2000" t="str">
        <x:f>IF(J2000&lt;=$B$6,LARGE('계산'!$K$2:$K$2001,J2000),"")</x:f>
      </x:c>
      <x:c r="L2000" t="str">
        <x:f>IF(ISNUMBER(K2000),L1999+LN(K2000),"")</x:f>
      </x:c>
    </x:row>
    <x:row r="2001">
      <x:c r="J2001" t="n">
        <x:f>1997</x:f>
        <x:v>1997</x:v>
      </x:c>
      <x:c r="K2001" t="str">
        <x:f>IF(J2001&lt;=$B$6,LARGE('계산'!$K$2:$K$2001,J2001),"")</x:f>
      </x:c>
      <x:c r="L2001" t="str">
        <x:f>IF(ISNUMBER(K2001),L2000+LN(K2001),"")</x:f>
      </x:c>
    </x:row>
    <x:row r="2002">
      <x:c r="J2002" t="n">
        <x:f>1998</x:f>
        <x:v>1998</x:v>
      </x:c>
      <x:c r="K2002" t="str">
        <x:f>IF(J2002&lt;=$B$6,LARGE('계산'!$K$2:$K$2001,J2002),"")</x:f>
      </x:c>
      <x:c r="L2002" t="str">
        <x:f>IF(ISNUMBER(K2002),L2001+LN(K2002),"")</x:f>
      </x:c>
    </x:row>
    <x:row r="2003">
      <x:c r="J2003" t="n">
        <x:f>1999</x:f>
        <x:v>1999</x:v>
      </x:c>
      <x:c r="K2003" t="str">
        <x:f>IF(J2003&lt;=$B$6,LARGE('계산'!$K$2:$K$2001,J2003),"")</x:f>
      </x:c>
      <x:c r="L2003" t="str">
        <x:f>IF(ISNUMBER(K2003),L2002+LN(K2003),"")</x:f>
      </x:c>
    </x:row>
    <x:row r="2004">
      <x:c r="J2004" t="n">
        <x:f>2000</x:f>
        <x:v>2000</x:v>
      </x:c>
      <x:c r="K2004" t="str">
        <x:f>IF(J2004&lt;=$B$6,LARGE('계산'!$K$2:$K$2001,J2004),"")</x:f>
      </x:c>
      <x:c r="L2004" t="str">
        <x:f>IF(ISNUMBER(K2004),L2003+LN(K2004),"")</x:f>
      </x:c>
    </x:row>
  </x:sheetData>
  <x:pageMargins left="0.7" right="0.7" top="0.75" bottom="0.75" header="0.3" footer="0.3"/>
  <x:drawing xmlns:r="http://schemas.openxmlformats.org/officeDocument/2006/relationships" r:id="R5a62b65d10e440ec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6" customHeight="1">
      <x:c r="A1" s="9" t="str">
        <x:v>i</x:v>
      </x:c>
      <x:c r="B1" s="9" t="str">
        <x:v>선택 수익률</x:v>
      </x:c>
      <x:c r="C1" s="9" t="str">
        <x:v>평균편차</x:v>
      </x:c>
      <x:c r="D1" s="9" t="str">
        <x:v>편차²</x:v>
      </x:c>
      <x:c r="E1" s="9" t="str">
        <x:v>편차³</x:v>
      </x:c>
      <x:c r="F1" s="9" t="str">
        <x:v>편차⁴</x:v>
      </x:c>
      <x:c r="G1" s="9" t="str">
        <x:v>|r|</x:v>
      </x:c>
      <x:c r="H1" s="9" t="str">
        <x:v>r²</x:v>
      </x:c>
      <x:c r="I1" s="9" t="str">
        <x:v>|r|−평균</x:v>
      </x:c>
      <x:c r="J1" s="9" t="str">
        <x:v>r²−평균</x:v>
      </x:c>
      <x:c r="K1" s="1" t="str">
        <x:v>선택 양수 꼬리</x:v>
      </x:c>
      <x:c r="L1" s="1"/>
    </x:row>
    <x:row r="2">
      <x:c r="A2" s="1" t="n">
        <x:f>1</x:f>
        <x:v>1</x:v>
      </x:c>
      <x:c r="B2" s="5" t="n">
        <x:f>IF('요약'!$B$4=4,IF(ISNUMBER('input'!A2),'input'!A2,""),IF(1&lt;=1000,CHOOSE('요약'!$B$4,'input'!B2,'input'!C2,'input'!D2),""))</x:f>
        <x:v>-0.012528280903130122</x:v>
      </x:c>
      <x:c r="C2" s="5" t="n">
        <x:f>IF(AND(ISNUMBER(B2),'요약'!$B$19),B2-'요약'!$B$7,"")</x:f>
        <x:v>-0.012480041576080621</x:v>
      </x:c>
      <x:c r="D2" s="5" t="n">
        <x:f>IF(ISNUMBER(C2),C2^2,"")</x:f>
        <x:v>0.00015575143774070087</x:v>
      </x:c>
      <x:c r="E2" s="14" t="n">
        <x:f>IF(ISNUMBER(C2),C2^3,"")</x:f>
        <x:v>-0.0000019437844185382792</x:v>
      </x:c>
      <x:c r="F2" s="14" t="n">
        <x:f>IF(ISNUMBER(C2),C2^4,"")</x:f>
        <x:v>2.425851035829542e-8</x:v>
      </x:c>
      <x:c r="G2" s="5" t="n">
        <x:f>IF(ISNUMBER(B2),ABS(B2),"")</x:f>
        <x:v>0.012528280903130122</x:v>
      </x:c>
      <x:c r="H2" s="5" t="n">
        <x:f>IF(ISNUMBER(B2),B2^2,"")</x:f>
        <x:v>0.00015695782238773492</x:v>
      </x:c>
      <x:c r="I2" s="5" t="n">
        <x:f>IF(AND(ISNUMBER(G2),'요약'!$B$19),G2-'요약'!$B$14,"")</x:f>
        <x:v>0.004514764275727267</x:v>
      </x:c>
      <x:c r="J2" s="5" t="n">
        <x:f>IF(AND(ISNUMBER(H2),'요약'!$B$19),H2-'요약'!$B$15,"")</x:f>
        <x:v>0.000054748123201642815</x:v>
      </x:c>
      <x:c r="K2" s="1" t="n">
        <x:f>IF(ISNUMBER(B2),IF('Hill'!$B$4=1,IF(B2&lt;0,-B2,""),IF('Hill'!$B$4=2,IF(B2&gt;0,B2,""),IF('Hill'!$B$4=3,IF(B2&lt;&gt;0,ABS(B2),""),""))),"")</x:f>
        <x:v>0.012528280903130122</x:v>
      </x:c>
      <x:c r="L2" s="1"/>
    </x:row>
    <x:row r="3">
      <x:c r="A3" s="1" t="n">
        <x:f>2</x:f>
        <x:v>2</x:v>
      </x:c>
      <x:c r="B3" s="5" t="n">
        <x:f>IF('요약'!$B$4=4,IF(ISNUMBER('input'!A3),'input'!A3,""),IF(2&lt;=1000,CHOOSE('요약'!$B$4,'input'!B3,'input'!C3,'input'!D3),""))</x:f>
        <x:v>-0.012568972117333746</x:v>
      </x:c>
      <x:c r="C3" s="5" t="n">
        <x:f>IF(AND(ISNUMBER(B3),'요약'!$B$19),B3-'요약'!$B$7,"")</x:f>
        <x:v>-0.012520732790284246</x:v>
      </x:c>
      <x:c r="D3" s="5" t="n">
        <x:f>IF(ISNUMBER(C3),C3^2,"")</x:f>
        <x:v>0.0001567687496056991</x:v>
      </x:c>
      <x:c r="E3" s="14" t="n">
        <x:f>IF(ISNUMBER(C3),C3^3,"")</x:f>
        <x:v>-0.000001962859623679937</x:v>
      </x:c>
      <x:c r="F3" s="14" t="n">
        <x:f>IF(ISNUMBER(C3),C3^4,"")</x:f>
        <x:v>2.4576440852934387e-8</x:v>
      </x:c>
      <x:c r="G3" s="5" t="n">
        <x:f>IF(ISNUMBER(B3),ABS(B3),"")</x:f>
        <x:v>0.012568972117333746</x:v>
      </x:c>
      <x:c r="H3" s="5" t="n">
        <x:f>IF(ISNUMBER(B3),B3^2,"")</x:f>
        <x:v>0.00015797906008631316</x:v>
      </x:c>
      <x:c r="I3" s="5" t="n">
        <x:f>IF(AND(ISNUMBER(G3),'요약'!$B$19),G3-'요약'!$B$14,"")</x:f>
        <x:v>0.004555455489930891</x:v>
      </x:c>
      <x:c r="J3" s="5" t="n">
        <x:f>IF(AND(ISNUMBER(H3),'요약'!$B$19),H3-'요약'!$B$15,"")</x:f>
        <x:v>0.00005576936090022106</x:v>
      </x:c>
      <x:c r="K3" s="1" t="n">
        <x:f>IF(ISNUMBER(B3),IF('Hill'!$B$4=1,IF(B3&lt;0,-B3,""),IF('Hill'!$B$4=2,IF(B3&gt;0,B3,""),IF('Hill'!$B$4=3,IF(B3&lt;&gt;0,ABS(B3),""),""))),"")</x:f>
        <x:v>0.012568972117333746</x:v>
      </x:c>
      <x:c r="L3" s="1"/>
    </x:row>
    <x:row r="4">
      <x:c r="A4" s="1" t="n">
        <x:f>3</x:f>
        <x:v>3</x:v>
      </x:c>
      <x:c r="B4" s="5" t="n">
        <x:f>IF('요약'!$B$4=4,IF(ISNUMBER('input'!A4),'input'!A4,""),IF(3&lt;=1000,CHOOSE('요약'!$B$4,'input'!B4,'input'!C4,'input'!D4),""))</x:f>
        <x:v>-0.0007538127542676815</x:v>
      </x:c>
      <x:c r="C4" s="5" t="n">
        <x:f>IF(AND(ISNUMBER(B4),'요약'!$B$19),B4-'요약'!$B$7,"")</x:f>
        <x:v>-0.0007055734272181801</x:v>
      </x:c>
      <x:c r="D4" s="5" t="n">
        <x:f>IF(ISNUMBER(C4),C4^2,"")</x:f>
        <x:v>4.978338611964086e-7</x:v>
      </x:c>
      <x:c r="E4" s="14" t="n">
        <x:f>IF(ISNUMBER(C4),C4^3,"")</x:f>
        <x:v>-3.5125834362960973e-10</x:v>
      </x:c>
      <x:c r="F4" s="14" t="n">
        <x:f>IF(ISNUMBER(C4),C4^4,"")</x:f>
        <x:v>2.4783855335372494e-13</x:v>
      </x:c>
      <x:c r="G4" s="5" t="n">
        <x:f>IF(ISNUMBER(B4),ABS(B4),"")</x:f>
        <x:v>0.0007538127542676815</x:v>
      </x:c>
      <x:c r="H4" s="5" t="n">
        <x:f>IF(ISNUMBER(B4),B4^2,"")</x:f>
        <x:v>5.68233668496628e-7</x:v>
      </x:c>
      <x:c r="I4" s="5" t="n">
        <x:f>IF(AND(ISNUMBER(G4),'요약'!$B$19),G4-'요약'!$B$14,"")</x:f>
        <x:v>-0.007259703873135174</x:v>
      </x:c>
      <x:c r="J4" s="5" t="n">
        <x:f>IF(AND(ISNUMBER(H4),'요약'!$B$19),H4-'요약'!$B$15,"")</x:f>
        <x:v>-0.00010164146551759547</x:v>
      </x:c>
      <x:c r="K4" s="1" t="n">
        <x:f>IF(ISNUMBER(B4),IF('Hill'!$B$4=1,IF(B4&lt;0,-B4,""),IF('Hill'!$B$4=2,IF(B4&gt;0,B4,""),IF('Hill'!$B$4=3,IF(B4&lt;&gt;0,ABS(B4),""),""))),"")</x:f>
        <x:v>0.0007538127542676815</x:v>
      </x:c>
      <x:c r="L4" s="1"/>
    </x:row>
    <x:row r="5">
      <x:c r="A5" s="1" t="n">
        <x:f>4</x:f>
        <x:v>4</x:v>
      </x:c>
      <x:c r="B5" s="5" t="n">
        <x:f>IF('요약'!$B$4=4,IF(ISNUMBER('input'!A5),'input'!A5,""),IF(4&lt;=1000,CHOOSE('요약'!$B$4,'input'!B5,'input'!C5,'input'!D5),""))</x:f>
        <x:v>-0.0031306105711563386</x:v>
      </x:c>
      <x:c r="C5" s="5" t="n">
        <x:f>IF(AND(ISNUMBER(B5),'요약'!$B$19),B5-'요약'!$B$7,"")</x:f>
        <x:v>-0.003082371244106837</x:v>
      </x:c>
      <x:c r="D5" s="5" t="n">
        <x:f>IF(ISNUMBER(C5),C5^2,"")</x:f>
        <x:v>0.000009501012486496731</x:v>
      </x:c>
      <x:c r="E5" s="14" t="n">
        <x:f>IF(ISNUMBER(C5),C5^3,"")</x:f>
        <x:v>-2.9285647678277523e-8</x:v>
      </x:c>
      <x:c r="F5" s="14" t="n">
        <x:f>IF(ISNUMBER(C5),C5^4,"")</x:f>
        <x:v>9.026923826856679e-11</x:v>
      </x:c>
      <x:c r="G5" s="5" t="n">
        <x:f>IF(ISNUMBER(B5),ABS(B5),"")</x:f>
        <x:v>0.0031306105711563386</x:v>
      </x:c>
      <x:c r="H5" s="5" t="n">
        <x:f>IF(ISNUMBER(B5),B5^2,"")</x:f>
        <x:v>0.000009800722548235817</x:v>
      </x:c>
      <x:c r="I5" s="5" t="n">
        <x:f>IF(AND(ISNUMBER(G5),'요약'!$B$19),G5-'요약'!$B$14,"")</x:f>
        <x:v>-0.004882906056246517</x:v>
      </x:c>
      <x:c r="J5" s="5" t="n">
        <x:f>IF(AND(ISNUMBER(H5),'요약'!$B$19),H5-'요약'!$B$15,"")</x:f>
        <x:v>-0.0000924089766378563</x:v>
      </x:c>
      <x:c r="K5" s="1" t="n">
        <x:f>IF(ISNUMBER(B5),IF('Hill'!$B$4=1,IF(B5&lt;0,-B5,""),IF('Hill'!$B$4=2,IF(B5&gt;0,B5,""),IF('Hill'!$B$4=3,IF(B5&lt;&gt;0,ABS(B5),""),""))),"")</x:f>
        <x:v>0.0031306105711563386</x:v>
      </x:c>
      <x:c r="L5" s="1"/>
    </x:row>
    <x:row r="6">
      <x:c r="A6" s="1" t="n">
        <x:f>5</x:f>
        <x:v>5</x:v>
      </x:c>
      <x:c r="B6" s="5" t="n">
        <x:f>IF('요약'!$B$4=4,IF(ISNUMBER('input'!A6),'input'!A6,""),IF(5&lt;=1000,CHOOSE('요약'!$B$4,'input'!B6,'input'!C6,'input'!D6),""))</x:f>
        <x:v>-0.005991602839611443</x:v>
      </x:c>
      <x:c r="C6" s="5" t="n">
        <x:f>IF(AND(ISNUMBER(B6),'요약'!$B$19),B6-'요약'!$B$7,"")</x:f>
        <x:v>-0.005943363512561942</x:v>
      </x:c>
      <x:c r="D6" s="5" t="n">
        <x:f>IF(ISNUMBER(C6),C6^2,"")</x:f>
        <x:v>0.000035323569842452624</x:v>
      </x:c>
      <x:c r="E6" s="14" t="n">
        <x:f>IF(ISNUMBER(C6),C6^3,"")</x:f>
        <x:v>-2.099408161350663e-7</x:v>
      </x:c>
      <x:c r="F6" s="14" t="n">
        <x:f>IF(ISNUMBER(C6),C6^4,"")</x:f>
        <x:v>1.2477545864146284e-9</x:v>
      </x:c>
      <x:c r="G6" s="5" t="n">
        <x:f>IF(ISNUMBER(B6),ABS(B6),"")</x:f>
        <x:v>0.005991602839611443</x:v>
      </x:c>
      <x:c r="H6" s="5" t="n">
        <x:f>IF(ISNUMBER(B6),B6^2,"")</x:f>
        <x:v>0.00003589930458763991</x:v>
      </x:c>
      <x:c r="I6" s="5" t="n">
        <x:f>IF(AND(ISNUMBER(G6),'요약'!$B$19),G6-'요약'!$B$14,"")</x:f>
        <x:v>-0.002021913787791412</x:v>
      </x:c>
      <x:c r="J6" s="5" t="n">
        <x:f>IF(AND(ISNUMBER(H6),'요약'!$B$19),H6-'요약'!$B$15,"")</x:f>
        <x:v>-0.0000663103945984522</x:v>
      </x:c>
      <x:c r="K6" s="1" t="n">
        <x:f>IF(ISNUMBER(B6),IF('Hill'!$B$4=1,IF(B6&lt;0,-B6,""),IF('Hill'!$B$4=2,IF(B6&gt;0,B6,""),IF('Hill'!$B$4=3,IF(B6&lt;&gt;0,ABS(B6),""),""))),"")</x:f>
        <x:v>0.005991602839611443</x:v>
      </x:c>
      <x:c r="L6" s="1"/>
    </x:row>
    <x:row r="7">
      <x:c r="A7" s="1" t="n">
        <x:f>6</x:f>
        <x:v>6</x:v>
      </x:c>
      <x:c r="B7" s="5" t="n">
        <x:f>IF('요약'!$B$4=4,IF(ISNUMBER('input'!A7),'input'!A7,""),IF(6&lt;=1000,CHOOSE('요약'!$B$4,'input'!B7,'input'!C7,'input'!D7),""))</x:f>
        <x:v>0.005928234770388743</x:v>
      </x:c>
      <x:c r="C7" s="5" t="n">
        <x:f>IF(AND(ISNUMBER(B7),'요약'!$B$19),B7-'요약'!$B$7,"")</x:f>
        <x:v>0.005976474097438245</x:v>
      </x:c>
      <x:c r="D7" s="5" t="n">
        <x:f>IF(ISNUMBER(C7),C7^2,"")</x:f>
        <x:v>0.00003571824263735028</x:v>
      </x:c>
      <x:c r="E7" s="14" t="n">
        <x:f>IF(ISNUMBER(C7),C7^3,"")</x:f>
        <x:v>2.1346915192813827e-7</x:v>
      </x:c>
      <x:c r="F7" s="14" t="n">
        <x:f>IF(ISNUMBER(C7),C7^4,"")</x:f>
        <x:v>1.2757928571006276e-9</x:v>
      </x:c>
      <x:c r="G7" s="5" t="n">
        <x:f>IF(ISNUMBER(B7),ABS(B7),"")</x:f>
        <x:v>0.005928234770388743</x:v>
      </x:c>
      <x:c r="H7" s="5" t="n">
        <x:f>IF(ISNUMBER(B7),B7^2,"")</x:f>
        <x:v>0.00003514396749284608</x:v>
      </x:c>
      <x:c r="I7" s="5" t="n">
        <x:f>IF(AND(ISNUMBER(G7),'요약'!$B$19),G7-'요약'!$B$14,"")</x:f>
        <x:v>-0.002085281857014112</x:v>
      </x:c>
      <x:c r="J7" s="5" t="n">
        <x:f>IF(AND(ISNUMBER(H7),'요약'!$B$19),H7-'요약'!$B$15,"")</x:f>
        <x:v>-0.00006706573169324603</x:v>
      </x:c>
      <x:c r="K7" s="1" t="str">
        <x:f>IF(ISNUMBER(B7),IF('Hill'!$B$4=1,IF(B7&lt;0,-B7,""),IF('Hill'!$B$4=2,IF(B7&gt;0,B7,""),IF('Hill'!$B$4=3,IF(B7&lt;&gt;0,ABS(B7),""),""))),"")</x:f>
      </x:c>
      <x:c r="L7" s="1"/>
    </x:row>
    <x:row r="8">
      <x:c r="A8" s="1" t="n">
        <x:f>7</x:f>
        <x:v>7</x:v>
      </x:c>
      <x:c r="B8" s="5" t="n">
        <x:f>IF('요약'!$B$4=4,IF(ISNUMBER('input'!A8),'input'!A8,""),IF(7&lt;=1000,CHOOSE('요약'!$B$4,'input'!B8,'input'!C8,'input'!D8),""))</x:f>
        <x:v>-0.018612551230186746</x:v>
      </x:c>
      <x:c r="C8" s="5" t="n">
        <x:f>IF(AND(ISNUMBER(B8),'요약'!$B$19),B8-'요약'!$B$7,"")</x:f>
        <x:v>-0.018564311903137246</x:v>
      </x:c>
      <x:c r="D8" s="5" t="n">
        <x:f>IF(ISNUMBER(C8),C8^2,"")</x:f>
        <x:v>0.0003446336764369632</x:v>
      </x:c>
      <x:c r="E8" s="14" t="n">
        <x:f>IF(ISNUMBER(C8),C8^3,"")</x:f>
        <x:v>-0.000006397887061700666</x:v>
      </x:c>
      <x:c r="F8" s="14" t="n">
        <x:f>IF(ISNUMBER(C8),C8^4,"")</x:f>
        <x:v>1.1877237093445746e-7</x:v>
      </x:c>
      <x:c r="G8" s="5" t="n">
        <x:f>IF(ISNUMBER(B8),ABS(B8),"")</x:f>
        <x:v>0.018612551230186746</x:v>
      </x:c>
      <x:c r="H8" s="5" t="n">
        <x:f>IF(ISNUMBER(B8),B8^2,"")</x:f>
        <x:v>0.00034642706329632614</x:v>
      </x:c>
      <x:c r="I8" s="5" t="n">
        <x:f>IF(AND(ISNUMBER(G8),'요약'!$B$19),G8-'요약'!$B$14,"")</x:f>
        <x:v>0.01059903460278389</x:v>
      </x:c>
      <x:c r="J8" s="5" t="n">
        <x:f>IF(AND(ISNUMBER(H8),'요약'!$B$19),H8-'요약'!$B$15,"")</x:f>
        <x:v>0.00024421736411023407</x:v>
      </x:c>
      <x:c r="K8" s="1" t="n">
        <x:f>IF(ISNUMBER(B8),IF('Hill'!$B$4=1,IF(B8&lt;0,-B8,""),IF('Hill'!$B$4=2,IF(B8&gt;0,B8,""),IF('Hill'!$B$4=3,IF(B8&lt;&gt;0,ABS(B8),""),""))),"")</x:f>
        <x:v>0.018612551230186746</x:v>
      </x:c>
      <x:c r="L8" s="1"/>
    </x:row>
    <x:row r="9">
      <x:c r="A9" s="1" t="n">
        <x:f>8</x:f>
        <x:v>8</x:v>
      </x:c>
      <x:c r="B9" s="5" t="n">
        <x:f>IF('요약'!$B$4=4,IF(ISNUMBER('input'!A9),'input'!A9,""),IF(8&lt;=1000,CHOOSE('요약'!$B$4,'input'!B9,'input'!C9,'input'!D9),""))</x:f>
        <x:v>-0.00011657298319013716</x:v>
      </x:c>
      <x:c r="C9" s="5" t="n">
        <x:f>IF(AND(ISNUMBER(B9),'요약'!$B$19),B9-'요약'!$B$7,"")</x:f>
        <x:v>-0.00006833365614063579</x:v>
      </x:c>
      <x:c r="D9" s="5" t="n">
        <x:f>IF(ISNUMBER(C9),C9^2,"")</x:f>
        <x:v>4.669488561546651e-9</x:v>
      </x:c>
      <x:c r="E9" s="14" t="n">
        <x:f>IF(ISNUMBER(C9),C9^3,"")</x:f>
        <x:v>-3.1908322571736086e-13</x:v>
      </x:c>
      <x:c r="F9" s="14" t="n">
        <x:f>IF(ISNUMBER(C9),C9^4,"")</x:f>
        <x:v>2.180412342641501e-17</x:v>
      </x:c>
      <x:c r="G9" s="5" t="n">
        <x:f>IF(ISNUMBER(B9),ABS(B9),"")</x:f>
        <x:v>0.00011657298319013716</x:v>
      </x:c>
      <x:c r="H9" s="5" t="n">
        <x:f>IF(ISNUMBER(B9),B9^2,"")</x:f>
        <x:v>1.3589260409848e-8</x:v>
      </x:c>
      <x:c r="I9" s="5" t="n">
        <x:f>IF(AND(ISNUMBER(G9),'요약'!$B$19),G9-'요약'!$B$14,"")</x:f>
        <x:v>-0.007896943644212718</x:v>
      </x:c>
      <x:c r="J9" s="5" t="n">
        <x:f>IF(AND(ISNUMBER(H9),'요약'!$B$19),H9-'요약'!$B$15,"")</x:f>
        <x:v>-0.00010219610992568225</x:v>
      </x:c>
      <x:c r="K9" s="1" t="n">
        <x:f>IF(ISNUMBER(B9),IF('Hill'!$B$4=1,IF(B9&lt;0,-B9,""),IF('Hill'!$B$4=2,IF(B9&gt;0,B9,""),IF('Hill'!$B$4=3,IF(B9&lt;&gt;0,ABS(B9),""),""))),"")</x:f>
        <x:v>0.00011657298319013716</x:v>
      </x:c>
      <x:c r="L9" s="1"/>
    </x:row>
    <x:row r="10">
      <x:c r="A10" s="1" t="n">
        <x:f>9</x:f>
        <x:v>9</x:v>
      </x:c>
      <x:c r="B10" s="5" t="n">
        <x:f>IF('요약'!$B$4=4,IF(ISNUMBER('input'!A10),'input'!A10,""),IF(9&lt;=1000,CHOOSE('요약'!$B$4,'input'!B10,'input'!C10,'input'!D10),""))</x:f>
        <x:v>0.00619835551638812</x:v>
      </x:c>
      <x:c r="C10" s="5" t="n">
        <x:f>IF(AND(ISNUMBER(B10),'요약'!$B$19),B10-'요약'!$B$7,"")</x:f>
        <x:v>0.006246594843437621</x:v>
      </x:c>
      <x:c r="D10" s="5" t="n">
        <x:f>IF(ISNUMBER(C10),C10^2,"")</x:f>
        <x:v>0.00003901994713806148</x:v>
      </x:c>
      <x:c r="E10" s="14" t="n">
        <x:f>IF(ISNUMBER(C10),C10^3,"")</x:f>
        <x:v>2.437418005838234e-7</x:v>
      </x:c>
      <x:c r="F10" s="14" t="n">
        <x:f>IF(ISNUMBER(C10),C10^4,"")</x:f>
        <x:v>1.5225562746571124e-9</x:v>
      </x:c>
      <x:c r="G10" s="5" t="n">
        <x:f>IF(ISNUMBER(B10),ABS(B10),"")</x:f>
        <x:v>0.00619835551638812</x:v>
      </x:c>
      <x:c r="H10" s="5" t="n">
        <x:f>IF(ISNUMBER(B10),B10^2,"")</x:f>
        <x:v>0.000038419611107539036</x:v>
      </x:c>
      <x:c r="I10" s="5" t="n">
        <x:f>IF(AND(ISNUMBER(G10),'요약'!$B$19),G10-'요약'!$B$14,"")</x:f>
        <x:v>-0.0018151611110147356</x:v>
      </x:c>
      <x:c r="J10" s="5" t="n">
        <x:f>IF(AND(ISNUMBER(H10),'요약'!$B$19),H10-'요약'!$B$15,"")</x:f>
        <x:v>-0.00006379008807855306</x:v>
      </x:c>
      <x:c r="K10" s="1" t="str">
        <x:f>IF(ISNUMBER(B10),IF('Hill'!$B$4=1,IF(B10&lt;0,-B10,""),IF('Hill'!$B$4=2,IF(B10&gt;0,B10,""),IF('Hill'!$B$4=3,IF(B10&lt;&gt;0,ABS(B10),""),""))),"")</x:f>
      </x:c>
      <x:c r="L10" s="1"/>
    </x:row>
    <x:row r="11">
      <x:c r="A11" s="1" t="n">
        <x:f>10</x:f>
        <x:v>10</x:v>
      </x:c>
      <x:c r="B11" s="5" t="n">
        <x:f>IF('요약'!$B$4=4,IF(ISNUMBER('input'!A11),'input'!A11,""),IF(10&lt;=1000,CHOOSE('요약'!$B$4,'input'!B11,'input'!C11,'input'!D11),""))</x:f>
        <x:v>-0.01948001153027287</x:v>
      </x:c>
      <x:c r="C11" s="5" t="n">
        <x:f>IF(AND(ISNUMBER(B11),'요약'!$B$19),B11-'요약'!$B$7,"")</x:f>
        <x:v>-0.01943177220322337</x:v>
      </x:c>
      <x:c r="D11" s="5" t="n">
        <x:f>IF(ISNUMBER(C11),C11^2,"")</x:f>
        <x:v>0.00037759377095796437</x:v>
      </x:c>
      <x:c r="E11" s="14" t="n">
        <x:f>IF(ISNUMBER(C11),C11^3,"")</x:f>
        <x:v>-0.000007337316142611263</x:v>
      </x:c>
      <x:c r="F11" s="14" t="n">
        <x:f>IF(ISNUMBER(C11),C11^4,"")</x:f>
        <x:v>1.4257705586625565e-7</x:v>
      </x:c>
      <x:c r="G11" s="5" t="n">
        <x:f>IF(ISNUMBER(B11),ABS(B11),"")</x:f>
        <x:v>0.01948001153027287</x:v>
      </x:c>
      <x:c r="H11" s="5" t="n">
        <x:f>IF(ISNUMBER(B11),B11^2,"")</x:f>
        <x:v>0.00037947084921956394</x:v>
      </x:c>
      <x:c r="I11" s="5" t="n">
        <x:f>IF(AND(ISNUMBER(G11),'요약'!$B$19),G11-'요약'!$B$14,"")</x:f>
        <x:v>0.011466494902870014</x:v>
      </x:c>
      <x:c r="J11" s="5" t="n">
        <x:f>IF(AND(ISNUMBER(H11),'요약'!$B$19),H11-'요약'!$B$15,"")</x:f>
        <x:v>0.00027726115003347187</x:v>
      </x:c>
      <x:c r="K11" s="1" t="n">
        <x:f>IF(ISNUMBER(B11),IF('Hill'!$B$4=1,IF(B11&lt;0,-B11,""),IF('Hill'!$B$4=2,IF(B11&gt;0,B11,""),IF('Hill'!$B$4=3,IF(B11&lt;&gt;0,ABS(B11),""),""))),"")</x:f>
        <x:v>0.01948001153027287</x:v>
      </x:c>
      <x:c r="L11" s="1"/>
    </x:row>
    <x:row r="12">
      <x:c r="A12" s="1" t="n">
        <x:f>11</x:f>
        <x:v>11</x:v>
      </x:c>
      <x:c r="B12" s="5" t="n">
        <x:f>IF('요약'!$B$4=4,IF(ISNUMBER('input'!A12),'input'!A12,""),IF(11&lt;=1000,CHOOSE('요약'!$B$4,'input'!B12,'input'!C12,'input'!D12),""))</x:f>
        <x:v>-0.00043175123632135243</x:v>
      </x:c>
      <x:c r="C12" s="5" t="n">
        <x:f>IF(AND(ISNUMBER(B12),'요약'!$B$19),B12-'요약'!$B$7,"")</x:f>
        <x:v>-0.00038351190927185107</x:v>
      </x:c>
      <x:c r="D12" s="5" t="n">
        <x:f>IF(ISNUMBER(C12),C12^2,"")</x:f>
        <x:v>1.4708138455334053e-7</x:v>
      </x:c>
      <x:c r="E12" s="14" t="n">
        <x:f>IF(ISNUMBER(C12),C12^3,"")</x:f>
        <x:v>-5.640746260839897e-11</x:v>
      </x:c>
      <x:c r="F12" s="14" t="n">
        <x:f>IF(ISNUMBER(C12),C12^4,"")</x:f>
        <x:v>2.1632933682127637e-14</x:v>
      </x:c>
      <x:c r="G12" s="5" t="n">
        <x:f>IF(ISNUMBER(B12),ABS(B12),"")</x:f>
        <x:v>0.00043175123632135243</x:v>
      </x:c>
      <x:c r="H12" s="5" t="n">
        <x:f>IF(ISNUMBER(B12),B12^2,"")</x:f>
        <x:v>1.8640913006501632e-7</x:v>
      </x:c>
      <x:c r="I12" s="5" t="n">
        <x:f>IF(AND(ISNUMBER(G12),'요약'!$B$19),G12-'요약'!$B$14,"")</x:f>
        <x:v>-0.007581765391081503</x:v>
      </x:c>
      <x:c r="J12" s="5" t="n">
        <x:f>IF(AND(ISNUMBER(H12),'요약'!$B$19),H12-'요약'!$B$15,"")</x:f>
        <x:v>-0.00010202329005602708</x:v>
      </x:c>
      <x:c r="K12" s="1" t="n">
        <x:f>IF(ISNUMBER(B12),IF('Hill'!$B$4=1,IF(B12&lt;0,-B12,""),IF('Hill'!$B$4=2,IF(B12&gt;0,B12,""),IF('Hill'!$B$4=3,IF(B12&lt;&gt;0,ABS(B12),""),""))),"")</x:f>
        <x:v>0.00043175123632135243</x:v>
      </x:c>
      <x:c r="L12" s="1"/>
    </x:row>
    <x:row r="13">
      <x:c r="A13" s="1" t="n">
        <x:f>12</x:f>
        <x:v>12</x:v>
      </x:c>
      <x:c r="B13" s="5" t="n">
        <x:f>IF('요약'!$B$4=4,IF(ISNUMBER('input'!A13),'input'!A13,""),IF(12&lt;=1000,CHOOSE('요약'!$B$4,'input'!B13,'input'!C13,'input'!D13),""))</x:f>
        <x:v>0.0017240471599735314</x:v>
      </x:c>
      <x:c r="C13" s="5" t="n">
        <x:f>IF(AND(ISNUMBER(B13),'요약'!$B$19),B13-'요약'!$B$7,"")</x:f>
        <x:v>0.0017722864870230329</x:v>
      </x:c>
      <x:c r="D13" s="5" t="n">
        <x:f>IF(ISNUMBER(C13),C13^2,"")</x:f>
        <x:v>0.000003140999392084443</x:v>
      </x:c>
      <x:c r="E13" s="14" t="n">
        <x:f>IF(ISNUMBER(C13),C13^3,"")</x:f>
        <x:v>5.566750778338819e-9</x:v>
      </x:c>
      <x:c r="F13" s="14" t="n">
        <x:f>IF(ISNUMBER(C13),C13^4,"")</x:f>
        <x:v>9.86587718107484e-12</x:v>
      </x:c>
      <x:c r="G13" s="5" t="n">
        <x:f>IF(ISNUMBER(B13),ABS(B13),"")</x:f>
        <x:v>0.0017240471599735314</x:v>
      </x:c>
      <x:c r="H13" s="5" t="n">
        <x:f>IF(ISNUMBER(B13),B13^2,"")</x:f>
        <x:v>0.0000029723386098127994</x:v>
      </x:c>
      <x:c r="I13" s="5" t="n">
        <x:f>IF(AND(ISNUMBER(G13),'요약'!$B$19),G13-'요약'!$B$14,"")</x:f>
        <x:v>-0.006289469467429324</x:v>
      </x:c>
      <x:c r="J13" s="5" t="n">
        <x:f>IF(AND(ISNUMBER(H13),'요약'!$B$19),H13-'요약'!$B$15,"")</x:f>
        <x:v>-0.00009923736057627931</x:v>
      </x:c>
      <x:c r="K13" s="1" t="str">
        <x:f>IF(ISNUMBER(B13),IF('Hill'!$B$4=1,IF(B13&lt;0,-B13,""),IF('Hill'!$B$4=2,IF(B13&gt;0,B13,""),IF('Hill'!$B$4=3,IF(B13&lt;&gt;0,ABS(B13),""),""))),"")</x:f>
      </x:c>
      <x:c r="L13" s="1"/>
    </x:row>
    <x:row r="14">
      <x:c r="A14" s="1" t="n">
        <x:f>13</x:f>
        <x:v>13</x:v>
      </x:c>
      <x:c r="B14" s="5" t="n">
        <x:f>IF('요약'!$B$4=4,IF(ISNUMBER('input'!A14),'input'!A14,""),IF(13&lt;=1000,CHOOSE('요약'!$B$4,'input'!B14,'input'!C14,'input'!D14),""))</x:f>
        <x:v>0.010130932430584286</x:v>
      </x:c>
      <x:c r="C14" s="5" t="n">
        <x:f>IF(AND(ISNUMBER(B14),'요약'!$B$19),B14-'요약'!$B$7,"")</x:f>
        <x:v>0.010179171757633786</x:v>
      </x:c>
      <x:c r="D14" s="5" t="n">
        <x:f>IF(ISNUMBER(C14),C14^2,"")</x:f>
        <x:v>0.00010361553767140931</x:v>
      </x:c>
      <x:c r="E14" s="14" t="n">
        <x:f>IF(ISNUMBER(C14),C14^3,"")</x:f>
        <x:v>0.0000010547203547168492</x:v>
      </x:c>
      <x:c r="F14" s="14" t="n">
        <x:f>IF(ISNUMBER(C14),C14^4,"")</x:f>
        <x:v>1.073617964693524e-8</x:v>
      </x:c>
      <x:c r="G14" s="5" t="n">
        <x:f>IF(ISNUMBER(B14),ABS(B14),"")</x:f>
        <x:v>0.010130932430584286</x:v>
      </x:c>
      <x:c r="H14" s="5" t="n">
        <x:f>IF(ISNUMBER(B14),B14^2,"")</x:f>
        <x:v>0.00010263579191306442</x:v>
      </x:c>
      <x:c r="I14" s="5" t="n">
        <x:f>IF(AND(ISNUMBER(G14),'요약'!$B$19),G14-'요약'!$B$14,"")</x:f>
        <x:v>0.0021174158031814303</x:v>
      </x:c>
      <x:c r="J14" s="5" t="n">
        <x:f>IF(AND(ISNUMBER(H14),'요약'!$B$19),H14-'요약'!$B$15,"")</x:f>
        <x:v>4.2609272697231263e-7</x:v>
      </x:c>
      <x:c r="K14" s="1" t="str">
        <x:f>IF(ISNUMBER(B14),IF('Hill'!$B$4=1,IF(B14&lt;0,-B14,""),IF('Hill'!$B$4=2,IF(B14&gt;0,B14,""),IF('Hill'!$B$4=3,IF(B14&lt;&gt;0,ABS(B14),""),""))),"")</x:f>
      </x:c>
      <x:c r="L14" s="1"/>
    </x:row>
    <x:row r="15">
      <x:c r="A15" s="1" t="n">
        <x:f>14</x:f>
        <x:v>14</x:v>
      </x:c>
      <x:c r="B15" s="5" t="n">
        <x:f>IF('요약'!$B$4=4,IF(ISNUMBER('input'!A15),'input'!A15,""),IF(14&lt;=1000,CHOOSE('요약'!$B$4,'input'!B15,'input'!C15,'input'!D15),""))</x:f>
        <x:v>0.02218309828282021</x:v>
      </x:c>
      <x:c r="C15" s="5" t="n">
        <x:f>IF(AND(ISNUMBER(B15),'요약'!$B$19),B15-'요약'!$B$7,"")</x:f>
        <x:v>0.02223133760986971</x:v>
      </x:c>
      <x:c r="D15" s="5" t="n">
        <x:f>IF(ISNUMBER(C15),C15^2,"")</x:f>
        <x:v>0.0004942323719240075</x:v>
      </x:c>
      <x:c r="E15" s="14" t="n">
        <x:f>IF(ISNUMBER(C15),C15^3,"")</x:f>
        <x:v>0.000010987446717969302</x:v>
      </x:c>
      <x:c r="F15" s="14" t="n">
        <x:f>IF(ISNUMBER(C15),C15^4,"")</x:f>
        <x:v>2.4426563745763047e-7</x:v>
      </x:c>
      <x:c r="G15" s="5" t="n">
        <x:f>IF(ISNUMBER(B15),ABS(B15),"")</x:f>
        <x:v>0.02218309828282021</x:v>
      </x:c>
      <x:c r="H15" s="5" t="n">
        <x:f>IF(ISNUMBER(B15),B15^2,"")</x:f>
        <x:v>0.000492089849425261</x:v>
      </x:c>
      <x:c r="I15" s="5" t="n">
        <x:f>IF(AND(ISNUMBER(G15),'요약'!$B$19),G15-'요약'!$B$14,"")</x:f>
        <x:v>0.014169581655417355</x:v>
      </x:c>
      <x:c r="J15" s="5" t="n">
        <x:f>IF(AND(ISNUMBER(H15),'요약'!$B$19),H15-'요약'!$B$15,"")</x:f>
        <x:v>0.00038988015023916887</x:v>
      </x:c>
      <x:c r="K15" s="1" t="str">
        <x:f>IF(ISNUMBER(B15),IF('Hill'!$B$4=1,IF(B15&lt;0,-B15,""),IF('Hill'!$B$4=2,IF(B15&gt;0,B15,""),IF('Hill'!$B$4=3,IF(B15&lt;&gt;0,ABS(B15),""),""))),"")</x:f>
      </x:c>
      <x:c r="L15" s="1"/>
    </x:row>
    <x:row r="16">
      <x:c r="A16" s="1" t="n">
        <x:f>15</x:f>
        <x:v>15</x:v>
      </x:c>
      <x:c r="B16" s="5" t="n">
        <x:f>IF('요약'!$B$4=4,IF(ISNUMBER('input'!A16),'input'!A16,""),IF(15&lt;=1000,CHOOSE('요약'!$B$4,'input'!B16,'input'!C16,'input'!D16),""))</x:f>
        <x:v>-0.018147488889696316</x:v>
      </x:c>
      <x:c r="C16" s="5" t="n">
        <x:f>IF(AND(ISNUMBER(B16),'요약'!$B$19),B16-'요약'!$B$7,"")</x:f>
        <x:v>-0.018099249562646816</x:v>
      </x:c>
      <x:c r="D16" s="5" t="n">
        <x:f>IF(ISNUMBER(C16),C16^2,"")</x:f>
        <x:v>0.00032758283473097096</x:v>
      </x:c>
      <x:c r="E16" s="14" t="n">
        <x:f>IF(ISNUMBER(C16),C16^3,"")</x:f>
        <x:v>-0.00000592900347823513</x:v>
      </x:c>
      <x:c r="F16" s="14" t="n">
        <x:f>IF(ISNUMBER(C16),C16^4,"")</x:f>
        <x:v>1.0731051361037863e-7</x:v>
      </x:c>
      <x:c r="G16" s="5" t="n">
        <x:f>IF(ISNUMBER(B16),ABS(B16),"")</x:f>
        <x:v>0.018147488889696316</x:v>
      </x:c>
      <x:c r="H16" s="5" t="n">
        <x:f>IF(ISNUMBER(B16),B16^2,"")</x:f>
        <x:v>0.0003293313530016512</x:v>
      </x:c>
      <x:c r="I16" s="5" t="n">
        <x:f>IF(AND(ISNUMBER(G16),'요약'!$B$19),G16-'요약'!$B$14,"")</x:f>
        <x:v>0.010133972262293461</x:v>
      </x:c>
      <x:c r="J16" s="5" t="n">
        <x:f>IF(AND(ISNUMBER(H16),'요약'!$B$19),H16-'요약'!$B$15,"")</x:f>
        <x:v>0.00022712165381555912</x:v>
      </x:c>
      <x:c r="K16" s="1" t="n">
        <x:f>IF(ISNUMBER(B16),IF('Hill'!$B$4=1,IF(B16&lt;0,-B16,""),IF('Hill'!$B$4=2,IF(B16&gt;0,B16,""),IF('Hill'!$B$4=3,IF(B16&lt;&gt;0,ABS(B16),""),""))),"")</x:f>
        <x:v>0.018147488889696316</x:v>
      </x:c>
      <x:c r="L16" s="1"/>
    </x:row>
    <x:row r="17">
      <x:c r="A17" s="1" t="n">
        <x:f>16</x:f>
        <x:v>16</x:v>
      </x:c>
      <x:c r="B17" s="5" t="n">
        <x:f>IF('요약'!$B$4=4,IF(ISNUMBER('input'!A17),'input'!A17,""),IF(16&lt;=1000,CHOOSE('요약'!$B$4,'input'!B17,'input'!C17,'input'!D17),""))</x:f>
        <x:v>-0.001973725154901454</x:v>
      </x:c>
      <x:c r="C17" s="5" t="n">
        <x:f>IF(AND(ISNUMBER(B17),'요약'!$B$19),B17-'요약'!$B$7,"")</x:f>
        <x:v>-0.0019254858278519526</x:v>
      </x:c>
      <x:c r="D17" s="5" t="n">
        <x:f>IF(ISNUMBER(C17),C17^2,"")</x:f>
        <x:v>0.000003707495673258719</x:v>
      </x:c>
      <x:c r="E17" s="14" t="n">
        <x:f>IF(ISNUMBER(C17),C17^3,"")</x:f>
        <x:v>-7.138730375682097e-9</x:v>
      </x:c>
      <x:c r="F17" s="14" t="n">
        <x:f>IF(ISNUMBER(C17),C17^4,"")</x:f>
        <x:v>1.3745524167232123e-11</x:v>
      </x:c>
      <x:c r="G17" s="5" t="n">
        <x:f>IF(ISNUMBER(B17),ABS(B17),"")</x:f>
        <x:v>0.001973725154901454</x:v>
      </x:c>
      <x:c r="H17" s="5" t="n">
        <x:f>IF(ISNUMBER(B17),B17^2,"")</x:f>
        <x:v>0.000003895590987090769</x:v>
      </x:c>
      <x:c r="I17" s="5" t="n">
        <x:f>IF(AND(ISNUMBER(G17),'요약'!$B$19),G17-'요약'!$B$14,"")</x:f>
        <x:v>-0.006039791472501402</x:v>
      </x:c>
      <x:c r="J17" s="5" t="n">
        <x:f>IF(AND(ISNUMBER(H17),'요약'!$B$19),H17-'요약'!$B$15,"")</x:f>
        <x:v>-0.00009831410819900133</x:v>
      </x:c>
      <x:c r="K17" s="1" t="n">
        <x:f>IF(ISNUMBER(B17),IF('Hill'!$B$4=1,IF(B17&lt;0,-B17,""),IF('Hill'!$B$4=2,IF(B17&gt;0,B17,""),IF('Hill'!$B$4=3,IF(B17&lt;&gt;0,ABS(B17),""),""))),"")</x:f>
        <x:v>0.001973725154901454</x:v>
      </x:c>
      <x:c r="L17" s="1"/>
    </x:row>
    <x:row r="18">
      <x:c r="A18" s="1" t="n">
        <x:f>17</x:f>
        <x:v>17</x:v>
      </x:c>
      <x:c r="B18" s="5" t="n">
        <x:f>IF('요약'!$B$4=4,IF(ISNUMBER('input'!A18),'input'!A18,""),IF(17&lt;=1000,CHOOSE('요약'!$B$4,'input'!B18,'input'!C18,'input'!D18),""))</x:f>
        <x:v>-0.007469271847543831</x:v>
      </x:c>
      <x:c r="C18" s="5" t="n">
        <x:f>IF(AND(ISNUMBER(B18),'요약'!$B$19),B18-'요약'!$B$7,"")</x:f>
        <x:v>-0.007421032520494329</x:v>
      </x:c>
      <x:c r="D18" s="5" t="n">
        <x:f>IF(ISNUMBER(C18),C18^2,"")</x:f>
        <x:v>0.000055071723670234416</x:v>
      </x:c>
      <x:c r="E18" s="14" t="n">
        <x:f>IF(ISNUMBER(C18),C18^3,"")</x:f>
        <x:v>-4.086890523164869e-7</x:v>
      </x:c>
      <x:c r="F18" s="14" t="n">
        <x:f>IF(ISNUMBER(C18),C18^4,"")</x:f>
        <x:v>3.0328947480106576e-9</x:v>
      </x:c>
      <x:c r="G18" s="5" t="n">
        <x:f>IF(ISNUMBER(B18),ABS(B18),"")</x:f>
        <x:v>0.007469271847543831</x:v>
      </x:c>
      <x:c r="H18" s="5" t="n">
        <x:f>IF(ISNUMBER(B18),B18^2,"")</x:f>
        <x:v>0.00005579002193251083</x:v>
      </x:c>
      <x:c r="I18" s="5" t="n">
        <x:f>IF(AND(ISNUMBER(G18),'요약'!$B$19),G18-'요약'!$B$14,"")</x:f>
        <x:v>-0.0005442447798590247</x:v>
      </x:c>
      <x:c r="J18" s="5" t="n">
        <x:f>IF(AND(ISNUMBER(H18),'요약'!$B$19),H18-'요약'!$B$15,"")</x:f>
        <x:v>-0.00004641967725358128</x:v>
      </x:c>
      <x:c r="K18" s="1" t="n">
        <x:f>IF(ISNUMBER(B18),IF('Hill'!$B$4=1,IF(B18&lt;0,-B18,""),IF('Hill'!$B$4=2,IF(B18&gt;0,B18,""),IF('Hill'!$B$4=3,IF(B18&lt;&gt;0,ABS(B18),""),""))),"")</x:f>
        <x:v>0.007469271847543831</x:v>
      </x:c>
      <x:c r="L18" s="1"/>
    </x:row>
    <x:row r="19">
      <x:c r="A19" s="1" t="n">
        <x:f>18</x:f>
        <x:v>18</x:v>
      </x:c>
      <x:c r="B19" s="5" t="n">
        <x:f>IF('요약'!$B$4=4,IF(ISNUMBER('input'!A19),'input'!A19,""),IF(18&lt;=1000,CHOOSE('요약'!$B$4,'input'!B19,'input'!C19,'input'!D19),""))</x:f>
        <x:v>0.006274496365703271</x:v>
      </x:c>
      <x:c r="C19" s="5" t="n">
        <x:f>IF(AND(ISNUMBER(B19),'요약'!$B$19),B19-'요약'!$B$7,"")</x:f>
        <x:v>0.006322735692752772</x:v>
      </x:c>
      <x:c r="D19" s="5" t="n">
        <x:f>IF(ISNUMBER(C19),C19^2,"")</x:f>
        <x:v>0.00003997698664040988</x:v>
      </x:c>
      <x:c r="E19" s="14" t="n">
        <x:f>IF(ISNUMBER(C19),C19^3,"")</x:f>
        <x:v>2.5276392032002024e-7</x:v>
      </x:c>
      <x:c r="F19" s="14" t="n">
        <x:f>IF(ISNUMBER(C19),C19^4,"")</x:f>
        <x:v>1.5981594608475099e-9</x:v>
      </x:c>
      <x:c r="G19" s="5" t="n">
        <x:f>IF(ISNUMBER(B19),ABS(B19),"")</x:f>
        <x:v>0.006274496365703271</x:v>
      </x:c>
      <x:c r="H19" s="5" t="n">
        <x:f>IF(ISNUMBER(B19),B19^2,"")</x:f>
        <x:v>0.00003936930464322355</x:v>
      </x:c>
      <x:c r="I19" s="5" t="n">
        <x:f>IF(AND(ISNUMBER(G19),'요약'!$B$19),G19-'요약'!$B$14,"")</x:f>
        <x:v>-0.0017390202616995847</x:v>
      </x:c>
      <x:c r="J19" s="5" t="n">
        <x:f>IF(AND(ISNUMBER(H19),'요약'!$B$19),H19-'요약'!$B$15,"")</x:f>
        <x:v>-0.00006284039454286855</x:v>
      </x:c>
      <x:c r="K19" s="1" t="str">
        <x:f>IF(ISNUMBER(B19),IF('Hill'!$B$4=1,IF(B19&lt;0,-B19,""),IF('Hill'!$B$4=2,IF(B19&gt;0,B19,""),IF('Hill'!$B$4=3,IF(B19&lt;&gt;0,ABS(B19),""),""))),"")</x:f>
      </x:c>
      <x:c r="L19" s="1"/>
    </x:row>
    <x:row r="20">
      <x:c r="A20" s="1" t="n">
        <x:f>19</x:f>
        <x:v>19</x:v>
      </x:c>
      <x:c r="B20" s="5" t="n">
        <x:f>IF('요약'!$B$4=4,IF(ISNUMBER('input'!A20),'input'!A20,""),IF(19&lt;=1000,CHOOSE('요약'!$B$4,'input'!B20,'input'!C20,'input'!D20),""))</x:f>
        <x:v>0.0010585160752028865</x:v>
      </x:c>
      <x:c r="C20" s="5" t="n">
        <x:f>IF(AND(ISNUMBER(B20),'요약'!$B$19),B20-'요약'!$B$7,"")</x:f>
        <x:v>0.001106755402252388</x:v>
      </x:c>
      <x:c r="D20" s="5" t="n">
        <x:f>IF(ISNUMBER(C20),C20^2,"")</x:f>
        <x:v>0.000001224907520414845</x:v>
      </x:c>
      <x:c r="E20" s="14" t="n">
        <x:f>IF(ISNUMBER(C20),C20^3,"")</x:f>
        <x:v>1.3556730154787068e-9</x:v>
      </x:c>
      <x:c r="F20" s="14" t="n">
        <x:f>IF(ISNUMBER(C20),C20^4,"")</x:f>
        <x:v>1.500398433568844e-12</x:v>
      </x:c>
      <x:c r="G20" s="5" t="n">
        <x:f>IF(ISNUMBER(B20),ABS(B20),"")</x:f>
        <x:v>0.0010585160752028865</x:v>
      </x:c>
      <x:c r="H20" s="5" t="n">
        <x:f>IF(ISNUMBER(B20),B20^2,"")</x:f>
        <x:v>0.0000011204562814629228</x:v>
      </x:c>
      <x:c r="I20" s="5" t="n">
        <x:f>IF(AND(ISNUMBER(G20),'요약'!$B$19),G20-'요약'!$B$14,"")</x:f>
        <x:v>-0.006955000552199969</x:v>
      </x:c>
      <x:c r="J20" s="5" t="n">
        <x:f>IF(AND(ISNUMBER(H20),'요약'!$B$19),H20-'요약'!$B$15,"")</x:f>
        <x:v>-0.00010108924290462918</x:v>
      </x:c>
      <x:c r="K20" s="1" t="str">
        <x:f>IF(ISNUMBER(B20),IF('Hill'!$B$4=1,IF(B20&lt;0,-B20,""),IF('Hill'!$B$4=2,IF(B20&gt;0,B20,""),IF('Hill'!$B$4=3,IF(B20&lt;&gt;0,ABS(B20),""),""))),"")</x:f>
      </x:c>
      <x:c r="L20" s="1"/>
    </x:row>
    <x:row r="21">
      <x:c r="A21" s="1" t="n">
        <x:f>20</x:f>
        <x:v>20</x:v>
      </x:c>
      <x:c r="B21" s="5" t="n">
        <x:f>IF('요약'!$B$4=4,IF(ISNUMBER('input'!A21),'input'!A21,""),IF(20&lt;=1000,CHOOSE('요약'!$B$4,'input'!B21,'input'!C21,'input'!D21),""))</x:f>
        <x:v>-0.007316880683818478</x:v>
      </x:c>
      <x:c r="C21" s="5" t="n">
        <x:f>IF(AND(ISNUMBER(B21),'요약'!$B$19),B21-'요약'!$B$7,"")</x:f>
        <x:v>-0.0072686413567689765</x:v>
      </x:c>
      <x:c r="D21" s="5" t="n">
        <x:f>IF(ISNUMBER(C21),C21^2,"")</x:f>
        <x:v>0.000052833147173332346</x:v>
      </x:c>
      <x:c r="E21" s="14" t="n">
        <x:f>IF(ISNUMBER(C21),C21^3,"")</x:f>
        <x:v>-3.8402519855234545e-7</x:v>
      </x:c>
      <x:c r="F21" s="14" t="n">
        <x:f>IF(ISNUMBER(C21),C21^4,"")</x:f>
        <x:v>2.791341440238996e-9</x:v>
      </x:c>
      <x:c r="G21" s="5" t="n">
        <x:f>IF(ISNUMBER(B21),ABS(B21),"")</x:f>
        <x:v>0.007316880683818478</x:v>
      </x:c>
      <x:c r="H21" s="5" t="n">
        <x:f>IF(ISNUMBER(B21),B21^2,"")</x:f>
        <x:v>0.00005353674294123596</x:v>
      </x:c>
      <x:c r="I21" s="5" t="n">
        <x:f>IF(AND(ISNUMBER(G21),'요약'!$B$19),G21-'요약'!$B$14,"")</x:f>
        <x:v>-0.0006966359435843774</x:v>
      </x:c>
      <x:c r="J21" s="5" t="n">
        <x:f>IF(AND(ISNUMBER(H21),'요약'!$B$19),H21-'요약'!$B$15,"")</x:f>
        <x:v>-0.000048672956244856143</x:v>
      </x:c>
      <x:c r="K21" s="1" t="n">
        <x:f>IF(ISNUMBER(B21),IF('Hill'!$B$4=1,IF(B21&lt;0,-B21,""),IF('Hill'!$B$4=2,IF(B21&gt;0,B21,""),IF('Hill'!$B$4=3,IF(B21&lt;&gt;0,ABS(B21),""),""))),"")</x:f>
        <x:v>0.007316880683818478</x:v>
      </x:c>
      <x:c r="L21" s="1"/>
    </x:row>
    <x:row r="22">
      <x:c r="A22" s="1" t="n">
        <x:f>21</x:f>
        <x:v>21</x:v>
      </x:c>
      <x:c r="B22" s="5" t="n">
        <x:f>IF('요약'!$B$4=4,IF(ISNUMBER('input'!A22),'input'!A22,""),IF(21&lt;=1000,CHOOSE('요약'!$B$4,'input'!B22,'input'!C22,'input'!D22),""))</x:f>
        <x:v>0.013801689706058813</x:v>
      </x:c>
      <x:c r="C22" s="5" t="n">
        <x:f>IF(AND(ISNUMBER(B22),'요약'!$B$19),B22-'요약'!$B$7,"")</x:f>
        <x:v>0.013849929033108313</x:v>
      </x:c>
      <x:c r="D22" s="5" t="n">
        <x:f>IF(ISNUMBER(C22),C22^2,"")</x:f>
        <x:v>0.00019182053422213657</x:v>
      </x:c>
      <x:c r="E22" s="14" t="n">
        <x:f>IF(ISNUMBER(C22),C22^3,"")</x:f>
        <x:v>0.0000026567007860695164</x:v>
      </x:c>
      <x:c r="F22" s="14" t="n">
        <x:f>IF(ISNUMBER(C22),C22^4,"")</x:f>
        <x:v>3.679511734926587e-8</x:v>
      </x:c>
      <x:c r="G22" s="5" t="n">
        <x:f>IF(ISNUMBER(B22),ABS(B22),"")</x:f>
        <x:v>0.013801689706058813</x:v>
      </x:c>
      <x:c r="H22" s="5" t="n">
        <x:f>IF(ISNUMBER(B22),B22^2,"")</x:f>
        <x:v>0.0001904866387423298</x:v>
      </x:c>
      <x:c r="I22" s="5" t="n">
        <x:f>IF(AND(ISNUMBER(G22),'요약'!$B$19),G22-'요약'!$B$14,"")</x:f>
        <x:v>0.005788173078655957</x:v>
      </x:c>
      <x:c r="J22" s="5" t="n">
        <x:f>IF(AND(ISNUMBER(H22),'요약'!$B$19),H22-'요약'!$B$15,"")</x:f>
        <x:v>0.0000882769395562377</x:v>
      </x:c>
      <x:c r="K22" s="1" t="str">
        <x:f>IF(ISNUMBER(B22),IF('Hill'!$B$4=1,IF(B22&lt;0,-B22,""),IF('Hill'!$B$4=2,IF(B22&gt;0,B22,""),IF('Hill'!$B$4=3,IF(B22&lt;&gt;0,ABS(B22),""),""))),"")</x:f>
      </x:c>
      <x:c r="L22" s="1"/>
    </x:row>
    <x:row r="23">
      <x:c r="A23" s="1" t="n">
        <x:f>22</x:f>
        <x:v>22</x:v>
      </x:c>
      <x:c r="B23" s="5" t="n">
        <x:f>IF('요약'!$B$4=4,IF(ISNUMBER('input'!A23),'input'!A23,""),IF(22&lt;=1000,CHOOSE('요약'!$B$4,'input'!B23,'input'!C23,'input'!D23),""))</x:f>
        <x:v>0.005534586875340903</x:v>
      </x:c>
      <x:c r="C23" s="5" t="n">
        <x:f>IF(AND(ISNUMBER(B23),'요약'!$B$19),B23-'요약'!$B$7,"")</x:f>
        <x:v>0.005582826202390405</x:v>
      </x:c>
      <x:c r="D23" s="5" t="n">
        <x:f>IF(ISNUMBER(C23),C23^2,"")</x:f>
        <x:v>0.00003116794840609687</x:v>
      </x:c>
      <x:c r="E23" s="14" t="n">
        <x:f>IF(ISNUMBER(C23),C23^3,"")</x:f>
        <x:v>1.7400523903630984e-7</x:v>
      </x:c>
      <x:c r="F23" s="14" t="n">
        <x:f>IF(ISNUMBER(C23),C23^4,"")</x:f>
        <x:v>9.714410078451164e-10</x:v>
      </x:c>
      <x:c r="G23" s="5" t="n">
        <x:f>IF(ISNUMBER(B23),ABS(B23),"")</x:f>
        <x:v>0.005534586875340903</x:v>
      </x:c>
      <x:c r="H23" s="5" t="n">
        <x:f>IF(ISNUMBER(B23),B23^2,"")</x:f>
        <x:v>0.000030631651880695784</x:v>
      </x:c>
      <x:c r="I23" s="5" t="n">
        <x:f>IF(AND(ISNUMBER(G23),'요약'!$B$19),G23-'요약'!$B$14,"")</x:f>
        <x:v>-0.002478929752061952</x:v>
      </x:c>
      <x:c r="J23" s="5" t="n">
        <x:f>IF(AND(ISNUMBER(H23),'요약'!$B$19),H23-'요약'!$B$15,"")</x:f>
        <x:v>-0.00007157804730539632</x:v>
      </x:c>
      <x:c r="K23" s="1" t="str">
        <x:f>IF(ISNUMBER(B23),IF('Hill'!$B$4=1,IF(B23&lt;0,-B23,""),IF('Hill'!$B$4=2,IF(B23&gt;0,B23,""),IF('Hill'!$B$4=3,IF(B23&lt;&gt;0,ABS(B23),""),""))),"")</x:f>
      </x:c>
      <x:c r="L23" s="1"/>
    </x:row>
    <x:row r="24">
      <x:c r="A24" s="1" t="n">
        <x:f>23</x:f>
        <x:v>23</x:v>
      </x:c>
      <x:c r="B24" s="5" t="n">
        <x:f>IF('요약'!$B$4=4,IF(ISNUMBER('input'!A24),'input'!A24,""),IF(23&lt;=1000,CHOOSE('요약'!$B$4,'input'!B24,'input'!C24,'input'!D24),""))</x:f>
        <x:v>-0.013613549996105673</x:v>
      </x:c>
      <x:c r="C24" s="5" t="n">
        <x:f>IF(AND(ISNUMBER(B24),'요약'!$B$19),B24-'요약'!$B$7,"")</x:f>
        <x:v>-0.013565310669056172</x:v>
      </x:c>
      <x:c r="D24" s="5" t="n">
        <x:f>IF(ISNUMBER(C24),C24^2,"")</x:f>
        <x:v>0.00018401765354800922</x:v>
      </x:c>
      <x:c r="E24" s="14" t="n">
        <x:f>IF(ISNUMBER(C24),C24^3,"")</x:f>
        <x:v>-0.0000024962566389694916</x:v>
      </x:c>
      <x:c r="F24" s="14" t="n">
        <x:f>IF(ISNUMBER(C24),C24^4,"")</x:f>
        <x:v>3.386249681731515e-8</x:v>
      </x:c>
      <x:c r="G24" s="5" t="n">
        <x:f>IF(ISNUMBER(B24),ABS(B24),"")</x:f>
        <x:v>0.013613549996105673</x:v>
      </x:c>
      <x:c r="H24" s="5" t="n">
        <x:f>IF(ISNUMBER(B24),B24^2,"")</x:f>
        <x:v>0.00018532874349646875</x:v>
      </x:c>
      <x:c r="I24" s="5" t="n">
        <x:f>IF(AND(ISNUMBER(G24),'요약'!$B$19),G24-'요약'!$B$14,"")</x:f>
        <x:v>0.005600033368702817</x:v>
      </x:c>
      <x:c r="J24" s="5" t="n">
        <x:f>IF(AND(ISNUMBER(H24),'요약'!$B$19),H24-'요약'!$B$15,"")</x:f>
        <x:v>0.00008311904431037664</x:v>
      </x:c>
      <x:c r="K24" s="1" t="n">
        <x:f>IF(ISNUMBER(B24),IF('Hill'!$B$4=1,IF(B24&lt;0,-B24,""),IF('Hill'!$B$4=2,IF(B24&gt;0,B24,""),IF('Hill'!$B$4=3,IF(B24&lt;&gt;0,ABS(B24),""),""))),"")</x:f>
        <x:v>0.013613549996105673</x:v>
      </x:c>
      <x:c r="L24" s="1"/>
    </x:row>
    <x:row r="25">
      <x:c r="A25" s="1" t="n">
        <x:f>24</x:f>
        <x:v>24</x:v>
      </x:c>
      <x:c r="B25" s="5" t="n">
        <x:f>IF('요약'!$B$4=4,IF(ISNUMBER('input'!A25),'input'!A25,""),IF(24&lt;=1000,CHOOSE('요약'!$B$4,'input'!B25,'input'!C25,'input'!D25),""))</x:f>
        <x:v>-0.022733591544678085</x:v>
      </x:c>
      <x:c r="C25" s="5" t="n">
        <x:f>IF(AND(ISNUMBER(B25),'요약'!$B$19),B25-'요약'!$B$7,"")</x:f>
        <x:v>-0.022685352217628584</x:v>
      </x:c>
      <x:c r="D25" s="5" t="n">
        <x:f>IF(ISNUMBER(C25),C25^2,"")</x:f>
        <x:v>0.0005146252052378661</x:v>
      </x:c>
      <x:c r="E25" s="14" t="n">
        <x:f>IF(ISNUMBER(C25),C25^3,"")</x:f>
        <x:v>-0.00001167445404089039</x:v>
      </x:c>
      <x:c r="F25" s="14" t="n">
        <x:f>IF(ISNUMBER(C25),C25^4,"")</x:f>
        <x:v>2.648391018661158e-7</x:v>
      </x:c>
      <x:c r="G25" s="5" t="n">
        <x:f>IF(ISNUMBER(B25),ABS(B25),"")</x:f>
        <x:v>0.022733591544678085</x:v>
      </x:c>
      <x:c r="H25" s="5" t="n">
        <x:f>IF(ISNUMBER(B25),B25^2,"")</x:f>
        <x:v>0.0005168161845202589</x:v>
      </x:c>
      <x:c r="I25" s="5" t="n">
        <x:f>IF(AND(ISNUMBER(G25),'요약'!$B$19),G25-'요약'!$B$14,"")</x:f>
        <x:v>0.01472007491727523</x:v>
      </x:c>
      <x:c r="J25" s="5" t="n">
        <x:f>IF(AND(ISNUMBER(H25),'요약'!$B$19),H25-'요약'!$B$15,"")</x:f>
        <x:v>0.0004146064853341668</x:v>
      </x:c>
      <x:c r="K25" s="1" t="n">
        <x:f>IF(ISNUMBER(B25),IF('Hill'!$B$4=1,IF(B25&lt;0,-B25,""),IF('Hill'!$B$4=2,IF(B25&gt;0,B25,""),IF('Hill'!$B$4=3,IF(B25&lt;&gt;0,ABS(B25),""),""))),"")</x:f>
        <x:v>0.022733591544678085</x:v>
      </x:c>
      <x:c r="L25" s="1"/>
    </x:row>
    <x:row r="26">
      <x:c r="A26" s="1" t="n">
        <x:f>25</x:f>
        <x:v>25</x:v>
      </x:c>
      <x:c r="B26" s="5" t="n">
        <x:f>IF('요약'!$B$4=4,IF(ISNUMBER('input'!A26),'input'!A26,""),IF(25&lt;=1000,CHOOSE('요약'!$B$4,'input'!B26,'input'!C26,'input'!D26),""))</x:f>
        <x:v>-0.0012333608203295187</x:v>
      </x:c>
      <x:c r="C26" s="5" t="n">
        <x:f>IF(AND(ISNUMBER(B26),'요약'!$B$19),B26-'요약'!$B$7,"")</x:f>
        <x:v>-0.0011851214932800172</x:v>
      </x:c>
      <x:c r="D26" s="5" t="n">
        <x:f>IF(ISNUMBER(C26),C26^2,"")</x:f>
        <x:v>0.000001404512953834258</x:v>
      </x:c>
      <x:c r="E26" s="14" t="n">
        <x:f>IF(ISNUMBER(C26),C26^3,"")</x:f>
        <x:v>-1.6645184891791836e-9</x:v>
      </x:c>
      <x:c r="F26" s="14" t="n">
        <x:f>IF(ISNUMBER(C26),C26^4,"")</x:f>
        <x:v>1.9726566374882323e-12</x:v>
      </x:c>
      <x:c r="G26" s="5" t="n">
        <x:f>IF(ISNUMBER(B26),ABS(B26),"")</x:f>
        <x:v>0.0012333608203295187</x:v>
      </x:c>
      <x:c r="H26" s="5" t="n">
        <x:f>IF(ISNUMBER(B26),B26^2,"")</x:f>
        <x:v>0.0000015211789131239033</x:v>
      </x:c>
      <x:c r="I26" s="5" t="n">
        <x:f>IF(AND(ISNUMBER(G26),'요약'!$B$19),G26-'요약'!$B$14,"")</x:f>
        <x:v>-0.0067801558070733365</x:v>
      </x:c>
      <x:c r="J26" s="5" t="n">
        <x:f>IF(AND(ISNUMBER(H26),'요약'!$B$19),H26-'요약'!$B$15,"")</x:f>
        <x:v>-0.0001006885202729682</x:v>
      </x:c>
      <x:c r="K26" s="1" t="n">
        <x:f>IF(ISNUMBER(B26),IF('Hill'!$B$4=1,IF(B26&lt;0,-B26,""),IF('Hill'!$B$4=2,IF(B26&gt;0,B26,""),IF('Hill'!$B$4=3,IF(B26&lt;&gt;0,ABS(B26),""),""))),"")</x:f>
        <x:v>0.0012333608203295187</x:v>
      </x:c>
      <x:c r="L26" s="1"/>
    </x:row>
    <x:row r="27">
      <x:c r="A27" s="1" t="n">
        <x:f>26</x:f>
        <x:v>26</x:v>
      </x:c>
      <x:c r="B27" s="5" t="n">
        <x:f>IF('요약'!$B$4=4,IF(ISNUMBER('input'!A27),'input'!A27,""),IF(26&lt;=1000,CHOOSE('요약'!$B$4,'input'!B27,'input'!C27,'input'!D27),""))</x:f>
        <x:v>-0.01665590005144632</x:v>
      </x:c>
      <x:c r="C27" s="5" t="n">
        <x:f>IF(AND(ISNUMBER(B27),'요약'!$B$19),B27-'요약'!$B$7,"")</x:f>
        <x:v>-0.01660766072439682</x:v>
      </x:c>
      <x:c r="D27" s="5" t="n">
        <x:f>IF(ISNUMBER(C27),C27^2,"")</x:f>
        <x:v>0.0002758143947366727</x:v>
      </x:c>
      <x:c r="E27" s="14" t="n">
        <x:f>IF(ISNUMBER(C27),C27^3,"")</x:f>
        <x:v>-0.00000458063189069152</x:v>
      </x:c>
      <x:c r="F27" s="14" t="n">
        <x:f>IF(ISNUMBER(C27),C27^4,"")</x:f>
        <x:v>7.607358034395711e-8</x:v>
      </x:c>
      <x:c r="G27" s="5" t="n">
        <x:f>IF(ISNUMBER(B27),ABS(B27),"")</x:f>
        <x:v>0.01665590005144632</x:v>
      </x:c>
      <x:c r="H27" s="5" t="n">
        <x:f>IF(ISNUMBER(B27),B27^2,"")</x:f>
        <x:v>0.00027741900652376953</x:v>
      </x:c>
      <x:c r="I27" s="5" t="n">
        <x:f>IF(AND(ISNUMBER(G27),'요약'!$B$19),G27-'요약'!$B$14,"")</x:f>
        <x:v>0.008642383424043465</x:v>
      </x:c>
      <x:c r="J27" s="5" t="n">
        <x:f>IF(AND(ISNUMBER(H27),'요약'!$B$19),H27-'요약'!$B$15,"")</x:f>
        <x:v>0.00017520930733767743</x:v>
      </x:c>
      <x:c r="K27" s="1" t="n">
        <x:f>IF(ISNUMBER(B27),IF('Hill'!$B$4=1,IF(B27&lt;0,-B27,""),IF('Hill'!$B$4=2,IF(B27&gt;0,B27,""),IF('Hill'!$B$4=3,IF(B27&lt;&gt;0,ABS(B27),""),""))),"")</x:f>
        <x:v>0.01665590005144632</x:v>
      </x:c>
      <x:c r="L27" s="1"/>
    </x:row>
    <x:row r="28">
      <x:c r="A28" s="1" t="n">
        <x:f>27</x:f>
        <x:v>27</x:v>
      </x:c>
      <x:c r="B28" s="5" t="n">
        <x:f>IF('요약'!$B$4=4,IF(ISNUMBER('input'!A28),'input'!A28,""),IF(27&lt;=1000,CHOOSE('요약'!$B$4,'input'!B28,'input'!C28,'input'!D28),""))</x:f>
        <x:v>-0.002822212883262636</x:v>
      </x:c>
      <x:c r="C28" s="5" t="n">
        <x:f>IF(AND(ISNUMBER(B28),'요약'!$B$19),B28-'요약'!$B$7,"")</x:f>
        <x:v>-0.0027739735562131345</x:v>
      </x:c>
      <x:c r="D28" s="5" t="n">
        <x:f>IF(ISNUMBER(C28),C28^2,"")</x:f>
        <x:v>0.000007694929290569744</x:v>
      </x:c>
      <x:c r="E28" s="14" t="n">
        <x:f>IF(ISNUMBER(C28),C28^3,"")</x:f>
        <x:v>-2.1345530368970365e-8</x:v>
      </x:c>
      <x:c r="F28" s="14" t="n">
        <x:f>IF(ISNUMBER(C28),C28^4,"")</x:f>
        <x:v>5.921193678686819e-11</x:v>
      </x:c>
      <x:c r="G28" s="5" t="n">
        <x:f>IF(ISNUMBER(B28),ABS(B28),"")</x:f>
        <x:v>0.002822212883262636</x:v>
      </x:c>
      <x:c r="H28" s="5" t="n">
        <x:f>IF(ISNUMBER(B28),B28^2,"")</x:f>
        <x:v>0.0000079648855584536</x:v>
      </x:c>
      <x:c r="I28" s="5" t="n">
        <x:f>IF(AND(ISNUMBER(G28),'요약'!$B$19),G28-'요약'!$B$14,"")</x:f>
        <x:v>-0.0051913037441402195</x:v>
      </x:c>
      <x:c r="J28" s="5" t="n">
        <x:f>IF(AND(ISNUMBER(H28),'요약'!$B$19),H28-'요약'!$B$15,"")</x:f>
        <x:v>-0.0000942448136276385</x:v>
      </x:c>
      <x:c r="K28" s="1" t="n">
        <x:f>IF(ISNUMBER(B28),IF('Hill'!$B$4=1,IF(B28&lt;0,-B28,""),IF('Hill'!$B$4=2,IF(B28&gt;0,B28,""),IF('Hill'!$B$4=3,IF(B28&lt;&gt;0,ABS(B28),""),""))),"")</x:f>
        <x:v>0.002822212883262636</x:v>
      </x:c>
      <x:c r="L28" s="1"/>
    </x:row>
    <x:row r="29">
      <x:c r="A29" s="1" t="n">
        <x:f>28</x:f>
        <x:v>28</x:v>
      </x:c>
      <x:c r="B29" s="5" t="n">
        <x:f>IF('요약'!$B$4=4,IF(ISNUMBER('input'!A29),'input'!A29,""),IF(28&lt;=1000,CHOOSE('요약'!$B$4,'input'!B29,'input'!C29,'input'!D29),""))</x:f>
        <x:v>0.005943972757231007</x:v>
      </x:c>
      <x:c r="C29" s="5" t="n">
        <x:f>IF(AND(ISNUMBER(B29),'요약'!$B$19),B29-'요약'!$B$7,"")</x:f>
        <x:v>0.005992212084280508</x:v>
      </x:c>
      <x:c r="D29" s="5" t="n">
        <x:f>IF(ISNUMBER(C29),C29^2,"")</x:f>
        <x:v>0.00003590660566299735</x:v>
      </x:c>
      <x:c r="E29" s="14" t="n">
        <x:f>IF(ISNUMBER(C29),C29^3,"")</x:f>
        <x:v>2.1515999635930766e-7</x:v>
      </x:c>
      <x:c r="F29" s="14" t="n">
        <x:f>IF(ISNUMBER(C29),C29^4,"")</x:f>
        <x:v>1.2892843302379935e-9</x:v>
      </x:c>
      <x:c r="G29" s="5" t="n">
        <x:f>IF(ISNUMBER(B29),ABS(B29),"")</x:f>
        <x:v>0.005943972757231007</x:v>
      </x:c>
      <x:c r="H29" s="5" t="n">
        <x:f>IF(ISNUMBER(B29),B29^2,"")</x:f>
        <x:v>0.00003533081213870437</x:v>
      </x:c>
      <x:c r="I29" s="5" t="n">
        <x:f>IF(AND(ISNUMBER(G29),'요약'!$B$19),G29-'요약'!$B$14,"")</x:f>
        <x:v>-0.0020695438701718487</x:v>
      </x:c>
      <x:c r="J29" s="5" t="n">
        <x:f>IF(AND(ISNUMBER(H29),'요약'!$B$19),H29-'요약'!$B$15,"")</x:f>
        <x:v>-0.00006687888704738772</x:v>
      </x:c>
      <x:c r="K29" s="1" t="str">
        <x:f>IF(ISNUMBER(B29),IF('Hill'!$B$4=1,IF(B29&lt;0,-B29,""),IF('Hill'!$B$4=2,IF(B29&gt;0,B29,""),IF('Hill'!$B$4=3,IF(B29&lt;&gt;0,ABS(B29),""),""))),"")</x:f>
      </x:c>
      <x:c r="L29" s="1"/>
    </x:row>
    <x:row r="30">
      <x:c r="A30" s="1" t="n">
        <x:f>29</x:f>
        <x:v>29</x:v>
      </x:c>
      <x:c r="B30" s="5" t="n">
        <x:f>IF('요약'!$B$4=4,IF(ISNUMBER('input'!A30),'input'!A30,""),IF(29&lt;=1000,CHOOSE('요약'!$B$4,'input'!B30,'input'!C30,'input'!D30),""))</x:f>
        <x:v>0.005546320021234669</x:v>
      </x:c>
      <x:c r="C30" s="5" t="n">
        <x:f>IF(AND(ISNUMBER(B30),'요약'!$B$19),B30-'요약'!$B$7,"")</x:f>
        <x:v>0.00559455934828417</x:v>
      </x:c>
      <x:c r="D30" s="5" t="n">
        <x:f>IF(ISNUMBER(C30),C30^2,"")</x:f>
        <x:v>0.0000312990943014738</x:v>
      </x:c>
      <x:c r="E30" s="14" t="n">
        <x:f>IF(ISNUMBER(C30),C30^3,"")</x:f>
        <x:v>1.7510464061713806e-7</x:v>
      </x:c>
      <x:c r="F30" s="14" t="n">
        <x:f>IF(ISNUMBER(C30),C30^4,"")</x:f>
        <x:v>9.796333040925498e-10</x:v>
      </x:c>
      <x:c r="G30" s="5" t="n">
        <x:f>IF(ISNUMBER(B30),ABS(B30),"")</x:f>
        <x:v>0.005546320021234669</x:v>
      </x:c>
      <x:c r="H30" s="5" t="n">
        <x:f>IF(ISNUMBER(B30),B30^2,"")</x:f>
        <x:v>0.00003076166577794854</x:v>
      </x:c>
      <x:c r="I30" s="5" t="n">
        <x:f>IF(AND(ISNUMBER(G30),'요약'!$B$19),G30-'요약'!$B$14,"")</x:f>
        <x:v>-0.0024671966061681865</x:v>
      </x:c>
      <x:c r="J30" s="5" t="n">
        <x:f>IF(AND(ISNUMBER(H30),'요약'!$B$19),H30-'요약'!$B$15,"")</x:f>
        <x:v>-0.00007144803340814357</x:v>
      </x:c>
      <x:c r="K30" s="1" t="str">
        <x:f>IF(ISNUMBER(B30),IF('Hill'!$B$4=1,IF(B30&lt;0,-B30,""),IF('Hill'!$B$4=2,IF(B30&gt;0,B30,""),IF('Hill'!$B$4=3,IF(B30&lt;&gt;0,ABS(B30),""),""))),"")</x:f>
      </x:c>
      <x:c r="L30" s="1"/>
    </x:row>
    <x:row r="31">
      <x:c r="A31" s="1" t="n">
        <x:f>30</x:f>
        <x:v>30</x:v>
      </x:c>
      <x:c r="B31" s="5" t="n">
        <x:f>IF('요약'!$B$4=4,IF(ISNUMBER('input'!A31),'input'!A31,""),IF(30&lt;=1000,CHOOSE('요약'!$B$4,'input'!B31,'input'!C31,'input'!D31),""))</x:f>
        <x:v>0.010571573451726901</x:v>
      </x:c>
      <x:c r="C31" s="5" t="n">
        <x:f>IF(AND(ISNUMBER(B31),'요약'!$B$19),B31-'요약'!$B$7,"")</x:f>
        <x:v>0.010619812778776402</x:v>
      </x:c>
      <x:c r="D31" s="5" t="n">
        <x:f>IF(ISNUMBER(C31),C31^2,"")</x:f>
        <x:v>0.00011278042345626257</x:v>
      </x:c>
      <x:c r="E31" s="14" t="n">
        <x:f>IF(ISNUMBER(C31),C31^3,"")</x:f>
        <x:v>0.0000011977069822166311</x:v>
      </x:c>
      <x:c r="F31" s="14" t="n">
        <x:f>IF(ISNUMBER(C31),C31^4,"")</x:f>
        <x:v>1.2719423914973899e-8</x:v>
      </x:c>
      <x:c r="G31" s="5" t="n">
        <x:f>IF(ISNUMBER(B31),ABS(B31),"")</x:f>
        <x:v>0.010571573451726901</x:v>
      </x:c>
      <x:c r="H31" s="5" t="n">
        <x:f>IF(ISNUMBER(B31),B31^2,"")</x:f>
        <x:v>0.00011175816524525704</x:v>
      </x:c>
      <x:c r="I31" s="5" t="n">
        <x:f>IF(AND(ISNUMBER(G31),'요약'!$B$19),G31-'요약'!$B$14,"")</x:f>
        <x:v>0.002558056824324046</x:v>
      </x:c>
      <x:c r="J31" s="5" t="n">
        <x:f>IF(AND(ISNUMBER(H31),'요약'!$B$19),H31-'요약'!$B$15,"")</x:f>
        <x:v>0.000009548466059164932</x:v>
      </x:c>
      <x:c r="K31" s="1" t="str">
        <x:f>IF(ISNUMBER(B31),IF('Hill'!$B$4=1,IF(B31&lt;0,-B31,""),IF('Hill'!$B$4=2,IF(B31&gt;0,B31,""),IF('Hill'!$B$4=3,IF(B31&lt;&gt;0,ABS(B31),""),""))),"")</x:f>
      </x:c>
      <x:c r="L31" s="1"/>
    </x:row>
    <x:row r="32">
      <x:c r="A32" s="1" t="n">
        <x:f>31</x:f>
        <x:v>31</x:v>
      </x:c>
      <x:c r="B32" s="5" t="n">
        <x:f>IF('요약'!$B$4=4,IF(ISNUMBER('input'!A32),'input'!A32,""),IF(31&lt;=1000,CHOOSE('요약'!$B$4,'input'!B32,'input'!C32,'input'!D32),""))</x:f>
        <x:v>0.023882882135146777</x:v>
      </x:c>
      <x:c r="C32" s="5" t="n">
        <x:f>IF(AND(ISNUMBER(B32),'요약'!$B$19),B32-'요약'!$B$7,"")</x:f>
        <x:v>0.023931121462196277</x:v>
      </x:c>
      <x:c r="D32" s="5" t="n">
        <x:f>IF(ISNUMBER(C32),C32^2,"")</x:f>
        <x:v>0.0005726985744383913</x:v>
      </x:c>
      <x:c r="E32" s="14" t="n">
        <x:f>IF(ISNUMBER(C32),C32^3,"")</x:f>
        <x:v>0.000013705319146111799</x:v>
      </x:c>
      <x:c r="F32" s="14" t="n">
        <x:f>IF(ISNUMBER(C32),C32^4,"")</x:f>
        <x:v>3.279836571637656e-7</x:v>
      </x:c>
      <x:c r="G32" s="5" t="n">
        <x:f>IF(ISNUMBER(B32),ABS(B32),"")</x:f>
        <x:v>0.023882882135146777</x:v>
      </x:c>
      <x:c r="H32" s="5" t="n">
        <x:f>IF(ISNUMBER(B32),B32^2,"")</x:f>
        <x:v>0.000570392059081313</x:v>
      </x:c>
      <x:c r="I32" s="5" t="n">
        <x:f>IF(AND(ISNUMBER(G32),'요약'!$B$19),G32-'요약'!$B$14,"")</x:f>
        <x:v>0.01586936550774392</x:v>
      </x:c>
      <x:c r="J32" s="5" t="n">
        <x:f>IF(AND(ISNUMBER(H32),'요약'!$B$19),H32-'요약'!$B$15,"")</x:f>
        <x:v>0.000468182359895221</x:v>
      </x:c>
      <x:c r="K32" s="1" t="str">
        <x:f>IF(ISNUMBER(B32),IF('Hill'!$B$4=1,IF(B32&lt;0,-B32,""),IF('Hill'!$B$4=2,IF(B32&gt;0,B32,""),IF('Hill'!$B$4=3,IF(B32&lt;&gt;0,ABS(B32),""),""))),"")</x:f>
      </x:c>
      <x:c r="L32" s="1"/>
    </x:row>
    <x:row r="33">
      <x:c r="A33" s="1" t="n">
        <x:f>32</x:f>
        <x:v>32</x:v>
      </x:c>
      <x:c r="B33" s="5" t="n">
        <x:f>IF('요약'!$B$4=4,IF(ISNUMBER('input'!A33),'input'!A33,""),IF(32&lt;=1000,CHOOSE('요약'!$B$4,'input'!B33,'input'!C33,'input'!D33),""))</x:f>
        <x:v>0.007719525669851715</x:v>
      </x:c>
      <x:c r="C33" s="5" t="n">
        <x:f>IF(AND(ISNUMBER(B33),'요약'!$B$19),B33-'요약'!$B$7,"")</x:f>
        <x:v>0.007767764996901217</x:v>
      </x:c>
      <x:c r="D33" s="5" t="n">
        <x:f>IF(ISNUMBER(C33),C33^2,"")</x:f>
        <x:v>0.00006033817304708376</x:v>
      </x:c>
      <x:c r="E33" s="14" t="n">
        <x:f>IF(ISNUMBER(C33),C33^3,"")</x:f>
        <x:v>4.686927485721057e-7</x:v>
      </x:c>
      <x:c r="F33" s="14" t="n">
        <x:f>IF(ISNUMBER(C33),C33^4,"")</x:f>
        <x:v>3.6406951266598253e-9</x:v>
      </x:c>
      <x:c r="G33" s="5" t="n">
        <x:f>IF(ISNUMBER(B33),ABS(B33),"")</x:f>
        <x:v>0.007719525669851715</x:v>
      </x:c>
      <x:c r="H33" s="5" t="n">
        <x:f>IF(ISNUMBER(B33),B33^2,"")</x:f>
        <x:v>0.00005959107656749957</x:v>
      </x:c>
      <x:c r="I33" s="5" t="n">
        <x:f>IF(AND(ISNUMBER(G33),'요약'!$B$19),G33-'요약'!$B$14,"")</x:f>
        <x:v>-0.00029399095755114</x:v>
      </x:c>
      <x:c r="J33" s="5" t="n">
        <x:f>IF(AND(ISNUMBER(H33),'요약'!$B$19),H33-'요약'!$B$15,"")</x:f>
        <x:v>-0.00004261862261859253</x:v>
      </x:c>
      <x:c r="K33" s="1" t="str">
        <x:f>IF(ISNUMBER(B33),IF('Hill'!$B$4=1,IF(B33&lt;0,-B33,""),IF('Hill'!$B$4=2,IF(B33&gt;0,B33,""),IF('Hill'!$B$4=3,IF(B33&lt;&gt;0,ABS(B33),""),""))),"")</x:f>
      </x:c>
      <x:c r="L33" s="1"/>
    </x:row>
    <x:row r="34">
      <x:c r="A34" s="1" t="n">
        <x:f>33</x:f>
        <x:v>33</x:v>
      </x:c>
      <x:c r="B34" s="5" t="n">
        <x:f>IF('요약'!$B$4=4,IF(ISNUMBER('input'!A34),'input'!A34,""),IF(33&lt;=1000,CHOOSE('요약'!$B$4,'input'!B34,'input'!C34,'input'!D34),""))</x:f>
        <x:v>0.0001374943622591287</x:v>
      </x:c>
      <x:c r="C34" s="5" t="n">
        <x:f>IF(AND(ISNUMBER(B34),'요약'!$B$19),B34-'요약'!$B$7,"")</x:f>
        <x:v>0.00018573368930863008</x:v>
      </x:c>
      <x:c r="D34" s="5" t="n">
        <x:f>IF(ISNUMBER(C34),C34^2,"")</x:f>
        <x:v>3.449700334419473e-8</x:v>
      </x:c>
      <x:c r="E34" s="14" t="n">
        <x:f>IF(ISNUMBER(C34),C34^3,"")</x:f>
        <x:v>6.407255701209436e-12</x:v>
      </x:c>
      <x:c r="F34" s="14" t="n">
        <x:f>IF(ISNUMBER(C34),C34^4,"")</x:f>
        <x:v>1.1900432397293822e-15</x:v>
      </x:c>
      <x:c r="G34" s="5" t="n">
        <x:f>IF(ISNUMBER(B34),ABS(B34),"")</x:f>
        <x:v>0.0001374943622591287</x:v>
      </x:c>
      <x:c r="H34" s="5" t="n">
        <x:f>IF(ISNUMBER(B34),B34^2,"")</x:f>
        <x:v>1.8904699653044515e-8</x:v>
      </x:c>
      <x:c r="I34" s="5" t="n">
        <x:f>IF(AND(ISNUMBER(G34),'요약'!$B$19),G34-'요약'!$B$14,"")</x:f>
        <x:v>-0.007876022265143726</x:v>
      </x:c>
      <x:c r="J34" s="5" t="n">
        <x:f>IF(AND(ISNUMBER(H34),'요약'!$B$19),H34-'요약'!$B$15,"")</x:f>
        <x:v>-0.00010219079448643906</x:v>
      </x:c>
      <x:c r="K34" s="1" t="str">
        <x:f>IF(ISNUMBER(B34),IF('Hill'!$B$4=1,IF(B34&lt;0,-B34,""),IF('Hill'!$B$4=2,IF(B34&gt;0,B34,""),IF('Hill'!$B$4=3,IF(B34&lt;&gt;0,ABS(B34),""),""))),"")</x:f>
      </x:c>
      <x:c r="L34" s="1"/>
    </x:row>
    <x:row r="35">
      <x:c r="A35" s="1" t="n">
        <x:f>34</x:f>
        <x:v>34</x:v>
      </x:c>
      <x:c r="B35" s="5" t="n">
        <x:f>IF('요약'!$B$4=4,IF(ISNUMBER('input'!A35),'input'!A35,""),IF(34&lt;=1000,CHOOSE('요약'!$B$4,'input'!B35,'input'!C35,'input'!D35),""))</x:f>
        <x:v>-0.009263278301018371</x:v>
      </x:c>
      <x:c r="C35" s="5" t="n">
        <x:f>IF(AND(ISNUMBER(B35),'요약'!$B$19),B35-'요약'!$B$7,"")</x:f>
        <x:v>-0.009215038973968871</x:v>
      </x:c>
      <x:c r="D35" s="5" t="n">
        <x:f>IF(ISNUMBER(C35),C35^2,"")</x:f>
        <x:v>0.00008491694329176527</x:v>
      </x:c>
      <x:c r="E35" s="14" t="n">
        <x:f>IF(ISNUMBER(C35),C35^3,"")</x:f>
        <x:v>-7.825129419839214e-7</x:v>
      </x:c>
      <x:c r="F35" s="14" t="n">
        <x:f>IF(ISNUMBER(C35),C35^4,"")</x:f>
        <x:v>7.210887258016877e-9</x:v>
      </x:c>
      <x:c r="G35" s="5" t="n">
        <x:f>IF(ISNUMBER(B35),ABS(B35),"")</x:f>
        <x:v>0.009263278301018371</x:v>
      </x:c>
      <x:c r="H35" s="5" t="n">
        <x:f>IF(ISNUMBER(B35),B35^2,"")</x:f>
        <x:v>0.0000858083248821178</x:v>
      </x:c>
      <x:c r="I35" s="5" t="n">
        <x:f>IF(AND(ISNUMBER(G35),'요약'!$B$19),G35-'요약'!$B$14,"")</x:f>
        <x:v>0.001249761673615516</x:v>
      </x:c>
      <x:c r="J35" s="5" t="n">
        <x:f>IF(AND(ISNUMBER(H35),'요약'!$B$19),H35-'요약'!$B$15,"")</x:f>
        <x:v>-0.000016401374303974298</x:v>
      </x:c>
      <x:c r="K35" s="1" t="n">
        <x:f>IF(ISNUMBER(B35),IF('Hill'!$B$4=1,IF(B35&lt;0,-B35,""),IF('Hill'!$B$4=2,IF(B35&gt;0,B35,""),IF('Hill'!$B$4=3,IF(B35&lt;&gt;0,ABS(B35),""),""))),"")</x:f>
        <x:v>0.009263278301018371</x:v>
      </x:c>
      <x:c r="L35" s="1"/>
    </x:row>
    <x:row r="36">
      <x:c r="A36" s="1" t="n">
        <x:f>35</x:f>
        <x:v>35</x:v>
      </x:c>
      <x:c r="B36" s="5" t="n">
        <x:f>IF('요약'!$B$4=4,IF(ISNUMBER('input'!A36),'input'!A36,""),IF(35&lt;=1000,CHOOSE('요약'!$B$4,'input'!B36,'input'!C36,'input'!D36),""))</x:f>
        <x:v>0.013043162104629953</x:v>
      </x:c>
      <x:c r="C36" s="5" t="n">
        <x:f>IF(AND(ISNUMBER(B36),'요약'!$B$19),B36-'요약'!$B$7,"")</x:f>
        <x:v>0.013091401431679453</x:v>
      </x:c>
      <x:c r="D36" s="5" t="n">
        <x:f>IF(ISNUMBER(C36),C36^2,"")</x:f>
        <x:v>0.00017138479144537884</x:v>
      </x:c>
      <x:c r="E36" s="14" t="n">
        <x:f>IF(ISNUMBER(C36),C36^3,"")</x:f>
        <x:v>0.000002243667104096117</x:v>
      </x:c>
      <x:c r="F36" s="14" t="n">
        <x:f>IF(ISNUMBER(C36),C36^4,"")</x:f>
        <x:v>2.9372746738776002e-8</x:v>
      </x:c>
      <x:c r="G36" s="5" t="n">
        <x:f>IF(ISNUMBER(B36),ABS(B36),"")</x:f>
        <x:v>0.013043162104629953</x:v>
      </x:c>
      <x:c r="H36" s="5" t="n">
        <x:f>IF(ISNUMBER(B36),B36^2,"")</x:f>
        <x:v>0.00017012407768765485</x:v>
      </x:c>
      <x:c r="I36" s="5" t="n">
        <x:f>IF(AND(ISNUMBER(G36),'요약'!$B$19),G36-'요약'!$B$14,"")</x:f>
        <x:v>0.005029645477227097</x:v>
      </x:c>
      <x:c r="J36" s="5" t="n">
        <x:f>IF(AND(ISNUMBER(H36),'요약'!$B$19),H36-'요약'!$B$15,"")</x:f>
        <x:v>0.00006791437850156275</x:v>
      </x:c>
      <x:c r="K36" s="1" t="str">
        <x:f>IF(ISNUMBER(B36),IF('Hill'!$B$4=1,IF(B36&lt;0,-B36,""),IF('Hill'!$B$4=2,IF(B36&gt;0,B36,""),IF('Hill'!$B$4=3,IF(B36&lt;&gt;0,ABS(B36),""),""))),"")</x:f>
      </x:c>
      <x:c r="L36" s="1"/>
    </x:row>
    <x:row r="37">
      <x:c r="A37" s="1" t="n">
        <x:f>36</x:f>
        <x:v>36</x:v>
      </x:c>
      <x:c r="B37" s="5" t="n">
        <x:f>IF('요약'!$B$4=4,IF(ISNUMBER('input'!A37),'input'!A37,""),IF(36&lt;=1000,CHOOSE('요약'!$B$4,'input'!B37,'input'!C37,'input'!D37),""))</x:f>
        <x:v>0.013861716820631477</x:v>
      </x:c>
      <x:c r="C37" s="5" t="n">
        <x:f>IF(AND(ISNUMBER(B37),'요약'!$B$19),B37-'요약'!$B$7,"")</x:f>
        <x:v>0.013909956147680978</x:v>
      </x:c>
      <x:c r="D37" s="5" t="n">
        <x:f>IF(ISNUMBER(C37),C37^2,"")</x:f>
        <x:v>0.00019348688003040782</x:v>
      </x:c>
      <x:c r="E37" s="14" t="n">
        <x:f>IF(ISNUMBER(C37),C37^3,"")</x:f>
        <x:v>0.0000026913940163745835</x:v>
      </x:c>
      <x:c r="F37" s="14" t="n">
        <x:f>IF(ISNUMBER(C37),C37^4,"")</x:f>
        <x:v>3.743717274390143e-8</x:v>
      </x:c>
      <x:c r="G37" s="5" t="n">
        <x:f>IF(ISNUMBER(B37),ABS(B37),"")</x:f>
        <x:v>0.013861716820631477</x:v>
      </x:c>
      <x:c r="H37" s="5" t="n">
        <x:f>IF(ISNUMBER(B37),B37^2,"")</x:f>
        <x:v>0.00019214719321537763</x:v>
      </x:c>
      <x:c r="I37" s="5" t="n">
        <x:f>IF(AND(ISNUMBER(G37),'요약'!$B$19),G37-'요약'!$B$14,"")</x:f>
        <x:v>0.005848200193228622</x:v>
      </x:c>
      <x:c r="J37" s="5" t="n">
        <x:f>IF(AND(ISNUMBER(H37),'요약'!$B$19),H37-'요약'!$B$15,"")</x:f>
        <x:v>0.00008993749402928553</x:v>
      </x:c>
      <x:c r="K37" s="1" t="str">
        <x:f>IF(ISNUMBER(B37),IF('Hill'!$B$4=1,IF(B37&lt;0,-B37,""),IF('Hill'!$B$4=2,IF(B37&gt;0,B37,""),IF('Hill'!$B$4=3,IF(B37&lt;&gt;0,ABS(B37),""),""))),"")</x:f>
      </x:c>
      <x:c r="L37" s="1"/>
    </x:row>
    <x:row r="38">
      <x:c r="A38" s="1" t="n">
        <x:f>37</x:f>
        <x:v>37</x:v>
      </x:c>
      <x:c r="B38" s="5" t="n">
        <x:f>IF('요약'!$B$4=4,IF(ISNUMBER('input'!A38),'input'!A38,""),IF(37&lt;=1000,CHOOSE('요약'!$B$4,'input'!B38,'input'!C38,'input'!D38),""))</x:f>
        <x:v>0.007944835987334774</x:v>
      </x:c>
      <x:c r="C38" s="5" t="n">
        <x:f>IF(AND(ISNUMBER(B38),'요약'!$B$19),B38-'요약'!$B$7,"")</x:f>
        <x:v>0.007993075314384274</x:v>
      </x:c>
      <x:c r="D38" s="5" t="n">
        <x:f>IF(ISNUMBER(C38),C38^2,"")</x:f>
        <x:v>0.00006388925298141927</x:v>
      </x:c>
      <x:c r="E38" s="14" t="n">
        <x:f>IF(ISNUMBER(C38),C38^3,"")</x:f>
        <x:v>5.106716108602342e-7</x:v>
      </x:c>
      <x:c r="F38" s="14" t="n">
        <x:f>IF(ISNUMBER(C38),C38^4,"")</x:f>
        <x:v>4.081836646523791e-9</x:v>
      </x:c>
      <x:c r="G38" s="5" t="n">
        <x:f>IF(ISNUMBER(B38),ABS(B38),"")</x:f>
        <x:v>0.007944835987334774</x:v>
      </x:c>
      <x:c r="H38" s="5" t="n">
        <x:f>IF(ISNUMBER(B38),B38^2,"")</x:f>
        <x:v>0.0000631204188656497</x:v>
      </x:c>
      <x:c r="I38" s="5" t="n">
        <x:f>IF(AND(ISNUMBER(G38),'요약'!$B$19),G38-'요약'!$B$14,"")</x:f>
        <x:v>-0.00006868064006808165</x:v>
      </x:c>
      <x:c r="J38" s="5" t="n">
        <x:f>IF(AND(ISNUMBER(H38),'요약'!$B$19),H38-'요약'!$B$15,"")</x:f>
        <x:v>-0.0000390892803204424</x:v>
      </x:c>
      <x:c r="K38" s="1" t="str">
        <x:f>IF(ISNUMBER(B38),IF('Hill'!$B$4=1,IF(B38&lt;0,-B38,""),IF('Hill'!$B$4=2,IF(B38&gt;0,B38,""),IF('Hill'!$B$4=3,IF(B38&lt;&gt;0,ABS(B38),""),""))),"")</x:f>
      </x:c>
      <x:c r="L38" s="1"/>
    </x:row>
    <x:row r="39">
      <x:c r="A39" s="1" t="n">
        <x:f>38</x:f>
        <x:v>38</x:v>
      </x:c>
      <x:c r="B39" s="5" t="n">
        <x:f>IF('요약'!$B$4=4,IF(ISNUMBER('input'!A39),'input'!A39,""),IF(38&lt;=1000,CHOOSE('요약'!$B$4,'input'!B39,'input'!C39,'input'!D39),""))</x:f>
        <x:v>0.007322118749073701</x:v>
      </x:c>
      <x:c r="C39" s="5" t="n">
        <x:f>IF(AND(ISNUMBER(B39),'요약'!$B$19),B39-'요약'!$B$7,"")</x:f>
        <x:v>0.007370358076123203</x:v>
      </x:c>
      <x:c r="D39" s="5" t="n">
        <x:f>IF(ISNUMBER(C39),C39^2,"")</x:f>
        <x:v>0.00005432217817027452</x:v>
      </x:c>
      <x:c r="E39" s="14" t="n">
        <x:f>IF(ISNUMBER(C39),C39^3,"")</x:f>
        <x:v>4.0037390458988635e-7</x:v>
      </x:c>
      <x:c r="F39" s="14" t="n">
        <x:f>IF(ISNUMBER(C39),C39^4,"")</x:f>
        <x:v>2.9508990411630495e-9</x:v>
      </x:c>
      <x:c r="G39" s="5" t="n">
        <x:f>IF(ISNUMBER(B39),ABS(B39),"")</x:f>
        <x:v>0.007322118749073701</x:v>
      </x:c>
      <x:c r="H39" s="5" t="n">
        <x:f>IF(ISNUMBER(B39),B39^2,"")</x:f>
        <x:v>0.000053613422975536625</x:v>
      </x:c>
      <x:c r="I39" s="5" t="n">
        <x:f>IF(AND(ISNUMBER(G39),'요약'!$B$19),G39-'요약'!$B$14,"")</x:f>
        <x:v>-0.000691397878329154</x:v>
      </x:c>
      <x:c r="J39" s="5" t="n">
        <x:f>IF(AND(ISNUMBER(H39),'요약'!$B$19),H39-'요약'!$B$15,"")</x:f>
        <x:v>-0.00004859627621055548</x:v>
      </x:c>
      <x:c r="K39" s="1" t="str">
        <x:f>IF(ISNUMBER(B39),IF('Hill'!$B$4=1,IF(B39&lt;0,-B39,""),IF('Hill'!$B$4=2,IF(B39&gt;0,B39,""),IF('Hill'!$B$4=3,IF(B39&lt;&gt;0,ABS(B39),""),""))),"")</x:f>
      </x:c>
      <x:c r="L39" s="1"/>
    </x:row>
    <x:row r="40">
      <x:c r="A40" s="1" t="n">
        <x:f>39</x:f>
        <x:v>39</x:v>
      </x:c>
      <x:c r="B40" s="5" t="n">
        <x:f>IF('요약'!$B$4=4,IF(ISNUMBER('input'!A40),'input'!A40,""),IF(39&lt;=1000,CHOOSE('요약'!$B$4,'input'!B40,'input'!C40,'input'!D40),""))</x:f>
        <x:v>0.017255045375373645</x:v>
      </x:c>
      <x:c r="C40" s="5" t="n">
        <x:f>IF(AND(ISNUMBER(B40),'요약'!$B$19),B40-'요약'!$B$7,"")</x:f>
        <x:v>0.017303284702423146</x:v>
      </x:c>
      <x:c r="D40" s="5" t="n">
        <x:f>IF(ISNUMBER(C40),C40^2,"")</x:f>
        <x:v>0.00029940366149311084</x:v>
      </x:c>
      <x:c r="E40" s="14" t="n">
        <x:f>IF(ISNUMBER(C40),C40^3,"")</x:f>
        <x:v>0.0000051806667957632234</x:v>
      </x:c>
      <x:c r="F40" s="14" t="n">
        <x:f>IF(ISNUMBER(C40),C40^4,"")</x:f>
        <x:v>8.964255251548132e-8</x:v>
      </x:c>
      <x:c r="G40" s="5" t="n">
        <x:f>IF(ISNUMBER(B40),ABS(B40),"")</x:f>
        <x:v>0.017255045375373645</x:v>
      </x:c>
      <x:c r="H40" s="5" t="n">
        <x:f>IF(ISNUMBER(B40),B40^2,"")</x:f>
        <x:v>0.0002977365909062034</x:v>
      </x:c>
      <x:c r="I40" s="5" t="n">
        <x:f>IF(AND(ISNUMBER(G40),'요약'!$B$19),G40-'요약'!$B$14,"")</x:f>
        <x:v>0.00924152874797079</x:v>
      </x:c>
      <x:c r="J40" s="5" t="n">
        <x:f>IF(AND(ISNUMBER(H40),'요약'!$B$19),H40-'요약'!$B$15,"")</x:f>
        <x:v>0.0001955268917201113</x:v>
      </x:c>
      <x:c r="K40" s="1" t="str">
        <x:f>IF(ISNUMBER(B40),IF('Hill'!$B$4=1,IF(B40&lt;0,-B40,""),IF('Hill'!$B$4=2,IF(B40&gt;0,B40,""),IF('Hill'!$B$4=3,IF(B40&lt;&gt;0,ABS(B40),""),""))),"")</x:f>
      </x:c>
      <x:c r="L40" s="1"/>
    </x:row>
    <x:row r="41">
      <x:c r="A41" t="n">
        <x:f>40</x:f>
        <x:v>40</x:v>
      </x:c>
      <x:c r="B41" s="7" t="n">
        <x:f>IF('요약'!$B$4=4,IF(ISNUMBER('input'!A41),'input'!A41,""),IF(40&lt;=1000,CHOOSE('요약'!$B$4,'input'!B41,'input'!C41,'input'!D41),""))</x:f>
        <x:v>-0.0020096124925323288</x:v>
      </x:c>
      <x:c r="C41" s="7" t="n">
        <x:f>IF(AND(ISNUMBER(B41),'요약'!$B$19),B41-'요약'!$B$7,"")</x:f>
        <x:v>-0.0019613731654828273</x:v>
      </x:c>
      <x:c r="D41" s="7" t="n">
        <x:f>IF(ISNUMBER(C41),C41^2,"")</x:f>
        <x:v>0.000003846984694276126</x:v>
      </x:c>
      <x:c r="E41" s="15" t="n">
        <x:f>IF(ISNUMBER(C41),C41^3,"")</x:f>
        <x:v>-7.545372547376353e-9</x:v>
      </x:c>
      <x:c r="F41" s="15" t="n">
        <x:f>IF(ISNUMBER(C41),C41^4,"")</x:f>
        <x:v>1.479929123799478e-11</x:v>
      </x:c>
      <x:c r="G41" s="7" t="n">
        <x:f>IF(ISNUMBER(B41),ABS(B41),"")</x:f>
        <x:v>0.0020096124925323288</x:v>
      </x:c>
      <x:c r="H41" s="7" t="n">
        <x:f>IF(ISNUMBER(B41),B41^2,"")</x:f>
        <x:v>0.000004038542370141999</x:v>
      </x:c>
      <x:c r="I41" s="7" t="n">
        <x:f>IF(AND(ISNUMBER(G41),'요약'!$B$19),G41-'요약'!$B$14,"")</x:f>
        <x:v>-0.006003904134870527</x:v>
      </x:c>
      <x:c r="J41" s="7" t="n">
        <x:f>IF(AND(ISNUMBER(H41),'요약'!$B$19),H41-'요약'!$B$15,"")</x:f>
        <x:v>-0.00009817115681595011</x:v>
      </x:c>
      <x:c r="K41" t="n">
        <x:f>IF(ISNUMBER(B41),IF('Hill'!$B$4=1,IF(B41&lt;0,-B41,""),IF('Hill'!$B$4=2,IF(B41&gt;0,B41,""),IF('Hill'!$B$4=3,IF(B41&lt;&gt;0,ABS(B41),""),""))),"")</x:f>
        <x:v>0.0020096124925323288</x:v>
      </x:c>
    </x:row>
    <x:row r="42">
      <x:c r="A42" t="n">
        <x:f>41</x:f>
        <x:v>41</x:v>
      </x:c>
      <x:c r="B42" s="7" t="n">
        <x:f>IF('요약'!$B$4=4,IF(ISNUMBER('input'!A42),'input'!A42,""),IF(41&lt;=1000,CHOOSE('요약'!$B$4,'input'!B42,'input'!C42,'input'!D42),""))</x:f>
        <x:v>0.011826682048302735</x:v>
      </x:c>
      <x:c r="C42" s="7" t="n">
        <x:f>IF(AND(ISNUMBER(B42),'요약'!$B$19),B42-'요약'!$B$7,"")</x:f>
        <x:v>0.011874921375352235</x:v>
      </x:c>
      <x:c r="D42" s="7" t="n">
        <x:f>IF(ISNUMBER(C42),C42^2,"")</x:f>
        <x:v>0.00014101375767079744</x:v>
      </x:c>
      <x:c r="E42" s="15" t="n">
        <x:f>IF(ISNUMBER(C42),C42^3,"")</x:f>
        <x:v>0.0000016745272851836926</x:v>
      </x:c>
      <x:c r="F42" s="15" t="n">
        <x:f>IF(ISNUMBER(C42),C42^4,"")</x:f>
        <x:v>1.988487985243838e-8</x:v>
      </x:c>
      <x:c r="G42" s="7" t="n">
        <x:f>IF(ISNUMBER(B42),ABS(B42),"")</x:f>
        <x:v>0.011826682048302735</x:v>
      </x:c>
      <x:c r="H42" s="7" t="n">
        <x:f>IF(ISNUMBER(B42),B42^2,"")</x:f>
        <x:v>0.00013987040827164617</x:v>
      </x:c>
      <x:c r="I42" s="7" t="n">
        <x:f>IF(AND(ISNUMBER(G42),'요약'!$B$19),G42-'요약'!$B$14,"")</x:f>
        <x:v>0.0038131654208998795</x:v>
      </x:c>
      <x:c r="J42" s="7" t="n">
        <x:f>IF(AND(ISNUMBER(H42),'요약'!$B$19),H42-'요약'!$B$15,"")</x:f>
        <x:v>0.00003766070908555407</x:v>
      </x:c>
      <x:c r="K42" t="str">
        <x:f>IF(ISNUMBER(B42),IF('Hill'!$B$4=1,IF(B42&lt;0,-B42,""),IF('Hill'!$B$4=2,IF(B42&gt;0,B42,""),IF('Hill'!$B$4=3,IF(B42&lt;&gt;0,ABS(B42),""),""))),"")</x:f>
      </x:c>
    </x:row>
    <x:row r="43">
      <x:c r="A43" t="n">
        <x:f>42</x:f>
        <x:v>42</x:v>
      </x:c>
      <x:c r="B43" s="7" t="n">
        <x:f>IF('요약'!$B$4=4,IF(ISNUMBER('input'!A43),'input'!A43,""),IF(42&lt;=1000,CHOOSE('요약'!$B$4,'input'!B43,'input'!C43,'input'!D43),""))</x:f>
        <x:v>0.004932457621869365</x:v>
      </x:c>
      <x:c r="C43" s="7" t="n">
        <x:f>IF(AND(ISNUMBER(B43),'요약'!$B$19),B43-'요약'!$B$7,"")</x:f>
        <x:v>0.004980696948918867</x:v>
      </x:c>
      <x:c r="D43" s="7" t="n">
        <x:f>IF(ISNUMBER(C43),C43^2,"")</x:f>
        <x:v>0.000024807342096969708</x:v>
      </x:c>
      <x:c r="E43" s="15" t="n">
        <x:f>IF(ISNUMBER(C43),C43^3,"")</x:f>
        <x:v>1.235578530931636e-7</x:v>
      </x:c>
      <x:c r="F43" s="15" t="n">
        <x:f>IF(ISNUMBER(C43),C43^4,"")</x:f>
        <x:v>6.154042219160855e-10</x:v>
      </x:c>
      <x:c r="G43" s="7" t="n">
        <x:f>IF(ISNUMBER(B43),ABS(B43),"")</x:f>
        <x:v>0.004932457621869365</x:v>
      </x:c>
      <x:c r="H43" s="7" t="n">
        <x:f>IF(ISNUMBER(B43),B43^2,"")</x:f>
        <x:v>0.000024329138191537197</x:v>
      </x:c>
      <x:c r="I43" s="7" t="n">
        <x:f>IF(AND(ISNUMBER(G43),'요약'!$B$19),G43-'요약'!$B$14,"")</x:f>
        <x:v>-0.00308105900553349</x:v>
      </x:c>
      <x:c r="J43" s="7" t="n">
        <x:f>IF(AND(ISNUMBER(H43),'요약'!$B$19),H43-'요약'!$B$15,"")</x:f>
        <x:v>-0.00007788056099455491</x:v>
      </x:c>
      <x:c r="K43" t="str">
        <x:f>IF(ISNUMBER(B43),IF('Hill'!$B$4=1,IF(B43&lt;0,-B43,""),IF('Hill'!$B$4=2,IF(B43&gt;0,B43,""),IF('Hill'!$B$4=3,IF(B43&lt;&gt;0,ABS(B43),""),""))),"")</x:f>
      </x:c>
    </x:row>
    <x:row r="44">
      <x:c r="A44" t="n">
        <x:f>43</x:f>
        <x:v>43</x:v>
      </x:c>
      <x:c r="B44" s="7" t="n">
        <x:f>IF('요약'!$B$4=4,IF(ISNUMBER('input'!A44),'input'!A44,""),IF(43&lt;=1000,CHOOSE('요약'!$B$4,'input'!B44,'input'!C44,'input'!D44),""))</x:f>
        <x:v>0.0016693322128425892</x:v>
      </x:c>
      <x:c r="C44" s="7" t="n">
        <x:f>IF(AND(ISNUMBER(B44),'요약'!$B$19),B44-'요약'!$B$7,"")</x:f>
        <x:v>0.0017175715398920907</x:v>
      </x:c>
      <x:c r="D44" s="7" t="n">
        <x:f>IF(ISNUMBER(C44),C44^2,"")</x:f>
        <x:v>0.0000029500519946472874</x:v>
      </x:c>
      <x:c r="E44" s="15" t="n">
        <x:f>IF(ISNUMBER(C44),C44^3,"")</x:f>
        <x:v>5.066925347208075e-9</x:v>
      </x:c>
      <x:c r="F44" s="15" t="n">
        <x:f>IF(ISNUMBER(C44),C44^4,"")</x:f>
        <x:v>8.70280677112244e-12</x:v>
      </x:c>
      <x:c r="G44" s="7" t="n">
        <x:f>IF(ISNUMBER(B44),ABS(B44),"")</x:f>
        <x:v>0.0016693322128425892</x:v>
      </x:c>
      <x:c r="H44" s="7" t="n">
        <x:f>IF(ISNUMBER(B44),B44^2,"")</x:f>
        <x:v>0.0000027866700368339354</x:v>
      </x:c>
      <x:c r="I44" s="7" t="n">
        <x:f>IF(AND(ISNUMBER(G44),'요약'!$B$19),G44-'요약'!$B$14,"")</x:f>
        <x:v>-0.006344184414560266</x:v>
      </x:c>
      <x:c r="J44" s="7" t="n">
        <x:f>IF(AND(ISNUMBER(H44),'요약'!$B$19),H44-'요약'!$B$15,"")</x:f>
        <x:v>-0.00009942302914925816</x:v>
      </x:c>
      <x:c r="K44" t="str">
        <x:f>IF(ISNUMBER(B44),IF('Hill'!$B$4=1,IF(B44&lt;0,-B44,""),IF('Hill'!$B$4=2,IF(B44&gt;0,B44,""),IF('Hill'!$B$4=3,IF(B44&lt;&gt;0,ABS(B44),""),""))),"")</x:f>
      </x:c>
    </x:row>
    <x:row r="45">
      <x:c r="A45" t="n">
        <x:f>44</x:f>
        <x:v>44</x:v>
      </x:c>
      <x:c r="B45" s="7" t="n">
        <x:f>IF('요약'!$B$4=4,IF(ISNUMBER('input'!A45),'input'!A45,""),IF(44&lt;=1000,CHOOSE('요약'!$B$4,'input'!B45,'input'!C45,'input'!D45),""))</x:f>
        <x:v>0.00294687832668545</x:v>
      </x:c>
      <x:c r="C45" s="7" t="n">
        <x:f>IF(AND(ISNUMBER(B45),'요약'!$B$19),B45-'요약'!$B$7,"")</x:f>
        <x:v>0.0029951176537349514</x:v>
      </x:c>
      <x:c r="D45" s="7" t="n">
        <x:f>IF(ISNUMBER(C45),C45^2,"")</x:f>
        <x:v>0.00000897072975971476</x:v>
      </x:c>
      <x:c r="E45" s="15" t="n">
        <x:f>IF(ISNUMBER(C45),C45^3,"")</x:f>
        <x:v>2.6868391070207178e-8</x:v>
      </x:c>
      <x:c r="F45" s="15" t="n">
        <x:f>IF(ISNUMBER(C45),C45^4,"")</x:f>
        <x:v>8.047399242183205e-11</x:v>
      </x:c>
      <x:c r="G45" s="7" t="n">
        <x:f>IF(ISNUMBER(B45),ABS(B45),"")</x:f>
        <x:v>0.00294687832668545</x:v>
      </x:c>
      <x:c r="H45" s="7" t="n">
        <x:f>IF(ISNUMBER(B45),B45^2,"")</x:f>
        <x:v>0.000008684091872288438</x:v>
      </x:c>
      <x:c r="I45" s="7" t="n">
        <x:f>IF(AND(ISNUMBER(G45),'요약'!$B$19),G45-'요약'!$B$14,"")</x:f>
        <x:v>-0.005066638300717406</x:v>
      </x:c>
      <x:c r="J45" s="7" t="n">
        <x:f>IF(AND(ISNUMBER(H45),'요약'!$B$19),H45-'요약'!$B$15,"")</x:f>
        <x:v>-0.00009352560731380367</x:v>
      </x:c>
      <x:c r="K45" t="str">
        <x:f>IF(ISNUMBER(B45),IF('Hill'!$B$4=1,IF(B45&lt;0,-B45,""),IF('Hill'!$B$4=2,IF(B45&gt;0,B45,""),IF('Hill'!$B$4=3,IF(B45&lt;&gt;0,ABS(B45),""),""))),"")</x:f>
      </x:c>
    </x:row>
    <x:row r="46">
      <x:c r="A46" t="n">
        <x:f>45</x:f>
        <x:v>45</x:v>
      </x:c>
      <x:c r="B46" s="7" t="n">
        <x:f>IF('요약'!$B$4=4,IF(ISNUMBER('input'!A46),'input'!A46,""),IF(45&lt;=1000,CHOOSE('요약'!$B$4,'input'!B46,'input'!C46,'input'!D46),""))</x:f>
        <x:v>0.008329227112651199</x:v>
      </x:c>
      <x:c r="C46" s="7" t="n">
        <x:f>IF(AND(ISNUMBER(B46),'요약'!$B$19),B46-'요약'!$B$7,"")</x:f>
        <x:v>0.0083774664397007</x:v>
      </x:c>
      <x:c r="D46" s="7" t="n">
        <x:f>IF(ISNUMBER(C46),C46^2,"")</x:f>
        <x:v>0.00007018194394831151</x:v>
      </x:c>
      <x:c r="E46" s="15" t="n">
        <x:f>IF(ISNUMBER(C46),C46^3,"")</x:f>
        <x:v>5.879468800999353e-7</x:v>
      </x:c>
      <x:c r="F46" s="15" t="n">
        <x:f>IF(ISNUMBER(C46),C46^4,"")</x:f>
        <x:v>4.925505256363939e-9</x:v>
      </x:c>
      <x:c r="G46" s="7" t="n">
        <x:f>IF(ISNUMBER(B46),ABS(B46),"")</x:f>
        <x:v>0.008329227112651199</x:v>
      </x:c>
      <x:c r="H46" s="7" t="n">
        <x:f>IF(ISNUMBER(B46),B46^2,"")</x:f>
        <x:v>0.00006937602429412382</x:v>
      </x:c>
      <x:c r="I46" s="7" t="n">
        <x:f>IF(AND(ISNUMBER(G46),'요약'!$B$19),G46-'요약'!$B$14,"")</x:f>
        <x:v>0.00031571048524834354</x:v>
      </x:c>
      <x:c r="J46" s="7" t="n">
        <x:f>IF(AND(ISNUMBER(H46),'요약'!$B$19),H46-'요약'!$B$15,"")</x:f>
        <x:v>-0.00003283367489196828</x:v>
      </x:c>
      <x:c r="K46" t="str">
        <x:f>IF(ISNUMBER(B46),IF('Hill'!$B$4=1,IF(B46&lt;0,-B46,""),IF('Hill'!$B$4=2,IF(B46&gt;0,B46,""),IF('Hill'!$B$4=3,IF(B46&lt;&gt;0,ABS(B46),""),""))),"")</x:f>
      </x:c>
    </x:row>
    <x:row r="47">
      <x:c r="A47" t="n">
        <x:f>46</x:f>
        <x:v>46</x:v>
      </x:c>
      <x:c r="B47" s="7" t="n">
        <x:f>IF('요약'!$B$4=4,IF(ISNUMBER('input'!A47),'input'!A47,""),IF(46&lt;=1000,CHOOSE('요약'!$B$4,'input'!B47,'input'!C47,'input'!D47),""))</x:f>
        <x:v>0.004585314326342302</x:v>
      </x:c>
      <x:c r="C47" s="7" t="n">
        <x:f>IF(AND(ISNUMBER(B47),'요약'!$B$19),B47-'요약'!$B$7,"")</x:f>
        <x:v>0.004633553653391804</x:v>
      </x:c>
      <x:c r="D47" s="7" t="n">
        <x:f>IF(ISNUMBER(C47),C47^2,"")</x:f>
        <x:v>0.00002146981945886053</x:v>
      </x:c>
      <x:c r="E47" s="15" t="n">
        <x:f>IF(ISNUMBER(C47),C47^3,"")</x:f>
        <x:v>9.948156039126565e-8</x:v>
      </x:c>
      <x:c r="F47" s="15" t="n">
        <x:f>IF(ISNUMBER(C47),C47^4,"")</x:f>
        <x:v>4.609531475960663e-10</x:v>
      </x:c>
      <x:c r="G47" s="7" t="n">
        <x:f>IF(ISNUMBER(B47),ABS(B47),"")</x:f>
        <x:v>0.004585314326342302</x:v>
      </x:c>
      <x:c r="H47" s="7" t="n">
        <x:f>IF(ISNUMBER(B47),B47^2,"")</x:f>
        <x:v>0.00002102510747135996</x:v>
      </x:c>
      <x:c r="I47" s="7" t="n">
        <x:f>IF(AND(ISNUMBER(G47),'요약'!$B$19),G47-'요약'!$B$14,"")</x:f>
        <x:v>-0.003428202301060553</x:v>
      </x:c>
      <x:c r="J47" s="7" t="n">
        <x:f>IF(AND(ISNUMBER(H47),'요약'!$B$19),H47-'요약'!$B$15,"")</x:f>
        <x:v>-0.00008118459171473214</x:v>
      </x:c>
      <x:c r="K47" t="str">
        <x:f>IF(ISNUMBER(B47),IF('Hill'!$B$4=1,IF(B47&lt;0,-B47,""),IF('Hill'!$B$4=2,IF(B47&gt;0,B47,""),IF('Hill'!$B$4=3,IF(B47&lt;&gt;0,ABS(B47),""),""))),"")</x:f>
      </x:c>
    </x:row>
    <x:row r="48">
      <x:c r="A48" t="n">
        <x:f>47</x:f>
        <x:v>47</x:v>
      </x:c>
      <x:c r="B48" s="7" t="n">
        <x:f>IF('요약'!$B$4=4,IF(ISNUMBER('input'!A48),'input'!A48,""),IF(47&lt;=1000,CHOOSE('요약'!$B$4,'input'!B48,'input'!C48,'input'!D48),""))</x:f>
        <x:v>0.0026987516583388007</x:v>
      </x:c>
      <x:c r="C48" s="7" t="n">
        <x:f>IF(AND(ISNUMBER(B48),'요약'!$B$19),B48-'요약'!$B$7,"")</x:f>
        <x:v>0.002746990985388302</x:v>
      </x:c>
      <x:c r="D48" s="7" t="n">
        <x:f>IF(ISNUMBER(C48),C48^2,"")</x:f>
        <x:v>0.000007545959473804595</x:v>
      </x:c>
      <x:c r="E48" s="15" t="n">
        <x:f>IF(ISNUMBER(C48),C48^3,"")</x:f>
        <x:v>2.072868265064668e-8</x:v>
      </x:c>
      <x:c r="F48" s="15" t="n">
        <x:f>IF(ISNUMBER(C48),C48^4,"")</x:f>
        <x:v>5.694150438030132e-11</x:v>
      </x:c>
      <x:c r="G48" s="7" t="n">
        <x:f>IF(ISNUMBER(B48),ABS(B48),"")</x:f>
        <x:v>0.0026987516583388007</x:v>
      </x:c>
      <x:c r="H48" s="7" t="n">
        <x:f>IF(ISNUMBER(B48),B48^2,"")</x:f>
        <x:v>0.000007283260513386427</x:v>
      </x:c>
      <x:c r="I48" s="7" t="n">
        <x:f>IF(AND(ISNUMBER(G48),'요약'!$B$19),G48-'요약'!$B$14,"")</x:f>
        <x:v>-0.005314764969064054</x:v>
      </x:c>
      <x:c r="J48" s="7" t="n">
        <x:f>IF(AND(ISNUMBER(H48),'요약'!$B$19),H48-'요약'!$B$15,"")</x:f>
        <x:v>-0.00009492643867270568</x:v>
      </x:c>
      <x:c r="K48" t="str">
        <x:f>IF(ISNUMBER(B48),IF('Hill'!$B$4=1,IF(B48&lt;0,-B48,""),IF('Hill'!$B$4=2,IF(B48&gt;0,B48,""),IF('Hill'!$B$4=3,IF(B48&lt;&gt;0,ABS(B48),""),""))),"")</x:f>
      </x:c>
    </x:row>
    <x:row r="49">
      <x:c r="A49" t="n">
        <x:f>48</x:f>
        <x:v>48</x:v>
      </x:c>
      <x:c r="B49" s="7" t="n">
        <x:f>IF('요약'!$B$4=4,IF(ISNUMBER('input'!A49),'input'!A49,""),IF(48&lt;=1000,CHOOSE('요약'!$B$4,'input'!B49,'input'!C49,'input'!D49),""))</x:f>
        <x:v>0.006738606747578889</x:v>
      </x:c>
      <x:c r="C49" s="7" t="n">
        <x:f>IF(AND(ISNUMBER(B49),'요약'!$B$19),B49-'요약'!$B$7,"")</x:f>
        <x:v>0.00678684607462839</x:v>
      </x:c>
      <x:c r="D49" s="7" t="n">
        <x:f>IF(ISNUMBER(C49),C49^2,"")</x:f>
        <x:v>0.00004606127964069879</x:v>
      </x:c>
      <x:c r="E49" s="15" t="n">
        <x:f>IF(ISNUMBER(C49),C49^3,"")</x:f>
        <x:v>3.1261081492183716e-7</x:v>
      </x:c>
      <x:c r="F49" s="15" t="n">
        <x:f>IF(ISNUMBER(C49),C49^4,"")</x:f>
        <x:v>2.121641482138653e-9</x:v>
      </x:c>
      <x:c r="G49" s="7" t="n">
        <x:f>IF(ISNUMBER(B49),ABS(B49),"")</x:f>
        <x:v>0.006738606747578889</x:v>
      </x:c>
      <x:c r="H49" s="7" t="n">
        <x:f>IF(ISNUMBER(B49),B49^2,"")</x:f>
        <x:v>0.00004540882089851573</x:v>
      </x:c>
      <x:c r="I49" s="7" t="n">
        <x:f>IF(AND(ISNUMBER(G49),'요약'!$B$19),G49-'요약'!$B$14,"")</x:f>
        <x:v>-0.0012749098798239666</x:v>
      </x:c>
      <x:c r="J49" s="7" t="n">
        <x:f>IF(AND(ISNUMBER(H49),'요약'!$B$19),H49-'요약'!$B$15,"")</x:f>
        <x:v>-0.00005680087828757637</x:v>
      </x:c>
      <x:c r="K49" t="str">
        <x:f>IF(ISNUMBER(B49),IF('Hill'!$B$4=1,IF(B49&lt;0,-B49,""),IF('Hill'!$B$4=2,IF(B49&gt;0,B49,""),IF('Hill'!$B$4=3,IF(B49&lt;&gt;0,ABS(B49),""),""))),"")</x:f>
      </x:c>
    </x:row>
    <x:row r="50">
      <x:c r="A50" t="n">
        <x:f>49</x:f>
        <x:v>49</x:v>
      </x:c>
      <x:c r="B50" s="7" t="n">
        <x:f>IF('요약'!$B$4=4,IF(ISNUMBER('input'!A50),'input'!A50,""),IF(49&lt;=1000,CHOOSE('요약'!$B$4,'input'!B50,'input'!C50,'input'!D50),""))</x:f>
        <x:v>-0.00002055780964194593</x:v>
      </x:c>
      <x:c r="C50" s="7" t="n">
        <x:f>IF(AND(ISNUMBER(B50),'요약'!$B$19),B50-'요약'!$B$7,"")</x:f>
        <x:v>0.000027681517407555445</x:v>
      </x:c>
      <x:c r="D50" s="7" t="n">
        <x:f>IF(ISNUMBER(C50),C50^2,"")</x:f>
        <x:v>7.662664059847951e-10</x:v>
      </x:c>
      <x:c r="E50" s="15" t="n">
        <x:f>IF(ISNUMBER(C50),C50^3,"")</x:f>
        <x:v>2.1211416856093052e-14</x:v>
      </x:c>
      <x:c r="F50" s="15" t="n">
        <x:f>IF(ISNUMBER(C50),C50^4,"")</x:f>
        <x:v>5.871642049408548e-19</x:v>
      </x:c>
      <x:c r="G50" s="7" t="n">
        <x:f>IF(ISNUMBER(B50),ABS(B50),"")</x:f>
        <x:v>0.00002055780964194593</x:v>
      </x:c>
      <x:c r="H50" s="7" t="n">
        <x:f>IF(ISNUMBER(B50),B50^2,"")</x:f>
        <x:v>4.226235372744851e-10</x:v>
      </x:c>
      <x:c r="I50" s="7" t="n">
        <x:f>IF(AND(ISNUMBER(G50),'요약'!$B$19),G50-'요약'!$B$14,"")</x:f>
        <x:v>-0.007992958817760909</x:v>
      </x:c>
      <x:c r="J50" s="7" t="n">
        <x:f>IF(AND(ISNUMBER(H50),'요약'!$B$19),H50-'요약'!$B$15,"")</x:f>
        <x:v>-0.00010220927656255482</x:v>
      </x:c>
      <x:c r="K50" t="n">
        <x:f>IF(ISNUMBER(B50),IF('Hill'!$B$4=1,IF(B50&lt;0,-B50,""),IF('Hill'!$B$4=2,IF(B50&gt;0,B50,""),IF('Hill'!$B$4=3,IF(B50&lt;&gt;0,ABS(B50),""),""))),"")</x:f>
        <x:v>0.00002055780964194593</x:v>
      </x:c>
    </x:row>
    <x:row r="51">
      <x:c r="A51" t="n">
        <x:f>50</x:f>
        <x:v>50</x:v>
      </x:c>
      <x:c r="B51" s="7" t="n">
        <x:f>IF('요약'!$B$4=4,IF(ISNUMBER('input'!A51),'input'!A51,""),IF(50&lt;=1000,CHOOSE('요약'!$B$4,'input'!B51,'input'!C51,'input'!D51),""))</x:f>
        <x:v>-0.0050238476969218975</x:v>
      </x:c>
      <x:c r="C51" s="7" t="n">
        <x:f>IF(AND(ISNUMBER(B51),'요약'!$B$19),B51-'요약'!$B$7,"")</x:f>
        <x:v>-0.004975608369872396</x:v>
      </x:c>
      <x:c r="D51" s="7" t="n">
        <x:f>IF(ISNUMBER(C51),C51^2,"")</x:f>
        <x:v>0.000024756678650344243</x:v>
      </x:c>
      <x:c r="E51" s="15" t="n">
        <x:f>IF(ISNUMBER(C51),C51^3,"")</x:f>
        <x:v>-1.2317953750289406e-7</x:v>
      </x:c>
      <x:c r="F51" s="15" t="n">
        <x:f>IF(ISNUMBER(C51),C51^4,"")</x:f>
        <x:v>6.128931377964104e-10</x:v>
      </x:c>
      <x:c r="G51" s="7" t="n">
        <x:f>IF(ISNUMBER(B51),ABS(B51),"")</x:f>
        <x:v>0.0050238476969218975</x:v>
      </x:c>
      <x:c r="H51" s="7" t="n">
        <x:f>IF(ISNUMBER(B51),B51^2,"")</x:f>
        <x:v>0.000025239045681867455</x:v>
      </x:c>
      <x:c r="I51" s="7" t="n">
        <x:f>IF(AND(ISNUMBER(G51),'요약'!$B$19),G51-'요약'!$B$14,"")</x:f>
        <x:v>-0.002989668930480958</x:v>
      </x:c>
      <x:c r="J51" s="7" t="n">
        <x:f>IF(AND(ISNUMBER(H51),'요약'!$B$19),H51-'요약'!$B$15,"")</x:f>
        <x:v>-0.00007697065350422466</x:v>
      </x:c>
      <x:c r="K51" t="n">
        <x:f>IF(ISNUMBER(B51),IF('Hill'!$B$4=1,IF(B51&lt;0,-B51,""),IF('Hill'!$B$4=2,IF(B51&gt;0,B51,""),IF('Hill'!$B$4=3,IF(B51&lt;&gt;0,ABS(B51),""),""))),"")</x:f>
        <x:v>0.0050238476969218975</x:v>
      </x:c>
    </x:row>
    <x:row r="52">
      <x:c r="A52" t="n">
        <x:f>51</x:f>
        <x:v>51</x:v>
      </x:c>
      <x:c r="B52" s="7" t="n">
        <x:f>IF('요약'!$B$4=4,IF(ISNUMBER('input'!A52),'input'!A52,""),IF(51&lt;=1000,CHOOSE('요약'!$B$4,'input'!B52,'input'!C52,'input'!D52),""))</x:f>
        <x:v>-0.004800524020877993</x:v>
      </x:c>
      <x:c r="C52" s="7" t="n">
        <x:f>IF(AND(ISNUMBER(B52),'요약'!$B$19),B52-'요약'!$B$7,"")</x:f>
        <x:v>-0.004752284693828492</x:v>
      </x:c>
      <x:c r="D52" s="7" t="n">
        <x:f>IF(ISNUMBER(C52),C52^2,"")</x:f>
        <x:v>0.000022584209811196563</x:v>
      </x:c>
      <x:c r="E52" s="15" t="n">
        <x:f>IF(ISNUMBER(C52),C52^3,"")</x:f>
        <x:v>-1.0732659460796068e-7</x:v>
      </x:c>
      <x:c r="F52" s="15" t="n">
        <x:f>IF(ISNUMBER(C52),C52^4,"")</x:f>
        <x:v>5.100465327961471e-10</x:v>
      </x:c>
      <x:c r="G52" s="7" t="n">
        <x:f>IF(ISNUMBER(B52),ABS(B52),"")</x:f>
        <x:v>0.004800524020877993</x:v>
      </x:c>
      <x:c r="H52" s="7" t="n">
        <x:f>IF(ISNUMBER(B52),B52^2,"")</x:f>
        <x:v>0.000023045030875026616</x:v>
      </x:c>
      <x:c r="I52" s="7" t="n">
        <x:f>IF(AND(ISNUMBER(G52),'요약'!$B$19),G52-'요약'!$B$14,"")</x:f>
        <x:v>-0.003212992606524862</x:v>
      </x:c>
      <x:c r="J52" s="7" t="n">
        <x:f>IF(AND(ISNUMBER(H52),'요약'!$B$19),H52-'요약'!$B$15,"")</x:f>
        <x:v>-0.00007916466831106548</x:v>
      </x:c>
      <x:c r="K52" t="n">
        <x:f>IF(ISNUMBER(B52),IF('Hill'!$B$4=1,IF(B52&lt;0,-B52,""),IF('Hill'!$B$4=2,IF(B52&gt;0,B52,""),IF('Hill'!$B$4=3,IF(B52&lt;&gt;0,ABS(B52),""),""))),"")</x:f>
        <x:v>0.004800524020877993</x:v>
      </x:c>
    </x:row>
    <x:row r="53">
      <x:c r="A53" t="n">
        <x:f>52</x:f>
        <x:v>52</x:v>
      </x:c>
      <x:c r="B53" s="7" t="n">
        <x:f>IF('요약'!$B$4=4,IF(ISNUMBER('input'!A53),'input'!A53,""),IF(52&lt;=1000,CHOOSE('요약'!$B$4,'input'!B53,'input'!C53,'input'!D53),""))</x:f>
        <x:v>-0.0032492769523037248</x:v>
      </x:c>
      <x:c r="C53" s="7" t="n">
        <x:f>IF(AND(ISNUMBER(B53),'요약'!$B$19),B53-'요약'!$B$7,"")</x:f>
        <x:v>-0.0032010376252542233</x:v>
      </x:c>
      <x:c r="D53" s="7" t="n">
        <x:f>IF(ISNUMBER(C53),C53^2,"")</x:f>
        <x:v>0.000010246641878293198</x:v>
      </x:c>
      <x:c r="E53" s="15" t="n">
        <x:f>IF(ISNUMBER(C53),C53^3,"")</x:f>
        <x:v>-3.279988618492213e-8</x:v>
      </x:c>
      <x:c r="F53" s="15" t="n">
        <x:f>IF(ISNUMBER(C53),C53^4,"")</x:f>
        <x:v>1.0499366978199194e-10</x:v>
      </x:c>
      <x:c r="G53" s="7" t="n">
        <x:f>IF(ISNUMBER(B53),ABS(B53),"")</x:f>
        <x:v>0.0032492769523037248</x:v>
      </x:c>
      <x:c r="H53" s="7" t="n">
        <x:f>IF(ISNUMBER(B53),B53^2,"")</x:f>
        <x:v>0.000010557800712772181</x:v>
      </x:c>
      <x:c r="I53" s="7" t="n">
        <x:f>IF(AND(ISNUMBER(G53),'요약'!$B$19),G53-'요약'!$B$14,"")</x:f>
        <x:v>-0.004764239675099131</x:v>
      </x:c>
      <x:c r="J53" s="7" t="n">
        <x:f>IF(AND(ISNUMBER(H53),'요약'!$B$19),H53-'요약'!$B$15,"")</x:f>
        <x:v>-0.00009165189847331992</x:v>
      </x:c>
      <x:c r="K53" t="n">
        <x:f>IF(ISNUMBER(B53),IF('Hill'!$B$4=1,IF(B53&lt;0,-B53,""),IF('Hill'!$B$4=2,IF(B53&gt;0,B53,""),IF('Hill'!$B$4=3,IF(B53&lt;&gt;0,ABS(B53),""),""))),"")</x:f>
        <x:v>0.0032492769523037248</x:v>
      </x:c>
    </x:row>
    <x:row r="54">
      <x:c r="A54" t="n">
        <x:f>53</x:f>
        <x:v>53</x:v>
      </x:c>
      <x:c r="B54" s="7" t="n">
        <x:f>IF('요약'!$B$4=4,IF(ISNUMBER('input'!A54),'input'!A54,""),IF(53&lt;=1000,CHOOSE('요약'!$B$4,'input'!B54,'input'!C54,'input'!D54),""))</x:f>
        <x:v>0.002190628948432028</x:v>
      </x:c>
      <x:c r="C54" s="7" t="n">
        <x:f>IF(AND(ISNUMBER(B54),'요약'!$B$19),B54-'요약'!$B$7,"")</x:f>
        <x:v>0.0022388682754815293</x:v>
      </x:c>
      <x:c r="D54" s="7" t="n">
        <x:f>IF(ISNUMBER(C54),C54^2,"")</x:f>
        <x:v>0.000005012531154957637</x:v>
      </x:c>
      <x:c r="E54" s="15" t="n">
        <x:f>IF(ISNUMBER(C54),C54^3,"")</x:f>
        <x:v>1.1222396982697443e-8</x:v>
      </x:c>
      <x:c r="F54" s="15" t="n">
        <x:f>IF(ISNUMBER(C54),C54^4,"")</x:f>
        <x:v>2.512546857942094e-11</x:v>
      </x:c>
      <x:c r="G54" s="7" t="n">
        <x:f>IF(ISNUMBER(B54),ABS(B54),"")</x:f>
        <x:v>0.002190628948432028</x:v>
      </x:c>
      <x:c r="H54" s="7" t="n">
        <x:f>IF(ISNUMBER(B54),B54^2,"")</x:f>
        <x:v>0.000004798855189708412</x:v>
      </x:c>
      <x:c r="I54" s="7" t="n">
        <x:f>IF(AND(ISNUMBER(G54),'요약'!$B$19),G54-'요약'!$B$14,"")</x:f>
        <x:v>-0.005822887678970828</x:v>
      </x:c>
      <x:c r="J54" s="7" t="n">
        <x:f>IF(AND(ISNUMBER(H54),'요약'!$B$19),H54-'요약'!$B$15,"")</x:f>
        <x:v>-0.00009741084399638369</x:v>
      </x:c>
      <x:c r="K54" t="str">
        <x:f>IF(ISNUMBER(B54),IF('Hill'!$B$4=1,IF(B54&lt;0,-B54,""),IF('Hill'!$B$4=2,IF(B54&gt;0,B54,""),IF('Hill'!$B$4=3,IF(B54&lt;&gt;0,ABS(B54),""),""))),"")</x:f>
      </x:c>
    </x:row>
    <x:row r="55">
      <x:c r="A55" t="n">
        <x:f>54</x:f>
        <x:v>54</x:v>
      </x:c>
      <x:c r="B55" s="7" t="n">
        <x:f>IF('요약'!$B$4=4,IF(ISNUMBER('input'!A55),'input'!A55,""),IF(54&lt;=1000,CHOOSE('요약'!$B$4,'input'!B55,'input'!C55,'input'!D55),""))</x:f>
        <x:v>0.0003792891023674281</x:v>
      </x:c>
      <x:c r="C55" s="7" t="n">
        <x:f>IF(AND(ISNUMBER(B55),'요약'!$B$19),B55-'요약'!$B$7,"")</x:f>
        <x:v>0.00042752842941692947</x:v>
      </x:c>
      <x:c r="D55" s="7" t="n">
        <x:f>IF(ISNUMBER(C55),C55^2,"")</x:f>
        <x:v>1.8278055795970644e-7</x:v>
      </x:c>
      <x:c r="E55" s="15" t="n">
        <x:f>IF(ISNUMBER(C55),C55^3,"")</x:f>
        <x:v>7.814388487246334e-11</x:v>
      </x:c>
      <x:c r="F55" s="15" t="n">
        <x:f>IF(ISNUMBER(C55),C55^4,"")</x:f>
        <x:v>3.3408732368061604e-14</x:v>
      </x:c>
      <x:c r="G55" s="7" t="n">
        <x:f>IF(ISNUMBER(B55),ABS(B55),"")</x:f>
        <x:v>0.0003792891023674281</x:v>
      </x:c>
      <x:c r="H55" s="7" t="n">
        <x:f>IF(ISNUMBER(B55),B55^2,"")</x:f>
        <x:v>1.4386022317468936e-7</x:v>
      </x:c>
      <x:c r="I55" s="7" t="n">
        <x:f>IF(AND(ISNUMBER(G55),'요약'!$B$19),G55-'요약'!$B$14,"")</x:f>
        <x:v>-0.007634227525035427</x:v>
      </x:c>
      <x:c r="J55" s="7" t="n">
        <x:f>IF(AND(ISNUMBER(H55),'요약'!$B$19),H55-'요약'!$B$15,"")</x:f>
        <x:v>-0.00010206583896291741</x:v>
      </x:c>
      <x:c r="K55" t="str">
        <x:f>IF(ISNUMBER(B55),IF('Hill'!$B$4=1,IF(B55&lt;0,-B55,""),IF('Hill'!$B$4=2,IF(B55&gt;0,B55,""),IF('Hill'!$B$4=3,IF(B55&lt;&gt;0,ABS(B55),""),""))),"")</x:f>
      </x:c>
    </x:row>
    <x:row r="56">
      <x:c r="A56" t="n">
        <x:f>55</x:f>
        <x:v>55</x:v>
      </x:c>
      <x:c r="B56" s="7" t="n">
        <x:f>IF('요약'!$B$4=4,IF(ISNUMBER('input'!A56),'input'!A56,""),IF(55&lt;=1000,CHOOSE('요약'!$B$4,'input'!B56,'input'!C56,'input'!D56),""))</x:f>
        <x:v>-0.004441287657977122</x:v>
      </x:c>
      <x:c r="C56" s="7" t="n">
        <x:f>IF(AND(ISNUMBER(B56),'요약'!$B$19),B56-'요약'!$B$7,"")</x:f>
        <x:v>-0.0043930483309276205</x:v>
      </x:c>
      <x:c r="D56" s="7" t="n">
        <x:f>IF(ISNUMBER(C56),C56^2,"")</x:f>
        <x:v>0.000019298873637865952</x:v>
      </x:c>
      <x:c r="E56" s="15" t="n">
        <x:f>IF(ISNUMBER(C56),C56^3,"")</x:f>
        <x:v>-8.478088462361007e-8</x:v>
      </x:c>
      <x:c r="F56" s="15" t="n">
        <x:f>IF(ISNUMBER(C56),C56^4,"")</x:f>
        <x:v>3.724465236903174e-10</x:v>
      </x:c>
      <x:c r="G56" s="7" t="n">
        <x:f>IF(ISNUMBER(B56),ABS(B56),"")</x:f>
        <x:v>0.004441287657977122</x:v>
      </x:c>
      <x:c r="H56" s="7" t="n">
        <x:f>IF(ISNUMBER(B56),B56^2,"")</x:f>
        <x:v>0.000019725036060899907</x:v>
      </x:c>
      <x:c r="I56" s="7" t="n">
        <x:f>IF(AND(ISNUMBER(G56),'요약'!$B$19),G56-'요약'!$B$14,"")</x:f>
        <x:v>-0.0035722289694257335</x:v>
      </x:c>
      <x:c r="J56" s="7" t="n">
        <x:f>IF(AND(ISNUMBER(H56),'요약'!$B$19),H56-'요약'!$B$15,"")</x:f>
        <x:v>-0.0000824846631251922</x:v>
      </x:c>
      <x:c r="K56" t="n">
        <x:f>IF(ISNUMBER(B56),IF('Hill'!$B$4=1,IF(B56&lt;0,-B56,""),IF('Hill'!$B$4=2,IF(B56&gt;0,B56,""),IF('Hill'!$B$4=3,IF(B56&lt;&gt;0,ABS(B56),""),""))),"")</x:f>
        <x:v>0.004441287657977122</x:v>
      </x:c>
    </x:row>
    <x:row r="57">
      <x:c r="A57" t="n">
        <x:f>56</x:f>
        <x:v>56</x:v>
      </x:c>
      <x:c r="B57" s="7" t="n">
        <x:f>IF('요약'!$B$4=4,IF(ISNUMBER('input'!A57),'input'!A57,""),IF(56&lt;=1000,CHOOSE('요약'!$B$4,'input'!B57,'input'!C57,'input'!D57),""))</x:f>
        <x:v>-0.0034240077316593323</x:v>
      </x:c>
      <x:c r="C57" s="7" t="n">
        <x:f>IF(AND(ISNUMBER(B57),'요약'!$B$19),B57-'요약'!$B$7,"")</x:f>
        <x:v>-0.003375768404609831</x:v>
      </x:c>
      <x:c r="D57" s="7" t="n">
        <x:f>IF(ISNUMBER(C57),C57^2,"")</x:f>
        <x:v>0.000011395812321562002</x:v>
      </x:c>
      <x:c r="E57" s="15" t="n">
        <x:f>IF(ISNUMBER(C57),C57^3,"")</x:f>
        <x:v>-3.846962317999241e-8</x:v>
      </x:c>
      <x:c r="F57" s="15" t="n">
        <x:f>IF(ISNUMBER(C57),C57^4,"")</x:f>
        <x:v>1.2986453846826436e-10</x:v>
      </x:c>
      <x:c r="G57" s="7" t="n">
        <x:f>IF(ISNUMBER(B57),ABS(B57),"")</x:f>
        <x:v>0.0034240077316593323</x:v>
      </x:c>
      <x:c r="H57" s="7" t="n">
        <x:f>IF(ISNUMBER(B57),B57^2,"")</x:f>
        <x:v>0.000011723828946462887</x:v>
      </x:c>
      <x:c r="I57" s="7" t="n">
        <x:f>IF(AND(ISNUMBER(G57),'요약'!$B$19),G57-'요약'!$B$14,"")</x:f>
        <x:v>-0.004589508895743524</x:v>
      </x:c>
      <x:c r="J57" s="7" t="n">
        <x:f>IF(AND(ISNUMBER(H57),'요약'!$B$19),H57-'요약'!$B$15,"")</x:f>
        <x:v>-0.00009048587023962922</x:v>
      </x:c>
      <x:c r="K57" t="n">
        <x:f>IF(ISNUMBER(B57),IF('Hill'!$B$4=1,IF(B57&lt;0,-B57,""),IF('Hill'!$B$4=2,IF(B57&gt;0,B57,""),IF('Hill'!$B$4=3,IF(B57&lt;&gt;0,ABS(B57),""),""))),"")</x:f>
        <x:v>0.0034240077316593323</x:v>
      </x:c>
    </x:row>
    <x:row r="58">
      <x:c r="A58" t="n">
        <x:f>57</x:f>
        <x:v>57</x:v>
      </x:c>
      <x:c r="B58" s="7" t="n">
        <x:f>IF('요약'!$B$4=4,IF(ISNUMBER('input'!A58),'input'!A58,""),IF(57&lt;=1000,CHOOSE('요약'!$B$4,'input'!B58,'input'!C58,'input'!D58),""))</x:f>
        <x:v>-0.010295261224739331</x:v>
      </x:c>
      <x:c r="C58" s="7" t="n">
        <x:f>IF(AND(ISNUMBER(B58),'요약'!$B$19),B58-'요약'!$B$7,"")</x:f>
        <x:v>-0.01024702189768983</x:v>
      </x:c>
      <x:c r="D58" s="7" t="n">
        <x:f>IF(ISNUMBER(C58),C58^2,"")</x:f>
        <x:v>0.0001050014577717349</x:v>
      </x:c>
      <x:c r="E58" s="15" t="n">
        <x:f>IF(ISNUMBER(C58),C58^3,"")</x:f>
        <x:v>-0.0000010759522370763215</x:v>
      </x:c>
      <x:c r="F58" s="15" t="n">
        <x:f>IF(ISNUMBER(C58),C58^4,"")</x:f>
        <x:v>1.1025306134189427e-8</x:v>
      </x:c>
      <x:c r="G58" s="7" t="n">
        <x:f>IF(ISNUMBER(B58),ABS(B58),"")</x:f>
        <x:v>0.010295261224739331</x:v>
      </x:c>
      <x:c r="H58" s="7" t="n">
        <x:f>IF(ISNUMBER(B58),B58^2,"")</x:f>
        <x:v>0.0001059924036856212</x:v>
      </x:c>
      <x:c r="I58" s="7" t="n">
        <x:f>IF(AND(ISNUMBER(G58),'요약'!$B$19),G58-'요약'!$B$14,"")</x:f>
        <x:v>0.002281744597336476</x:v>
      </x:c>
      <x:c r="J58" s="7" t="n">
        <x:f>IF(AND(ISNUMBER(H58),'요약'!$B$19),H58-'요약'!$B$15,"")</x:f>
        <x:v>0.000003782704499529093</x:v>
      </x:c>
      <x:c r="K58" t="n">
        <x:f>IF(ISNUMBER(B58),IF('Hill'!$B$4=1,IF(B58&lt;0,-B58,""),IF('Hill'!$B$4=2,IF(B58&gt;0,B58,""),IF('Hill'!$B$4=3,IF(B58&lt;&gt;0,ABS(B58),""),""))),"")</x:f>
        <x:v>0.010295261224739331</x:v>
      </x:c>
    </x:row>
    <x:row r="59">
      <x:c r="A59" t="n">
        <x:f>58</x:f>
        <x:v>58</x:v>
      </x:c>
      <x:c r="B59" s="7" t="n">
        <x:f>IF('요약'!$B$4=4,IF(ISNUMBER('input'!A59),'input'!A59,""),IF(58&lt;=1000,CHOOSE('요약'!$B$4,'input'!B59,'input'!C59,'input'!D59),""))</x:f>
        <x:v>0.007656332611301733</x:v>
      </x:c>
      <x:c r="C59" s="7" t="n">
        <x:f>IF(AND(ISNUMBER(B59),'요약'!$B$19),B59-'요약'!$B$7,"")</x:f>
        <x:v>0.007704571938351235</x:v>
      </x:c>
      <x:c r="D59" s="7" t="n">
        <x:f>IF(ISNUMBER(C59),C59^2,"")</x:f>
        <x:v>0.000059360428753229305</x:v>
      </x:c>
      <x:c r="E59" s="15" t="n">
        <x:f>IF(ISNUMBER(C59),C59^3,"")</x:f>
        <x:v>4.5734669362062826e-7</x:v>
      </x:c>
      <x:c r="F59" s="15" t="n">
        <x:f>IF(ISNUMBER(C59),C59^4,"")</x:f>
        <x:v>3.523660501767212e-9</x:v>
      </x:c>
      <x:c r="G59" s="7" t="n">
        <x:f>IF(ISNUMBER(B59),ABS(B59),"")</x:f>
        <x:v>0.007656332611301733</x:v>
      </x:c>
      <x:c r="H59" s="7" t="n">
        <x:f>IF(ISNUMBER(B59),B59^2,"")</x:f>
        <x:v>0.00005861942905488242</x:v>
      </x:c>
      <x:c r="I59" s="7" t="n">
        <x:f>IF(AND(ISNUMBER(G59),'요약'!$B$19),G59-'요약'!$B$14,"")</x:f>
        <x:v>-0.00035718401610112215</x:v>
      </x:c>
      <x:c r="J59" s="7" t="n">
        <x:f>IF(AND(ISNUMBER(H59),'요약'!$B$19),H59-'요약'!$B$15,"")</x:f>
        <x:v>-0.000043590270131209686</x:v>
      </x:c>
      <x:c r="K59" t="str">
        <x:f>IF(ISNUMBER(B59),IF('Hill'!$B$4=1,IF(B59&lt;0,-B59,""),IF('Hill'!$B$4=2,IF(B59&gt;0,B59,""),IF('Hill'!$B$4=3,IF(B59&lt;&gt;0,ABS(B59),""),""))),"")</x:f>
      </x:c>
    </x:row>
    <x:row r="60">
      <x:c r="A60" t="n">
        <x:f>59</x:f>
        <x:v>59</x:v>
      </x:c>
      <x:c r="B60" s="7" t="n">
        <x:f>IF('요약'!$B$4=4,IF(ISNUMBER('input'!A60),'input'!A60,""),IF(59&lt;=1000,CHOOSE('요약'!$B$4,'input'!B60,'input'!C60,'input'!D60),""))</x:f>
        <x:v>0.012066613051879558</x:v>
      </x:c>
      <x:c r="C60" s="7" t="n">
        <x:f>IF(AND(ISNUMBER(B60),'요약'!$B$19),B60-'요약'!$B$7,"")</x:f>
        <x:v>0.012114852378929059</x:v>
      </x:c>
      <x:c r="D60" s="7" t="n">
        <x:f>IF(ISNUMBER(C60),C60^2,"")</x:f>
        <x:v>0.00014676964816324307</x:v>
      </x:c>
      <x:c r="E60" s="15" t="n">
        <x:f>IF(ISNUMBER(C60),C60^3,"")</x:f>
        <x:v>0.0000017780926212050463</x:v>
      </x:c>
      <x:c r="F60" s="15" t="n">
        <x:f>IF(ISNUMBER(C60),C60^4,"")</x:f>
        <x:v>2.154132962196216e-8</x:v>
      </x:c>
      <x:c r="G60" s="7" t="n">
        <x:f>IF(ISNUMBER(B60),ABS(B60),"")</x:f>
        <x:v>0.012066613051879558</x:v>
      </x:c>
      <x:c r="H60" s="7" t="n">
        <x:f>IF(ISNUMBER(B60),B60^2,"")</x:f>
        <x:v>0.00014560315054379012</x:v>
      </x:c>
      <x:c r="I60" s="7" t="n">
        <x:f>IF(AND(ISNUMBER(G60),'요약'!$B$19),G60-'요약'!$B$14,"")</x:f>
        <x:v>0.004053096424476703</x:v>
      </x:c>
      <x:c r="J60" s="7" t="n">
        <x:f>IF(AND(ISNUMBER(H60),'요약'!$B$19),H60-'요약'!$B$15,"")</x:f>
        <x:v>0.00004339345135769801</x:v>
      </x:c>
      <x:c r="K60" t="str">
        <x:f>IF(ISNUMBER(B60),IF('Hill'!$B$4=1,IF(B60&lt;0,-B60,""),IF('Hill'!$B$4=2,IF(B60&gt;0,B60,""),IF('Hill'!$B$4=3,IF(B60&lt;&gt;0,ABS(B60),""),""))),"")</x:f>
      </x:c>
    </x:row>
    <x:row r="61">
      <x:c r="A61" t="n">
        <x:f>60</x:f>
        <x:v>60</x:v>
      </x:c>
      <x:c r="B61" s="7" t="n">
        <x:f>IF('요약'!$B$4=4,IF(ISNUMBER('input'!A61),'input'!A61,""),IF(60&lt;=1000,CHOOSE('요약'!$B$4,'input'!B61,'input'!C61,'input'!D61),""))</x:f>
        <x:v>-0.0015657100853035376</x:v>
      </x:c>
      <x:c r="C61" s="7" t="n">
        <x:f>IF(AND(ISNUMBER(B61),'요약'!$B$19),B61-'요약'!$B$7,"")</x:f>
        <x:v>-0.001517470758254036</x:v>
      </x:c>
      <x:c r="D61" s="7" t="n">
        <x:f>IF(ISNUMBER(C61),C61^2,"")</x:f>
        <x:v>0.000002302717502156079</x:v>
      </x:c>
      <x:c r="E61" s="15" t="n">
        <x:f>IF(ISNUMBER(C61),C61^3,"")</x:f>
        <x:v>-3.4943064740416255e-9</x:v>
      </x:c>
      <x:c r="F61" s="15" t="n">
        <x:f>IF(ISNUMBER(C61),C61^4,"")</x:f>
        <x:v>5.302507894735933e-12</x:v>
      </x:c>
      <x:c r="G61" s="7" t="n">
        <x:f>IF(ISNUMBER(B61),ABS(B61),"")</x:f>
        <x:v>0.0015657100853035376</x:v>
      </x:c>
      <x:c r="H61" s="7" t="n">
        <x:f>IF(ISNUMBER(B61),B61^2,"")</x:f>
        <x:v>0.000002451448071221211</x:v>
      </x:c>
      <x:c r="I61" s="7" t="n">
        <x:f>IF(AND(ISNUMBER(G61),'요약'!$B$19),G61-'요약'!$B$14,"")</x:f>
        <x:v>-0.006447806542099318</x:v>
      </x:c>
      <x:c r="J61" s="7" t="n">
        <x:f>IF(AND(ISNUMBER(H61),'요약'!$B$19),H61-'요약'!$B$15,"")</x:f>
        <x:v>-0.0000997582511148709</x:v>
      </x:c>
      <x:c r="K61" t="n">
        <x:f>IF(ISNUMBER(B61),IF('Hill'!$B$4=1,IF(B61&lt;0,-B61,""),IF('Hill'!$B$4=2,IF(B61&gt;0,B61,""),IF('Hill'!$B$4=3,IF(B61&lt;&gt;0,ABS(B61),""),""))),"")</x:f>
        <x:v>0.0015657100853035376</x:v>
      </x:c>
    </x:row>
    <x:row r="62">
      <x:c r="A62" t="n">
        <x:f>61</x:f>
        <x:v>61</x:v>
      </x:c>
      <x:c r="B62" s="7" t="n">
        <x:f>IF('요약'!$B$4=4,IF(ISNUMBER('input'!A62),'input'!A62,""),IF(61&lt;=1000,CHOOSE('요약'!$B$4,'input'!B62,'input'!C62,'input'!D62),""))</x:f>
        <x:v>0.0037201607769010137</x:v>
      </x:c>
      <x:c r="C62" s="7" t="n">
        <x:f>IF(AND(ISNUMBER(B62),'요약'!$B$19),B62-'요약'!$B$7,"")</x:f>
        <x:v>0.003768400103950515</x:v>
      </x:c>
      <x:c r="D62" s="7" t="n">
        <x:f>IF(ISNUMBER(C62),C62^2,"")</x:f>
        <x:v>0.000014200839343454253</x:v>
      </x:c>
      <x:c r="E62" s="15" t="n">
        <x:f>IF(ISNUMBER(C62),C62^3,"")</x:f>
        <x:v>5.351444445805757e-8</x:v>
      </x:c>
      <x:c r="F62" s="15" t="n">
        <x:f>IF(ISNUMBER(C62),C62^4,"")</x:f>
        <x:v>2.0166383805859823e-10</x:v>
      </x:c>
      <x:c r="G62" s="7" t="n">
        <x:f>IF(ISNUMBER(B62),ABS(B62),"")</x:f>
        <x:v>0.0037201607769010137</x:v>
      </x:c>
      <x:c r="H62" s="7" t="n">
        <x:f>IF(ISNUMBER(B62),B62^2,"")</x:f>
        <x:v>0.000013839596205992754</x:v>
      </x:c>
      <x:c r="I62" s="7" t="n">
        <x:f>IF(AND(ISNUMBER(G62),'요약'!$B$19),G62-'요약'!$B$14,"")</x:f>
        <x:v>-0.004293355850501841</x:v>
      </x:c>
      <x:c r="J62" s="7" t="n">
        <x:f>IF(AND(ISNUMBER(H62),'요약'!$B$19),H62-'요약'!$B$15,"")</x:f>
        <x:v>-0.00008837010298009935</x:v>
      </x:c>
      <x:c r="K62" t="str">
        <x:f>IF(ISNUMBER(B62),IF('Hill'!$B$4=1,IF(B62&lt;0,-B62,""),IF('Hill'!$B$4=2,IF(B62&gt;0,B62,""),IF('Hill'!$B$4=3,IF(B62&lt;&gt;0,ABS(B62),""),""))),"")</x:f>
      </x:c>
    </x:row>
    <x:row r="63">
      <x:c r="A63" t="n">
        <x:f>62</x:f>
        <x:v>62</x:v>
      </x:c>
      <x:c r="B63" s="7" t="n">
        <x:f>IF('요약'!$B$4=4,IF(ISNUMBER('input'!A63),'input'!A63,""),IF(62&lt;=1000,CHOOSE('요약'!$B$4,'input'!B63,'input'!C63,'input'!D63),""))</x:f>
        <x:v>-0.009789674868476535</x:v>
      </x:c>
      <x:c r="C63" s="7" t="n">
        <x:f>IF(AND(ISNUMBER(B63),'요약'!$B$19),B63-'요약'!$B$7,"")</x:f>
        <x:v>-0.009741435541427035</x:v>
      </x:c>
      <x:c r="D63" s="7" t="n">
        <x:f>IF(ISNUMBER(C63),C63^2,"")</x:f>
        <x:v>0.00009489556640777782</x:v>
      </x:c>
      <x:c r="E63" s="15" t="n">
        <x:f>IF(ISNUMBER(C63),C63^3,"")</x:f>
        <x:v>-9.244190433285763e-7</x:v>
      </x:c>
      <x:c r="F63" s="15" t="n">
        <x:f>IF(ISNUMBER(C63),C63^4,"")</x:f>
        <x:v>9.005168523852972e-9</x:v>
      </x:c>
      <x:c r="G63" s="7" t="n">
        <x:f>IF(ISNUMBER(B63),ABS(B63),"")</x:f>
        <x:v>0.009789674868476535</x:v>
      </x:c>
      <x:c r="H63" s="7" t="n">
        <x:f>IF(ISNUMBER(B63),B63^2,"")</x:f>
        <x:v>0.00009583773403048108</x:v>
      </x:c>
      <x:c r="I63" s="7" t="n">
        <x:f>IF(AND(ISNUMBER(G63),'요약'!$B$19),G63-'요약'!$B$14,"")</x:f>
        <x:v>0.00177615824107368</x:v>
      </x:c>
      <x:c r="J63" s="7" t="n">
        <x:f>IF(AND(ISNUMBER(H63),'요약'!$B$19),H63-'요약'!$B$15,"")</x:f>
        <x:v>-0.0000063719651556110285</x:v>
      </x:c>
      <x:c r="K63" t="n">
        <x:f>IF(ISNUMBER(B63),IF('Hill'!$B$4=1,IF(B63&lt;0,-B63,""),IF('Hill'!$B$4=2,IF(B63&gt;0,B63,""),IF('Hill'!$B$4=3,IF(B63&lt;&gt;0,ABS(B63),""),""))),"")</x:f>
        <x:v>0.009789674868476535</x:v>
      </x:c>
    </x:row>
    <x:row r="64">
      <x:c r="A64" t="n">
        <x:f>63</x:f>
        <x:v>63</x:v>
      </x:c>
      <x:c r="B64" s="7" t="n">
        <x:f>IF('요약'!$B$4=4,IF(ISNUMBER('input'!A64),'input'!A64,""),IF(63&lt;=1000,CHOOSE('요약'!$B$4,'input'!B64,'input'!C64,'input'!D64),""))</x:f>
        <x:v>0.01381553825110014</x:v>
      </x:c>
      <x:c r="C64" s="7" t="n">
        <x:f>IF(AND(ISNUMBER(B64),'요약'!$B$19),B64-'요약'!$B$7,"")</x:f>
        <x:v>0.01386377757814964</x:v>
      </x:c>
      <x:c r="D64" s="7" t="n">
        <x:f>IF(ISNUMBER(C64),C64^2,"")</x:f>
        <x:v>0.0001922043287364047</x:v>
      </x:c>
      <x:c r="E64" s="15" t="n">
        <x:f>IF(ISNUMBER(C64),C64^3,"")</x:f>
        <x:v>0.00000266467806315907</x:v>
      </x:c>
      <x:c r="F64" s="15" t="n">
        <x:f>IF(ISNUMBER(C64),C64^4,"")</x:f>
        <x:v>3.694250398501193e-8</x:v>
      </x:c>
      <x:c r="G64" s="7" t="n">
        <x:f>IF(ISNUMBER(B64),ABS(B64),"")</x:f>
        <x:v>0.01381553825110014</x:v>
      </x:c>
      <x:c r="H64" s="7" t="n">
        <x:f>IF(ISNUMBER(B64),B64^2,"")</x:f>
        <x:v>0.0001908690971676111</x:v>
      </x:c>
      <x:c r="I64" s="7" t="n">
        <x:f>IF(AND(ISNUMBER(G64),'요약'!$B$19),G64-'요약'!$B$14,"")</x:f>
        <x:v>0.005802021623697284</x:v>
      </x:c>
      <x:c r="J64" s="7" t="n">
        <x:f>IF(AND(ISNUMBER(H64),'요약'!$B$19),H64-'요약'!$B$15,"")</x:f>
        <x:v>0.00008865939798151899</x:v>
      </x:c>
      <x:c r="K64" t="str">
        <x:f>IF(ISNUMBER(B64),IF('Hill'!$B$4=1,IF(B64&lt;0,-B64,""),IF('Hill'!$B$4=2,IF(B64&gt;0,B64,""),IF('Hill'!$B$4=3,IF(B64&lt;&gt;0,ABS(B64),""),""))),"")</x:f>
      </x:c>
    </x:row>
    <x:row r="65">
      <x:c r="A65" t="n">
        <x:f>64</x:f>
        <x:v>64</x:v>
      </x:c>
      <x:c r="B65" s="7" t="n">
        <x:f>IF('요약'!$B$4=4,IF(ISNUMBER('input'!A65),'input'!A65,""),IF(64&lt;=1000,CHOOSE('요약'!$B$4,'input'!B65,'input'!C65,'input'!D65),""))</x:f>
        <x:v>-0.013939775511801911</x:v>
      </x:c>
      <x:c r="C65" s="7" t="n">
        <x:f>IF(AND(ISNUMBER(B65),'요약'!$B$19),B65-'요약'!$B$7,"")</x:f>
        <x:v>-0.01389153618475241</x:v>
      </x:c>
      <x:c r="D65" s="7" t="n">
        <x:f>IF(ISNUMBER(C65),C65^2,"")</x:f>
        <x:v>0.00019297477757228556</x:v>
      </x:c>
      <x:c r="E65" s="15" t="n">
        <x:f>IF(ISNUMBER(C65),C65^3,"")</x:f>
        <x:v>-0.0000026807161053899527</x:v>
      </x:c>
      <x:c r="F65" s="15" t="n">
        <x:f>IF(ISNUMBER(C65),C65^4,"")</x:f>
        <x:v>3.723926477907309e-8</x:v>
      </x:c>
      <x:c r="G65" s="7" t="n">
        <x:f>IF(ISNUMBER(B65),ABS(B65),"")</x:f>
        <x:v>0.013939775511801911</x:v>
      </x:c>
      <x:c r="H65" s="7" t="n">
        <x:f>IF(ISNUMBER(B65),B65^2,"")</x:f>
        <x:v>0.00019431734131943225</x:v>
      </x:c>
      <x:c r="I65" s="7" t="n">
        <x:f>IF(AND(ISNUMBER(G65),'요약'!$B$19),G65-'요약'!$B$14,"")</x:f>
        <x:v>0.005926258884399056</x:v>
      </x:c>
      <x:c r="J65" s="7" t="n">
        <x:f>IF(AND(ISNUMBER(H65),'요약'!$B$19),H65-'요약'!$B$15,"")</x:f>
        <x:v>0.00009210764213334014</x:v>
      </x:c>
      <x:c r="K65" t="n">
        <x:f>IF(ISNUMBER(B65),IF('Hill'!$B$4=1,IF(B65&lt;0,-B65,""),IF('Hill'!$B$4=2,IF(B65&gt;0,B65,""),IF('Hill'!$B$4=3,IF(B65&lt;&gt;0,ABS(B65),""),""))),"")</x:f>
        <x:v>0.013939775511801911</x:v>
      </x:c>
    </x:row>
    <x:row r="66">
      <x:c r="A66" t="n">
        <x:f>65</x:f>
        <x:v>65</x:v>
      </x:c>
      <x:c r="B66" s="7" t="n">
        <x:f>IF('요약'!$B$4=4,IF(ISNUMBER('input'!A66),'input'!A66,""),IF(65&lt;=1000,CHOOSE('요약'!$B$4,'input'!B66,'input'!C66,'input'!D66),""))</x:f>
        <x:v>0.0038779562491979944</x:v>
      </x:c>
      <x:c r="C66" s="7" t="n">
        <x:f>IF(AND(ISNUMBER(B66),'요약'!$B$19),B66-'요약'!$B$7,"")</x:f>
        <x:v>0.003926195576247495</x:v>
      </x:c>
      <x:c r="D66" s="7" t="n">
        <x:f>IF(ISNUMBER(C66),C66^2,"")</x:f>
        <x:v>0.000015415011702945403</x:v>
      </x:c>
      <x:c r="E66" s="15" t="n">
        <x:f>IF(ISNUMBER(C66),C66^3,"")</x:f>
        <x:v>6.052235075590761e-8</x:v>
      </x:c>
      <x:c r="F66" s="15" t="n">
        <x:f>IF(ISNUMBER(C66),C66^4,"")</x:f>
        <x:v>2.3762258580194373e-10</x:v>
      </x:c>
      <x:c r="G66" s="7" t="n">
        <x:f>IF(ISNUMBER(B66),ABS(B66),"")</x:f>
        <x:v>0.0038779562491979944</x:v>
      </x:c>
      <x:c r="H66" s="7" t="n">
        <x:f>IF(ISNUMBER(B66),B66^2,"")</x:f>
        <x:v>0.000015038544670693776</x:v>
      </x:c>
      <x:c r="I66" s="7" t="n">
        <x:f>IF(AND(ISNUMBER(G66),'요약'!$B$19),G66-'요약'!$B$14,"")</x:f>
        <x:v>-0.0041355603782048615</x:v>
      </x:c>
      <x:c r="J66" s="7" t="n">
        <x:f>IF(AND(ISNUMBER(H66),'요약'!$B$19),H66-'요약'!$B$15,"")</x:f>
        <x:v>-0.00008717115451539833</x:v>
      </x:c>
      <x:c r="K66" t="str">
        <x:f>IF(ISNUMBER(B66),IF('Hill'!$B$4=1,IF(B66&lt;0,-B66,""),IF('Hill'!$B$4=2,IF(B66&gt;0,B66,""),IF('Hill'!$B$4=3,IF(B66&lt;&gt;0,ABS(B66),""),""))),"")</x:f>
      </x:c>
    </x:row>
    <x:row r="67">
      <x:c r="A67" t="n">
        <x:f>66</x:f>
        <x:v>66</x:v>
      </x:c>
      <x:c r="B67" s="7" t="n">
        <x:f>IF('요약'!$B$4=4,IF(ISNUMBER('input'!A67),'input'!A67,""),IF(66&lt;=1000,CHOOSE('요약'!$B$4,'input'!B67,'input'!C67,'input'!D67),""))</x:f>
        <x:v>-0.016810549658583876</x:v>
      </x:c>
      <x:c r="C67" s="7" t="n">
        <x:f>IF(AND(ISNUMBER(B67),'요약'!$B$19),B67-'요약'!$B$7,"")</x:f>
        <x:v>-0.016762310331534375</x:v>
      </x:c>
      <x:c r="D67" s="7" t="n">
        <x:f>IF(ISNUMBER(C67),C67^2,"")</x:f>
        <x:v>0.00028097504765066405</x:v>
      </x:c>
      <x:c r="E67" s="15" t="n">
        <x:f>IF(ISNUMBER(C67),C67^3,"")</x:f>
        <x:v>-0.00000470979094413809</x:v>
      </x:c>
      <x:c r="F67" s="15" t="n">
        <x:f>IF(ISNUMBER(C67),C67^4,"")</x:f>
        <x:v>7.894697740229293e-8</x:v>
      </x:c>
      <x:c r="G67" s="7" t="n">
        <x:f>IF(ISNUMBER(B67),ABS(B67),"")</x:f>
        <x:v>0.016810549658583876</x:v>
      </x:c>
      <x:c r="H67" s="7" t="n">
        <x:f>IF(ISNUMBER(B67),B67^2,"")</x:f>
        <x:v>0.0002825945798237145</x:v>
      </x:c>
      <x:c r="I67" s="7" t="n">
        <x:f>IF(AND(ISNUMBER(G67),'요약'!$B$19),G67-'요약'!$B$14,"")</x:f>
        <x:v>0.00879703303118102</x:v>
      </x:c>
      <x:c r="J67" s="7" t="n">
        <x:f>IF(AND(ISNUMBER(H67),'요약'!$B$19),H67-'요약'!$B$15,"")</x:f>
        <x:v>0.00018038488063762238</x:v>
      </x:c>
      <x:c r="K67" t="n">
        <x:f>IF(ISNUMBER(B67),IF('Hill'!$B$4=1,IF(B67&lt;0,-B67,""),IF('Hill'!$B$4=2,IF(B67&gt;0,B67,""),IF('Hill'!$B$4=3,IF(B67&lt;&gt;0,ABS(B67),""),""))),"")</x:f>
        <x:v>0.016810549658583876</x:v>
      </x:c>
    </x:row>
    <x:row r="68">
      <x:c r="A68" t="n">
        <x:f>67</x:f>
        <x:v>67</x:v>
      </x:c>
      <x:c r="B68" s="7" t="n">
        <x:f>IF('요약'!$B$4=4,IF(ISNUMBER('input'!A68),'input'!A68,""),IF(67&lt;=1000,CHOOSE('요약'!$B$4,'input'!B68,'input'!C68,'input'!D68),""))</x:f>
        <x:v>0.017104728728188877</x:v>
      </x:c>
      <x:c r="C68" s="7" t="n">
        <x:f>IF(AND(ISNUMBER(B68),'요약'!$B$19),B68-'요약'!$B$7,"")</x:f>
        <x:v>0.017152968055238377</x:v>
      </x:c>
      <x:c r="D68" s="7" t="n">
        <x:f>IF(ISNUMBER(C68),C68^2,"")</x:f>
        <x:v>0.00029422431310402827</x:v>
      </x:c>
      <x:c r="E68" s="15" t="n">
        <x:f>IF(ISNUMBER(C68),C68^3,"")</x:f>
        <x:v>0.000005046820243747851</x:v>
      </x:c>
      <x:c r="F68" s="15" t="n">
        <x:f>IF(ISNUMBER(C68),C68^4,"")</x:f>
        <x:v>8.656794642153725e-8</x:v>
      </x:c>
      <x:c r="G68" s="7" t="n">
        <x:f>IF(ISNUMBER(B68),ABS(B68),"")</x:f>
        <x:v>0.017104728728188877</x:v>
      </x:c>
      <x:c r="H68" s="7" t="n">
        <x:f>IF(ISNUMBER(B68),B68^2,"")</x:f>
        <x:v>0.00029257174486492987</x:v>
      </x:c>
      <x:c r="I68" s="7" t="n">
        <x:f>IF(AND(ISNUMBER(G68),'요약'!$B$19),G68-'요약'!$B$14,"")</x:f>
        <x:v>0.009091212100786021</x:v>
      </x:c>
      <x:c r="J68" s="7" t="n">
        <x:f>IF(AND(ISNUMBER(H68),'요약'!$B$19),H68-'요약'!$B$15,"")</x:f>
        <x:v>0.00019036204567883776</x:v>
      </x:c>
      <x:c r="K68" t="str">
        <x:f>IF(ISNUMBER(B68),IF('Hill'!$B$4=1,IF(B68&lt;0,-B68,""),IF('Hill'!$B$4=2,IF(B68&gt;0,B68,""),IF('Hill'!$B$4=3,IF(B68&lt;&gt;0,ABS(B68),""),""))),"")</x:f>
      </x:c>
    </x:row>
    <x:row r="69">
      <x:c r="A69" t="n">
        <x:f>68</x:f>
        <x:v>68</x:v>
      </x:c>
      <x:c r="B69" s="7" t="n">
        <x:f>IF('요약'!$B$4=4,IF(ISNUMBER('input'!A69),'input'!A69,""),IF(68&lt;=1000,CHOOSE('요약'!$B$4,'input'!B69,'input'!C69,'input'!D69),""))</x:f>
        <x:v>-0.010838453319869696</x:v>
      </x:c>
      <x:c r="C69" s="7" t="n">
        <x:f>IF(AND(ISNUMBER(B69),'요약'!$B$19),B69-'요약'!$B$7,"")</x:f>
        <x:v>-0.010790213992820196</x:v>
      </x:c>
      <x:c r="D69" s="7" t="n">
        <x:f>IF(ISNUMBER(C69),C69^2,"")</x:f>
        <x:v>0.00011642871801085275</x:v>
      </x:c>
      <x:c r="E69" s="15" t="n">
        <x:f>IF(ISNUMBER(C69),C69^3,"")</x:f>
        <x:v>-0.00000125629078224682</x:v>
      </x:c>
      <x:c r="F69" s="15" t="n">
        <x:f>IF(ISNUMBER(C69),C69^4,"")</x:f>
        <x:v>1.3555646377650667e-8</x:v>
      </x:c>
      <x:c r="G69" s="7" t="n">
        <x:f>IF(ISNUMBER(B69),ABS(B69),"")</x:f>
        <x:v>0.010838453319869696</x:v>
      </x:c>
      <x:c r="H69" s="7" t="n">
        <x:f>IF(ISNUMBER(B69),B69^2,"")</x:f>
        <x:v>0.00011747207036699445</x:v>
      </x:c>
      <x:c r="I69" s="7" t="n">
        <x:f>IF(AND(ISNUMBER(G69),'요약'!$B$19),G69-'요약'!$B$14,"")</x:f>
        <x:v>0.002824936692466841</x:v>
      </x:c>
      <x:c r="J69" s="7" t="n">
        <x:f>IF(AND(ISNUMBER(H69),'요약'!$B$19),H69-'요약'!$B$15,"")</x:f>
        <x:v>0.000015262371180902343</x:v>
      </x:c>
      <x:c r="K69" t="n">
        <x:f>IF(ISNUMBER(B69),IF('Hill'!$B$4=1,IF(B69&lt;0,-B69,""),IF('Hill'!$B$4=2,IF(B69&gt;0,B69,""),IF('Hill'!$B$4=3,IF(B69&lt;&gt;0,ABS(B69),""),""))),"")</x:f>
        <x:v>0.010838453319869696</x:v>
      </x:c>
    </x:row>
    <x:row r="70">
      <x:c r="A70" t="n">
        <x:f>69</x:f>
        <x:v>69</x:v>
      </x:c>
      <x:c r="B70" s="7" t="n">
        <x:f>IF('요약'!$B$4=4,IF(ISNUMBER('input'!A70),'input'!A70,""),IF(69&lt;=1000,CHOOSE('요약'!$B$4,'input'!B70,'input'!C70,'input'!D70),""))</x:f>
        <x:v>0.007680471079159633</x:v>
      </x:c>
      <x:c r="C70" s="7" t="n">
        <x:f>IF(AND(ISNUMBER(B70),'요약'!$B$19),B70-'요약'!$B$7,"")</x:f>
        <x:v>0.007728710406209135</x:v>
      </x:c>
      <x:c r="D70" s="7" t="n">
        <x:f>IF(ISNUMBER(C70),C70^2,"")</x:f>
        <x:v>0.000059732964543045366</x:v>
      </x:c>
      <x:c r="E70" s="15" t="n">
        <x:f>IF(ISNUMBER(C70),C70^3,"")</x:f>
        <x:v>4.61658784657556e-7</x:v>
      </x:c>
      <x:c r="F70" s="15" t="n">
        <x:f>IF(ISNUMBER(C70),C70^4,"")</x:f>
        <x:v>3.568027053100715e-9</x:v>
      </x:c>
      <x:c r="G70" s="7" t="n">
        <x:f>IF(ISNUMBER(B70),ABS(B70),"")</x:f>
        <x:v>0.007680471079159633</x:v>
      </x:c>
      <x:c r="H70" s="7" t="n">
        <x:f>IF(ISNUMBER(B70),B70^2,"")</x:f>
        <x:v>0.00005898963599780754</x:v>
      </x:c>
      <x:c r="I70" s="7" t="n">
        <x:f>IF(AND(ISNUMBER(G70),'요약'!$B$19),G70-'요약'!$B$14,"")</x:f>
        <x:v>-0.0003330455482432222</x:v>
      </x:c>
      <x:c r="J70" s="7" t="n">
        <x:f>IF(AND(ISNUMBER(H70),'요약'!$B$19),H70-'요약'!$B$15,"")</x:f>
        <x:v>-0.000043220063188284564</x:v>
      </x:c>
      <x:c r="K70" t="str">
        <x:f>IF(ISNUMBER(B70),IF('Hill'!$B$4=1,IF(B70&lt;0,-B70,""),IF('Hill'!$B$4=2,IF(B70&gt;0,B70,""),IF('Hill'!$B$4=3,IF(B70&lt;&gt;0,ABS(B70),""),""))),"")</x:f>
      </x:c>
    </x:row>
    <x:row r="71">
      <x:c r="A71" t="n">
        <x:f>70</x:f>
        <x:v>70</x:v>
      </x:c>
      <x:c r="B71" s="7" t="n">
        <x:f>IF('요약'!$B$4=4,IF(ISNUMBER('input'!A71),'input'!A71,""),IF(70&lt;=1000,CHOOSE('요약'!$B$4,'input'!B71,'input'!C71,'input'!D71),""))</x:f>
        <x:v>-0.005613439069050119</x:v>
      </x:c>
      <x:c r="C71" s="7" t="n">
        <x:f>IF(AND(ISNUMBER(B71),'요약'!$B$19),B71-'요약'!$B$7,"")</x:f>
        <x:v>-0.005565199742000618</x:v>
      </x:c>
      <x:c r="D71" s="7" t="n">
        <x:f>IF(ISNUMBER(C71),C71^2,"")</x:f>
        <x:v>0.00003097144816836375</x:v>
      </x:c>
      <x:c r="E71" s="15" t="n">
        <x:f>IF(ISNUMBER(C71),C71^3,"")</x:f>
        <x:v>-1.7236229535596343e-7</x:v>
      </x:c>
      <x:c r="F71" s="15" t="n">
        <x:f>IF(ISNUMBER(C71),C71^4,"")</x:f>
        <x:v>9.59230601645642e-10</x:v>
      </x:c>
      <x:c r="G71" s="7" t="n">
        <x:f>IF(ISNUMBER(B71),ABS(B71),"")</x:f>
        <x:v>0.005613439069050119</x:v>
      </x:c>
      <x:c r="H71" s="7" t="n">
        <x:f>IF(ISNUMBER(B71),B71^2,"")</x:f>
        <x:v>0.00003151069818193827</x:v>
      </x:c>
      <x:c r="I71" s="7" t="n">
        <x:f>IF(AND(ISNUMBER(G71),'요약'!$B$19),G71-'요약'!$B$14,"")</x:f>
        <x:v>-0.002400077558352736</x:v>
      </x:c>
      <x:c r="J71" s="7" t="n">
        <x:f>IF(AND(ISNUMBER(H71),'요약'!$B$19),H71-'요약'!$B$15,"")</x:f>
        <x:v>-0.00007069900100415384</x:v>
      </x:c>
      <x:c r="K71" t="n">
        <x:f>IF(ISNUMBER(B71),IF('Hill'!$B$4=1,IF(B71&lt;0,-B71,""),IF('Hill'!$B$4=2,IF(B71&gt;0,B71,""),IF('Hill'!$B$4=3,IF(B71&lt;&gt;0,ABS(B71),""),""))),"")</x:f>
        <x:v>0.005613439069050119</x:v>
      </x:c>
    </x:row>
    <x:row r="72">
      <x:c r="A72" t="n">
        <x:f>71</x:f>
        <x:v>71</x:v>
      </x:c>
      <x:c r="B72" s="7" t="n">
        <x:f>IF('요약'!$B$4=4,IF(ISNUMBER('input'!A72),'input'!A72,""),IF(71&lt;=1000,CHOOSE('요약'!$B$4,'input'!B72,'input'!C72,'input'!D72),""))</x:f>
        <x:v>0.007312500411257819</x:v>
      </x:c>
      <x:c r="C72" s="7" t="n">
        <x:f>IF(AND(ISNUMBER(B72),'요약'!$B$19),B72-'요약'!$B$7,"")</x:f>
        <x:v>0.0073607397383073205</x:v>
      </x:c>
      <x:c r="D72" s="7" t="n">
        <x:f>IF(ISNUMBER(C72),C72^2,"")</x:f>
        <x:v>0.00005418048949509652</x:v>
      </x:c>
      <x:c r="E72" s="15" t="n">
        <x:f>IF(ISNUMBER(C72),C72^3,"")</x:f>
        <x:v>3.9880848206749927e-7</x:v>
      </x:c>
      <x:c r="F72" s="15" t="n">
        <x:f>IF(ISNUMBER(C72),C72^4,"")</x:f>
        <x:v>2.9355254419282644e-9</x:v>
      </x:c>
      <x:c r="G72" s="7" t="n">
        <x:f>IF(ISNUMBER(B72),ABS(B72),"")</x:f>
        <x:v>0.007312500411257819</x:v>
      </x:c>
      <x:c r="H72" s="7" t="n">
        <x:f>IF(ISNUMBER(B72),B72^2,"")</x:f>
        <x:v>0.00005347266226464577</x:v>
      </x:c>
      <x:c r="I72" s="7" t="n">
        <x:f>IF(AND(ISNUMBER(G72),'요약'!$B$19),G72-'요약'!$B$14,"")</x:f>
        <x:v>-0.0007010162161450364</x:v>
      </x:c>
      <x:c r="J72" s="7" t="n">
        <x:f>IF(AND(ISNUMBER(H72),'요약'!$B$19),H72-'요약'!$B$15,"")</x:f>
        <x:v>-0.00004873703692144633</x:v>
      </x:c>
      <x:c r="K72" t="str">
        <x:f>IF(ISNUMBER(B72),IF('Hill'!$B$4=1,IF(B72&lt;0,-B72,""),IF('Hill'!$B$4=2,IF(B72&gt;0,B72,""),IF('Hill'!$B$4=3,IF(B72&lt;&gt;0,ABS(B72),""),""))),"")</x:f>
      </x:c>
    </x:row>
    <x:row r="73">
      <x:c r="A73" t="n">
        <x:f>72</x:f>
        <x:v>72</x:v>
      </x:c>
      <x:c r="B73" s="7" t="n">
        <x:f>IF('요약'!$B$4=4,IF(ISNUMBER('input'!A73),'input'!A73,""),IF(72&lt;=1000,CHOOSE('요약'!$B$4,'input'!B73,'input'!C73,'input'!D73),""))</x:f>
        <x:v>0.0010425531168532303</x:v>
      </x:c>
      <x:c r="C73" s="7" t="n">
        <x:f>IF(AND(ISNUMBER(B73),'요약'!$B$19),B73-'요약'!$B$7,"")</x:f>
        <x:v>0.0010907924439027318</x:v>
      </x:c>
      <x:c r="D73" s="7" t="n">
        <x:f>IF(ISNUMBER(C73),C73^2,"")</x:f>
        <x:v>0.0000011898281556752942</x:v>
      </x:c>
      <x:c r="E73" s="15" t="n">
        <x:f>IF(ISNUMBER(C73),C73^3,"")</x:f>
        <x:v>1.2978555617533342e-9</x:v>
      </x:c>
      <x:c r="F73" s="15" t="n">
        <x:f>IF(ISNUMBER(C73),C73^4,"")</x:f>
        <x:v>1.4156910400376722e-12</x:v>
      </x:c>
      <x:c r="G73" s="7" t="n">
        <x:f>IF(ISNUMBER(B73),ABS(B73),"")</x:f>
        <x:v>0.0010425531168532303</x:v>
      </x:c>
      <x:c r="H73" s="7" t="n">
        <x:f>IF(ISNUMBER(B73),B73^2,"")</x:f>
        <x:v>0.0000010869170014603854</x:v>
      </x:c>
      <x:c r="I73" s="7" t="n">
        <x:f>IF(AND(ISNUMBER(G73),'요약'!$B$19),G73-'요약'!$B$14,"")</x:f>
        <x:v>-0.006970963510549625</x:v>
      </x:c>
      <x:c r="J73" s="7" t="n">
        <x:f>IF(AND(ISNUMBER(H73),'요약'!$B$19),H73-'요약'!$B$15,"")</x:f>
        <x:v>-0.00010112278218463172</x:v>
      </x:c>
      <x:c r="K73" t="str">
        <x:f>IF(ISNUMBER(B73),IF('Hill'!$B$4=1,IF(B73&lt;0,-B73,""),IF('Hill'!$B$4=2,IF(B73&gt;0,B73,""),IF('Hill'!$B$4=3,IF(B73&lt;&gt;0,ABS(B73),""),""))),"")</x:f>
      </x:c>
    </x:row>
    <x:row r="74">
      <x:c r="A74" t="n">
        <x:f>73</x:f>
        <x:v>73</x:v>
      </x:c>
      <x:c r="B74" s="7" t="n">
        <x:f>IF('요약'!$B$4=4,IF(ISNUMBER('input'!A74),'input'!A74,""),IF(73&lt;=1000,CHOOSE('요약'!$B$4,'input'!B74,'input'!C74,'input'!D74),""))</x:f>
        <x:v>0.0015333486614293901</x:v>
      </x:c>
      <x:c r="C74" s="7" t="n">
        <x:f>IF(AND(ISNUMBER(B74),'요약'!$B$19),B74-'요약'!$B$7,"")</x:f>
        <x:v>0.0015815879884788916</x:v>
      </x:c>
      <x:c r="D74" s="7" t="n">
        <x:f>IF(ISNUMBER(C74),C74^2,"")</x:f>
        <x:v>0.0000025014205653007067</x:v>
      </x:c>
      <x:c r="E74" s="15" t="n">
        <x:f>IF(ISNUMBER(C74),C74^3,"")</x:f>
        <x:v>3.9562167202136766e-9</x:v>
      </x:c>
      <x:c r="F74" s="15" t="n">
        <x:f>IF(ISNUMBER(C74),C74^4,"")</x:f>
        <x:v>6.257104844509306e-12</x:v>
      </x:c>
      <x:c r="G74" s="7" t="n">
        <x:f>IF(ISNUMBER(B74),ABS(B74),"")</x:f>
        <x:v>0.0015333486614293901</x:v>
      </x:c>
      <x:c r="H74" s="7" t="n">
        <x:f>IF(ISNUMBER(B74),B74^2,"")</x:f>
        <x:v>0.0000023511581175073025</x:v>
      </x:c>
      <x:c r="I74" s="7" t="n">
        <x:f>IF(AND(ISNUMBER(G74),'요약'!$B$19),G74-'요약'!$B$14,"")</x:f>
        <x:v>-0.0064801679659734655</x:v>
      </x:c>
      <x:c r="J74" s="7" t="n">
        <x:f>IF(AND(ISNUMBER(H74),'요약'!$B$19),H74-'요약'!$B$15,"")</x:f>
        <x:v>-0.0000998585410685848</x:v>
      </x:c>
      <x:c r="K74" t="str">
        <x:f>IF(ISNUMBER(B74),IF('Hill'!$B$4=1,IF(B74&lt;0,-B74,""),IF('Hill'!$B$4=2,IF(B74&gt;0,B74,""),IF('Hill'!$B$4=3,IF(B74&lt;&gt;0,ABS(B74),""),""))),"")</x:f>
      </x:c>
    </x:row>
    <x:row r="75">
      <x:c r="A75" t="n">
        <x:f>74</x:f>
        <x:v>74</x:v>
      </x:c>
      <x:c r="B75" s="7" t="n">
        <x:f>IF('요약'!$B$4=4,IF(ISNUMBER('input'!A75),'input'!A75,""),IF(74&lt;=1000,CHOOSE('요약'!$B$4,'input'!B75,'input'!C75,'input'!D75),""))</x:f>
        <x:v>0.01903420932923167</x:v>
      </x:c>
      <x:c r="C75" s="7" t="n">
        <x:f>IF(AND(ISNUMBER(B75),'요약'!$B$19),B75-'요약'!$B$7,"")</x:f>
        <x:v>0.01908244865628117</x:v>
      </x:c>
      <x:c r="D75" s="7" t="n">
        <x:f>IF(ISNUMBER(C75),C75^2,"")</x:f>
        <x:v>0.00036413984671960706</x:v>
      </x:c>
      <x:c r="E75" s="15" t="n">
        <x:f>IF(ISNUMBER(C75),C75^3,"")</x:f>
        <x:v>0.000006948679928732996</x:v>
      </x:c>
      <x:c r="F75" s="15" t="n">
        <x:f>IF(ISNUMBER(C75),C75^4,"")</x:f>
        <x:v>1.3259782796897892e-7</x:v>
      </x:c>
      <x:c r="G75" s="7" t="n">
        <x:f>IF(ISNUMBER(B75),ABS(B75),"")</x:f>
        <x:v>0.01903420932923167</x:v>
      </x:c>
      <x:c r="H75" s="7" t="n">
        <x:f>IF(ISNUMBER(B75),B75^2,"")</x:f>
        <x:v>0.00036230112478900995</x:v>
      </x:c>
      <x:c r="I75" s="7" t="n">
        <x:f>IF(AND(ISNUMBER(G75),'요약'!$B$19),G75-'요약'!$B$14,"")</x:f>
        <x:v>0.011020692701828814</x:v>
      </x:c>
      <x:c r="J75" s="7" t="n">
        <x:f>IF(AND(ISNUMBER(H75),'요약'!$B$19),H75-'요약'!$B$15,"")</x:f>
        <x:v>0.00026009142560291787</x:v>
      </x:c>
      <x:c r="K75" t="str">
        <x:f>IF(ISNUMBER(B75),IF('Hill'!$B$4=1,IF(B75&lt;0,-B75,""),IF('Hill'!$B$4=2,IF(B75&gt;0,B75,""),IF('Hill'!$B$4=3,IF(B75&lt;&gt;0,ABS(B75),""),""))),"")</x:f>
      </x:c>
    </x:row>
    <x:row r="76">
      <x:c r="A76" t="n">
        <x:f>75</x:f>
        <x:v>75</x:v>
      </x:c>
      <x:c r="B76" s="7" t="n">
        <x:f>IF('요약'!$B$4=4,IF(ISNUMBER('input'!A76),'input'!A76,""),IF(75&lt;=1000,CHOOSE('요약'!$B$4,'input'!B76,'input'!C76,'input'!D76),""))</x:f>
        <x:v>0.002734005732083368</x:v>
      </x:c>
      <x:c r="C76" s="7" t="n">
        <x:f>IF(AND(ISNUMBER(B76),'요약'!$B$19),B76-'요약'!$B$7,"")</x:f>
        <x:v>0.0027822450591328696</x:v>
      </x:c>
      <x:c r="D76" s="7" t="n">
        <x:f>IF(ISNUMBER(C76),C76^2,"")</x:f>
        <x:v>0.000007740887569069265</x:v>
      </x:c>
      <x:c r="E76" s="15" t="n">
        <x:f>IF(ISNUMBER(C76),C76^3,"")</x:f>
        <x:v>2.1537046192346013e-8</x:v>
      </x:c>
      <x:c r="F76" s="15" t="n">
        <x:f>IF(ISNUMBER(C76),C76^4,"")</x:f>
        <x:v>5.992134035697108e-11</x:v>
      </x:c>
      <x:c r="G76" s="7" t="n">
        <x:f>IF(ISNUMBER(B76),ABS(B76),"")</x:f>
        <x:v>0.002734005732083368</x:v>
      </x:c>
      <x:c r="H76" s="7" t="n">
        <x:f>IF(ISNUMBER(B76),B76^2,"")</x:f>
        <x:v>0.000007474787343064714</x:v>
      </x:c>
      <x:c r="I76" s="7" t="n">
        <x:f>IF(AND(ISNUMBER(G76),'요약'!$B$19),G76-'요약'!$B$14,"")</x:f>
        <x:v>-0.005279510895319487</x:v>
      </x:c>
      <x:c r="J76" s="7" t="n">
        <x:f>IF(AND(ISNUMBER(H76),'요약'!$B$19),H76-'요약'!$B$15,"")</x:f>
        <x:v>-0.00009473491184302739</x:v>
      </x:c>
      <x:c r="K76" t="str">
        <x:f>IF(ISNUMBER(B76),IF('Hill'!$B$4=1,IF(B76&lt;0,-B76,""),IF('Hill'!$B$4=2,IF(B76&gt;0,B76,""),IF('Hill'!$B$4=3,IF(B76&lt;&gt;0,ABS(B76),""),""))),"")</x:f>
      </x:c>
    </x:row>
    <x:row r="77">
      <x:c r="A77" t="n">
        <x:f>76</x:f>
        <x:v>76</x:v>
      </x:c>
      <x:c r="B77" s="7" t="n">
        <x:f>IF('요약'!$B$4=4,IF(ISNUMBER('input'!A77),'input'!A77,""),IF(76&lt;=1000,CHOOSE('요약'!$B$4,'input'!B77,'input'!C77,'input'!D77),""))</x:f>
        <x:v>0.009740893923508393</x:v>
      </x:c>
      <x:c r="C77" s="7" t="n">
        <x:f>IF(AND(ISNUMBER(B77),'요약'!$B$19),B77-'요약'!$B$7,"")</x:f>
        <x:v>0.009789133250557894</x:v>
      </x:c>
      <x:c r="D77" s="7" t="n">
        <x:f>IF(ISNUMBER(C77),C77^2,"")</x:f>
        <x:v>0.00009582712979717816</x:v>
      </x:c>
      <x:c r="E77" s="15" t="n">
        <x:f>IF(ISNUMBER(C77),C77^3,"")</x:f>
        <x:v>9.380645426030838e-7</x:v>
      </x:c>
      <x:c r="F77" s="15" t="n">
        <x:f>IF(ISNUMBER(C77),C77^4,"")</x:f>
        <x:v>9.18283880516523e-9</x:v>
      </x:c>
      <x:c r="G77" s="7" t="n">
        <x:f>IF(ISNUMBER(B77),ABS(B77),"")</x:f>
        <x:v>0.009740893923508393</x:v>
      </x:c>
      <x:c r="H77" s="7" t="n">
        <x:f>IF(ISNUMBER(B77),B77^2,"")</x:f>
        <x:v>0.00009488501442904274</x:v>
      </x:c>
      <x:c r="I77" s="7" t="n">
        <x:f>IF(AND(ISNUMBER(G77),'요약'!$B$19),G77-'요약'!$B$14,"")</x:f>
        <x:v>0.001727377296105538</x:v>
      </x:c>
      <x:c r="J77" s="7" t="n">
        <x:f>IF(AND(ISNUMBER(H77),'요약'!$B$19),H77-'요약'!$B$15,"")</x:f>
        <x:v>-0.000007324684757049362</x:v>
      </x:c>
      <x:c r="K77" t="str">
        <x:f>IF(ISNUMBER(B77),IF('Hill'!$B$4=1,IF(B77&lt;0,-B77,""),IF('Hill'!$B$4=2,IF(B77&gt;0,B77,""),IF('Hill'!$B$4=3,IF(B77&lt;&gt;0,ABS(B77),""),""))),"")</x:f>
      </x:c>
    </x:row>
    <x:row r="78">
      <x:c r="A78" t="n">
        <x:f>77</x:f>
        <x:v>77</x:v>
      </x:c>
      <x:c r="B78" s="7" t="n">
        <x:f>IF('요약'!$B$4=4,IF(ISNUMBER('input'!A78),'input'!A78,""),IF(77&lt;=1000,CHOOSE('요약'!$B$4,'input'!B78,'input'!C78,'input'!D78),""))</x:f>
        <x:v>0.01066519523326928</x:v>
      </x:c>
      <x:c r="C78" s="7" t="n">
        <x:f>IF(AND(ISNUMBER(B78),'요약'!$B$19),B78-'요약'!$B$7,"")</x:f>
        <x:v>0.01071343456031878</x:v>
      </x:c>
      <x:c r="D78" s="7" t="n">
        <x:f>IF(ISNUMBER(C78),C78^2,"")</x:f>
        <x:v>0.00011477768007823285</x:v>
      </x:c>
      <x:c r="E78" s="15" t="n">
        <x:f>IF(ISNUMBER(C78),C78^3,"")</x:f>
        <x:v>0.0000012296631645033521</x:v>
      </x:c>
      <x:c r="F78" s="15" t="n">
        <x:f>IF(ISNUMBER(C78),C78^4,"")</x:f>
        <x:v>1.317391584414117e-8</x:v>
      </x:c>
      <x:c r="G78" s="7" t="n">
        <x:f>IF(ISNUMBER(B78),ABS(B78),"")</x:f>
        <x:v>0.01066519523326928</x:v>
      </x:c>
      <x:c r="H78" s="7" t="n">
        <x:f>IF(ISNUMBER(B78),B78^2,"")</x:f>
        <x:v>0.00011374638936374976</x:v>
      </x:c>
      <x:c r="I78" s="7" t="n">
        <x:f>IF(AND(ISNUMBER(G78),'요약'!$B$19),G78-'요약'!$B$14,"")</x:f>
        <x:v>0.002651678605866424</x:v>
      </x:c>
      <x:c r="J78" s="7" t="n">
        <x:f>IF(AND(ISNUMBER(H78),'요약'!$B$19),H78-'요약'!$B$15,"")</x:f>
        <x:v>0.000011536690177657653</x:v>
      </x:c>
      <x:c r="K78" t="str">
        <x:f>IF(ISNUMBER(B78),IF('Hill'!$B$4=1,IF(B78&lt;0,-B78,""),IF('Hill'!$B$4=2,IF(B78&gt;0,B78,""),IF('Hill'!$B$4=3,IF(B78&lt;&gt;0,ABS(B78),""),""))),"")</x:f>
      </x:c>
    </x:row>
    <x:row r="79">
      <x:c r="A79" t="n">
        <x:f>78</x:f>
        <x:v>78</x:v>
      </x:c>
      <x:c r="B79" s="7" t="n">
        <x:f>IF('요약'!$B$4=4,IF(ISNUMBER('input'!A79),'input'!A79,""),IF(78&lt;=1000,CHOOSE('요약'!$B$4,'input'!B79,'input'!C79,'input'!D79),""))</x:f>
        <x:v>-0.004586716138183455</x:v>
      </x:c>
      <x:c r="C79" s="7" t="n">
        <x:f>IF(AND(ISNUMBER(B79),'요약'!$B$19),B79-'요약'!$B$7,"")</x:f>
        <x:v>-0.004538476811133954</x:v>
      </x:c>
      <x:c r="D79" s="7" t="n">
        <x:f>IF(ISNUMBER(C79),C79^2,"")</x:f>
        <x:v>0.000020597771765200622</x:v>
      </x:c>
      <x:c r="E79" s="15" t="n">
        <x:f>IF(ISNUMBER(C79),C79^3,"")</x:f>
        <x:v>-9.348250951739272e-8</x:v>
      </x:c>
      <x:c r="F79" s="15" t="n">
        <x:f>IF(ISNUMBER(C79),C79^4,"")</x:f>
        <x:v>4.24268201691296e-10</x:v>
      </x:c>
      <x:c r="G79" s="7" t="n">
        <x:f>IF(ISNUMBER(B79),ABS(B79),"")</x:f>
        <x:v>0.004586716138183455</x:v>
      </x:c>
      <x:c r="H79" s="7" t="n">
        <x:f>IF(ISNUMBER(B79),B79^2,"")</x:f>
        <x:v>0.000021037964932272552</x:v>
      </x:c>
      <x:c r="I79" s="7" t="n">
        <x:f>IF(AND(ISNUMBER(G79),'요약'!$B$19),G79-'요약'!$B$14,"")</x:f>
        <x:v>-0.0034268004892194</x:v>
      </x:c>
      <x:c r="J79" s="7" t="n">
        <x:f>IF(AND(ISNUMBER(H79),'요약'!$B$19),H79-'요약'!$B$15,"")</x:f>
        <x:v>-0.00008117173425381956</x:v>
      </x:c>
      <x:c r="K79" t="n">
        <x:f>IF(ISNUMBER(B79),IF('Hill'!$B$4=1,IF(B79&lt;0,-B79,""),IF('Hill'!$B$4=2,IF(B79&gt;0,B79,""),IF('Hill'!$B$4=3,IF(B79&lt;&gt;0,ABS(B79),""),""))),"")</x:f>
        <x:v>0.004586716138183455</x:v>
      </x:c>
    </x:row>
    <x:row r="80">
      <x:c r="A80" t="n">
        <x:f>79</x:f>
        <x:v>79</x:v>
      </x:c>
      <x:c r="B80" s="7" t="n">
        <x:f>IF('요약'!$B$4=4,IF(ISNUMBER('input'!A80),'input'!A80,""),IF(79&lt;=1000,CHOOSE('요약'!$B$4,'input'!B80,'input'!C80,'input'!D80),""))</x:f>
        <x:v>0.023312557417786147</x:v>
      </x:c>
      <x:c r="C80" s="7" t="n">
        <x:f>IF(AND(ISNUMBER(B80),'요약'!$B$19),B80-'요약'!$B$7,"")</x:f>
        <x:v>0.023360796744835648</x:v>
      </x:c>
      <x:c r="D80" s="7" t="n">
        <x:f>IF(ISNUMBER(C80),C80^2,"")</x:f>
        <x:v>0.0005457268245535238</x:v>
      </x:c>
      <x:c r="E80" s="15" t="n">
        <x:f>IF(ISNUMBER(C80),C80^3,"")</x:f>
        <x:v>0.000012748613426599452</x:v>
      </x:c>
      <x:c r="F80" s="15" t="n">
        <x:f>IF(ISNUMBER(C80),C80^4,"")</x:f>
        <x:v>2.978177670372725e-7</x:v>
      </x:c>
      <x:c r="G80" s="7" t="n">
        <x:f>IF(ISNUMBER(B80),ABS(B80),"")</x:f>
        <x:v>0.023312557417786147</x:v>
      </x:c>
      <x:c r="H80" s="7" t="n">
        <x:f>IF(ISNUMBER(B80),B80^2,"")</x:f>
        <x:v>0.0005434753333575759</x:v>
      </x:c>
      <x:c r="I80" s="7" t="n">
        <x:f>IF(AND(ISNUMBER(G80),'요약'!$B$19),G80-'요약'!$B$14,"")</x:f>
        <x:v>0.015299040790383292</x:v>
      </x:c>
      <x:c r="J80" s="7" t="n">
        <x:f>IF(AND(ISNUMBER(H80),'요약'!$B$19),H80-'요약'!$B$15,"")</x:f>
        <x:v>0.0004412656341714838</x:v>
      </x:c>
      <x:c r="K80" t="str">
        <x:f>IF(ISNUMBER(B80),IF('Hill'!$B$4=1,IF(B80&lt;0,-B80,""),IF('Hill'!$B$4=2,IF(B80&gt;0,B80,""),IF('Hill'!$B$4=3,IF(B80&lt;&gt;0,ABS(B80),""),""))),"")</x:f>
      </x:c>
    </x:row>
    <x:row r="81">
      <x:c r="A81" t="n">
        <x:f>80</x:f>
        <x:v>80</x:v>
      </x:c>
      <x:c r="B81" s="7" t="n">
        <x:f>IF('요약'!$B$4=4,IF(ISNUMBER('input'!A81),'input'!A81,""),IF(80&lt;=1000,CHOOSE('요약'!$B$4,'input'!B81,'input'!C81,'input'!D81),""))</x:f>
        <x:v>0.002064776979817727</x:v>
      </x:c>
      <x:c r="C81" s="7" t="n">
        <x:f>IF(AND(ISNUMBER(B81),'요약'!$B$19),B81-'요약'!$B$7,"")</x:f>
        <x:v>0.0021130163068672284</x:v>
      </x:c>
      <x:c r="D81" s="7" t="n">
        <x:f>IF(ISNUMBER(C81),C81^2,"")</x:f>
        <x:v>0.000004464837913086821</x:v>
      </x:c>
      <x:c r="E81" s="15" t="n">
        <x:f>IF(ISNUMBER(C81),C81^3,"")</x:f>
        <x:v>9.434275317871497e-9</x:v>
      </x:c>
      <x:c r="F81" s="15" t="n">
        <x:f>IF(ISNUMBER(C81),C81^4,"")</x:f>
        <x:v>1.9934777590137478e-11</x:v>
      </x:c>
      <x:c r="G81" s="7" t="n">
        <x:f>IF(ISNUMBER(B81),ABS(B81),"")</x:f>
        <x:v>0.002064776979817727</x:v>
      </x:c>
      <x:c r="H81" s="7" t="n">
        <x:f>IF(ISNUMBER(B81),B81^2,"")</x:f>
        <x:v>0.000004263303976385214</x:v>
      </x:c>
      <x:c r="I81" s="7" t="n">
        <x:f>IF(AND(ISNUMBER(G81),'요약'!$B$19),G81-'요약'!$B$14,"")</x:f>
        <x:v>-0.0059487396475851285</x:v>
      </x:c>
      <x:c r="J81" s="7" t="n">
        <x:f>IF(AND(ISNUMBER(H81),'요약'!$B$19),H81-'요약'!$B$15,"")</x:f>
        <x:v>-0.0000979463952097069</x:v>
      </x:c>
      <x:c r="K81" t="str">
        <x:f>IF(ISNUMBER(B81),IF('Hill'!$B$4=1,IF(B81&lt;0,-B81,""),IF('Hill'!$B$4=2,IF(B81&gt;0,B81,""),IF('Hill'!$B$4=3,IF(B81&lt;&gt;0,ABS(B81),""),""))),"")</x:f>
      </x:c>
    </x:row>
    <x:row r="82">
      <x:c r="A82" t="n">
        <x:f>81</x:f>
        <x:v>81</x:v>
      </x:c>
      <x:c r="B82" s="7" t="n">
        <x:f>IF('요약'!$B$4=4,IF(ISNUMBER('input'!A82),'input'!A82,""),IF(81&lt;=1000,CHOOSE('요약'!$B$4,'input'!B82,'input'!C82,'input'!D82),""))</x:f>
        <x:v>0.004317255105149116</x:v>
      </x:c>
      <x:c r="C82" s="7" t="n">
        <x:f>IF(AND(ISNUMBER(B82),'요약'!$B$19),B82-'요약'!$B$7,"")</x:f>
        <x:v>0.004365494432198617</x:v>
      </x:c>
      <x:c r="D82" s="7" t="n">
        <x:f>IF(ISNUMBER(C82),C82^2,"")</x:f>
        <x:v>0.00001905754163755713</x:v>
      </x:c>
      <x:c r="E82" s="15" t="n">
        <x:f>IF(ISNUMBER(C82),C82^3,"")</x:f>
        <x:v>8.319559191014896e-8</x:v>
      </x:c>
      <x:c r="F82" s="15" t="n">
        <x:f>IF(ISNUMBER(C82),C82^4,"")</x:f>
        <x:v>3.631898932672236e-10</x:v>
      </x:c>
      <x:c r="G82" s="7" t="n">
        <x:f>IF(ISNUMBER(B82),ABS(B82),"")</x:f>
        <x:v>0.004317255105149116</x:v>
      </x:c>
      <x:c r="H82" s="7" t="n">
        <x:f>IF(ISNUMBER(B82),B82^2,"")</x:f>
        <x:v>0.000018638691642936103</x:v>
      </x:c>
      <x:c r="I82" s="7" t="n">
        <x:f>IF(AND(ISNUMBER(G82),'요약'!$B$19),G82-'요약'!$B$14,"")</x:f>
        <x:v>-0.0036962615222537396</x:v>
      </x:c>
      <x:c r="J82" s="7" t="n">
        <x:f>IF(AND(ISNUMBER(H82),'요약'!$B$19),H82-'요약'!$B$15,"")</x:f>
        <x:v>-0.000083571007543156</x:v>
      </x:c>
      <x:c r="K82" t="str">
        <x:f>IF(ISNUMBER(B82),IF('Hill'!$B$4=1,IF(B82&lt;0,-B82,""),IF('Hill'!$B$4=2,IF(B82&gt;0,B82,""),IF('Hill'!$B$4=3,IF(B82&lt;&gt;0,ABS(B82),""),""))),"")</x:f>
      </x:c>
    </x:row>
    <x:row r="83">
      <x:c r="A83" t="n">
        <x:f>82</x:f>
        <x:v>82</x:v>
      </x:c>
      <x:c r="B83" s="7" t="n">
        <x:f>IF('요약'!$B$4=4,IF(ISNUMBER('input'!A83),'input'!A83,""),IF(82&lt;=1000,CHOOSE('요약'!$B$4,'input'!B83,'input'!C83,'input'!D83),""))</x:f>
        <x:v>0.019878282135784336</x:v>
      </x:c>
      <x:c r="C83" s="7" t="n">
        <x:f>IF(AND(ISNUMBER(B83),'요약'!$B$19),B83-'요약'!$B$7,"")</x:f>
        <x:v>0.019926521462833836</x:v>
      </x:c>
      <x:c r="D83" s="7" t="n">
        <x:f>IF(ISNUMBER(C83),C83^2,"")</x:f>
        <x:v>0.0003970662576087775</x:v>
      </x:c>
      <x:c r="E83" s="15" t="n">
        <x:f>IF(ISNUMBER(C83),C83^3,"")</x:f>
        <x:v>0.000007912149304408414</x:v>
      </x:c>
      <x:c r="F83" s="15" t="n">
        <x:f>IF(ISNUMBER(C83),C83^4,"")</x:f>
        <x:v>1.576616129314401e-7</x:v>
      </x:c>
      <x:c r="G83" s="7" t="n">
        <x:f>IF(ISNUMBER(B83),ABS(B83),"")</x:f>
        <x:v>0.019878282135784336</x:v>
      </x:c>
      <x:c r="H83" s="7" t="n">
        <x:f>IF(ISNUMBER(B83),B83^2,"")</x:f>
        <x:v>0.00039514610066984266</x:v>
      </x:c>
      <x:c r="I83" s="7" t="n">
        <x:f>IF(AND(ISNUMBER(G83),'요약'!$B$19),G83-'요약'!$B$14,"")</x:f>
        <x:v>0.01186476550838148</x:v>
      </x:c>
      <x:c r="J83" s="7" t="n">
        <x:f>IF(AND(ISNUMBER(H83),'요약'!$B$19),H83-'요약'!$B$15,"")</x:f>
        <x:v>0.0002929364014837506</x:v>
      </x:c>
      <x:c r="K83" t="str">
        <x:f>IF(ISNUMBER(B83),IF('Hill'!$B$4=1,IF(B83&lt;0,-B83,""),IF('Hill'!$B$4=2,IF(B83&gt;0,B83,""),IF('Hill'!$B$4=3,IF(B83&lt;&gt;0,ABS(B83),""),""))),"")</x:f>
      </x:c>
    </x:row>
    <x:row r="84">
      <x:c r="A84" t="n">
        <x:f>83</x:f>
        <x:v>83</x:v>
      </x:c>
      <x:c r="B84" s="7" t="n">
        <x:f>IF('요약'!$B$4=4,IF(ISNUMBER('input'!A84),'input'!A84,""),IF(83&lt;=1000,CHOOSE('요약'!$B$4,'input'!B84,'input'!C84,'input'!D84),""))</x:f>
        <x:v>0.006191938884849106</x:v>
      </x:c>
      <x:c r="C84" s="7" t="n">
        <x:f>IF(AND(ISNUMBER(B84),'요약'!$B$19),B84-'요약'!$B$7,"")</x:f>
        <x:v>0.006240178211898607</x:v>
      </x:c>
      <x:c r="D84" s="7" t="n">
        <x:f>IF(ISNUMBER(C84),C84^2,"")</x:f>
        <x:v>0.000038939824116254095</x:v>
      </x:c>
      <x:c r="E84" s="15" t="n">
        <x:f>IF(ISNUMBER(C84),C84^3,"")</x:f>
        <x:v>2.4299144202541276e-7</x:v>
      </x:c>
      <x:c r="F84" s="15" t="n">
        <x:f>IF(ISNUMBER(C84),C84^4,"")</x:f>
        <x:v>1.516309902204804e-9</x:v>
      </x:c>
      <x:c r="G84" s="7" t="n">
        <x:f>IF(ISNUMBER(B84),ABS(B84),"")</x:f>
        <x:v>0.006191938884849106</x:v>
      </x:c>
      <x:c r="H84" s="7" t="n">
        <x:f>IF(ISNUMBER(B84),B84^2,"")</x:f>
        <x:v>0.00003834010715370639</x:v>
      </x:c>
      <x:c r="I84" s="7" t="n">
        <x:f>IF(AND(ISNUMBER(G84),'요약'!$B$19),G84-'요약'!$B$14,"")</x:f>
        <x:v>-0.0018215777425537498</x:v>
      </x:c>
      <x:c r="J84" s="7" t="n">
        <x:f>IF(AND(ISNUMBER(H84),'요약'!$B$19),H84-'요약'!$B$15,"")</x:f>
        <x:v>-0.00006386959203238572</x:v>
      </x:c>
      <x:c r="K84" t="str">
        <x:f>IF(ISNUMBER(B84),IF('Hill'!$B$4=1,IF(B84&lt;0,-B84,""),IF('Hill'!$B$4=2,IF(B84&gt;0,B84,""),IF('Hill'!$B$4=3,IF(B84&lt;&gt;0,ABS(B84),""),""))),"")</x:f>
      </x:c>
    </x:row>
    <x:row r="85">
      <x:c r="A85" t="n">
        <x:f>84</x:f>
        <x:v>84</x:v>
      </x:c>
      <x:c r="B85" s="7" t="n">
        <x:f>IF('요약'!$B$4=4,IF(ISNUMBER('input'!A85),'input'!A85,""),IF(84&lt;=1000,CHOOSE('요약'!$B$4,'input'!B85,'input'!C85,'input'!D85),""))</x:f>
        <x:v>-0.006123143287965661</x:v>
      </x:c>
      <x:c r="C85" s="7" t="n">
        <x:f>IF(AND(ISNUMBER(B85),'요약'!$B$19),B85-'요약'!$B$7,"")</x:f>
        <x:v>-0.0060749039609161596</x:v>
      </x:c>
      <x:c r="D85" s="7" t="n">
        <x:f>IF(ISNUMBER(C85),C85^2,"")</x:f>
        <x:v>0.000036904458134354845</x:v>
      </x:c>
      <x:c r="E85" s="15" t="n">
        <x:f>IF(ISNUMBER(C85),C85^3,"")</x:f>
        <x:v>-2.2419103889585683e-7</x:v>
      </x:c>
      <x:c r="F85" s="15" t="n">
        <x:f>IF(ISNUMBER(C85),C85^4,"")</x:f>
        <x:v>1.3619390301903495e-9</x:v>
      </x:c>
      <x:c r="G85" s="7" t="n">
        <x:f>IF(ISNUMBER(B85),ABS(B85),"")</x:f>
        <x:v>0.006123143287965661</x:v>
      </x:c>
      <x:c r="H85" s="7" t="n">
        <x:f>IF(ISNUMBER(B85),B85^2,"")</x:f>
        <x:v>0.000037492883724958926</x:v>
      </x:c>
      <x:c r="I85" s="7" t="n">
        <x:f>IF(AND(ISNUMBER(G85),'요약'!$B$19),G85-'요약'!$B$14,"")</x:f>
        <x:v>-0.0018903733394371944</x:v>
      </x:c>
      <x:c r="J85" s="7" t="n">
        <x:f>IF(AND(ISNUMBER(H85),'요약'!$B$19),H85-'요약'!$B$15,"")</x:f>
        <x:v>-0.00006471681546113317</x:v>
      </x:c>
      <x:c r="K85" t="n">
        <x:f>IF(ISNUMBER(B85),IF('Hill'!$B$4=1,IF(B85&lt;0,-B85,""),IF('Hill'!$B$4=2,IF(B85&gt;0,B85,""),IF('Hill'!$B$4=3,IF(B85&lt;&gt;0,ABS(B85),""),""))),"")</x:f>
        <x:v>0.006123143287965661</x:v>
      </x:c>
    </x:row>
    <x:row r="86">
      <x:c r="A86" t="n">
        <x:f>85</x:f>
        <x:v>85</x:v>
      </x:c>
      <x:c r="B86" s="7" t="n">
        <x:f>IF('요약'!$B$4=4,IF(ISNUMBER('input'!A86),'input'!A86,""),IF(85&lt;=1000,CHOOSE('요약'!$B$4,'input'!B86,'input'!C86,'input'!D86),""))</x:f>
        <x:v>-0.008050427168993625</x:v>
      </x:c>
      <x:c r="C86" s="7" t="n">
        <x:f>IF(AND(ISNUMBER(B86),'요약'!$B$19),B86-'요약'!$B$7,"")</x:f>
        <x:v>-0.008002187841944125</x:v>
      </x:c>
      <x:c r="D86" s="7" t="n">
        <x:f>IF(ISNUMBER(C86),C86^2,"")</x:f>
        <x:v>0.00006403501025775837</x:v>
      </x:c>
      <x:c r="E86" s="15" t="n">
        <x:f>IF(ISNUMBER(C86),C86^3,"")</x:f>
        <x:v>-5.124201805434013e-7</x:v>
      </x:c>
      <x:c r="F86" s="15" t="n">
        <x:f>IF(ISNUMBER(C86),C86^4,"")</x:f>
        <x:v>4.100482538711219e-9</x:v>
      </x:c>
      <x:c r="G86" s="7" t="n">
        <x:f>IF(ISNUMBER(B86),ABS(B86),"")</x:f>
        <x:v>0.008050427168993625</x:v>
      </x:c>
      <x:c r="H86" s="7" t="n">
        <x:f>IF(ISNUMBER(B86),B86^2,"")</x:f>
        <x:v>0.00006480937760327071</x:v>
      </x:c>
      <x:c r="I86" s="7" t="n">
        <x:f>IF(AND(ISNUMBER(G86),'요약'!$B$19),G86-'요약'!$B$14,"")</x:f>
        <x:v>0.00003691054159076987</x:v>
      </x:c>
      <x:c r="J86" s="7" t="n">
        <x:f>IF(AND(ISNUMBER(H86),'요약'!$B$19),H86-'요약'!$B$15,"")</x:f>
        <x:v>-0.000037400321582821395</x:v>
      </x:c>
      <x:c r="K86" t="n">
        <x:f>IF(ISNUMBER(B86),IF('Hill'!$B$4=1,IF(B86&lt;0,-B86,""),IF('Hill'!$B$4=2,IF(B86&gt;0,B86,""),IF('Hill'!$B$4=3,IF(B86&lt;&gt;0,ABS(B86),""),""))),"")</x:f>
        <x:v>0.008050427168993625</x:v>
      </x:c>
    </x:row>
    <x:row r="87">
      <x:c r="A87" t="n">
        <x:f>86</x:f>
        <x:v>86</x:v>
      </x:c>
      <x:c r="B87" s="7" t="n">
        <x:f>IF('요약'!$B$4=4,IF(ISNUMBER('input'!A87),'input'!A87,""),IF(86&lt;=1000,CHOOSE('요약'!$B$4,'input'!B87,'input'!C87,'input'!D87),""))</x:f>
        <x:v>0.004631916040565164</x:v>
      </x:c>
      <x:c r="C87" s="7" t="n">
        <x:f>IF(AND(ISNUMBER(B87),'요약'!$B$19),B87-'요약'!$B$7,"")</x:f>
        <x:v>0.004680155367614665</x:v>
      </x:c>
      <x:c r="D87" s="7" t="n">
        <x:f>IF(ISNUMBER(C87),C87^2,"")</x:f>
        <x:v>0.000021903854265012363</x:v>
      </x:c>
      <x:c r="E87" s="15" t="n">
        <x:f>IF(ISNUMBER(C87),C87^3,"")</x:f>
        <x:v>1.0251344110984699e-7</x:v>
      </x:c>
      <x:c r="F87" s="15" t="n">
        <x:f>IF(ISNUMBER(C87),C87^4,"")</x:f>
        <x:v>4.797788316629003e-10</x:v>
      </x:c>
      <x:c r="G87" s="7" t="n">
        <x:f>IF(ISNUMBER(B87),ABS(B87),"")</x:f>
        <x:v>0.004631916040565164</x:v>
      </x:c>
      <x:c r="H87" s="7" t="n">
        <x:f>IF(ISNUMBER(B87),B87^2,"")</x:f>
        <x:v>0.000021454646206844865</x:v>
      </x:c>
      <x:c r="I87" s="7" t="n">
        <x:f>IF(AND(ISNUMBER(G87),'요약'!$B$19),G87-'요약'!$B$14,"")</x:f>
        <x:v>-0.0033816005868376915</x:v>
      </x:c>
      <x:c r="J87" s="7" t="n">
        <x:f>IF(AND(ISNUMBER(H87),'요약'!$B$19),H87-'요약'!$B$15,"")</x:f>
        <x:v>-0.00008075505297924725</x:v>
      </x:c>
      <x:c r="K87" t="str">
        <x:f>IF(ISNUMBER(B87),IF('Hill'!$B$4=1,IF(B87&lt;0,-B87,""),IF('Hill'!$B$4=2,IF(B87&gt;0,B87,""),IF('Hill'!$B$4=3,IF(B87&lt;&gt;0,ABS(B87),""),""))),"")</x:f>
      </x:c>
    </x:row>
    <x:row r="88">
      <x:c r="A88" t="n">
        <x:f>87</x:f>
        <x:v>87</x:v>
      </x:c>
      <x:c r="B88" s="7" t="n">
        <x:f>IF('요약'!$B$4=4,IF(ISNUMBER('input'!A88),'input'!A88,""),IF(87&lt;=1000,CHOOSE('요약'!$B$4,'input'!B88,'input'!C88,'input'!D88),""))</x:f>
        <x:v>-0.010358805363237729</x:v>
      </x:c>
      <x:c r="C88" s="7" t="n">
        <x:f>IF(AND(ISNUMBER(B88),'요약'!$B$19),B88-'요약'!$B$7,"")</x:f>
        <x:v>-0.010310566036188228</x:v>
      </x:c>
      <x:c r="D88" s="7" t="n">
        <x:f>IF(ISNUMBER(C88),C88^2,"")</x:f>
        <x:v>0.00010630777198659822</x:v>
      </x:c>
      <x:c r="E88" s="15" t="n">
        <x:f>IF(ISNUMBER(C88),C88^3,"")</x:f>
        <x:v>-0.000001096093303227862</x:v>
      </x:c>
      <x:c r="F88" s="15" t="n">
        <x:f>IF(ISNUMBER(C88),C88^4,"")</x:f>
        <x:v>1.1301342384754558e-8</x:v>
      </x:c>
      <x:c r="G88" s="7" t="n">
        <x:f>IF(ISNUMBER(B88),ABS(B88),"")</x:f>
        <x:v>0.010358805363237729</x:v>
      </x:c>
      <x:c r="H88" s="7" t="n">
        <x:f>IF(ISNUMBER(B88),B88^2,"")</x:f>
        <x:v>0.00010730484855344272</x:v>
      </x:c>
      <x:c r="I88" s="7" t="n">
        <x:f>IF(AND(ISNUMBER(G88),'요약'!$B$19),G88-'요약'!$B$14,"")</x:f>
        <x:v>0.002345288735834873</x:v>
      </x:c>
      <x:c r="J88" s="7" t="n">
        <x:f>IF(AND(ISNUMBER(H88),'요약'!$B$19),H88-'요약'!$B$15,"")</x:f>
        <x:v>0.000005095149367350619</x:v>
      </x:c>
      <x:c r="K88" t="n">
        <x:f>IF(ISNUMBER(B88),IF('Hill'!$B$4=1,IF(B88&lt;0,-B88,""),IF('Hill'!$B$4=2,IF(B88&gt;0,B88,""),IF('Hill'!$B$4=3,IF(B88&lt;&gt;0,ABS(B88),""),""))),"")</x:f>
        <x:v>0.010358805363237729</x:v>
      </x:c>
    </x:row>
    <x:row r="89">
      <x:c r="A89" t="n">
        <x:f>88</x:f>
        <x:v>88</x:v>
      </x:c>
      <x:c r="B89" s="7" t="n">
        <x:f>IF('요약'!$B$4=4,IF(ISNUMBER('input'!A89),'input'!A89,""),IF(88&lt;=1000,CHOOSE('요약'!$B$4,'input'!B89,'input'!C89,'input'!D89),""))</x:f>
        <x:v>-0.01861899070759166</x:v>
      </x:c>
      <x:c r="C89" s="7" t="n">
        <x:f>IF(AND(ISNUMBER(B89),'요약'!$B$19),B89-'요약'!$B$7,"")</x:f>
        <x:v>-0.01857075138054216</x:v>
      </x:c>
      <x:c r="D89" s="7" t="n">
        <x:f>IF(ISNUMBER(C89),C89^2,"")</x:f>
        <x:v>0.0003448728068379085</x:v>
      </x:c>
      <x:c r="E89" s="15" t="n">
        <x:f>IF(ISNUMBER(C89),C89^3,"")</x:f>
        <x:v>-0.00000640454715369654</x:v>
      </x:c>
      <x:c r="F89" s="15" t="n">
        <x:f>IF(ISNUMBER(C89),C89^4,"")</x:f>
        <x:v>1.1893725289625738e-7</x:v>
      </x:c>
      <x:c r="G89" s="7" t="n">
        <x:f>IF(ISNUMBER(B89),ABS(B89),"")</x:f>
        <x:v>0.01861899070759166</x:v>
      </x:c>
      <x:c r="H89" s="7" t="n">
        <x:f>IF(ISNUMBER(B89),B89^2,"")</x:f>
        <x:v>0.0003466668149693846</x:v>
      </x:c>
      <x:c r="I89" s="7" t="n">
        <x:f>IF(AND(ISNUMBER(G89),'요약'!$B$19),G89-'요약'!$B$14,"")</x:f>
        <x:v>0.010605474080188805</x:v>
      </x:c>
      <x:c r="J89" s="7" t="n">
        <x:f>IF(AND(ISNUMBER(H89),'요약'!$B$19),H89-'요약'!$B$15,"")</x:f>
        <x:v>0.00024445711578329247</x:v>
      </x:c>
      <x:c r="K89" t="n">
        <x:f>IF(ISNUMBER(B89),IF('Hill'!$B$4=1,IF(B89&lt;0,-B89,""),IF('Hill'!$B$4=2,IF(B89&gt;0,B89,""),IF('Hill'!$B$4=3,IF(B89&lt;&gt;0,ABS(B89),""),""))),"")</x:f>
        <x:v>0.01861899070759166</x:v>
      </x:c>
    </x:row>
    <x:row r="90">
      <x:c r="A90" t="n">
        <x:f>89</x:f>
        <x:v>89</x:v>
      </x:c>
      <x:c r="B90" s="7" t="n">
        <x:f>IF('요약'!$B$4=4,IF(ISNUMBER('input'!A90),'input'!A90,""),IF(89&lt;=1000,CHOOSE('요약'!$B$4,'input'!B90,'input'!C90,'input'!D90),""))</x:f>
        <x:v>-0.011584169029546626</x:v>
      </x:c>
      <x:c r="C90" s="7" t="n">
        <x:f>IF(AND(ISNUMBER(B90),'요약'!$B$19),B90-'요약'!$B$7,"")</x:f>
        <x:v>-0.011535929702497125</x:v>
      </x:c>
      <x:c r="D90" s="7" t="n">
        <x:f>IF(ISNUMBER(C90),C90^2,"")</x:f>
        <x:v>0.0001330776741009554</x:v>
      </x:c>
      <x:c r="E90" s="15" t="n">
        <x:f>IF(ISNUMBER(C90),C90^3,"")</x:f>
        <x:v>-0.0000015351746934004439</x:v>
      </x:c>
      <x:c r="F90" s="15" t="n">
        <x:f>IF(ISNUMBER(C90),C90^4,"")</x:f>
        <x:v>1.77096673441201e-8</x:v>
      </x:c>
      <x:c r="G90" s="7" t="n">
        <x:f>IF(ISNUMBER(B90),ABS(B90),"")</x:f>
        <x:v>0.011584169029546626</x:v>
      </x:c>
      <x:c r="H90" s="7" t="n">
        <x:f>IF(ISNUMBER(B90),B90^2,"")</x:f>
        <x:v>0.0001341929721051072</x:v>
      </x:c>
      <x:c r="I90" s="7" t="n">
        <x:f>IF(AND(ISNUMBER(G90),'요약'!$B$19),G90-'요약'!$B$14,"")</x:f>
        <x:v>0.0035706524021437702</x:v>
      </x:c>
      <x:c r="J90" s="7" t="n">
        <x:f>IF(AND(ISNUMBER(H90),'요약'!$B$19),H90-'요약'!$B$15,"")</x:f>
        <x:v>0.0000319832729190151</x:v>
      </x:c>
      <x:c r="K90" t="n">
        <x:f>IF(ISNUMBER(B90),IF('Hill'!$B$4=1,IF(B90&lt;0,-B90,""),IF('Hill'!$B$4=2,IF(B90&gt;0,B90,""),IF('Hill'!$B$4=3,IF(B90&lt;&gt;0,ABS(B90),""),""))),"")</x:f>
        <x:v>0.011584169029546626</x:v>
      </x:c>
    </x:row>
    <x:row r="91">
      <x:c r="A91" t="n">
        <x:f>90</x:f>
        <x:v>90</x:v>
      </x:c>
      <x:c r="B91" s="7" t="n">
        <x:f>IF('요약'!$B$4=4,IF(ISNUMBER('input'!A91),'input'!A91,""),IF(90&lt;=1000,CHOOSE('요약'!$B$4,'input'!B91,'input'!C91,'input'!D91),""))</x:f>
        <x:v>-0.0048624143260089445</x:v>
      </x:c>
      <x:c r="C91" s="7" t="n">
        <x:f>IF(AND(ISNUMBER(B91),'요약'!$B$19),B91-'요약'!$B$7,"")</x:f>
        <x:v>-0.004814174998959443</x:v>
      </x:c>
      <x:c r="D91" s="7" t="n">
        <x:f>IF(ISNUMBER(C91),C91^2,"")</x:f>
        <x:v>0.000023176280920606153</x:v>
      </x:c>
      <x:c r="E91" s="15" t="n">
        <x:f>IF(ISNUMBER(C91),C91^3,"")</x:f>
        <x:v>-1.1157467217684288e-7</x:v>
      </x:c>
      <x:c r="F91" s="15" t="n">
        <x:f>IF(ISNUMBER(C91),C91^4,"")</x:f>
        <x:v>5.371399973108528e-10</x:v>
      </x:c>
      <x:c r="G91" s="7" t="n">
        <x:f>IF(ISNUMBER(B91),ABS(B91),"")</x:f>
        <x:v>0.0048624143260089445</x:v>
      </x:c>
      <x:c r="H91" s="7" t="n">
        <x:f>IF(ISNUMBER(B91),B91^2,"")</x:f>
        <x:v>0.00002364307307777702</x:v>
      </x:c>
      <x:c r="I91" s="7" t="n">
        <x:f>IF(AND(ISNUMBER(G91),'요약'!$B$19),G91-'요약'!$B$14,"")</x:f>
        <x:v>-0.003151102301393911</x:v>
      </x:c>
      <x:c r="J91" s="7" t="n">
        <x:f>IF(AND(ISNUMBER(H91),'요약'!$B$19),H91-'요약'!$B$15,"")</x:f>
        <x:v>-0.00007856662610831509</x:v>
      </x:c>
      <x:c r="K91" t="n">
        <x:f>IF(ISNUMBER(B91),IF('Hill'!$B$4=1,IF(B91&lt;0,-B91,""),IF('Hill'!$B$4=2,IF(B91&gt;0,B91,""),IF('Hill'!$B$4=3,IF(B91&lt;&gt;0,ABS(B91),""),""))),"")</x:f>
        <x:v>0.0048624143260089445</x:v>
      </x:c>
    </x:row>
    <x:row r="92">
      <x:c r="A92" t="n">
        <x:f>91</x:f>
        <x:v>91</x:v>
      </x:c>
      <x:c r="B92" s="7" t="n">
        <x:f>IF('요약'!$B$4=4,IF(ISNUMBER('input'!A92),'input'!A92,""),IF(91&lt;=1000,CHOOSE('요약'!$B$4,'input'!B92,'input'!C92,'input'!D92),""))</x:f>
        <x:v>0.00895471507505181</x:v>
      </x:c>
      <x:c r="C92" s="7" t="n">
        <x:f>IF(AND(ISNUMBER(B92),'요약'!$B$19),B92-'요약'!$B$7,"")</x:f>
        <x:v>0.009002954402101311</x:v>
      </x:c>
      <x:c r="D92" s="7" t="n">
        <x:f>IF(ISNUMBER(C92),C92^2,"")</x:f>
        <x:v>0.00008105318796631538</x:v>
      </x:c>
      <x:c r="E92" s="15" t="n">
        <x:f>IF(ISNUMBER(C92),C92^3,"")</x:f>
        <x:v>7.297181554056841e-7</x:v>
      </x:c>
      <x:c r="F92" s="15" t="n">
        <x:f>IF(ISNUMBER(C92),C92^4,"")</x:f>
        <x:v>6.569619279502852e-9</x:v>
      </x:c>
      <x:c r="G92" s="7" t="n">
        <x:f>IF(ISNUMBER(B92),ABS(B92),"")</x:f>
        <x:v>0.00895471507505181</x:v>
      </x:c>
      <x:c r="H92" s="7" t="n">
        <x:f>IF(ISNUMBER(B92),B92^2,"")</x:f>
        <x:v>0.00008018692207536015</x:v>
      </x:c>
      <x:c r="I92" s="7" t="n">
        <x:f>IF(AND(ISNUMBER(G92),'요약'!$B$19),G92-'요약'!$B$14,"")</x:f>
        <x:v>0.0009411984476489551</x:v>
      </x:c>
      <x:c r="J92" s="7" t="n">
        <x:f>IF(AND(ISNUMBER(H92),'요약'!$B$19),H92-'요약'!$B$15,"")</x:f>
        <x:v>-0.000022022777110731952</x:v>
      </x:c>
      <x:c r="K92" t="str">
        <x:f>IF(ISNUMBER(B92),IF('Hill'!$B$4=1,IF(B92&lt;0,-B92,""),IF('Hill'!$B$4=2,IF(B92&gt;0,B92,""),IF('Hill'!$B$4=3,IF(B92&lt;&gt;0,ABS(B92),""),""))),"")</x:f>
      </x:c>
    </x:row>
    <x:row r="93">
      <x:c r="A93" t="n">
        <x:f>92</x:f>
        <x:v>92</x:v>
      </x:c>
      <x:c r="B93" s="7" t="n">
        <x:f>IF('요약'!$B$4=4,IF(ISNUMBER('input'!A93),'input'!A93,""),IF(92&lt;=1000,CHOOSE('요약'!$B$4,'input'!B93,'input'!C93,'input'!D93),""))</x:f>
        <x:v>0.007294705136501021</x:v>
      </x:c>
      <x:c r="C93" s="7" t="n">
        <x:f>IF(AND(ISNUMBER(B93),'요약'!$B$19),B93-'요약'!$B$7,"")</x:f>
        <x:v>0.007342944463550522</x:v>
      </x:c>
      <x:c r="D93" s="7" t="n">
        <x:f>IF(ISNUMBER(C93),C93^2,"")</x:f>
        <x:v>0.00005391883339478727</x:v>
      </x:c>
      <x:c r="E93" s="15" t="n">
        <x:f>IF(ISNUMBER(C93),C93^3,"")</x:f>
        <x:v>3.9592299915735616e-7</x:v>
      </x:c>
      <x:c r="F93" s="15" t="n">
        <x:f>IF(ISNUMBER(C93),C93^4,"")</x:f>
        <x:v>2.907240594654827e-9</x:v>
      </x:c>
      <x:c r="G93" s="7" t="n">
        <x:f>IF(ISNUMBER(B93),ABS(B93),"")</x:f>
        <x:v>0.007294705136501021</x:v>
      </x:c>
      <x:c r="H93" s="7" t="n">
        <x:f>IF(ISNUMBER(B93),B93^2,"")</x:f>
        <x:v>0.000053212723028494374</x:v>
      </x:c>
      <x:c r="I93" s="7" t="n">
        <x:f>IF(AND(ISNUMBER(G93),'요약'!$B$19),G93-'요약'!$B$14,"")</x:f>
        <x:v>-0.0007188114909018346</x:v>
      </x:c>
      <x:c r="J93" s="7" t="n">
        <x:f>IF(AND(ISNUMBER(H93),'요약'!$B$19),H93-'요약'!$B$15,"")</x:f>
        <x:v>-0.00004899697615759773</x:v>
      </x:c>
      <x:c r="K93" t="str">
        <x:f>IF(ISNUMBER(B93),IF('Hill'!$B$4=1,IF(B93&lt;0,-B93,""),IF('Hill'!$B$4=2,IF(B93&gt;0,B93,""),IF('Hill'!$B$4=3,IF(B93&lt;&gt;0,ABS(B93),""),""))),"")</x:f>
      </x:c>
    </x:row>
    <x:row r="94">
      <x:c r="A94" t="n">
        <x:f>93</x:f>
        <x:v>93</x:v>
      </x:c>
      <x:c r="B94" s="7" t="n">
        <x:f>IF('요약'!$B$4=4,IF(ISNUMBER('input'!A94),'input'!A94,""),IF(93&lt;=1000,CHOOSE('요약'!$B$4,'input'!B94,'input'!C94,'input'!D94),""))</x:f>
        <x:v>-0.00009275097951660927</x:v>
      </x:c>
      <x:c r="C94" s="7" t="n">
        <x:f>IF(AND(ISNUMBER(B94),'요약'!$B$19),B94-'요약'!$B$7,"")</x:f>
        <x:v>-0.00004451165246710789</x:v>
      </x:c>
      <x:c r="D94" s="7" t="n">
        <x:f>IF(ISNUMBER(C94),C94^2,"")</x:f>
        <x:v>1.981287205352592e-9</x:v>
      </x:c>
      <x:c r="E94" s="15" t="n">
        <x:f>IF(ISNUMBER(C94),C94^3,"")</x:f>
        <x:v>-8.8190367522182e-14</x:v>
      </x:c>
      <x:c r="F94" s="15" t="n">
        <x:f>IF(ISNUMBER(C94),C94^4,"")</x:f>
        <x:v>3.925498990093884e-18</x:v>
      </x:c>
      <x:c r="G94" s="7" t="n">
        <x:f>IF(ISNUMBER(B94),ABS(B94),"")</x:f>
        <x:v>0.00009275097951660927</x:v>
      </x:c>
      <x:c r="H94" s="7" t="n">
        <x:f>IF(ISNUMBER(B94),B94^2,"")</x:f>
        <x:v>8.602744201290472e-9</x:v>
      </x:c>
      <x:c r="I94" s="7" t="n">
        <x:f>IF(AND(ISNUMBER(G94),'요약'!$B$19),G94-'요약'!$B$14,"")</x:f>
        <x:v>-0.007920765647886246</x:v>
      </x:c>
      <x:c r="J94" s="7" t="n">
        <x:f>IF(AND(ISNUMBER(H94),'요약'!$B$19),H94-'요약'!$B$15,"")</x:f>
        <x:v>-0.00010220109644189082</x:v>
      </x:c>
      <x:c r="K94" t="n">
        <x:f>IF(ISNUMBER(B94),IF('Hill'!$B$4=1,IF(B94&lt;0,-B94,""),IF('Hill'!$B$4=2,IF(B94&gt;0,B94,""),IF('Hill'!$B$4=3,IF(B94&lt;&gt;0,ABS(B94),""),""))),"")</x:f>
        <x:v>0.00009275097951660927</x:v>
      </x:c>
    </x:row>
    <x:row r="95">
      <x:c r="A95" t="n">
        <x:f>94</x:f>
        <x:v>94</x:v>
      </x:c>
      <x:c r="B95" s="7" t="n">
        <x:f>IF('요약'!$B$4=4,IF(ISNUMBER('input'!A95),'input'!A95,""),IF(94&lt;=1000,CHOOSE('요약'!$B$4,'input'!B95,'input'!C95,'input'!D95),""))</x:f>
        <x:v>0.00731559155428406</x:v>
      </x:c>
      <x:c r="C95" s="7" t="n">
        <x:f>IF(AND(ISNUMBER(B95),'요약'!$B$19),B95-'요약'!$B$7,"")</x:f>
        <x:v>0.007363830881333562</x:v>
      </x:c>
      <x:c r="D95" s="7" t="n">
        <x:f>IF(ISNUMBER(C95),C95^2,"")</x:f>
        <x:v>0.00005422600524888182</x:v>
      </x:c>
      <x:c r="E95" s="15" t="n">
        <x:f>IF(ISNUMBER(C95),C95^3,"")</x:f>
        <x:v>3.9931113202307177e-7</x:v>
      </x:c>
      <x:c r="F95" s="15" t="n">
        <x:f>IF(ISNUMBER(C95),C95^4,"")</x:f>
        <x:v>2.9404596452517586e-9</x:v>
      </x:c>
      <x:c r="G95" s="7" t="n">
        <x:f>IF(ISNUMBER(B95),ABS(B95),"")</x:f>
        <x:v>0.00731559155428406</x:v>
      </x:c>
      <x:c r="H95" s="7" t="n">
        <x:f>IF(ISNUMBER(B95),B95^2,"")</x:f>
        <x:v>0.00005351787978911227</x:v>
      </x:c>
      <x:c r="I95" s="7" t="n">
        <x:f>IF(AND(ISNUMBER(G95),'요약'!$B$19),G95-'요약'!$B$14,"")</x:f>
        <x:v>-0.0006979250731187952</x:v>
      </x:c>
      <x:c r="J95" s="7" t="n">
        <x:f>IF(AND(ISNUMBER(H95),'요약'!$B$19),H95-'요약'!$B$15,"")</x:f>
        <x:v>-0.00004869181939697983</x:v>
      </x:c>
      <x:c r="K95" t="str">
        <x:f>IF(ISNUMBER(B95),IF('Hill'!$B$4=1,IF(B95&lt;0,-B95,""),IF('Hill'!$B$4=2,IF(B95&gt;0,B95,""),IF('Hill'!$B$4=3,IF(B95&lt;&gt;0,ABS(B95),""),""))),"")</x:f>
      </x:c>
    </x:row>
    <x:row r="96">
      <x:c r="A96" t="n">
        <x:f>95</x:f>
        <x:v>95</x:v>
      </x:c>
      <x:c r="B96" s="7" t="n">
        <x:f>IF('요약'!$B$4=4,IF(ISNUMBER('input'!A96),'input'!A96,""),IF(95&lt;=1000,CHOOSE('요약'!$B$4,'input'!B96,'input'!C96,'input'!D96),""))</x:f>
        <x:v>0.0012642258579623178</x:v>
      </x:c>
      <x:c r="C96" s="7" t="n">
        <x:f>IF(AND(ISNUMBER(B96),'요약'!$B$19),B96-'요약'!$B$7,"")</x:f>
        <x:v>0.0013124651850118193</x:v>
      </x:c>
      <x:c r="D96" s="7" t="n">
        <x:f>IF(ISNUMBER(C96),C96^2,"")</x:f>
        <x:v>0.0000017225648618681092</x:v>
      </x:c>
      <x:c r="E96" s="15" t="n">
        <x:f>IF(ISNUMBER(C96),C96^3,"")</x:f>
        <x:v>2.260806410126587e-9</x:v>
      </x:c>
      <x:c r="F96" s="15" t="n">
        <x:f>IF(ISNUMBER(C96),C96^4,"")</x:f>
        <x:v>2.9672297033426977e-12</x:v>
      </x:c>
      <x:c r="G96" s="7" t="n">
        <x:f>IF(ISNUMBER(B96),ABS(B96),"")</x:f>
        <x:v>0.0012642258579623178</x:v>
      </x:c>
      <x:c r="H96" s="7" t="n">
        <x:f>IF(ISNUMBER(B96),B96^2,"")</x:f>
        <x:v>0.0000015982670199405586</x:v>
      </x:c>
      <x:c r="I96" s="7" t="n">
        <x:f>IF(AND(ISNUMBER(G96),'요약'!$B$19),G96-'요약'!$B$14,"")</x:f>
        <x:v>-0.006749290769440537</x:v>
      </x:c>
      <x:c r="J96" s="7" t="n">
        <x:f>IF(AND(ISNUMBER(H96),'요약'!$B$19),H96-'요약'!$B$15,"")</x:f>
        <x:v>-0.00010061143216615154</x:v>
      </x:c>
      <x:c r="K96" t="str">
        <x:f>IF(ISNUMBER(B96),IF('Hill'!$B$4=1,IF(B96&lt;0,-B96,""),IF('Hill'!$B$4=2,IF(B96&gt;0,B96,""),IF('Hill'!$B$4=3,IF(B96&lt;&gt;0,ABS(B96),""),""))),"")</x:f>
      </x:c>
    </x:row>
    <x:row r="97">
      <x:c r="A97" t="n">
        <x:f>96</x:f>
        <x:v>96</x:v>
      </x:c>
      <x:c r="B97" s="7" t="n">
        <x:f>IF('요약'!$B$4=4,IF(ISNUMBER('input'!A97),'input'!A97,""),IF(96&lt;=1000,CHOOSE('요약'!$B$4,'input'!B97,'input'!C97,'input'!D97),""))</x:f>
        <x:v>0.0022078481220808624</x:v>
      </x:c>
      <x:c r="C97" s="7" t="n">
        <x:f>IF(AND(ISNUMBER(B97),'요약'!$B$19),B97-'요약'!$B$7,"")</x:f>
        <x:v>0.002256087449130364</x:v>
      </x:c>
      <x:c r="D97" s="7" t="n">
        <x:f>IF(ISNUMBER(C97),C97^2,"")</x:f>
        <x:v>0.000005089930578123552</x:v>
      </x:c>
      <x:c r="E97" s="15" t="n">
        <x:f>IF(ISNUMBER(C97),C97^3,"")</x:f>
        <x:v>1.1483328494249404e-8</x:v>
      </x:c>
      <x:c r="F97" s="15" t="n">
        <x:f>IF(ISNUMBER(C97),C97^4,"")</x:f>
        <x:v>2.590739329011716e-11</x:v>
      </x:c>
      <x:c r="G97" s="7" t="n">
        <x:f>IF(ISNUMBER(B97),ABS(B97),"")</x:f>
        <x:v>0.0022078481220808624</x:v>
      </x:c>
      <x:c r="H97" s="7" t="n">
        <x:f>IF(ISNUMBER(B97),B97^2,"")</x:f>
        <x:v>0.000004874593330175991</x:v>
      </x:c>
      <x:c r="I97" s="7" t="n">
        <x:f>IF(AND(ISNUMBER(G97),'요약'!$B$19),G97-'요약'!$B$14,"")</x:f>
        <x:v>-0.0058056685053219925</x:v>
      </x:c>
      <x:c r="J97" s="7" t="n">
        <x:f>IF(AND(ISNUMBER(H97),'요약'!$B$19),H97-'요약'!$B$15,"")</x:f>
        <x:v>-0.00009733510585591612</x:v>
      </x:c>
      <x:c r="K97" t="str">
        <x:f>IF(ISNUMBER(B97),IF('Hill'!$B$4=1,IF(B97&lt;0,-B97,""),IF('Hill'!$B$4=2,IF(B97&gt;0,B97,""),IF('Hill'!$B$4=3,IF(B97&lt;&gt;0,ABS(B97),""),""))),"")</x:f>
      </x:c>
    </x:row>
    <x:row r="98">
      <x:c r="A98" t="n">
        <x:f>97</x:f>
        <x:v>97</x:v>
      </x:c>
      <x:c r="B98" s="7" t="n">
        <x:f>IF('요약'!$B$4=4,IF(ISNUMBER('input'!A98),'input'!A98,""),IF(97&lt;=1000,CHOOSE('요약'!$B$4,'input'!B98,'input'!C98,'input'!D98),""))</x:f>
        <x:v>-0.00647121690529412</x:v>
      </x:c>
      <x:c r="C98" s="7" t="n">
        <x:f>IF(AND(ISNUMBER(B98),'요약'!$B$19),B98-'요약'!$B$7,"")</x:f>
        <x:v>-0.006422977578244619</x:v>
      </x:c>
      <x:c r="D98" s="7" t="n">
        <x:f>IF(ISNUMBER(C98),C98^2,"")</x:f>
        <x:v>0.000041254640970633105</x:v>
      </x:c>
      <x:c r="E98" s="15" t="n">
        <x:f>IF(ISNUMBER(C98),C98^3,"")</x:f>
        <x:v>-2.649776339529083e-7</x:v>
      </x:c>
      <x:c r="F98" s="15" t="n">
        <x:f>IF(ISNUMBER(C98),C98^4,"")</x:f>
        <x:v>1.7019454016158397e-9</x:v>
      </x:c>
      <x:c r="G98" s="7" t="n">
        <x:f>IF(ISNUMBER(B98),ABS(B98),"")</x:f>
        <x:v>0.00647121690529412</x:v>
      </x:c>
      <x:c r="H98" s="7" t="n">
        <x:f>IF(ISNUMBER(B98),B98^2,"")</x:f>
        <x:v>0.00004187664823536441</x:v>
      </x:c>
      <x:c r="I98" s="7" t="n">
        <x:f>IF(AND(ISNUMBER(G98),'요약'!$B$19),G98-'요약'!$B$14,"")</x:f>
        <x:v>-0.0015422997221087352</x:v>
      </x:c>
      <x:c r="J98" s="7" t="n">
        <x:f>IF(AND(ISNUMBER(H98),'요약'!$B$19),H98-'요약'!$B$15,"")</x:f>
        <x:v>-0.00006033305095072769</x:v>
      </x:c>
      <x:c r="K98" t="n">
        <x:f>IF(ISNUMBER(B98),IF('Hill'!$B$4=1,IF(B98&lt;0,-B98,""),IF('Hill'!$B$4=2,IF(B98&gt;0,B98,""),IF('Hill'!$B$4=3,IF(B98&lt;&gt;0,ABS(B98),""),""))),"")</x:f>
        <x:v>0.00647121690529412</x:v>
      </x:c>
    </x:row>
    <x:row r="99">
      <x:c r="A99" t="n">
        <x:f>98</x:f>
        <x:v>98</x:v>
      </x:c>
      <x:c r="B99" s="7" t="n">
        <x:f>IF('요약'!$B$4=4,IF(ISNUMBER('input'!A99),'input'!A99,""),IF(98&lt;=1000,CHOOSE('요약'!$B$4,'input'!B99,'input'!C99,'input'!D99),""))</x:f>
        <x:v>-0.0072422806375099045</x:v>
      </x:c>
      <x:c r="C99" s="7" t="n">
        <x:f>IF(AND(ISNUMBER(B99),'요약'!$B$19),B99-'요약'!$B$7,"")</x:f>
        <x:v>-0.007194041310460403</x:v>
      </x:c>
      <x:c r="D99" s="7" t="n">
        <x:f>IF(ISNUMBER(C99),C99^2,"")</x:f>
        <x:v>0.000051754230376610834</x:v>
      </x:c>
      <x:c r="E99" s="15" t="n">
        <x:f>IF(ISNUMBER(C99),C99^3,"")</x:f>
        <x:v>-3.72322071320423e-7</x:v>
      </x:c>
      <x:c r="F99" s="15" t="n">
        <x:f>IF(ISNUMBER(C99),C99^4,"")</x:f>
        <x:v>2.6785003618753075e-9</x:v>
      </x:c>
      <x:c r="G99" s="7" t="n">
        <x:f>IF(ISNUMBER(B99),ABS(B99),"")</x:f>
        <x:v>0.0072422806375099045</x:v>
      </x:c>
      <x:c r="H99" s="7" t="n">
        <x:f>IF(ISNUMBER(B99),B99^2,"")</x:f>
        <x:v>0.00005245062883245087</x:v>
      </x:c>
      <x:c r="I99" s="7" t="n">
        <x:f>IF(AND(ISNUMBER(G99),'요약'!$B$19),G99-'요약'!$B$14,"")</x:f>
        <x:v>-0.0007712359898929509</x:v>
      </x:c>
      <x:c r="J99" s="7" t="n">
        <x:f>IF(AND(ISNUMBER(H99),'요약'!$B$19),H99-'요약'!$B$15,"")</x:f>
        <x:v>-0.00004975907035364124</x:v>
      </x:c>
      <x:c r="K99" t="n">
        <x:f>IF(ISNUMBER(B99),IF('Hill'!$B$4=1,IF(B99&lt;0,-B99,""),IF('Hill'!$B$4=2,IF(B99&gt;0,B99,""),IF('Hill'!$B$4=3,IF(B99&lt;&gt;0,ABS(B99),""),""))),"")</x:f>
        <x:v>0.0072422806375099045</x:v>
      </x:c>
    </x:row>
    <x:row r="100">
      <x:c r="A100" t="n">
        <x:f>99</x:f>
        <x:v>99</x:v>
      </x:c>
      <x:c r="B100" s="7" t="n">
        <x:f>IF('요약'!$B$4=4,IF(ISNUMBER('input'!A100),'input'!A100,""),IF(99&lt;=1000,CHOOSE('요약'!$B$4,'input'!B100,'input'!C100,'input'!D100),""))</x:f>
        <x:v>-0.007644124254867755</x:v>
      </x:c>
      <x:c r="C100" s="7" t="n">
        <x:f>IF(AND(ISNUMBER(B100),'요약'!$B$19),B100-'요약'!$B$7,"")</x:f>
        <x:v>-0.0075958849278182534</x:v>
      </x:c>
      <x:c r="D100" s="7" t="n">
        <x:f>IF(ISNUMBER(C100),C100^2,"")</x:f>
        <x:v>0.00005769746783665651</x:v>
      </x:c>
      <x:c r="E100" s="15" t="n">
        <x:f>IF(ISNUMBER(C100),C100^3,"")</x:f>
        <x:v>-4.3826332631373767e-7</x:v>
      </x:c>
      <x:c r="F100" s="15" t="n">
        <x:f>IF(ISNUMBER(C100),C100^4,"")</x:f>
        <x:v>3.328997794762013e-9</x:v>
      </x:c>
      <x:c r="G100" s="7" t="n">
        <x:f>IF(ISNUMBER(B100),ABS(B100),"")</x:f>
        <x:v>0.007644124254867755</x:v>
      </x:c>
      <x:c r="H100" s="7" t="n">
        <x:f>IF(ISNUMBER(B100),B100^2,"")</x:f>
        <x:v>0.00005843263562385751</x:v>
      </x:c>
      <x:c r="I100" s="7" t="n">
        <x:f>IF(AND(ISNUMBER(G100),'요약'!$B$19),G100-'요약'!$B$14,"")</x:f>
        <x:v>-0.0003693923725351005</x:v>
      </x:c>
      <x:c r="J100" s="7" t="n">
        <x:f>IF(AND(ISNUMBER(H100),'요약'!$B$19),H100-'요약'!$B$15,"")</x:f>
        <x:v>-0.000043777063562234595</x:v>
      </x:c>
      <x:c r="K100" t="n">
        <x:f>IF(ISNUMBER(B100),IF('Hill'!$B$4=1,IF(B100&lt;0,-B100,""),IF('Hill'!$B$4=2,IF(B100&gt;0,B100,""),IF('Hill'!$B$4=3,IF(B100&lt;&gt;0,ABS(B100),""),""))),"")</x:f>
        <x:v>0.007644124254867755</x:v>
      </x:c>
    </x:row>
    <x:row r="101">
      <x:c r="A101" t="n">
        <x:f>100</x:f>
        <x:v>100</x:v>
      </x:c>
      <x:c r="B101" s="7" t="n">
        <x:f>IF('요약'!$B$4=4,IF(ISNUMBER('input'!A101),'input'!A101,""),IF(100&lt;=1000,CHOOSE('요약'!$B$4,'input'!B101,'input'!C101,'input'!D101),""))</x:f>
        <x:v>0.0016104746293954181</x:v>
      </x:c>
      <x:c r="C101" s="7" t="n">
        <x:f>IF(AND(ISNUMBER(B101),'요약'!$B$19),B101-'요약'!$B$7,"")</x:f>
        <x:v>0.0016587139564449196</x:v>
      </x:c>
      <x:c r="D101" s="7" t="n">
        <x:f>IF(ISNUMBER(C101),C101^2,"")</x:f>
        <x:v>0.0000027513319893051586</x:v>
      </x:c>
      <x:c r="E101" s="15" t="n">
        <x:f>IF(ISNUMBER(C101),C101^3,"")</x:f>
        <x:v>4.563672769473831e-9</x:v>
      </x:c>
      <x:c r="F101" s="15" t="n">
        <x:f>IF(ISNUMBER(C101),C101^4,"")</x:f>
        <x:v>7.569827715373882e-12</x:v>
      </x:c>
      <x:c r="G101" s="7" t="n">
        <x:f>IF(ISNUMBER(B101),ABS(B101),"")</x:f>
        <x:v>0.0016104746293954181</x:v>
      </x:c>
      <x:c r="H101" s="7" t="n">
        <x:f>IF(ISNUMBER(B101),B101^2,"")</x:f>
        <x:v>0.0000025936285319263096</x:v>
      </x:c>
      <x:c r="I101" s="7" t="n">
        <x:f>IF(AND(ISNUMBER(G101),'요약'!$B$19),G101-'요약'!$B$14,"")</x:f>
        <x:v>-0.006403041998007437</x:v>
      </x:c>
      <x:c r="J101" s="7" t="n">
        <x:f>IF(AND(ISNUMBER(H101),'요약'!$B$19),H101-'요약'!$B$15,"")</x:f>
        <x:v>-0.00009961607065416579</x:v>
      </x:c>
      <x:c r="K101" t="str">
        <x:f>IF(ISNUMBER(B101),IF('Hill'!$B$4=1,IF(B101&lt;0,-B101,""),IF('Hill'!$B$4=2,IF(B101&gt;0,B101,""),IF('Hill'!$B$4=3,IF(B101&lt;&gt;0,ABS(B101),""),""))),"")</x:f>
      </x:c>
    </x:row>
    <x:row r="102">
      <x:c r="A102" t="n">
        <x:f>101</x:f>
        <x:v>101</x:v>
      </x:c>
      <x:c r="B102" s="7" t="n">
        <x:f>IF('요약'!$B$4=4,IF(ISNUMBER('input'!A102),'input'!A102,""),IF(101&lt;=1000,CHOOSE('요약'!$B$4,'input'!B102,'input'!C102,'input'!D102),""))</x:f>
        <x:v>0.005889603367516351</x:v>
      </x:c>
      <x:c r="C102" s="7" t="n">
        <x:f>IF(AND(ISNUMBER(B102),'요약'!$B$19),B102-'요약'!$B$7,"")</x:f>
        <x:v>0.005937842694565852</x:v>
      </x:c>
      <x:c r="D102" s="7" t="n">
        <x:f>IF(ISNUMBER(C102),C102^2,"")</x:f>
        <x:v>0.00003525797586540906</x:v>
      </x:c>
      <x:c r="E102" s="15" t="n">
        <x:f>IF(ISNUMBER(C102),C102^3,"")</x:f>
        <x:v>2.0935631441759835e-7</x:v>
      </x:c>
      <x:c r="F102" s="15" t="n">
        <x:f>IF(ISNUMBER(C102),C102^4,"")</x:f>
        <x:v>1.2431248621257678e-9</x:v>
      </x:c>
      <x:c r="G102" s="7" t="n">
        <x:f>IF(ISNUMBER(B102),ABS(B102),"")</x:f>
        <x:v>0.005889603367516351</x:v>
      </x:c>
      <x:c r="H102" s="7" t="n">
        <x:f>IF(ISNUMBER(B102),B102^2,"")</x:f>
        <x:v>0.00003468742782665994</x:v>
      </x:c>
      <x:c r="I102" s="7" t="n">
        <x:f>IF(AND(ISNUMBER(G102),'요약'!$B$19),G102-'요약'!$B$14,"")</x:f>
        <x:v>-0.0021239132598865045</x:v>
      </x:c>
      <x:c r="J102" s="7" t="n">
        <x:f>IF(AND(ISNUMBER(H102),'요약'!$B$19),H102-'요약'!$B$15,"")</x:f>
        <x:v>-0.00006752227135943217</x:v>
      </x:c>
      <x:c r="K102" t="str">
        <x:f>IF(ISNUMBER(B102),IF('Hill'!$B$4=1,IF(B102&lt;0,-B102,""),IF('Hill'!$B$4=2,IF(B102&gt;0,B102,""),IF('Hill'!$B$4=3,IF(B102&lt;&gt;0,ABS(B102),""),""))),"")</x:f>
      </x:c>
    </x:row>
    <x:row r="103">
      <x:c r="A103" t="n">
        <x:f>102</x:f>
        <x:v>102</x:v>
      </x:c>
      <x:c r="B103" s="7" t="n">
        <x:f>IF('요약'!$B$4=4,IF(ISNUMBER('input'!A103),'input'!A103,""),IF(102&lt;=1000,CHOOSE('요약'!$B$4,'input'!B103,'input'!C103,'input'!D103),""))</x:f>
        <x:v>0.004547282543559989</x:v>
      </x:c>
      <x:c r="C103" s="7" t="n">
        <x:f>IF(AND(ISNUMBER(B103),'요약'!$B$19),B103-'요약'!$B$7,"")</x:f>
        <x:v>0.004595521870609491</x:v>
      </x:c>
      <x:c r="D103" s="7" t="n">
        <x:f>IF(ISNUMBER(C103),C103^2,"")</x:f>
        <x:v>0.00002111882126325015</x:v>
      </x:c>
      <x:c r="E103" s="15" t="n">
        <x:f>IF(ISNUMBER(C103),C103^3,"")</x:f>
        <x:v>9.705200499675883e-8</x:v>
      </x:c>
      <x:c r="F103" s="15" t="n">
        <x:f>IF(ISNUMBER(C103),C103^4,"")</x:f>
        <x:v>4.460046115491068e-10</x:v>
      </x:c>
      <x:c r="G103" s="7" t="n">
        <x:f>IF(ISNUMBER(B103),ABS(B103),"")</x:f>
        <x:v>0.004547282543559989</x:v>
      </x:c>
      <x:c r="H103" s="7" t="n">
        <x:f>IF(ISNUMBER(B103),B103^2,"")</x:f>
        <x:v>0.000020677778530965405</x:v>
      </x:c>
      <x:c r="I103" s="7" t="n">
        <x:f>IF(AND(ISNUMBER(G103),'요약'!$B$19),G103-'요약'!$B$14,"")</x:f>
        <x:v>-0.003466234083842866</x:v>
      </x:c>
      <x:c r="J103" s="7" t="n">
        <x:f>IF(AND(ISNUMBER(H103),'요약'!$B$19),H103-'요약'!$B$15,"")</x:f>
        <x:v>-0.0000815319206551267</x:v>
      </x:c>
      <x:c r="K103" t="str">
        <x:f>IF(ISNUMBER(B103),IF('Hill'!$B$4=1,IF(B103&lt;0,-B103,""),IF('Hill'!$B$4=2,IF(B103&gt;0,B103,""),IF('Hill'!$B$4=3,IF(B103&lt;&gt;0,ABS(B103),""),""))),"")</x:f>
      </x:c>
    </x:row>
    <x:row r="104">
      <x:c r="A104" t="n">
        <x:f>103</x:f>
        <x:v>103</x:v>
      </x:c>
      <x:c r="B104" s="7" t="n">
        <x:f>IF('요약'!$B$4=4,IF(ISNUMBER('input'!A104),'input'!A104,""),IF(103&lt;=1000,CHOOSE('요약'!$B$4,'input'!B104,'input'!C104,'input'!D104),""))</x:f>
        <x:v>-0.0028966775374889785</x:v>
      </x:c>
      <x:c r="C104" s="7" t="n">
        <x:f>IF(AND(ISNUMBER(B104),'요약'!$B$19),B104-'요약'!$B$7,"")</x:f>
        <x:v>-0.002848438210439477</x:v>
      </x:c>
      <x:c r="D104" s="7" t="n">
        <x:f>IF(ISNUMBER(C104),C104^2,"")</x:f>
        <x:v>0.00000811360023869165</x:v>
      </x:c>
      <x:c r="E104" s="15" t="n">
        <x:f>IF(ISNUMBER(C104),C104^3,"")</x:f>
        <x:v>-2.3111088944120157e-8</x:v>
      </x:c>
      <x:c r="F104" s="15" t="n">
        <x:f>IF(ISNUMBER(C104),C104^4,"")</x:f>
        <x:v>6.583050883329722e-11</x:v>
      </x:c>
      <x:c r="G104" s="7" t="n">
        <x:f>IF(ISNUMBER(B104),ABS(B104),"")</x:f>
        <x:v>0.0028966775374889785</x:v>
      </x:c>
      <x:c r="H104" s="7" t="n">
        <x:f>IF(ISNUMBER(B104),B104^2,"")</x:f>
        <x:v>0.000008390740756193212</x:v>
      </x:c>
      <x:c r="I104" s="7" t="n">
        <x:f>IF(AND(ISNUMBER(G104),'요약'!$B$19),G104-'요약'!$B$14,"")</x:f>
        <x:v>-0.0051168390899138765</x:v>
      </x:c>
      <x:c r="J104" s="7" t="n">
        <x:f>IF(AND(ISNUMBER(H104),'요약'!$B$19),H104-'요약'!$B$15,"")</x:f>
        <x:v>-0.0000938189584298989</x:v>
      </x:c>
      <x:c r="K104" t="n">
        <x:f>IF(ISNUMBER(B104),IF('Hill'!$B$4=1,IF(B104&lt;0,-B104,""),IF('Hill'!$B$4=2,IF(B104&gt;0,B104,""),IF('Hill'!$B$4=3,IF(B104&lt;&gt;0,ABS(B104),""),""))),"")</x:f>
        <x:v>0.0028966775374889785</x:v>
      </x:c>
    </x:row>
    <x:row r="105">
      <x:c r="A105" t="n">
        <x:f>104</x:f>
        <x:v>104</x:v>
      </x:c>
      <x:c r="B105" s="7" t="n">
        <x:f>IF('요약'!$B$4=4,IF(ISNUMBER('input'!A105),'input'!A105,""),IF(104&lt;=1000,CHOOSE('요약'!$B$4,'input'!B105,'input'!C105,'input'!D105),""))</x:f>
        <x:v>0.0061640849025682235</x:v>
      </x:c>
      <x:c r="C105" s="7" t="n">
        <x:f>IF(AND(ISNUMBER(B105),'요약'!$B$19),B105-'요약'!$B$7,"")</x:f>
        <x:v>0.006212324229617725</x:v>
      </x:c>
      <x:c r="D105" s="7" t="n">
        <x:f>IF(ISNUMBER(C105),C105^2,"")</x:f>
        <x:v>0.00003859297233389546</x:v>
      </x:c>
      <x:c r="E105" s="15" t="n">
        <x:f>IF(ISNUMBER(C105),C105^3,"")</x:f>
        <x:v>2.397520571228253e-7</x:v>
      </x:c>
      <x:c r="F105" s="15" t="n">
        <x:f>IF(ISNUMBER(C105),C105^4,"")</x:f>
        <x:v>1.4894175135648203e-9</x:v>
      </x:c>
      <x:c r="G105" s="7" t="n">
        <x:f>IF(ISNUMBER(B105),ABS(B105),"")</x:f>
        <x:v>0.0061640849025682235</x:v>
      </x:c>
      <x:c r="H105" s="7" t="n">
        <x:f>IF(ISNUMBER(B105),B105^2,"")</x:f>
        <x:v>0.0000379959426860695</x:v>
      </x:c>
      <x:c r="I105" s="7" t="n">
        <x:f>IF(AND(ISNUMBER(G105),'요약'!$B$19),G105-'요약'!$B$14,"")</x:f>
        <x:v>-0.0018494317248346319</x:v>
      </x:c>
      <x:c r="J105" s="7" t="n">
        <x:f>IF(AND(ISNUMBER(H105),'요약'!$B$19),H105-'요약'!$B$15,"")</x:f>
        <x:v>-0.0000642137565000226</x:v>
      </x:c>
      <x:c r="K105" t="str">
        <x:f>IF(ISNUMBER(B105),IF('Hill'!$B$4=1,IF(B105&lt;0,-B105,""),IF('Hill'!$B$4=2,IF(B105&gt;0,B105,""),IF('Hill'!$B$4=3,IF(B105&lt;&gt;0,ABS(B105),""),""))),"")</x:f>
      </x:c>
    </x:row>
    <x:row r="106">
      <x:c r="A106" t="n">
        <x:f>105</x:f>
        <x:v>105</x:v>
      </x:c>
      <x:c r="B106" s="7" t="n">
        <x:f>IF('요약'!$B$4=4,IF(ISNUMBER('input'!A106),'input'!A106,""),IF(105&lt;=1000,CHOOSE('요약'!$B$4,'input'!B106,'input'!C106,'input'!D106),""))</x:f>
        <x:v>-0.011460948654318601</x:v>
      </x:c>
      <x:c r="C106" s="7" t="n">
        <x:f>IF(AND(ISNUMBER(B106),'요약'!$B$19),B106-'요약'!$B$7,"")</x:f>
        <x:v>-0.0114127093272691</x:v>
      </x:c>
      <x:c r="D106" s="7" t="n">
        <x:f>IF(ISNUMBER(C106),C106^2,"")</x:f>
        <x:v>0.00013024993418873514</x:v>
      </x:c>
      <x:c r="E106" s="15" t="n">
        <x:f>IF(ISNUMBER(C106),C106^3,"")</x:f>
        <x:v>-0.000001486504638791964</x:v>
      </x:c>
      <x:c r="F106" s="15" t="n">
        <x:f>IF(ISNUMBER(C106),C106^4,"")</x:f>
        <x:v>1.696504535616983e-8</x:v>
      </x:c>
      <x:c r="G106" s="7" t="n">
        <x:f>IF(ISNUMBER(B106),ABS(B106),"")</x:f>
        <x:v>0.011460948654318601</x:v>
      </x:c>
      <x:c r="H106" s="7" t="n">
        <x:f>IF(ISNUMBER(B106),B106^2,"")</x:f>
        <x:v>0.00013135334405692736</x:v>
      </x:c>
      <x:c r="I106" s="7" t="n">
        <x:f>IF(AND(ISNUMBER(G106),'요약'!$B$19),G106-'요약'!$B$14,"")</x:f>
        <x:v>0.003447432026915746</x:v>
      </x:c>
      <x:c r="J106" s="7" t="n">
        <x:f>IF(AND(ISNUMBER(H106),'요약'!$B$19),H106-'요약'!$B$15,"")</x:f>
        <x:v>0.000029143644870835254</x:v>
      </x:c>
      <x:c r="K106" t="n">
        <x:f>IF(ISNUMBER(B106),IF('Hill'!$B$4=1,IF(B106&lt;0,-B106,""),IF('Hill'!$B$4=2,IF(B106&gt;0,B106,""),IF('Hill'!$B$4=3,IF(B106&lt;&gt;0,ABS(B106),""),""))),"")</x:f>
        <x:v>0.011460948654318601</x:v>
      </x:c>
    </x:row>
    <x:row r="107">
      <x:c r="A107" t="n">
        <x:f>106</x:f>
        <x:v>106</x:v>
      </x:c>
      <x:c r="B107" s="7" t="n">
        <x:f>IF('요약'!$B$4=4,IF(ISNUMBER('input'!A107),'input'!A107,""),IF(106&lt;=1000,CHOOSE('요약'!$B$4,'input'!B107,'input'!C107,'input'!D107),""))</x:f>
        <x:v>0.012615350915065465</x:v>
      </x:c>
      <x:c r="C107" s="7" t="n">
        <x:f>IF(AND(ISNUMBER(B107),'요약'!$B$19),B107-'요약'!$B$7,"")</x:f>
        <x:v>0.012663590242114966</x:v>
      </x:c>
      <x:c r="D107" s="7" t="n">
        <x:f>IF(ISNUMBER(C107),C107^2,"")</x:f>
        <x:v>0.00016036651782018937</x:v>
      </x:c>
      <x:c r="E107" s="15" t="n">
        <x:f>IF(ISNUMBER(C107),C107^3,"")</x:f>
        <x:v>0.000002030815870229706</x:v>
      </x:c>
      <x:c r="F107" s="15" t="n">
        <x:f>IF(ISNUMBER(C107),C107^4,"")</x:f>
        <x:v>2.5717420037773116e-8</x:v>
      </x:c>
      <x:c r="G107" s="7" t="n">
        <x:f>IF(ISNUMBER(B107),ABS(B107),"")</x:f>
        <x:v>0.012615350915065465</x:v>
      </x:c>
      <x:c r="H107" s="7" t="n">
        <x:f>IF(ISNUMBER(B107),B107^2,"")</x:f>
        <x:v>0.00015914707871024308</x:v>
      </x:c>
      <x:c r="I107" s="7" t="n">
        <x:f>IF(AND(ISNUMBER(G107),'요약'!$B$19),G107-'요약'!$B$14,"")</x:f>
        <x:v>0.00460183428766261</x:v>
      </x:c>
      <x:c r="J107" s="7" t="n">
        <x:f>IF(AND(ISNUMBER(H107),'요약'!$B$19),H107-'요약'!$B$15,"")</x:f>
        <x:v>0.00005693737952415097</x:v>
      </x:c>
      <x:c r="K107" t="str">
        <x:f>IF(ISNUMBER(B107),IF('Hill'!$B$4=1,IF(B107&lt;0,-B107,""),IF('Hill'!$B$4=2,IF(B107&gt;0,B107,""),IF('Hill'!$B$4=3,IF(B107&lt;&gt;0,ABS(B107),""),""))),"")</x:f>
      </x:c>
    </x:row>
    <x:row r="108">
      <x:c r="A108" t="n">
        <x:f>107</x:f>
        <x:v>107</x:v>
      </x:c>
      <x:c r="B108" s="7" t="n">
        <x:f>IF('요약'!$B$4=4,IF(ISNUMBER('input'!A108),'input'!A108,""),IF(107&lt;=1000,CHOOSE('요약'!$B$4,'input'!B108,'input'!C108,'input'!D108),""))</x:f>
        <x:v>-0.02220065826345913</x:v>
      </x:c>
      <x:c r="C108" s="7" t="n">
        <x:f>IF(AND(ISNUMBER(B108),'요약'!$B$19),B108-'요약'!$B$7,"")</x:f>
        <x:v>-0.02215241893640963</x:v>
      </x:c>
      <x:c r="D108" s="7" t="n">
        <x:f>IF(ISNUMBER(C108),C108^2,"")</x:f>
        <x:v>0.0004907296647342</x:v>
      </x:c>
      <x:c r="E108" s="15" t="n">
        <x:f>IF(ISNUMBER(C108),C108^3,"")</x:f>
        <x:v>-0.000010870849117715841</x:v>
      </x:c>
      <x:c r="F108" s="15" t="n">
        <x:f>IF(ISNUMBER(C108),C108^4,"")</x:f>
        <x:v>2.4081560385014033e-7</x:v>
      </x:c>
      <x:c r="G108" s="7" t="n">
        <x:f>IF(ISNUMBER(B108),ABS(B108),"")</x:f>
        <x:v>0.02220065826345913</x:v>
      </x:c>
      <x:c r="H108" s="7" t="n">
        <x:f>IF(ISNUMBER(B108),B108^2,"")</x:f>
        <x:v>0.0004928692273308962</x:v>
      </x:c>
      <x:c r="I108" s="7" t="n">
        <x:f>IF(AND(ISNUMBER(G108),'요약'!$B$19),G108-'요약'!$B$14,"")</x:f>
        <x:v>0.014187141636056276</x:v>
      </x:c>
      <x:c r="J108" s="7" t="n">
        <x:f>IF(AND(ISNUMBER(H108),'요약'!$B$19),H108-'요약'!$B$15,"")</x:f>
        <x:v>0.00039065952814480416</x:v>
      </x:c>
      <x:c r="K108" t="n">
        <x:f>IF(ISNUMBER(B108),IF('Hill'!$B$4=1,IF(B108&lt;0,-B108,""),IF('Hill'!$B$4=2,IF(B108&gt;0,B108,""),IF('Hill'!$B$4=3,IF(B108&lt;&gt;0,ABS(B108),""),""))),"")</x:f>
        <x:v>0.02220065826345913</x:v>
      </x:c>
    </x:row>
    <x:row r="109">
      <x:c r="A109" t="n">
        <x:f>108</x:f>
        <x:v>108</x:v>
      </x:c>
      <x:c r="B109" s="7" t="n">
        <x:f>IF('요약'!$B$4=4,IF(ISNUMBER('input'!A109),'input'!A109,""),IF(108&lt;=1000,CHOOSE('요약'!$B$4,'input'!B109,'input'!C109,'input'!D109),""))</x:f>
        <x:v>-0.012485668717400313</x:v>
      </x:c>
      <x:c r="C109" s="7" t="n">
        <x:f>IF(AND(ISNUMBER(B109),'요약'!$B$19),B109-'요약'!$B$7,"")</x:f>
        <x:v>-0.012437429390350812</x:v>
      </x:c>
      <x:c r="D109" s="7" t="n">
        <x:f>IF(ISNUMBER(C109),C109^2,"")</x:f>
        <x:v>0.00015468964983996218</x:v>
      </x:c>
      <x:c r="E109" s="15" t="n">
        <x:f>IF(ISNUMBER(C109),C109^3,"")</x:f>
        <x:v>-0.0000019239415973026215</x:v>
      </x:c>
      <x:c r="F109" s="15" t="n">
        <x:f>IF(ISNUMBER(C109),C109^4,"")</x:f>
        <x:v>2.392888776761011e-8</x:v>
      </x:c>
      <x:c r="G109" s="7" t="n">
        <x:f>IF(ISNUMBER(B109),ABS(B109),"")</x:f>
        <x:v>0.012485668717400313</x:v>
      </x:c>
      <x:c r="H109" s="7" t="n">
        <x:f>IF(ISNUMBER(B109),B109^2,"")</x:f>
        <x:v>0.00015589192332066877</x:v>
      </x:c>
      <x:c r="I109" s="7" t="n">
        <x:f>IF(AND(ISNUMBER(G109),'요약'!$B$19),G109-'요약'!$B$14,"")</x:f>
        <x:v>0.0044721520899974575</x:v>
      </x:c>
      <x:c r="J109" s="7" t="n">
        <x:f>IF(AND(ISNUMBER(H109),'요약'!$B$19),H109-'요약'!$B$15,"")</x:f>
        <x:v>0.00005368222413457667</x:v>
      </x:c>
      <x:c r="K109" t="n">
        <x:f>IF(ISNUMBER(B109),IF('Hill'!$B$4=1,IF(B109&lt;0,-B109,""),IF('Hill'!$B$4=2,IF(B109&gt;0,B109,""),IF('Hill'!$B$4=3,IF(B109&lt;&gt;0,ABS(B109),""),""))),"")</x:f>
        <x:v>0.012485668717400313</x:v>
      </x:c>
    </x:row>
    <x:row r="110">
      <x:c r="A110" t="n">
        <x:f>109</x:f>
        <x:v>109</x:v>
      </x:c>
      <x:c r="B110" s="7" t="n">
        <x:f>IF('요약'!$B$4=4,IF(ISNUMBER('input'!A110),'input'!A110,""),IF(109&lt;=1000,CHOOSE('요약'!$B$4,'input'!B110,'input'!C110,'input'!D110),""))</x:f>
        <x:v>0.0057136547054433915</x:v>
      </x:c>
      <x:c r="C110" s="7" t="n">
        <x:f>IF(AND(ISNUMBER(B110),'요약'!$B$19),B110-'요약'!$B$7,"")</x:f>
        <x:v>0.005761894032492893</x:v>
      </x:c>
      <x:c r="D110" s="7" t="n">
        <x:f>IF(ISNUMBER(C110),C110^2,"")</x:f>
        <x:v>0.00003319942284167721</x:v>
      </x:c>
      <x:c r="E110" s="15" t="n">
        <x:f>IF(ISNUMBER(C110),C110^3,"")</x:f>
        <x:v>1.9129155635366817e-7</x:v>
      </x:c>
      <x:c r="F110" s="15" t="n">
        <x:f>IF(ISNUMBER(C110),C110^4,"")</x:f>
        <x:v>1.1022016770204785e-9</x:v>
      </x:c>
      <x:c r="G110" s="7" t="n">
        <x:f>IF(ISNUMBER(B110),ABS(B110),"")</x:f>
        <x:v>0.0057136547054433915</x:v>
      </x:c>
      <x:c r="H110" s="7" t="n">
        <x:f>IF(ISNUMBER(B110),B110^2,"")</x:f>
        <x:v>0.00003264585009303541</x:v>
      </x:c>
      <x:c r="I110" s="7" t="n">
        <x:f>IF(AND(ISNUMBER(G110),'요약'!$B$19),G110-'요약'!$B$14,"")</x:f>
        <x:v>-0.002299861921959464</x:v>
      </x:c>
      <x:c r="J110" s="7" t="n">
        <x:f>IF(AND(ISNUMBER(H110),'요약'!$B$19),H110-'요약'!$B$15,"")</x:f>
        <x:v>-0.00006956384909305669</x:v>
      </x:c>
      <x:c r="K110" t="str">
        <x:f>IF(ISNUMBER(B110),IF('Hill'!$B$4=1,IF(B110&lt;0,-B110,""),IF('Hill'!$B$4=2,IF(B110&gt;0,B110,""),IF('Hill'!$B$4=3,IF(B110&lt;&gt;0,ABS(B110),""),""))),"")</x:f>
      </x:c>
    </x:row>
    <x:row r="111">
      <x:c r="A111" t="n">
        <x:f>110</x:f>
        <x:v>110</x:v>
      </x:c>
      <x:c r="B111" s="7" t="n">
        <x:f>IF('요약'!$B$4=4,IF(ISNUMBER('input'!A111),'input'!A111,""),IF(110&lt;=1000,CHOOSE('요약'!$B$4,'input'!B111,'input'!C111,'input'!D111),""))</x:f>
        <x:v>-0.010293615354681622</x:v>
      </x:c>
      <x:c r="C111" s="7" t="n">
        <x:f>IF(AND(ISNUMBER(B111),'요약'!$B$19),B111-'요약'!$B$7,"")</x:f>
        <x:v>-0.010245376027632121</x:v>
      </x:c>
      <x:c r="D111" s="7" t="n">
        <x:f>IF(ISNUMBER(C111),C111^2,"")</x:f>
        <x:v>0.00010496772994757894</x:v>
      </x:c>
      <x:c r="E111" s="15" t="n">
        <x:f>IF(ISNUMBER(C111),C111^3,"")</x:f>
        <x:v>-0.0000010754338640798876</x:v>
      </x:c>
      <x:c r="F111" s="15" t="n">
        <x:f>IF(ISNUMBER(C111),C111^4,"")</x:f>
        <x:v>1.101822433034786e-8</x:v>
      </x:c>
      <x:c r="G111" s="7" t="n">
        <x:f>IF(ISNUMBER(B111),ABS(B111),"")</x:f>
        <x:v>0.010293615354681622</x:v>
      </x:c>
      <x:c r="H111" s="7" t="n">
        <x:f>IF(ISNUMBER(B111),B111^2,"")</x:f>
        <x:v>0.00010595851707013724</x:v>
      </x:c>
      <x:c r="I111" s="7" t="n">
        <x:f>IF(AND(ISNUMBER(G111),'요약'!$B$19),G111-'요약'!$B$14,"")</x:f>
        <x:v>0.0022800987272787662</x:v>
      </x:c>
      <x:c r="J111" s="7" t="n">
        <x:f>IF(AND(ISNUMBER(H111),'요약'!$B$19),H111-'요약'!$B$15,"")</x:f>
        <x:v>0.0000037488178840451363</x:v>
      </x:c>
      <x:c r="K111" t="n">
        <x:f>IF(ISNUMBER(B111),IF('Hill'!$B$4=1,IF(B111&lt;0,-B111,""),IF('Hill'!$B$4=2,IF(B111&gt;0,B111,""),IF('Hill'!$B$4=3,IF(B111&lt;&gt;0,ABS(B111),""),""))),"")</x:f>
        <x:v>0.010293615354681622</x:v>
      </x:c>
    </x:row>
    <x:row r="112">
      <x:c r="A112" t="n">
        <x:f>111</x:f>
        <x:v>111</x:v>
      </x:c>
      <x:c r="B112" s="7" t="n">
        <x:f>IF('요약'!$B$4=4,IF(ISNUMBER('input'!A112),'input'!A112,""),IF(111&lt;=1000,CHOOSE('요약'!$B$4,'input'!B112,'input'!C112,'input'!D112),""))</x:f>
        <x:v>0.001930490661654397</x:v>
      </x:c>
      <x:c r="C112" s="7" t="n">
        <x:f>IF(AND(ISNUMBER(B112),'요약'!$B$19),B112-'요약'!$B$7,"")</x:f>
        <x:v>0.0019787299887038985</x:v>
      </x:c>
      <x:c r="D112" s="7" t="n">
        <x:f>IF(ISNUMBER(C112),C112^2,"")</x:f>
        <x:v>0.00000391537236819613</x:v>
      </x:c>
      <x:c r="E112" s="15" t="n">
        <x:f>IF(ISNUMBER(C112),C112^3,"")</x:f>
        <x:v>7.747464721892285e-9</x:v>
      </x:c>
      <x:c r="F112" s="15" t="n">
        <x:f>IF(ISNUMBER(C112),C112^4,"")</x:f>
        <x:v>1.5330140781633774e-11</x:v>
      </x:c>
      <x:c r="G112" s="7" t="n">
        <x:f>IF(ISNUMBER(B112),ABS(B112),"")</x:f>
        <x:v>0.001930490661654397</x:v>
      </x:c>
      <x:c r="H112" s="7" t="n">
        <x:f>IF(ISNUMBER(B112),B112^2,"")</x:f>
        <x:v>0.0000037267941947348315</x:v>
      </x:c>
      <x:c r="I112" s="7" t="n">
        <x:f>IF(AND(ISNUMBER(G112),'요약'!$B$19),G112-'요약'!$B$14,"")</x:f>
        <x:v>-0.006083025965748458</x:v>
      </x:c>
      <x:c r="J112" s="7" t="n">
        <x:f>IF(AND(ISNUMBER(H112),'요약'!$B$19),H112-'요약'!$B$15,"")</x:f>
        <x:v>-0.00009848290499135727</x:v>
      </x:c>
      <x:c r="K112" t="str">
        <x:f>IF(ISNUMBER(B112),IF('Hill'!$B$4=1,IF(B112&lt;0,-B112,""),IF('Hill'!$B$4=2,IF(B112&gt;0,B112,""),IF('Hill'!$B$4=3,IF(B112&lt;&gt;0,ABS(B112),""),""))),"")</x:f>
      </x:c>
    </x:row>
    <x:row r="113">
      <x:c r="A113" t="n">
        <x:f>112</x:f>
        <x:v>112</x:v>
      </x:c>
      <x:c r="B113" s="7" t="n">
        <x:f>IF('요약'!$B$4=4,IF(ISNUMBER('input'!A113),'input'!A113,""),IF(112&lt;=1000,CHOOSE('요약'!$B$4,'input'!B113,'input'!C113,'input'!D113),""))</x:f>
        <x:v>0.003253420018531249</x:v>
      </x:c>
      <x:c r="C113" s="7" t="n">
        <x:f>IF(AND(ISNUMBER(B113),'요약'!$B$19),B113-'요약'!$B$7,"")</x:f>
        <x:v>0.0033016593455807504</x:v>
      </x:c>
      <x:c r="D113" s="7" t="n">
        <x:f>IF(ISNUMBER(C113),C113^2,"")</x:f>
        <x:v>0.000010900954434260709</x:v>
      </x:c>
      <x:c r="E113" s="15" t="n">
        <x:f>IF(ISNUMBER(C113),C113^3,"")</x:f>
        <x:v>3.599123808362679e-8</x:v>
      </x:c>
      <x:c r="F113" s="15" t="n">
        <x:f>IF(ISNUMBER(C113),C113^4,"")</x:f>
        <x:v>1.188308075778282e-10</x:v>
      </x:c>
      <x:c r="G113" s="7" t="n">
        <x:f>IF(ISNUMBER(B113),ABS(B113),"")</x:f>
        <x:v>0.003253420018531249</x:v>
      </x:c>
      <x:c r="H113" s="7" t="n">
        <x:f>IF(ISNUMBER(B113),B113^2,"")</x:f>
        <x:v>0.000010584741816979872</x:v>
      </x:c>
      <x:c r="I113" s="7" t="n">
        <x:f>IF(AND(ISNUMBER(G113),'요약'!$B$19),G113-'요약'!$B$14,"")</x:f>
        <x:v>-0.004760096608871606</x:v>
      </x:c>
      <x:c r="J113" s="7" t="n">
        <x:f>IF(AND(ISNUMBER(H113),'요약'!$B$19),H113-'요약'!$B$15,"")</x:f>
        <x:v>-0.00009162495736911224</x:v>
      </x:c>
      <x:c r="K113" t="str">
        <x:f>IF(ISNUMBER(B113),IF('Hill'!$B$4=1,IF(B113&lt;0,-B113,""),IF('Hill'!$B$4=2,IF(B113&gt;0,B113,""),IF('Hill'!$B$4=3,IF(B113&lt;&gt;0,ABS(B113),""),""))),"")</x:f>
      </x:c>
    </x:row>
    <x:row r="114">
      <x:c r="A114" t="n">
        <x:f>113</x:f>
        <x:v>113</x:v>
      </x:c>
      <x:c r="B114" s="7" t="n">
        <x:f>IF('요약'!$B$4=4,IF(ISNUMBER('input'!A114),'input'!A114,""),IF(113&lt;=1000,CHOOSE('요약'!$B$4,'input'!B114,'input'!C114,'input'!D114),""))</x:f>
        <x:v>-0.007032001934181405</x:v>
      </x:c>
      <x:c r="C114" s="7" t="n">
        <x:f>IF(AND(ISNUMBER(B114),'요약'!$B$19),B114-'요약'!$B$7,"")</x:f>
        <x:v>-0.006983762607131904</x:v>
      </x:c>
      <x:c r="D114" s="7" t="n">
        <x:f>IF(ISNUMBER(C114),C114^2,"")</x:f>
        <x:v>0.00004877294015277381</x:v>
      </x:c>
      <x:c r="E114" s="15" t="n">
        <x:f>IF(ISNUMBER(C114),C114^3,"")</x:f>
        <x:v>-3.406186356788239e-7</x:v>
      </x:c>
      <x:c r="F114" s="15" t="n">
        <x:f>IF(ISNUMBER(C114),C114^4,"")</x:f>
        <x:v>2.3787996911460556e-9</x:v>
      </x:c>
      <x:c r="G114" s="7" t="n">
        <x:f>IF(ISNUMBER(B114),ABS(B114),"")</x:f>
        <x:v>0.007032001934181405</x:v>
      </x:c>
      <x:c r="H114" s="7" t="n">
        <x:f>IF(ISNUMBER(B114),B114^2,"")</x:f>
        <x:v>0.000049449051202331024</x:v>
      </x:c>
      <x:c r="I114" s="7" t="n">
        <x:f>IF(AND(ISNUMBER(G114),'요약'!$B$19),G114-'요약'!$B$14,"")</x:f>
        <x:v>-0.00098151469322145</x:v>
      </x:c>
      <x:c r="J114" s="7" t="n">
        <x:f>IF(AND(ISNUMBER(H114),'요약'!$B$19),H114-'요약'!$B$15,"")</x:f>
        <x:v>-0.00005276064798376108</x:v>
      </x:c>
      <x:c r="K114" t="n">
        <x:f>IF(ISNUMBER(B114),IF('Hill'!$B$4=1,IF(B114&lt;0,-B114,""),IF('Hill'!$B$4=2,IF(B114&gt;0,B114,""),IF('Hill'!$B$4=3,IF(B114&lt;&gt;0,ABS(B114),""),""))),"")</x:f>
        <x:v>0.007032001934181405</x:v>
      </x:c>
    </x:row>
    <x:row r="115">
      <x:c r="A115" t="n">
        <x:f>114</x:f>
        <x:v>114</x:v>
      </x:c>
      <x:c r="B115" s="7" t="n">
        <x:f>IF('요약'!$B$4=4,IF(ISNUMBER('input'!A115),'input'!A115,""),IF(114&lt;=1000,CHOOSE('요약'!$B$4,'input'!B115,'input'!C115,'input'!D115),""))</x:f>
        <x:v>-0.002006970089391868</x:v>
      </x:c>
      <x:c r="C115" s="7" t="n">
        <x:f>IF(AND(ISNUMBER(B115),'요약'!$B$19),B115-'요약'!$B$7,"")</x:f>
        <x:v>-0.0019587307623423664</x:v>
      </x:c>
      <x:c r="D115" s="7" t="n">
        <x:f>IF(ISNUMBER(C115),C115^2,"")</x:f>
        <x:v>0.000003836626199346308</x:v>
      </x:c>
      <x:c r="E115" s="15" t="n">
        <x:f>IF(ISNUMBER(C115),C115^3,"")</x:f>
        <x:v>-7.51491776026829e-9</x:v>
      </x:c>
      <x:c r="F115" s="15" t="n">
        <x:f>IF(ISNUMBER(C115),C115^4,"")</x:f>
        <x:v>1.4719700593510497e-11</x:v>
      </x:c>
      <x:c r="G115" s="7" t="n">
        <x:f>IF(ISNUMBER(B115),ABS(B115),"")</x:f>
        <x:v>0.002006970089391868</x:v>
      </x:c>
      <x:c r="H115" s="7" t="n">
        <x:f>IF(ISNUMBER(B115),B115^2,"")</x:f>
        <x:v>0.0000040279289397136024</x:v>
      </x:c>
      <x:c r="I115" s="7" t="n">
        <x:f>IF(AND(ISNUMBER(G115),'요약'!$B$19),G115-'요약'!$B$14,"")</x:f>
        <x:v>-0.006006546538010988</x:v>
      </x:c>
      <x:c r="J115" s="7" t="n">
        <x:f>IF(AND(ISNUMBER(H115),'요약'!$B$19),H115-'요약'!$B$15,"")</x:f>
        <x:v>-0.0000981817702463785</x:v>
      </x:c>
      <x:c r="K115" t="n">
        <x:f>IF(ISNUMBER(B115),IF('Hill'!$B$4=1,IF(B115&lt;0,-B115,""),IF('Hill'!$B$4=2,IF(B115&gt;0,B115,""),IF('Hill'!$B$4=3,IF(B115&lt;&gt;0,ABS(B115),""),""))),"")</x:f>
        <x:v>0.002006970089391868</x:v>
      </x:c>
    </x:row>
    <x:row r="116">
      <x:c r="A116" t="n">
        <x:f>115</x:f>
        <x:v>115</x:v>
      </x:c>
      <x:c r="B116" s="7" t="n">
        <x:f>IF('요약'!$B$4=4,IF(ISNUMBER('input'!A116),'input'!A116,""),IF(115&lt;=1000,CHOOSE('요약'!$B$4,'input'!B116,'input'!C116,'input'!D116),""))</x:f>
        <x:v>-0.0030048311450339973</x:v>
      </x:c>
      <x:c r="C116" s="7" t="n">
        <x:f>IF(AND(ISNUMBER(B116),'요약'!$B$19),B116-'요약'!$B$7,"")</x:f>
        <x:v>-0.002956591817984496</x:v>
      </x:c>
      <x:c r="D116" s="7" t="n">
        <x:f>IF(ISNUMBER(C116),C116^2,"")</x:f>
        <x:v>0.000008741435178172867</x:v>
      </x:c>
      <x:c r="E116" s="15" t="n">
        <x:f>IF(ISNUMBER(C116),C116^3,"")</x:f>
        <x:v>-2.584485572522774e-8</x:v>
      </x:c>
      <x:c r="F116" s="15" t="n">
        <x:f>IF(ISNUMBER(C116),C116^4,"")</x:f>
        <x:v>7.641268897419808e-11</x:v>
      </x:c>
      <x:c r="G116" s="7" t="n">
        <x:f>IF(ISNUMBER(B116),ABS(B116),"")</x:f>
        <x:v>0.0030048311450339973</x:v>
      </x:c>
      <x:c r="H116" s="7" t="n">
        <x:f>IF(ISNUMBER(B116),B116^2,"")</x:f>
        <x:v>0.000009029010210166323</x:v>
      </x:c>
      <x:c r="I116" s="7" t="n">
        <x:f>IF(AND(ISNUMBER(G116),'요약'!$B$19),G116-'요약'!$B$14,"")</x:f>
        <x:v>-0.005008685482368858</x:v>
      </x:c>
      <x:c r="J116" s="7" t="n">
        <x:f>IF(AND(ISNUMBER(H116),'요약'!$B$19),H116-'요약'!$B$15,"")</x:f>
        <x:v>-0.00009318068897592578</x:v>
      </x:c>
      <x:c r="K116" t="n">
        <x:f>IF(ISNUMBER(B116),IF('Hill'!$B$4=1,IF(B116&lt;0,-B116,""),IF('Hill'!$B$4=2,IF(B116&gt;0,B116,""),IF('Hill'!$B$4=3,IF(B116&lt;&gt;0,ABS(B116),""),""))),"")</x:f>
        <x:v>0.0030048311450339973</x:v>
      </x:c>
    </x:row>
    <x:row r="117">
      <x:c r="A117" t="n">
        <x:f>116</x:f>
        <x:v>116</x:v>
      </x:c>
      <x:c r="B117" s="7" t="n">
        <x:f>IF('요약'!$B$4=4,IF(ISNUMBER('input'!A117),'input'!A117,""),IF(116&lt;=1000,CHOOSE('요약'!$B$4,'input'!B117,'input'!C117,'input'!D117),""))</x:f>
        <x:v>-0.007375015349296976</x:v>
      </x:c>
      <x:c r="C117" s="7" t="n">
        <x:f>IF(AND(ISNUMBER(B117),'요약'!$B$19),B117-'요약'!$B$7,"")</x:f>
        <x:v>-0.007326776022247475</x:v>
      </x:c>
      <x:c r="D117" s="7" t="n">
        <x:f>IF(ISNUMBER(C117),C117^2,"")</x:f>
        <x:v>0.00005368164688018053</x:v>
      </x:c>
      <x:c r="E117" s="15" t="n">
        <x:f>IF(ISNUMBER(C117),C117^3,"")</x:f>
        <x:v>-3.9331340319646265e-7</x:v>
      </x:c>
      <x:c r="F117" s="15" t="n">
        <x:f>IF(ISNUMBER(C117),C117^4,"")</x:f>
        <x:v>2.881719211768396e-9</x:v>
      </x:c>
      <x:c r="G117" s="7" t="n">
        <x:f>IF(ISNUMBER(B117),ABS(B117),"")</x:f>
        <x:v>0.007375015349296976</x:v>
      </x:c>
      <x:c r="H117" s="7" t="n">
        <x:f>IF(ISNUMBER(B117),B117^2,"")</x:f>
        <x:v>0.000054390851402366</x:v>
      </x:c>
      <x:c r="I117" s="7" t="n">
        <x:f>IF(AND(ISNUMBER(G117),'요약'!$B$19),G117-'요약'!$B$14,"")</x:f>
        <x:v>-0.0006385012781058791</x:v>
      </x:c>
      <x:c r="J117" s="7" t="n">
        <x:f>IF(AND(ISNUMBER(H117),'요약'!$B$19),H117-'요약'!$B$15,"")</x:f>
        <x:v>-0.000047818847783726103</x:v>
      </x:c>
      <x:c r="K117" t="n">
        <x:f>IF(ISNUMBER(B117),IF('Hill'!$B$4=1,IF(B117&lt;0,-B117,""),IF('Hill'!$B$4=2,IF(B117&gt;0,B117,""),IF('Hill'!$B$4=3,IF(B117&lt;&gt;0,ABS(B117),""),""))),"")</x:f>
        <x:v>0.007375015349296976</x:v>
      </x:c>
    </x:row>
    <x:row r="118">
      <x:c r="A118" t="n">
        <x:f>117</x:f>
        <x:v>117</x:v>
      </x:c>
      <x:c r="B118" s="7" t="n">
        <x:f>IF('요약'!$B$4=4,IF(ISNUMBER('input'!A118),'input'!A118,""),IF(117&lt;=1000,CHOOSE('요약'!$B$4,'input'!B118,'input'!C118,'input'!D118),""))</x:f>
        <x:v>-0.01580700037488527</x:v>
      </x:c>
      <x:c r="C118" s="7" t="n">
        <x:f>IF(AND(ISNUMBER(B118),'요약'!$B$19),B118-'요약'!$B$7,"")</x:f>
        <x:v>-0.01575876104783577</x:v>
      </x:c>
      <x:c r="D118" s="7" t="n">
        <x:f>IF(ISNUMBER(C118),C118^2,"")</x:f>
        <x:v>0.00024833854976278593</x:v>
      </x:c>
      <x:c r="E118" s="15" t="n">
        <x:f>IF(ISNUMBER(C118),C118^3,"")</x:f>
        <x:v>-0.000003913507864677816</x:v>
      </x:c>
      <x:c r="F118" s="15" t="n">
        <x:f>IF(ISNUMBER(C118),C118^4,"")</x:f>
        <x:v>6.16720352982837e-8</x:v>
      </x:c>
      <x:c r="G118" s="7" t="n">
        <x:f>IF(ISNUMBER(B118),ABS(B118),"")</x:f>
        <x:v>0.01580700037488527</x:v>
      </x:c>
      <x:c r="H118" s="7" t="n">
        <x:f>IF(ISNUMBER(B118),B118^2,"")</x:f>
        <x:v>0.00024986126085162306</x:v>
      </x:c>
      <x:c r="I118" s="7" t="n">
        <x:f>IF(AND(ISNUMBER(G118),'요약'!$B$19),G118-'요약'!$B$14,"")</x:f>
        <x:v>0.007793483747482415</x:v>
      </x:c>
      <x:c r="J118" s="7" t="n">
        <x:f>IF(AND(ISNUMBER(H118),'요약'!$B$19),H118-'요약'!$B$15,"")</x:f>
        <x:v>0.00014765156166553095</x:v>
      </x:c>
      <x:c r="K118" t="n">
        <x:f>IF(ISNUMBER(B118),IF('Hill'!$B$4=1,IF(B118&lt;0,-B118,""),IF('Hill'!$B$4=2,IF(B118&gt;0,B118,""),IF('Hill'!$B$4=3,IF(B118&lt;&gt;0,ABS(B118),""),""))),"")</x:f>
        <x:v>0.01580700037488527</x:v>
      </x:c>
    </x:row>
    <x:row r="119">
      <x:c r="A119" t="n">
        <x:f>118</x:f>
        <x:v>118</x:v>
      </x:c>
      <x:c r="B119" s="7" t="n">
        <x:f>IF('요약'!$B$4=4,IF(ISNUMBER('input'!A119),'input'!A119,""),IF(118&lt;=1000,CHOOSE('요약'!$B$4,'input'!B119,'input'!C119,'input'!D119),""))</x:f>
        <x:v>0.0014222272925901991</x:v>
      </x:c>
      <x:c r="C119" s="7" t="n">
        <x:f>IF(AND(ISNUMBER(B119),'요약'!$B$19),B119-'요약'!$B$7,"")</x:f>
        <x:v>0.0014704666196397006</x:v>
      </x:c>
      <x:c r="D119" s="7" t="n">
        <x:f>IF(ISNUMBER(C119),C119^2,"")</x:f>
        <x:v>0.000002162272079474608</x:v>
      </x:c>
      <x:c r="E119" s="15" t="n">
        <x:f>IF(ISNUMBER(C119),C119^3,"")</x:f>
        <x:v>3.1795489154463327e-9</x:v>
      </x:c>
      <x:c r="F119" s="15" t="n">
        <x:f>IF(ISNUMBER(C119),C119^4,"")</x:f>
        <x:v>4.675420545675445e-12</x:v>
      </x:c>
      <x:c r="G119" s="7" t="n">
        <x:f>IF(ISNUMBER(B119),ABS(B119),"")</x:f>
        <x:v>0.0014222272925901991</x:v>
      </x:c>
      <x:c r="H119" s="7" t="n">
        <x:f>IF(ISNUMBER(B119),B119^2,"")</x:f>
        <x:v>0.0000020227304717884477</x:v>
      </x:c>
      <x:c r="I119" s="7" t="n">
        <x:f>IF(AND(ISNUMBER(G119),'요약'!$B$19),G119-'요약'!$B$14,"")</x:f>
        <x:v>-0.006591289334812656</x:v>
      </x:c>
      <x:c r="J119" s="7" t="n">
        <x:f>IF(AND(ISNUMBER(H119),'요약'!$B$19),H119-'요약'!$B$15,"")</x:f>
        <x:v>-0.00010018696871430366</x:v>
      </x:c>
      <x:c r="K119" t="str">
        <x:f>IF(ISNUMBER(B119),IF('Hill'!$B$4=1,IF(B119&lt;0,-B119,""),IF('Hill'!$B$4=2,IF(B119&gt;0,B119,""),IF('Hill'!$B$4=3,IF(B119&lt;&gt;0,ABS(B119),""),""))),"")</x:f>
      </x:c>
    </x:row>
    <x:row r="120">
      <x:c r="A120" t="n">
        <x:f>119</x:f>
        <x:v>119</x:v>
      </x:c>
      <x:c r="B120" s="7" t="n">
        <x:f>IF('요약'!$B$4=4,IF(ISNUMBER('input'!A120),'input'!A120,""),IF(119&lt;=1000,CHOOSE('요약'!$B$4,'input'!B120,'input'!C120,'input'!D120),""))</x:f>
        <x:v>-0.012924829214981857</x:v>
      </x:c>
      <x:c r="C120" s="7" t="n">
        <x:f>IF(AND(ISNUMBER(B120),'요약'!$B$19),B120-'요약'!$B$7,"")</x:f>
        <x:v>-0.012876589887932357</x:v>
      </x:c>
      <x:c r="D120" s="7" t="n">
        <x:f>IF(ISNUMBER(C120),C120^2,"")</x:f>
        <x:v>0.00016580656714200182</x:v>
      </x:c>
      <x:c r="E120" s="15" t="n">
        <x:f>IF(ISNUMBER(C120),C120^3,"")</x:f>
        <x:v>-0.000002135023165813478</x:v>
      </x:c>
      <x:c r="F120" s="15" t="n">
        <x:f>IF(ISNUMBER(C120),C120^4,"")</x:f>
        <x:v>2.749181770741516e-8</x:v>
      </x:c>
      <x:c r="G120" s="7" t="n">
        <x:f>IF(ISNUMBER(B120),ABS(B120),"")</x:f>
        <x:v>0.012924829214981857</x:v>
      </x:c>
      <x:c r="H120" s="7" t="n">
        <x:f>IF(ISNUMBER(B120),B120^2,"")</x:f>
        <x:v>0.00016705121023644854</x:v>
      </x:c>
      <x:c r="I120" s="7" t="n">
        <x:f>IF(AND(ISNUMBER(G120),'요약'!$B$19),G120-'요약'!$B$14,"")</x:f>
        <x:v>0.004911312587579002</x:v>
      </x:c>
      <x:c r="J120" s="7" t="n">
        <x:f>IF(AND(ISNUMBER(H120),'요약'!$B$19),H120-'요약'!$B$15,"")</x:f>
        <x:v>0.00006484151105035644</x:v>
      </x:c>
      <x:c r="K120" t="n">
        <x:f>IF(ISNUMBER(B120),IF('Hill'!$B$4=1,IF(B120&lt;0,-B120,""),IF('Hill'!$B$4=2,IF(B120&gt;0,B120,""),IF('Hill'!$B$4=3,IF(B120&lt;&gt;0,ABS(B120),""),""))),"")</x:f>
        <x:v>0.012924829214981857</x:v>
      </x:c>
    </x:row>
    <x:row r="121">
      <x:c r="A121" t="n">
        <x:f>120</x:f>
        <x:v>120</x:v>
      </x:c>
      <x:c r="B121" s="7" t="n">
        <x:f>IF('요약'!$B$4=4,IF(ISNUMBER('input'!A121),'input'!A121,""),IF(120&lt;=1000,CHOOSE('요약'!$B$4,'input'!B121,'input'!C121,'input'!D121),""))</x:f>
        <x:v>0.017643277248919474</x:v>
      </x:c>
      <x:c r="C121" s="7" t="n">
        <x:f>IF(AND(ISNUMBER(B121),'요약'!$B$19),B121-'요약'!$B$7,"")</x:f>
        <x:v>0.017691516575968975</x:v>
      </x:c>
      <x:c r="D121" s="7" t="n">
        <x:f>IF(ISNUMBER(C121),C121^2,"")</x:f>
        <x:v>0.000312989758757785</x:v>
      </x:c>
      <x:c r="E121" s="15" t="n">
        <x:f>IF(ISNUMBER(C121),C121^3,"")</x:f>
        <x:v>0.000005537263505171884</x:v>
      </x:c>
      <x:c r="F121" s="15" t="n">
        <x:f>IF(ISNUMBER(C121),C121^4,"")</x:f>
        <x:v>9.796258908725646e-8</x:v>
      </x:c>
      <x:c r="G121" s="7" t="n">
        <x:f>IF(ISNUMBER(B121),ABS(B121),"")</x:f>
        <x:v>0.017643277248919474</x:v>
      </x:c>
      <x:c r="H121" s="7" t="n">
        <x:f>IF(ISNUMBER(B121),B121^2,"")</x:f>
        <x:v>0.0003112852320822395</x:v>
      </x:c>
      <x:c r="I121" s="7" t="n">
        <x:f>IF(AND(ISNUMBER(G121),'요약'!$B$19),G121-'요약'!$B$14,"")</x:f>
        <x:v>0.009629760621516619</x:v>
      </x:c>
      <x:c r="J121" s="7" t="n">
        <x:f>IF(AND(ISNUMBER(H121),'요약'!$B$19),H121-'요약'!$B$15,"")</x:f>
        <x:v>0.0002090755328961474</x:v>
      </x:c>
      <x:c r="K121" t="str">
        <x:f>IF(ISNUMBER(B121),IF('Hill'!$B$4=1,IF(B121&lt;0,-B121,""),IF('Hill'!$B$4=2,IF(B121&gt;0,B121,""),IF('Hill'!$B$4=3,IF(B121&lt;&gt;0,ABS(B121),""),""))),"")</x:f>
      </x:c>
    </x:row>
    <x:row r="122">
      <x:c r="A122" t="n">
        <x:f>121</x:f>
        <x:v>121</x:v>
      </x:c>
      <x:c r="B122" s="7" t="n">
        <x:f>IF('요약'!$B$4=4,IF(ISNUMBER('input'!A122),'input'!A122,""),IF(121&lt;=1000,CHOOSE('요약'!$B$4,'input'!B122,'input'!C122,'input'!D122),""))</x:f>
        <x:v>0.007330565688673224</x:v>
      </x:c>
      <x:c r="C122" s="7" t="n">
        <x:f>IF(AND(ISNUMBER(B122),'요약'!$B$19),B122-'요약'!$B$7,"")</x:f>
        <x:v>0.007378805015722726</x:v>
      </x:c>
      <x:c r="D122" s="7" t="n">
        <x:f>IF(ISNUMBER(C122),C122^2,"")</x:f>
        <x:v>0.00005444676346005485</x:v>
      </x:c>
      <x:c r="E122" s="15" t="n">
        <x:f>IF(ISNUMBER(C122),C122^3,"")</x:f>
        <x:v>4.017520513089216e-7</x:v>
      </x:c>
      <x:c r="F122" s="15" t="n">
        <x:f>IF(ISNUMBER(C122),C122^4,"")</x:f>
        <x:v>2.9644500512751643e-9</x:v>
      </x:c>
      <x:c r="G122" s="7" t="n">
        <x:f>IF(ISNUMBER(B122),ABS(B122),"")</x:f>
        <x:v>0.007330565688673224</x:v>
      </x:c>
      <x:c r="H122" s="7" t="n">
        <x:f>IF(ISNUMBER(B122),B122^2,"")</x:f>
        <x:v>0.00005373719331595314</x:v>
      </x:c>
      <x:c r="I122" s="7" t="n">
        <x:f>IF(AND(ISNUMBER(G122),'요약'!$B$19),G122-'요약'!$B$14,"")</x:f>
        <x:v>-0.0006829509387296312</x:v>
      </x:c>
      <x:c r="J122" s="7" t="n">
        <x:f>IF(AND(ISNUMBER(H122),'요약'!$B$19),H122-'요약'!$B$15,"")</x:f>
        <x:v>-0.00004847250587013896</x:v>
      </x:c>
      <x:c r="K122" t="str">
        <x:f>IF(ISNUMBER(B122),IF('Hill'!$B$4=1,IF(B122&lt;0,-B122,""),IF('Hill'!$B$4=2,IF(B122&gt;0,B122,""),IF('Hill'!$B$4=3,IF(B122&lt;&gt;0,ABS(B122),""),""))),"")</x:f>
      </x:c>
    </x:row>
    <x:row r="123">
      <x:c r="A123" t="n">
        <x:f>122</x:f>
        <x:v>122</x:v>
      </x:c>
      <x:c r="B123" s="7" t="n">
        <x:f>IF('요약'!$B$4=4,IF(ISNUMBER('input'!A123),'input'!A123,""),IF(122&lt;=1000,CHOOSE('요약'!$B$4,'input'!B123,'input'!C123,'input'!D123),""))</x:f>
        <x:v>-0.0025686037517112154</x:v>
      </x:c>
      <x:c r="C123" s="7" t="n">
        <x:f>IF(AND(ISNUMBER(B123),'요약'!$B$19),B123-'요약'!$B$7,"")</x:f>
        <x:v>-0.002520364424661714</x:v>
      </x:c>
      <x:c r="D123" s="7" t="n">
        <x:f>IF(ISNUMBER(C123),C123^2,"")</x:f>
        <x:v>0.000006352236833100373</x:v>
      </x:c>
      <x:c r="E123" s="15" t="n">
        <x:f>IF(ISNUMBER(C123),C123^3,"")</x:f>
        <x:v>-1.600995173117197e-8</x:v>
      </x:c>
      <x:c r="F123" s="15" t="n">
        <x:f>IF(ISNUMBER(C123),C123^4,"")</x:f>
        <x:v>4.035091278379705e-11</x:v>
      </x:c>
      <x:c r="G123" s="7" t="n">
        <x:f>IF(ISNUMBER(B123),ABS(B123),"")</x:f>
        <x:v>0.0025686037517112154</x:v>
      </x:c>
      <x:c r="H123" s="7" t="n">
        <x:f>IF(ISNUMBER(B123),B123^2,"")</x:f>
        <x:v>0.000006597725233304931</x:v>
      </x:c>
      <x:c r="I123" s="7" t="n">
        <x:f>IF(AND(ISNUMBER(G123),'요약'!$B$19),G123-'요약'!$B$14,"")</x:f>
        <x:v>-0.00544491287569164</x:v>
      </x:c>
      <x:c r="J123" s="7" t="n">
        <x:f>IF(AND(ISNUMBER(H123),'요약'!$B$19),H123-'요약'!$B$15,"")</x:f>
        <x:v>-0.00009561197395278717</x:v>
      </x:c>
      <x:c r="K123" t="n">
        <x:f>IF(ISNUMBER(B123),IF('Hill'!$B$4=1,IF(B123&lt;0,-B123,""),IF('Hill'!$B$4=2,IF(B123&gt;0,B123,""),IF('Hill'!$B$4=3,IF(B123&lt;&gt;0,ABS(B123),""),""))),"")</x:f>
        <x:v>0.0025686037517112154</x:v>
      </x:c>
    </x:row>
    <x:row r="124">
      <x:c r="A124" t="n">
        <x:f>123</x:f>
        <x:v>123</x:v>
      </x:c>
      <x:c r="B124" s="7" t="n">
        <x:f>IF('요약'!$B$4=4,IF(ISNUMBER('input'!A124),'input'!A124,""),IF(123&lt;=1000,CHOOSE('요약'!$B$4,'input'!B124,'input'!C124,'input'!D124),""))</x:f>
        <x:v>-0.005748884340584213</x:v>
      </x:c>
      <x:c r="C124" s="7" t="n">
        <x:f>IF(AND(ISNUMBER(B124),'요약'!$B$19),B124-'요약'!$B$7,"")</x:f>
        <x:v>-0.005700645013534711</x:v>
      </x:c>
      <x:c r="D124" s="7" t="n">
        <x:f>IF(ISNUMBER(C124),C124^2,"")</x:f>
        <x:v>0.00003249735357033817</x:v>
      </x:c>
      <x:c r="E124" s="15" t="n">
        <x:f>IF(ISNUMBER(C124),C124^3,"")</x:f>
        <x:v>-1.8525587658382273e-7</x:v>
      </x:c>
      <x:c r="F124" s="15" t="n">
        <x:f>IF(ISNUMBER(C124),C124^4,"")</x:f>
        <x:v>1.056077989075571e-9</x:v>
      </x:c>
      <x:c r="G124" s="7" t="n">
        <x:f>IF(ISNUMBER(B124),ABS(B124),"")</x:f>
        <x:v>0.005748884340584213</x:v>
      </x:c>
      <x:c r="H124" s="7" t="n">
        <x:f>IF(ISNUMBER(B124),B124^2,"")</x:f>
        <x:v>0.000033049671161414377</x:v>
      </x:c>
      <x:c r="I124" s="7" t="n">
        <x:f>IF(AND(ISNUMBER(G124),'요약'!$B$19),G124-'요약'!$B$14,"")</x:f>
        <x:v>-0.0022646322868186426</x:v>
      </x:c>
      <x:c r="J124" s="7" t="n">
        <x:f>IF(AND(ISNUMBER(H124),'요약'!$B$19),H124-'요약'!$B$15,"")</x:f>
        <x:v>-0.00006916002802467773</x:v>
      </x:c>
      <x:c r="K124" t="n">
        <x:f>IF(ISNUMBER(B124),IF('Hill'!$B$4=1,IF(B124&lt;0,-B124,""),IF('Hill'!$B$4=2,IF(B124&gt;0,B124,""),IF('Hill'!$B$4=3,IF(B124&lt;&gt;0,ABS(B124),""),""))),"")</x:f>
        <x:v>0.005748884340584213</x:v>
      </x:c>
    </x:row>
    <x:row r="125">
      <x:c r="A125" t="n">
        <x:f>124</x:f>
        <x:v>124</x:v>
      </x:c>
      <x:c r="B125" s="7" t="n">
        <x:f>IF('요약'!$B$4=4,IF(ISNUMBER('input'!A125),'input'!A125,""),IF(124&lt;=1000,CHOOSE('요약'!$B$4,'input'!B125,'input'!C125,'input'!D125),""))</x:f>
        <x:v>0.00009084222968199747</x:v>
      </x:c>
      <x:c r="C125" s="7" t="n">
        <x:f>IF(AND(ISNUMBER(B125),'요약'!$B$19),B125-'요약'!$B$7,"")</x:f>
        <x:v>0.00013908155673149884</x:v>
      </x:c>
      <x:c r="D125" s="7" t="n">
        <x:f>IF(ISNUMBER(C125),C125^2,"")</x:f>
        <x:v>1.934367942285713e-8</x:v>
      </x:c>
      <x:c r="E125" s="15" t="n">
        <x:f>IF(ISNUMBER(C125),C125^3,"")</x:f>
        <x:v>2.6903490470460306e-12</x:v>
      </x:c>
      <x:c r="F125" s="15" t="n">
        <x:f>IF(ISNUMBER(C125),C125^4,"")</x:f>
        <x:v>3.7417793361426635e-16</x:v>
      </x:c>
      <x:c r="G125" s="7" t="n">
        <x:f>IF(ISNUMBER(B125),ABS(B125),"")</x:f>
        <x:v>0.00009084222968199747</x:v>
      </x:c>
      <x:c r="H125" s="7" t="n">
        <x:f>IF(ISNUMBER(B125),B125^2,"")</x:f>
        <x:v>8.252310693596781e-9</x:v>
      </x:c>
      <x:c r="I125" s="7" t="n">
        <x:f>IF(AND(ISNUMBER(G125),'요약'!$B$19),G125-'요약'!$B$14,"")</x:f>
        <x:v>-0.007922674397720857</x:v>
      </x:c>
      <x:c r="J125" s="7" t="n">
        <x:f>IF(AND(ISNUMBER(H125),'요약'!$B$19),H125-'요약'!$B$15,"")</x:f>
        <x:v>-0.00010220144687539851</x:v>
      </x:c>
      <x:c r="K125" t="str">
        <x:f>IF(ISNUMBER(B125),IF('Hill'!$B$4=1,IF(B125&lt;0,-B125,""),IF('Hill'!$B$4=2,IF(B125&gt;0,B125,""),IF('Hill'!$B$4=3,IF(B125&lt;&gt;0,ABS(B125),""),""))),"")</x:f>
      </x:c>
    </x:row>
    <x:row r="126">
      <x:c r="A126" t="n">
        <x:f>125</x:f>
        <x:v>125</x:v>
      </x:c>
      <x:c r="B126" s="7" t="n">
        <x:f>IF('요약'!$B$4=4,IF(ISNUMBER('input'!A126),'input'!A126,""),IF(125&lt;=1000,CHOOSE('요약'!$B$4,'input'!B126,'input'!C126,'input'!D126),""))</x:f>
        <x:v>0.01889212529051476</x:v>
      </x:c>
      <x:c r="C126" s="7" t="n">
        <x:f>IF(AND(ISNUMBER(B126),'요약'!$B$19),B126-'요약'!$B$7,"")</x:f>
        <x:v>0.01894036461756426</x:v>
      </x:c>
      <x:c r="D126" s="7" t="n">
        <x:f>IF(ISNUMBER(C126),C126^2,"")</x:f>
        <x:v>0.0003587374118462802</x:v>
      </x:c>
      <x:c r="E126" s="15" t="n">
        <x:f>IF(ISNUMBER(C126),C126^3,"")</x:f>
        <x:v>0.000006794617382329863</x:v>
      </x:c>
      <x:c r="F126" s="15" t="n">
        <x:f>IF(ISNUMBER(C126),C126^4,"")</x:f>
        <x:v>1.2869253065816764e-7</x:v>
      </x:c>
      <x:c r="G126" s="7" t="n">
        <x:f>IF(ISNUMBER(B126),ABS(B126),"")</x:f>
        <x:v>0.01889212529051476</x:v>
      </x:c>
      <x:c r="H126" s="7" t="n">
        <x:f>IF(ISNUMBER(B126),B126^2,"")</x:f>
        <x:v>0.0003569123979925074</x:v>
      </x:c>
      <x:c r="I126" s="7" t="n">
        <x:f>IF(AND(ISNUMBER(G126),'요약'!$B$19),G126-'요약'!$B$14,"")</x:f>
        <x:v>0.010878608663111905</x:v>
      </x:c>
      <x:c r="J126" s="7" t="n">
        <x:f>IF(AND(ISNUMBER(H126),'요약'!$B$19),H126-'요약'!$B$15,"")</x:f>
        <x:v>0.0002547026988064153</x:v>
      </x:c>
      <x:c r="K126" t="str">
        <x:f>IF(ISNUMBER(B126),IF('Hill'!$B$4=1,IF(B126&lt;0,-B126,""),IF('Hill'!$B$4=2,IF(B126&gt;0,B126,""),IF('Hill'!$B$4=3,IF(B126&lt;&gt;0,ABS(B126),""),""))),"")</x:f>
      </x:c>
    </x:row>
    <x:row r="127">
      <x:c r="A127" t="n">
        <x:f>126</x:f>
        <x:v>126</x:v>
      </x:c>
      <x:c r="B127" s="7" t="n">
        <x:f>IF('요약'!$B$4=4,IF(ISNUMBER('input'!A127),'input'!A127,""),IF(126&lt;=1000,CHOOSE('요약'!$B$4,'input'!B127,'input'!C127,'input'!D127),""))</x:f>
        <x:v>0.0005442020574623188</x:v>
      </x:c>
      <x:c r="C127" s="7" t="n">
        <x:f>IF(AND(ISNUMBER(B127),'요약'!$B$19),B127-'요약'!$B$7,"")</x:f>
        <x:v>0.0005924413845118201</x:v>
      </x:c>
      <x:c r="D127" s="7" t="n">
        <x:f>IF(ISNUMBER(C127),C127^2,"")</x:f>
        <x:v>3.5098679408228233e-7</x:v>
      </x:c>
      <x:c r="E127" s="15" t="n">
        <x:f>IF(ISNUMBER(C127),C127^3,"")</x:f>
        <x:v>2.0793910223147245e-10</x:v>
      </x:c>
      <x:c r="F127" s="15" t="n">
        <x:f>IF(ISNUMBER(C127),C127^4,"")</x:f>
        <x:v>1.2319172962015846e-13</x:v>
      </x:c>
      <x:c r="G127" s="7" t="n">
        <x:f>IF(ISNUMBER(B127),ABS(B127),"")</x:f>
        <x:v>0.0005442020574623188</x:v>
      </x:c>
      <x:c r="H127" s="7" t="n">
        <x:f>IF(ISNUMBER(B127),B127^2,"")</x:f>
        <x:v>2.961558793462209e-7</x:v>
      </x:c>
      <x:c r="I127" s="7" t="n">
        <x:f>IF(AND(ISNUMBER(G127),'요약'!$B$19),G127-'요약'!$B$14,"")</x:f>
        <x:v>-0.007469314569940537</x:v>
      </x:c>
      <x:c r="J127" s="7" t="n">
        <x:f>IF(AND(ISNUMBER(H127),'요약'!$B$19),H127-'요약'!$B$15,"")</x:f>
        <x:v>-0.00010191354330674588</x:v>
      </x:c>
      <x:c r="K127" t="str">
        <x:f>IF(ISNUMBER(B127),IF('Hill'!$B$4=1,IF(B127&lt;0,-B127,""),IF('Hill'!$B$4=2,IF(B127&gt;0,B127,""),IF('Hill'!$B$4=3,IF(B127&lt;&gt;0,ABS(B127),""),""))),"")</x:f>
      </x:c>
    </x:row>
    <x:row r="128">
      <x:c r="A128" t="n">
        <x:f>127</x:f>
        <x:v>127</x:v>
      </x:c>
      <x:c r="B128" s="7" t="n">
        <x:f>IF('요약'!$B$4=4,IF(ISNUMBER('input'!A128),'input'!A128,""),IF(127&lt;=1000,CHOOSE('요약'!$B$4,'input'!B128,'input'!C128,'input'!D128),""))</x:f>
        <x:v>-0.0016294866733210093</x:v>
      </x:c>
      <x:c r="C128" s="7" t="n">
        <x:f>IF(AND(ISNUMBER(B128),'요약'!$B$19),B128-'요약'!$B$7,"")</x:f>
        <x:v>-0.0015812473462715078</x:v>
      </x:c>
      <x:c r="D128" s="7" t="n">
        <x:f>IF(ISNUMBER(C128),C128^2,"")</x:f>
        <x:v>0.0000025003431700906856</x:v>
      </x:c>
      <x:c r="E128" s="15" t="n">
        <x:f>IF(ISNUMBER(C128),C128^3,"")</x:f>
        <x:v>-3.953661002473986e-9</x:v>
      </x:c>
      <x:c r="F128" s="15" t="n">
        <x:f>IF(ISNUMBER(C128),C128^4,"")</x:f>
        <x:v>6.25171596821914e-12</x:v>
      </x:c>
      <x:c r="G128" s="7" t="n">
        <x:f>IF(ISNUMBER(B128),ABS(B128),"")</x:f>
        <x:v>0.0016294866733210093</x:v>
      </x:c>
      <x:c r="H128" s="7" t="n">
        <x:f>IF(ISNUMBER(B128),B128^2,"")</x:f>
        <x:v>0.0000026552268185307696</x:v>
      </x:c>
      <x:c r="I128" s="7" t="n">
        <x:f>IF(AND(ISNUMBER(G128),'요약'!$B$19),G128-'요약'!$B$14,"")</x:f>
        <x:v>-0.006384029954081846</x:v>
      </x:c>
      <x:c r="J128" s="7" t="n">
        <x:f>IF(AND(ISNUMBER(H128),'요약'!$B$19),H128-'요약'!$B$15,"")</x:f>
        <x:v>-0.00009955447236756133</x:v>
      </x:c>
      <x:c r="K128" t="n">
        <x:f>IF(ISNUMBER(B128),IF('Hill'!$B$4=1,IF(B128&lt;0,-B128,""),IF('Hill'!$B$4=2,IF(B128&gt;0,B128,""),IF('Hill'!$B$4=3,IF(B128&lt;&gt;0,ABS(B128),""),""))),"")</x:f>
        <x:v>0.0016294866733210093</x:v>
      </x:c>
    </x:row>
    <x:row r="129">
      <x:c r="A129" t="n">
        <x:f>128</x:f>
        <x:v>128</x:v>
      </x:c>
      <x:c r="B129" s="7" t="n">
        <x:f>IF('요약'!$B$4=4,IF(ISNUMBER('input'!A129),'input'!A129,""),IF(128&lt;=1000,CHOOSE('요약'!$B$4,'input'!B129,'input'!C129,'input'!D129),""))</x:f>
        <x:v>0.006788260699874992</x:v>
      </x:c>
      <x:c r="C129" s="7" t="n">
        <x:f>IF(AND(ISNUMBER(B129),'요약'!$B$19),B129-'요약'!$B$7,"")</x:f>
        <x:v>0.006836500026924494</x:v>
      </x:c>
      <x:c r="D129" s="7" t="n">
        <x:f>IF(ISNUMBER(C129),C129^2,"")</x:f>
        <x:v>0.0000467377326181386</x:v>
      </x:c>
      <x:c r="E129" s="15" t="n">
        <x:f>IF(ISNUMBER(C129),C129^3,"")</x:f>
        <x:v>3.1952251030229435e-7</x:v>
      </x:c>
      <x:c r="F129" s="15" t="n">
        <x:f>IF(ISNUMBER(C129),C129^4,"")</x:f>
        <x:v>2.1844156502846168e-9</x:v>
      </x:c>
      <x:c r="G129" s="7" t="n">
        <x:f>IF(ISNUMBER(B129),ABS(B129),"")</x:f>
        <x:v>0.006788260699874992</x:v>
      </x:c>
      <x:c r="H129" s="7" t="n">
        <x:f>IF(ISNUMBER(B129),B129^2,"")</x:f>
        <x:v>0.000046080483329467316</x:v>
      </x:c>
      <x:c r="I129" s="7" t="n">
        <x:f>IF(AND(ISNUMBER(G129),'요약'!$B$19),G129-'요약'!$B$14,"")</x:f>
        <x:v>-0.0012252559275278633</x:v>
      </x:c>
      <x:c r="J129" s="7" t="n">
        <x:f>IF(AND(ISNUMBER(H129),'요약'!$B$19),H129-'요약'!$B$15,"")</x:f>
        <x:v>-0.00005612921585662479</x:v>
      </x:c>
      <x:c r="K129" t="str">
        <x:f>IF(ISNUMBER(B129),IF('Hill'!$B$4=1,IF(B129&lt;0,-B129,""),IF('Hill'!$B$4=2,IF(B129&gt;0,B129,""),IF('Hill'!$B$4=3,IF(B129&lt;&gt;0,ABS(B129),""),""))),"")</x:f>
      </x:c>
    </x:row>
    <x:row r="130">
      <x:c r="A130" t="n">
        <x:f>129</x:f>
        <x:v>129</x:v>
      </x:c>
      <x:c r="B130" s="7" t="n">
        <x:f>IF('요약'!$B$4=4,IF(ISNUMBER('input'!A130),'input'!A130,""),IF(129&lt;=1000,CHOOSE('요약'!$B$4,'input'!B130,'input'!C130,'input'!D130),""))</x:f>
        <x:v>-0.0004005616972949246</x:v>
      </x:c>
      <x:c r="C130" s="7" t="n">
        <x:f>IF(AND(ISNUMBER(B130),'요약'!$B$19),B130-'요약'!$B$7,"")</x:f>
        <x:v>-0.00035232237024542326</x:v>
      </x:c>
      <x:c r="D130" s="7" t="n">
        <x:f>IF(ISNUMBER(C130),C130^2,"")</x:f>
        <x:v>1.241310525753531e-7</x:v>
      </x:c>
      <x:c r="E130" s="15" t="n">
        <x:f>IF(ISNUMBER(C130),C130^3,"")</x:f>
        <x:v>-4.373414666440766e-11</x:v>
      </x:c>
      <x:c r="F130" s="15" t="n">
        <x:f>IF(ISNUMBER(C130),C130^4,"")</x:f>
        <x:v>1.540851821346508e-14</x:v>
      </x:c>
      <x:c r="G130" s="7" t="n">
        <x:f>IF(ISNUMBER(B130),ABS(B130),"")</x:f>
        <x:v>0.0004005616972949246</x:v>
      </x:c>
      <x:c r="H130" s="7" t="n">
        <x:f>IF(ISNUMBER(B130),B130^2,"")</x:f>
        <x:v>1.6044967333979083e-7</x:v>
      </x:c>
      <x:c r="I130" s="7" t="n">
        <x:f>IF(AND(ISNUMBER(G130),'요약'!$B$19),G130-'요약'!$B$14,"")</x:f>
        <x:v>-0.007612954930107931</x:v>
      </x:c>
      <x:c r="J130" s="7" t="n">
        <x:f>IF(AND(ISNUMBER(H130),'요약'!$B$19),H130-'요약'!$B$15,"")</x:f>
        <x:v>-0.00010204924951275231</x:v>
      </x:c>
      <x:c r="K130" t="n">
        <x:f>IF(ISNUMBER(B130),IF('Hill'!$B$4=1,IF(B130&lt;0,-B130,""),IF('Hill'!$B$4=2,IF(B130&gt;0,B130,""),IF('Hill'!$B$4=3,IF(B130&lt;&gt;0,ABS(B130),""),""))),"")</x:f>
        <x:v>0.0004005616972949246</x:v>
      </x:c>
    </x:row>
    <x:row r="131">
      <x:c r="A131" t="n">
        <x:f>130</x:f>
        <x:v>130</x:v>
      </x:c>
      <x:c r="B131" s="7" t="n">
        <x:f>IF('요약'!$B$4=4,IF(ISNUMBER('input'!A131),'input'!A131,""),IF(130&lt;=1000,CHOOSE('요약'!$B$4,'input'!B131,'input'!C131,'input'!D131),""))</x:f>
        <x:v>0.008114145152740098</x:v>
      </x:c>
      <x:c r="C131" s="7" t="n">
        <x:f>IF(AND(ISNUMBER(B131),'요약'!$B$19),B131-'요약'!$B$7,"")</x:f>
        <x:v>0.008162384479789599</x:v>
      </x:c>
      <x:c r="D131" s="7" t="n">
        <x:f>IF(ISNUMBER(C131),C131^2,"")</x:f>
        <x:v>0.00006662452039591011</x:v>
      </x:c>
      <x:c r="E131" s="15" t="n">
        <x:f>IF(ISNUMBER(C131),C131^3,"")</x:f>
        <x:v>5.438149512530023e-7</x:v>
      </x:c>
      <x:c r="F131" s="15" t="n">
        <x:f>IF(ISNUMBER(C131),C131^4,"")</x:f>
        <x:v>4.438826717985043e-9</x:v>
      </x:c>
      <x:c r="G131" s="7" t="n">
        <x:f>IF(ISNUMBER(B131),ABS(B131),"")</x:f>
        <x:v>0.008114145152740098</x:v>
      </x:c>
      <x:c r="H131" s="7" t="n">
        <x:f>IF(ISNUMBER(B131),B131^2,"")</x:f>
        <x:v>0.00006583935155973563</x:v>
      </x:c>
      <x:c r="I131" s="7" t="n">
        <x:f>IF(AND(ISNUMBER(G131),'요약'!$B$19),G131-'요약'!$B$14,"")</x:f>
        <x:v>0.00010062852533724263</x:v>
      </x:c>
      <x:c r="J131" s="7" t="n">
        <x:f>IF(AND(ISNUMBER(H131),'요약'!$B$19),H131-'요약'!$B$15,"")</x:f>
        <x:v>-0.00003637034762635647</x:v>
      </x:c>
      <x:c r="K131" t="str">
        <x:f>IF(ISNUMBER(B131),IF('Hill'!$B$4=1,IF(B131&lt;0,-B131,""),IF('Hill'!$B$4=2,IF(B131&gt;0,B131,""),IF('Hill'!$B$4=3,IF(B131&lt;&gt;0,ABS(B131),""),""))),"")</x:f>
      </x:c>
    </x:row>
    <x:row r="132">
      <x:c r="A132" t="n">
        <x:f>131</x:f>
        <x:v>131</x:v>
      </x:c>
      <x:c r="B132" s="7" t="n">
        <x:f>IF('요약'!$B$4=4,IF(ISNUMBER('input'!A132),'input'!A132,""),IF(131&lt;=1000,CHOOSE('요약'!$B$4,'input'!B132,'input'!C132,'input'!D132),""))</x:f>
        <x:v>-0.0001461883344231346</x:v>
      </x:c>
      <x:c r="C132" s="7" t="n">
        <x:f>IF(AND(ISNUMBER(B132),'요약'!$B$19),B132-'요약'!$B$7,"")</x:f>
        <x:v>-0.0000979490073736332</x:v>
      </x:c>
      <x:c r="D132" s="7" t="n">
        <x:f>IF(ISNUMBER(C132),C132^2,"")</x:f>
        <x:v>9.594008045480052e-9</x:v>
      </x:c>
      <x:c r="E132" s="15" t="n">
        <x:f>IF(ISNUMBER(C132),C132^3,"")</x:f>
        <x:v>-9.397235647894219e-13</x:v>
      </x:c>
      <x:c r="F132" s="15" t="n">
        <x:f>IF(ISNUMBER(C132),C132^4,"")</x:f>
        <x:v>9.204499037673597e-17</x:v>
      </x:c>
      <x:c r="G132" s="7" t="n">
        <x:f>IF(ISNUMBER(B132),ABS(B132),"")</x:f>
        <x:v>0.0001461883344231346</x:v>
      </x:c>
      <x:c r="H132" s="7" t="n">
        <x:f>IF(ISNUMBER(B132),B132^2,"")</x:f>
        <x:v>2.1371029121410238e-8</x:v>
      </x:c>
      <x:c r="I132" s="7" t="n">
        <x:f>IF(AND(ISNUMBER(G132),'요약'!$B$19),G132-'요약'!$B$14,"")</x:f>
        <x:v>-0.00786732829297972</x:v>
      </x:c>
      <x:c r="J132" s="7" t="n">
        <x:f>IF(AND(ISNUMBER(H132),'요약'!$B$19),H132-'요약'!$B$15,"")</x:f>
        <x:v>-0.00010218832815697069</x:v>
      </x:c>
      <x:c r="K132" t="n">
        <x:f>IF(ISNUMBER(B132),IF('Hill'!$B$4=1,IF(B132&lt;0,-B132,""),IF('Hill'!$B$4=2,IF(B132&gt;0,B132,""),IF('Hill'!$B$4=3,IF(B132&lt;&gt;0,ABS(B132),""),""))),"")</x:f>
        <x:v>0.0001461883344231346</x:v>
      </x:c>
    </x:row>
    <x:row r="133">
      <x:c r="A133" t="n">
        <x:f>132</x:f>
        <x:v>132</x:v>
      </x:c>
      <x:c r="B133" s="7" t="n">
        <x:f>IF('요약'!$B$4=4,IF(ISNUMBER('input'!A133),'input'!A133,""),IF(132&lt;=1000,CHOOSE('요약'!$B$4,'input'!B133,'input'!C133,'input'!D133),""))</x:f>
        <x:v>-0.00800114974729938</x:v>
      </x:c>
      <x:c r="C133" s="7" t="n">
        <x:f>IF(AND(ISNUMBER(B133),'요약'!$B$19),B133-'요약'!$B$7,"")</x:f>
        <x:v>-0.007952910420249879</x:v>
      </x:c>
      <x:c r="D133" s="7" t="n">
        <x:f>IF(ISNUMBER(C133),C133^2,"")</x:f>
        <x:v>0.00006324878415251911</x:v>
      </x:c>
      <x:c r="E133" s="15" t="n">
        <x:f>IF(ISNUMBER(C133),C133^3,"")</x:f>
        <x:v>-5.030119145547046e-7</x:v>
      </x:c>
      <x:c r="F133" s="15" t="n">
        <x:f>IF(ISNUMBER(C133),C133^4,"")</x:f>
        <x:v>4.0004086967719515e-9</x:v>
      </x:c>
      <x:c r="G133" s="7" t="n">
        <x:f>IF(ISNUMBER(B133),ABS(B133),"")</x:f>
        <x:v>0.00800114974729938</x:v>
      </x:c>
      <x:c r="H133" s="7" t="n">
        <x:f>IF(ISNUMBER(B133),B133^2,"")</x:f>
        <x:v>0.00006401839727870892</x:v>
      </x:c>
      <x:c r="I133" s="7" t="n">
        <x:f>IF(AND(ISNUMBER(G133),'요약'!$B$19),G133-'요약'!$B$14,"")</x:f>
        <x:v>-0.000012366880103475975</x:v>
      </x:c>
      <x:c r="J133" s="7" t="n">
        <x:f>IF(AND(ISNUMBER(H133),'요약'!$B$19),H133-'요약'!$B$15,"")</x:f>
        <x:v>-0.00003819130190738318</x:v>
      </x:c>
      <x:c r="K133" t="n">
        <x:f>IF(ISNUMBER(B133),IF('Hill'!$B$4=1,IF(B133&lt;0,-B133,""),IF('Hill'!$B$4=2,IF(B133&gt;0,B133,""),IF('Hill'!$B$4=3,IF(B133&lt;&gt;0,ABS(B133),""),""))),"")</x:f>
        <x:v>0.00800114974729938</x:v>
      </x:c>
    </x:row>
    <x:row r="134">
      <x:c r="A134" t="n">
        <x:f>133</x:f>
        <x:v>133</x:v>
      </x:c>
      <x:c r="B134" s="7" t="n">
        <x:f>IF('요약'!$B$4=4,IF(ISNUMBER('input'!A134),'input'!A134,""),IF(133&lt;=1000,CHOOSE('요약'!$B$4,'input'!B134,'input'!C134,'input'!D134),""))</x:f>
        <x:v>-0.006897774578512264</x:v>
      </x:c>
      <x:c r="C134" s="7" t="n">
        <x:f>IF(AND(ISNUMBER(B134),'요약'!$B$19),B134-'요약'!$B$7,"")</x:f>
        <x:v>-0.006849535251462762</x:v>
      </x:c>
      <x:c r="D134" s="7" t="n">
        <x:f>IF(ISNUMBER(C134),C134^2,"")</x:f>
        <x:v>0.000046916133161031046</x:v>
      </x:c>
      <x:c r="E134" s="15" t="n">
        <x:f>IF(ISNUMBER(C134),C134^3,"")</x:f>
        <x:v>-3.2135370794880327e-7</x:v>
      </x:c>
      <x:c r="F134" s="15" t="n">
        <x:f>IF(ISNUMBER(C134),C134^4,"")</x:f>
        <x:v>2.201123550783597e-9</x:v>
      </x:c>
      <x:c r="G134" s="7" t="n">
        <x:f>IF(ISNUMBER(B134),ABS(B134),"")</x:f>
        <x:v>0.006897774578512264</x:v>
      </x:c>
      <x:c r="H134" s="7" t="n">
        <x:f>IF(ISNUMBER(B134),B134^2,"")</x:f>
        <x:v>0.00004757929413597004</x:v>
      </x:c>
      <x:c r="I134" s="7" t="n">
        <x:f>IF(AND(ISNUMBER(G134),'요약'!$B$19),G134-'요약'!$B$14,"")</x:f>
        <x:v>-0.0011157420488905915</x:v>
      </x:c>
      <x:c r="J134" s="7" t="n">
        <x:f>IF(AND(ISNUMBER(H134),'요약'!$B$19),H134-'요약'!$B$15,"")</x:f>
        <x:v>-0.00005463040505012206</x:v>
      </x:c>
      <x:c r="K134" t="n">
        <x:f>IF(ISNUMBER(B134),IF('Hill'!$B$4=1,IF(B134&lt;0,-B134,""),IF('Hill'!$B$4=2,IF(B134&gt;0,B134,""),IF('Hill'!$B$4=3,IF(B134&lt;&gt;0,ABS(B134),""),""))),"")</x:f>
        <x:v>0.006897774578512264</x:v>
      </x:c>
    </x:row>
    <x:row r="135">
      <x:c r="A135" t="n">
        <x:f>134</x:f>
        <x:v>134</x:v>
      </x:c>
      <x:c r="B135" s="7" t="n">
        <x:f>IF('요약'!$B$4=4,IF(ISNUMBER('input'!A135),'input'!A135,""),IF(134&lt;=1000,CHOOSE('요약'!$B$4,'input'!B135,'input'!C135,'input'!D135),""))</x:f>
        <x:v>0.010418863813603359</x:v>
      </x:c>
      <x:c r="C135" s="7" t="n">
        <x:f>IF(AND(ISNUMBER(B135),'요약'!$B$19),B135-'요약'!$B$7,"")</x:f>
        <x:v>0.01046710314065286</x:v>
      </x:c>
      <x:c r="D135" s="7" t="n">
        <x:f>IF(ISNUMBER(C135),C135^2,"")</x:f>
        <x:v>0.00010956024815706495</x:v>
      </x:c>
      <x:c r="E135" s="15" t="n">
        <x:f>IF(ISNUMBER(C135),C135^3,"")</x:f>
        <x:v>0.0000011467784175755211</x:v>
      </x:c>
      <x:c r="F135" s="15" t="n">
        <x:f>IF(ISNUMBER(C135),C135^4,"")</x:f>
        <x:v>1.2003447976237654e-8</x:v>
      </x:c>
      <x:c r="G135" s="7" t="n">
        <x:f>IF(ISNUMBER(B135),ABS(B135),"")</x:f>
        <x:v>0.010418863813603359</x:v>
      </x:c>
      <x:c r="H135" s="7" t="n">
        <x:f>IF(ISNUMBER(B135),B135^2,"")</x:f>
        <x:v>0.00010855272316641353</x:v>
      </x:c>
      <x:c r="I135" s="7" t="n">
        <x:f>IF(AND(ISNUMBER(G135),'요약'!$B$19),G135-'요약'!$B$14,"")</x:f>
        <x:v>0.0024053471862005033</x:v>
      </x:c>
      <x:c r="J135" s="7" t="n">
        <x:f>IF(AND(ISNUMBER(H135),'요약'!$B$19),H135-'요약'!$B$15,"")</x:f>
        <x:v>0.000006343023980321421</x:v>
      </x:c>
      <x:c r="K135" t="str">
        <x:f>IF(ISNUMBER(B135),IF('Hill'!$B$4=1,IF(B135&lt;0,-B135,""),IF('Hill'!$B$4=2,IF(B135&gt;0,B135,""),IF('Hill'!$B$4=3,IF(B135&lt;&gt;0,ABS(B135),""),""))),"")</x:f>
      </x:c>
    </x:row>
    <x:row r="136">
      <x:c r="A136" t="n">
        <x:f>135</x:f>
        <x:v>135</x:v>
      </x:c>
      <x:c r="B136" s="7" t="n">
        <x:f>IF('요약'!$B$4=4,IF(ISNUMBER('input'!A136),'input'!A136,""),IF(135&lt;=1000,CHOOSE('요약'!$B$4,'input'!B136,'input'!C136,'input'!D136),""))</x:f>
        <x:v>0.0011055445781885526</x:v>
      </x:c>
      <x:c r="C136" s="7" t="n">
        <x:f>IF(AND(ISNUMBER(B136),'요약'!$B$19),B136-'요약'!$B$7,"")</x:f>
        <x:v>0.001153783905238054</x:v>
      </x:c>
      <x:c r="D136" s="7" t="n">
        <x:f>IF(ISNUMBER(C136),C136^2,"")</x:f>
        <x:v>0.0000013312172999863748</x:v>
      </x:c>
      <x:c r="E136" s="15" t="n">
        <x:f>IF(ISNUMBER(C136),C136^3,"")</x:f>
        <x:v>1.5359370950987376e-9</x:v>
      </x:c>
      <x:c r="F136" s="15" t="n">
        <x:f>IF(ISNUMBER(C136),C136^4,"")</x:f>
        <x:v>1.7721394997830138e-12</x:v>
      </x:c>
      <x:c r="G136" s="7" t="n">
        <x:f>IF(ISNUMBER(B136),ABS(B136),"")</x:f>
        <x:v>0.0011055445781885526</x:v>
      </x:c>
      <x:c r="H136" s="7" t="n">
        <x:f>IF(ISNUMBER(B136),B136^2,"")</x:f>
        <x:v>0.0000012222288143621045</x:v>
      </x:c>
      <x:c r="I136" s="7" t="n">
        <x:f>IF(AND(ISNUMBER(G136),'요약'!$B$19),G136-'요약'!$B$14,"")</x:f>
        <x:v>-0.006907972049214303</x:v>
      </x:c>
      <x:c r="J136" s="7" t="n">
        <x:f>IF(AND(ISNUMBER(H136),'요약'!$B$19),H136-'요약'!$B$15,"")</x:f>
        <x:v>-0.00010098747037173</x:v>
      </x:c>
      <x:c r="K136" t="str">
        <x:f>IF(ISNUMBER(B136),IF('Hill'!$B$4=1,IF(B136&lt;0,-B136,""),IF('Hill'!$B$4=2,IF(B136&gt;0,B136,""),IF('Hill'!$B$4=3,IF(B136&lt;&gt;0,ABS(B136),""),""))),"")</x:f>
      </x:c>
    </x:row>
    <x:row r="137">
      <x:c r="A137" t="n">
        <x:f>136</x:f>
        <x:v>136</x:v>
      </x:c>
      <x:c r="B137" s="7" t="n">
        <x:f>IF('요약'!$B$4=4,IF(ISNUMBER('input'!A137),'input'!A137,""),IF(136&lt;=1000,CHOOSE('요약'!$B$4,'input'!B137,'input'!C137,'input'!D137),""))</x:f>
        <x:v>0.011100146309780387</x:v>
      </x:c>
      <x:c r="C137" s="7" t="n">
        <x:f>IF(AND(ISNUMBER(B137),'요약'!$B$19),B137-'요약'!$B$7,"")</x:f>
        <x:v>0.011148385636829888</x:v>
      </x:c>
      <x:c r="D137" s="7" t="n">
        <x:f>IF(ISNUMBER(C137),C137^2,"")</x:f>
        <x:v>0.00012428650230747495</x:v>
      </x:c>
      <x:c r="E137" s="15" t="n">
        <x:f>IF(ISNUMBER(C137),C137^3,"")</x:f>
        <x:v>0.0000013855938571764782</x:v>
      </x:c>
      <x:c r="F137" s="15" t="n">
        <x:f>IF(ISNUMBER(C137),C137^4,"")</x:f>
        <x:v>1.5447134655825972e-8</x:v>
      </x:c>
      <x:c r="G137" s="7" t="n">
        <x:f>IF(ISNUMBER(B137),ABS(B137),"")</x:f>
        <x:v>0.011100146309780387</x:v>
      </x:c>
      <x:c r="H137" s="7" t="n">
        <x:f>IF(ISNUMBER(B137),B137^2,"")</x:f>
        <x:v>0.00012321324809853114</x:v>
      </x:c>
      <x:c r="I137" s="7" t="n">
        <x:f>IF(AND(ISNUMBER(G137),'요약'!$B$19),G137-'요약'!$B$14,"")</x:f>
        <x:v>0.0030866296823775317</x:v>
      </x:c>
      <x:c r="J137" s="7" t="n">
        <x:f>IF(AND(ISNUMBER(H137),'요약'!$B$19),H137-'요약'!$B$15,"")</x:f>
        <x:v>0.000021003548912439037</x:v>
      </x:c>
      <x:c r="K137" t="str">
        <x:f>IF(ISNUMBER(B137),IF('Hill'!$B$4=1,IF(B137&lt;0,-B137,""),IF('Hill'!$B$4=2,IF(B137&gt;0,B137,""),IF('Hill'!$B$4=3,IF(B137&lt;&gt;0,ABS(B137),""),""))),"")</x:f>
      </x:c>
    </x:row>
    <x:row r="138">
      <x:c r="A138" t="n">
        <x:f>137</x:f>
        <x:v>137</x:v>
      </x:c>
      <x:c r="B138" s="7" t="n">
        <x:f>IF('요약'!$B$4=4,IF(ISNUMBER('input'!A138),'input'!A138,""),IF(137&lt;=1000,CHOOSE('요약'!$B$4,'input'!B138,'input'!C138,'input'!D138),""))</x:f>
        <x:v>0.006335362253664642</x:v>
      </x:c>
      <x:c r="C138" s="7" t="n">
        <x:f>IF(AND(ISNUMBER(B138),'요약'!$B$19),B138-'요약'!$B$7,"")</x:f>
        <x:v>0.0063836015807141435</x:v>
      </x:c>
      <x:c r="D138" s="7" t="n">
        <x:f>IF(ISNUMBER(C138),C138^2,"")</x:f>
        <x:v>0.00004075036914129611</x:v>
      </x:c>
      <x:c r="E138" s="15" t="n">
        <x:f>IF(ISNUMBER(C138),C138^3,"")</x:f>
        <x:v>2.601341208650627e-7</x:v>
      </x:c>
      <x:c r="F138" s="15" t="n">
        <x:f>IF(ISNUMBER(C138),C138^4,"")</x:f>
        <x:v>1.6605925851518983e-9</x:v>
      </x:c>
      <x:c r="G138" s="7" t="n">
        <x:f>IF(ISNUMBER(B138),ABS(B138),"")</x:f>
        <x:v>0.006335362253664642</x:v>
      </x:c>
      <x:c r="H138" s="7" t="n">
        <x:f>IF(ISNUMBER(B138),B138^2,"")</x:f>
        <x:v>0.00004013681488515873</x:v>
      </x:c>
      <x:c r="I138" s="7" t="n">
        <x:f>IF(AND(ISNUMBER(G138),'요약'!$B$19),G138-'요약'!$B$14,"")</x:f>
        <x:v>-0.0016781543737382134</x:v>
      </x:c>
      <x:c r="J138" s="7" t="n">
        <x:f>IF(AND(ISNUMBER(H138),'요약'!$B$19),H138-'요약'!$B$15,"")</x:f>
        <x:v>-0.00006207288430093338</x:v>
      </x:c>
      <x:c r="K138" t="str">
        <x:f>IF(ISNUMBER(B138),IF('Hill'!$B$4=1,IF(B138&lt;0,-B138,""),IF('Hill'!$B$4=2,IF(B138&gt;0,B138,""),IF('Hill'!$B$4=3,IF(B138&lt;&gt;0,ABS(B138),""),""))),"")</x:f>
      </x:c>
    </x:row>
    <x:row r="139">
      <x:c r="A139" t="n">
        <x:f>138</x:f>
        <x:v>138</x:v>
      </x:c>
      <x:c r="B139" s="7" t="n">
        <x:f>IF('요약'!$B$4=4,IF(ISNUMBER('input'!A139),'input'!A139,""),IF(138&lt;=1000,CHOOSE('요약'!$B$4,'input'!B139,'input'!C139,'input'!D139),""))</x:f>
        <x:v>-0.011680023219213822</x:v>
      </x:c>
      <x:c r="C139" s="7" t="n">
        <x:f>IF(AND(ISNUMBER(B139),'요약'!$B$19),B139-'요약'!$B$7,"")</x:f>
        <x:v>-0.011631783892164321</x:v>
      </x:c>
      <x:c r="D139" s="7" t="n">
        <x:f>IF(ISNUMBER(C139),C139^2,"")</x:f>
        <x:v>0.00013529839651401336</x:v>
      </x:c>
      <x:c r="E139" s="15" t="n">
        <x:f>IF(ISNUMBER(C139),C139^3,"")</x:f>
        <x:v>-0.0000015737617092073621</x:v>
      </x:c>
      <x:c r="F139" s="15" t="n">
        <x:f>IF(ISNUMBER(C139),C139^4,"")</x:f>
        <x:v>1.8305656099263184e-8</x:v>
      </x:c>
      <x:c r="G139" s="7" t="n">
        <x:f>IF(ISNUMBER(B139),ABS(B139),"")</x:f>
        <x:v>0.011680023219213822</x:v>
      </x:c>
      <x:c r="H139" s="7" t="n">
        <x:f>IF(ISNUMBER(B139),B139^2,"")</x:f>
        <x:v>0.000136422942401374</x:v>
      </x:c>
      <x:c r="I139" s="7" t="n">
        <x:f>IF(AND(ISNUMBER(G139),'요약'!$B$19),G139-'요약'!$B$14,"")</x:f>
        <x:v>0.0036665065918109665</x:v>
      </x:c>
      <x:c r="J139" s="7" t="n">
        <x:f>IF(AND(ISNUMBER(H139),'요약'!$B$19),H139-'요약'!$B$15,"")</x:f>
        <x:v>0.000034213243215281905</x:v>
      </x:c>
      <x:c r="K139" t="n">
        <x:f>IF(ISNUMBER(B139),IF('Hill'!$B$4=1,IF(B139&lt;0,-B139,""),IF('Hill'!$B$4=2,IF(B139&gt;0,B139,""),IF('Hill'!$B$4=3,IF(B139&lt;&gt;0,ABS(B139),""),""))),"")</x:f>
        <x:v>0.011680023219213822</x:v>
      </x:c>
    </x:row>
    <x:row r="140">
      <x:c r="A140" t="n">
        <x:f>139</x:f>
        <x:v>139</x:v>
      </x:c>
      <x:c r="B140" s="7" t="n">
        <x:f>IF('요약'!$B$4=4,IF(ISNUMBER('input'!A140),'input'!A140,""),IF(139&lt;=1000,CHOOSE('요약'!$B$4,'input'!B140,'input'!C140,'input'!D140),""))</x:f>
        <x:v>-0.0006471902482871915</x:v>
      </x:c>
      <x:c r="C140" s="7" t="n">
        <x:f>IF(AND(ISNUMBER(B140),'요약'!$B$19),B140-'요약'!$B$7,"")</x:f>
        <x:v>-0.0005989509212376902</x:v>
      </x:c>
      <x:c r="D140" s="7" t="n">
        <x:f>IF(ISNUMBER(C140),C140^2,"")</x:f>
        <x:v>3.5874220605147774e-7</x:v>
      </x:c>
      <x:c r="E140" s="15" t="n">
        <x:f>IF(ISNUMBER(C140),C140^3,"")</x:f>
        <x:v>-2.148689748013739e-10</x:v>
      </x:c>
      <x:c r="F140" s="15" t="n">
        <x:f>IF(ISNUMBER(C140),C140^4,"")</x:f>
        <x:v>1.2869597040268093e-13</x:v>
      </x:c>
      <x:c r="G140" s="7" t="n">
        <x:f>IF(ISNUMBER(B140),ABS(B140),"")</x:f>
        <x:v>0.0006471902482871915</x:v>
      </x:c>
      <x:c r="H140" s="7" t="n">
        <x:f>IF(ISNUMBER(B140),B140^2,"")</x:f>
        <x:v>4.1885521747803664e-7</x:v>
      </x:c>
      <x:c r="I140" s="7" t="n">
        <x:f>IF(AND(ISNUMBER(G140),'요약'!$B$19),G140-'요약'!$B$14,"")</x:f>
        <x:v>-0.007366326379115664</x:v>
      </x:c>
      <x:c r="J140" s="7" t="n">
        <x:f>IF(AND(ISNUMBER(H140),'요약'!$B$19),H140-'요약'!$B$15,"")</x:f>
        <x:v>-0.00010179084396861407</x:v>
      </x:c>
      <x:c r="K140" t="n">
        <x:f>IF(ISNUMBER(B140),IF('Hill'!$B$4=1,IF(B140&lt;0,-B140,""),IF('Hill'!$B$4=2,IF(B140&gt;0,B140,""),IF('Hill'!$B$4=3,IF(B140&lt;&gt;0,ABS(B140),""),""))),"")</x:f>
        <x:v>0.0006471902482871915</x:v>
      </x:c>
    </x:row>
    <x:row r="141">
      <x:c r="A141" t="n">
        <x:f>140</x:f>
        <x:v>140</x:v>
      </x:c>
      <x:c r="B141" s="7" t="n">
        <x:f>IF('요약'!$B$4=4,IF(ISNUMBER('input'!A141),'input'!A141,""),IF(140&lt;=1000,CHOOSE('요약'!$B$4,'input'!B141,'input'!C141,'input'!D141),""))</x:f>
        <x:v>0.003920088768049141</x:v>
      </x:c>
      <x:c r="C141" s="7" t="n">
        <x:f>IF(AND(ISNUMBER(B141),'요약'!$B$19),B141-'요약'!$B$7,"")</x:f>
        <x:v>0.003968328095098643</x:v>
      </x:c>
      <x:c r="D141" s="7" t="n">
        <x:f>IF(ISNUMBER(C141),C141^2,"")</x:f>
        <x:v>0.000015747627870349222</x:v>
      </x:c>
      <x:c r="E141" s="15" t="n">
        <x:f>IF(ISNUMBER(C141),C141^3,"")</x:f>
        <x:v>6.249175410906522e-8</x:v>
      </x:c>
      <x:c r="F141" s="15" t="n">
        <x:f>IF(ISNUMBER(C141),C141^4,"")</x:f>
        <x:v>2.4798778354299957e-10</x:v>
      </x:c>
      <x:c r="G141" s="7" t="n">
        <x:f>IF(ISNUMBER(B141),ABS(B141),"")</x:f>
        <x:v>0.003920088768049141</x:v>
      </x:c>
      <x:c r="H141" s="7" t="n">
        <x:f>IF(ISNUMBER(B141),B141^2,"")</x:f>
        <x:v>0.000015367095949385034</x:v>
      </x:c>
      <x:c r="I141" s="7" t="n">
        <x:f>IF(AND(ISNUMBER(G141),'요약'!$B$19),G141-'요약'!$B$14,"")</x:f>
        <x:v>-0.004093427859353714</x:v>
      </x:c>
      <x:c r="J141" s="7" t="n">
        <x:f>IF(AND(ISNUMBER(H141),'요약'!$B$19),H141-'요약'!$B$15,"")</x:f>
        <x:v>-0.00008684260323670707</x:v>
      </x:c>
      <x:c r="K141" t="str">
        <x:f>IF(ISNUMBER(B141),IF('Hill'!$B$4=1,IF(B141&lt;0,-B141,""),IF('Hill'!$B$4=2,IF(B141&gt;0,B141,""),IF('Hill'!$B$4=3,IF(B141&lt;&gt;0,ABS(B141),""),""))),"")</x:f>
      </x:c>
    </x:row>
    <x:row r="142">
      <x:c r="A142" t="n">
        <x:f>141</x:f>
        <x:v>141</x:v>
      </x:c>
      <x:c r="B142" s="7" t="n">
        <x:f>IF('요약'!$B$4=4,IF(ISNUMBER('input'!A142),'input'!A142,""),IF(141&lt;=1000,CHOOSE('요약'!$B$4,'input'!B142,'input'!C142,'input'!D142),""))</x:f>
        <x:v>0.02154574999756476</x:v>
      </x:c>
      <x:c r="C142" s="7" t="n">
        <x:f>IF(AND(ISNUMBER(B142),'요약'!$B$19),B142-'요약'!$B$7,"")</x:f>
        <x:v>0.02159398932461426</x:v>
      </x:c>
      <x:c r="D142" s="7" t="n">
        <x:f>IF(ISNUMBER(C142),C142^2,"")</x:f>
        <x:v>0.0004663003749515546</x:v>
      </x:c>
      <x:c r="E142" s="15" t="n">
        <x:f>IF(ISNUMBER(C142),C142^3,"")</x:f>
        <x:v>0.000010069285318767498</x:v>
      </x:c>
      <x:c r="F142" s="15" t="n">
        <x:f>IF(ISNUMBER(C142),C142^4,"")</x:f>
        <x:v>2.1743603967996043e-7</x:v>
      </x:c>
      <x:c r="G142" s="7" t="n">
        <x:f>IF(ISNUMBER(B142),ABS(B142),"")</x:f>
        <x:v>0.02154574999756476</x:v>
      </x:c>
      <x:c r="H142" s="7" t="n">
        <x:f>IF(ISNUMBER(B142),B142^2,"")</x:f>
        <x:v>0.00046421934295756185</x:v>
      </x:c>
      <x:c r="I142" s="7" t="n">
        <x:f>IF(AND(ISNUMBER(G142),'요약'!$B$19),G142-'요약'!$B$14,"")</x:f>
        <x:v>0.013532233370161904</x:v>
      </x:c>
      <x:c r="J142" s="7" t="n">
        <x:f>IF(AND(ISNUMBER(H142),'요약'!$B$19),H142-'요약'!$B$15,"")</x:f>
        <x:v>0.0003620096437714698</x:v>
      </x:c>
      <x:c r="K142" t="str">
        <x:f>IF(ISNUMBER(B142),IF('Hill'!$B$4=1,IF(B142&lt;0,-B142,""),IF('Hill'!$B$4=2,IF(B142&gt;0,B142,""),IF('Hill'!$B$4=3,IF(B142&lt;&gt;0,ABS(B142),""),""))),"")</x:f>
      </x:c>
    </x:row>
    <x:row r="143">
      <x:c r="A143" t="n">
        <x:f>142</x:f>
        <x:v>142</x:v>
      </x:c>
      <x:c r="B143" s="7" t="n">
        <x:f>IF('요약'!$B$4=4,IF(ISNUMBER('input'!A143),'input'!A143,""),IF(142&lt;=1000,CHOOSE('요약'!$B$4,'input'!B143,'input'!C143,'input'!D143),""))</x:f>
        <x:v>-0.009419201440497231</x:v>
      </x:c>
      <x:c r="C143" s="7" t="n">
        <x:f>IF(AND(ISNUMBER(B143),'요약'!$B$19),B143-'요약'!$B$7,"")</x:f>
        <x:v>-0.00937096211344773</x:v>
      </x:c>
      <x:c r="D143" s="7" t="n">
        <x:f>IF(ISNUMBER(C143),C143^2,"")</x:f>
        <x:v>0.00008781493093167276</x:v>
      </x:c>
      <x:c r="E143" s="15" t="n">
        <x:f>IF(ISNUMBER(C143),C143^3,"")</x:f>
        <x:v>-8.229103907557346e-7</x:v>
      </x:c>
      <x:c r="F143" s="15" t="n">
        <x:f>IF(ISNUMBER(C143),C143^4,"")</x:f>
        <x:v>7.711462094534456e-9</x:v>
      </x:c>
      <x:c r="G143" s="7" t="n">
        <x:f>IF(ISNUMBER(B143),ABS(B143),"")</x:f>
        <x:v>0.009419201440497231</x:v>
      </x:c>
      <x:c r="H143" s="7" t="n">
        <x:f>IF(ISNUMBER(B143),B143^2,"")</x:f>
        <x:v>0.0000887213557766651</x:v>
      </x:c>
      <x:c r="I143" s="7" t="n">
        <x:f>IF(AND(ISNUMBER(G143),'요약'!$B$19),G143-'요약'!$B$14,"")</x:f>
        <x:v>0.0014056848130943756</x:v>
      </x:c>
      <x:c r="J143" s="7" t="n">
        <x:f>IF(AND(ISNUMBER(H143),'요약'!$B$19),H143-'요약'!$B$15,"")</x:f>
        <x:v>-0.000013488343409426997</x:v>
      </x:c>
      <x:c r="K143" t="n">
        <x:f>IF(ISNUMBER(B143),IF('Hill'!$B$4=1,IF(B143&lt;0,-B143,""),IF('Hill'!$B$4=2,IF(B143&gt;0,B143,""),IF('Hill'!$B$4=3,IF(B143&lt;&gt;0,ABS(B143),""),""))),"")</x:f>
        <x:v>0.009419201440497231</x:v>
      </x:c>
    </x:row>
    <x:row r="144">
      <x:c r="A144" t="n">
        <x:f>143</x:f>
        <x:v>143</x:v>
      </x:c>
      <x:c r="B144" s="7" t="n">
        <x:f>IF('요약'!$B$4=4,IF(ISNUMBER('input'!A144),'input'!A144,""),IF(143&lt;=1000,CHOOSE('요약'!$B$4,'input'!B144,'input'!C144,'input'!D144),""))</x:f>
        <x:v>0.000010993621395234826</x:v>
      </x:c>
      <x:c r="C144" s="7" t="n">
        <x:f>IF(AND(ISNUMBER(B144),'요약'!$B$19),B144-'요약'!$B$7,"")</x:f>
        <x:v>0.000059232948444736205</x:v>
      </x:c>
      <x:c r="D144" s="7" t="n">
        <x:f>IF(ISNUMBER(C144),C144^2,"")</x:f>
        <x:v>3.5085421814567773e-9</x:v>
      </x:c>
      <x:c r="E144" s="15" t="n">
        <x:f>IF(ISNUMBER(C144),C144^3,"")</x:f>
        <x:v>2.078212981504116e-13</x:v>
      </x:c>
      <x:c r="F144" s="15" t="n">
        <x:f>IF(ISNUMBER(C144),C144^4,"")</x:f>
        <x:v>1.230986823906148e-17</x:v>
      </x:c>
      <x:c r="G144" s="7" t="n">
        <x:f>IF(ISNUMBER(B144),ABS(B144),"")</x:f>
        <x:v>0.000010993621395234826</x:v>
      </x:c>
      <x:c r="H144" s="7" t="n">
        <x:f>IF(ISNUMBER(B144),B144^2,"")</x:f>
        <x:v>1.2085971138176492e-10</x:v>
      </x:c>
      <x:c r="I144" s="7" t="n">
        <x:f>IF(AND(ISNUMBER(G144),'요약'!$B$19),G144-'요약'!$B$14,"")</x:f>
        <x:v>-0.00800252300600762</x:v>
      </x:c>
      <x:c r="J144" s="7" t="n">
        <x:f>IF(AND(ISNUMBER(H144),'요약'!$B$19),H144-'요약'!$B$15,"")</x:f>
        <x:v>-0.00010220957832638072</x:v>
      </x:c>
      <x:c r="K144" t="str">
        <x:f>IF(ISNUMBER(B144),IF('Hill'!$B$4=1,IF(B144&lt;0,-B144,""),IF('Hill'!$B$4=2,IF(B144&gt;0,B144,""),IF('Hill'!$B$4=3,IF(B144&lt;&gt;0,ABS(B144),""),""))),"")</x:f>
      </x:c>
    </x:row>
    <x:row r="145">
      <x:c r="A145" t="n">
        <x:f>144</x:f>
        <x:v>144</x:v>
      </x:c>
      <x:c r="B145" s="7" t="n">
        <x:f>IF('요약'!$B$4=4,IF(ISNUMBER('input'!A145),'input'!A145,""),IF(144&lt;=1000,CHOOSE('요약'!$B$4,'input'!B145,'input'!C145,'input'!D145),""))</x:f>
        <x:v>-0.00374451760594855</x:v>
      </x:c>
      <x:c r="C145" s="7" t="n">
        <x:f>IF(AND(ISNUMBER(B145),'요약'!$B$19),B145-'요약'!$B$7,"")</x:f>
        <x:v>-0.0036962782788990487</x:v>
      </x:c>
      <x:c r="D145" s="7" t="n">
        <x:f>IF(ISNUMBER(C145),C145^2,"")</x:f>
        <x:v>0.000013662473115060914</x:v>
      </x:c>
      <x:c r="E145" s="15" t="n">
        <x:f>IF(ISNUMBER(C145),C145^3,"")</x:f>
        <x:v>-5.050030261124188e-8</x:v>
      </x:c>
      <x:c r="F145" s="15" t="n">
        <x:f>IF(ISNUMBER(C145),C145^4,"")</x:f>
        <x:v>1.8666317161976226e-10</x:v>
      </x:c>
      <x:c r="G145" s="7" t="n">
        <x:f>IF(ISNUMBER(B145),ABS(B145),"")</x:f>
        <x:v>0.00374451760594855</x:v>
      </x:c>
      <x:c r="H145" s="7" t="n">
        <x:f>IF(ISNUMBER(B145),B145^2,"")</x:f>
        <x:v>0.000014021412101258661</x:v>
      </x:c>
      <x:c r="I145" s="7" t="n">
        <x:f>IF(AND(ISNUMBER(G145),'요약'!$B$19),G145-'요약'!$B$14,"")</x:f>
        <x:v>-0.004268999021454305</x:v>
      </x:c>
      <x:c r="J145" s="7" t="n">
        <x:f>IF(AND(ISNUMBER(H145),'요약'!$B$19),H145-'요약'!$B$15,"")</x:f>
        <x:v>-0.00008818828708483345</x:v>
      </x:c>
      <x:c r="K145" t="n">
        <x:f>IF(ISNUMBER(B145),IF('Hill'!$B$4=1,IF(B145&lt;0,-B145,""),IF('Hill'!$B$4=2,IF(B145&gt;0,B145,""),IF('Hill'!$B$4=3,IF(B145&lt;&gt;0,ABS(B145),""),""))),"")</x:f>
        <x:v>0.00374451760594855</x:v>
      </x:c>
    </x:row>
    <x:row r="146">
      <x:c r="A146" t="n">
        <x:f>145</x:f>
        <x:v>145</x:v>
      </x:c>
      <x:c r="B146" s="7" t="n">
        <x:f>IF('요약'!$B$4=4,IF(ISNUMBER('input'!A146),'input'!A146,""),IF(145&lt;=1000,CHOOSE('요약'!$B$4,'input'!B146,'input'!C146,'input'!D146),""))</x:f>
        <x:v>-0.008647264487774147</x:v>
      </x:c>
      <x:c r="C146" s="7" t="n">
        <x:f>IF(AND(ISNUMBER(B146),'요약'!$B$19),B146-'요약'!$B$7,"")</x:f>
        <x:v>-0.008599025160724647</x:v>
      </x:c>
      <x:c r="D146" s="7" t="n">
        <x:f>IF(ISNUMBER(C146),C146^2,"")</x:f>
        <x:v>0.00007394323371477554</x:v>
      </x:c>
      <x:c r="E146" s="15" t="n">
        <x:f>IF(ISNUMBER(C146),C146^3,"")</x:f>
        <x:v>-6.358397271786978e-7</x:v>
      </x:c>
      <x:c r="F146" s="15" t="n">
        <x:f>IF(ISNUMBER(C146),C146^4,"")</x:f>
        <x:v>5.467601812197918e-9</x:v>
      </x:c>
      <x:c r="G146" s="7" t="n">
        <x:f>IF(ISNUMBER(B146),ABS(B146),"")</x:f>
        <x:v>0.008647264487774147</x:v>
      </x:c>
      <x:c r="H146" s="7" t="n">
        <x:f>IF(ISNUMBER(B146),B146^2,"")</x:f>
        <x:v>0.00007477518312151989</x:v>
      </x:c>
      <x:c r="I146" s="7" t="n">
        <x:f>IF(AND(ISNUMBER(G146),'요약'!$B$19),G146-'요약'!$B$14,"")</x:f>
        <x:v>0.000633747860371292</x:v>
      </x:c>
      <x:c r="J146" s="7" t="n">
        <x:f>IF(AND(ISNUMBER(H146),'요약'!$B$19),H146-'요약'!$B$15,"")</x:f>
        <x:v>-0.000027434516064572215</x:v>
      </x:c>
      <x:c r="K146" t="n">
        <x:f>IF(ISNUMBER(B146),IF('Hill'!$B$4=1,IF(B146&lt;0,-B146,""),IF('Hill'!$B$4=2,IF(B146&gt;0,B146,""),IF('Hill'!$B$4=3,IF(B146&lt;&gt;0,ABS(B146),""),""))),"")</x:f>
        <x:v>0.008647264487774147</x:v>
      </x:c>
    </x:row>
    <x:row r="147">
      <x:c r="A147" t="n">
        <x:f>146</x:f>
        <x:v>146</x:v>
      </x:c>
      <x:c r="B147" s="7" t="n">
        <x:f>IF('요약'!$B$4=4,IF(ISNUMBER('input'!A147),'input'!A147,""),IF(146&lt;=1000,CHOOSE('요약'!$B$4,'input'!B147,'input'!C147,'input'!D147),""))</x:f>
        <x:v>-0.011592217970907518</x:v>
      </x:c>
      <x:c r="C147" s="7" t="n">
        <x:f>IF(AND(ISNUMBER(B147),'요약'!$B$19),B147-'요약'!$B$7,"")</x:f>
        <x:v>-0.011543978643858017</x:v>
      </x:c>
      <x:c r="D147" s="7" t="n">
        <x:f>IF(ISNUMBER(C147),C147^2,"")</x:f>
        <x:v>0.00013326344292984997</x:v>
      </x:c>
      <x:c r="E147" s="15" t="n">
        <x:f>IF(ISNUMBER(C147),C147^3,"")</x:f>
        <x:v>-0.00000153839033918918</x:v>
      </x:c>
      <x:c r="F147" s="15" t="n">
        <x:f>IF(ISNUMBER(C147),C147^4,"")</x:f>
        <x:v>1.7759145221517383e-8</x:v>
      </x:c>
      <x:c r="G147" s="7" t="n">
        <x:f>IF(ISNUMBER(B147),ABS(B147),"")</x:f>
        <x:v>0.011592217970907518</x:v>
      </x:c>
      <x:c r="H147" s="7" t="n">
        <x:f>IF(ISNUMBER(B147),B147^2,"")</x:f>
        <x:v>0.0001343795174850312</x:v>
      </x:c>
      <x:c r="I147" s="7" t="n">
        <x:f>IF(AND(ISNUMBER(G147),'요약'!$B$19),G147-'요약'!$B$14,"")</x:f>
        <x:v>0.0035787013435046623</x:v>
      </x:c>
      <x:c r="J147" s="7" t="n">
        <x:f>IF(AND(ISNUMBER(H147),'요약'!$B$19),H147-'요약'!$B$15,"")</x:f>
        <x:v>0.000032169818298939104</x:v>
      </x:c>
      <x:c r="K147" t="n">
        <x:f>IF(ISNUMBER(B147),IF('Hill'!$B$4=1,IF(B147&lt;0,-B147,""),IF('Hill'!$B$4=2,IF(B147&gt;0,B147,""),IF('Hill'!$B$4=3,IF(B147&lt;&gt;0,ABS(B147),""),""))),"")</x:f>
        <x:v>0.011592217970907518</x:v>
      </x:c>
    </x:row>
    <x:row r="148">
      <x:c r="A148" t="n">
        <x:f>147</x:f>
        <x:v>147</x:v>
      </x:c>
      <x:c r="B148" s="7" t="n">
        <x:f>IF('요약'!$B$4=4,IF(ISNUMBER('input'!A148),'input'!A148,""),IF(147&lt;=1000,CHOOSE('요약'!$B$4,'input'!B148,'input'!C148,'input'!D148),""))</x:f>
        <x:v>0.0000646630865436053</x:v>
      </x:c>
      <x:c r="C148" s="7" t="n">
        <x:f>IF(AND(ISNUMBER(B148),'요약'!$B$19),B148-'요약'!$B$7,"")</x:f>
        <x:v>0.00011290241359310669</x:v>
      </x:c>
      <x:c r="D148" s="7" t="n">
        <x:f>IF(ISNUMBER(C148),C148^2,"")</x:f>
        <x:v>1.2746954995148922e-8</x:v>
      </x:c>
      <x:c r="E148" s="15" t="n">
        <x:f>IF(ISNUMBER(C148),C148^3,"")</x:f>
        <x:v>1.4391619849150208e-12</x:v>
      </x:c>
      <x:c r="F148" s="15" t="n">
        <x:f>IF(ISNUMBER(C148),C148^4,"")</x:f>
        <x:v>1.6248486164835204e-16</x:v>
      </x:c>
      <x:c r="G148" s="7" t="n">
        <x:f>IF(ISNUMBER(B148),ABS(B148),"")</x:f>
        <x:v>0.0000646630865436053</x:v>
      </x:c>
      <x:c r="H148" s="7" t="n">
        <x:f>IF(ISNUMBER(B148),B148^2,"")</x:f>
        <x:v>4.181314761345789e-9</x:v>
      </x:c>
      <x:c r="I148" s="7" t="n">
        <x:f>IF(AND(ISNUMBER(G148),'요약'!$B$19),G148-'요약'!$B$14,"")</x:f>
        <x:v>-0.00794885354085925</x:v>
      </x:c>
      <x:c r="J148" s="7" t="n">
        <x:f>IF(AND(ISNUMBER(H148),'요약'!$B$19),H148-'요약'!$B$15,"")</x:f>
        <x:v>-0.00010220551787133075</x:v>
      </x:c>
      <x:c r="K148" t="str">
        <x:f>IF(ISNUMBER(B148),IF('Hill'!$B$4=1,IF(B148&lt;0,-B148,""),IF('Hill'!$B$4=2,IF(B148&gt;0,B148,""),IF('Hill'!$B$4=3,IF(B148&lt;&gt;0,ABS(B148),""),""))),"")</x:f>
      </x:c>
    </x:row>
    <x:row r="149">
      <x:c r="A149" t="n">
        <x:f>148</x:f>
        <x:v>148</x:v>
      </x:c>
      <x:c r="B149" s="7" t="n">
        <x:f>IF('요약'!$B$4=4,IF(ISNUMBER('input'!A149),'input'!A149,""),IF(148&lt;=1000,CHOOSE('요약'!$B$4,'input'!B149,'input'!C149,'input'!D149),""))</x:f>
        <x:v>-0.00406797832798722</x:v>
      </x:c>
      <x:c r="C149" s="7" t="n">
        <x:f>IF(AND(ISNUMBER(B149),'요약'!$B$19),B149-'요약'!$B$7,"")</x:f>
        <x:v>-0.004019739000937718</x:v>
      </x:c>
      <x:c r="D149" s="7" t="n">
        <x:f>IF(ISNUMBER(C149),C149^2,"")</x:f>
        <x:v>0.000016158301635659765</x:v>
      </x:c>
      <x:c r="E149" s="15" t="n">
        <x:f>IF(ISNUMBER(C149),C149^3,"")</x:f>
        <x:v>-6.495215527377728e-8</x:v>
      </x:c>
      <x:c r="F149" s="15" t="n">
        <x:f>IF(ISNUMBER(C149),C149^4,"")</x:f>
        <x:v>2.6109071174896503e-10</x:v>
      </x:c>
      <x:c r="G149" s="7" t="n">
        <x:f>IF(ISNUMBER(B149),ABS(B149),"")</x:f>
        <x:v>0.00406797832798722</x:v>
      </x:c>
      <x:c r="H149" s="7" t="n">
        <x:f>IF(ISNUMBER(B149),B149^2,"")</x:f>
        <x:v>0.000016548447676973696</x:v>
      </x:c>
      <x:c r="I149" s="7" t="n">
        <x:f>IF(AND(ISNUMBER(G149),'요약'!$B$19),G149-'요약'!$B$14,"")</x:f>
        <x:v>-0.003945538299415636</x:v>
      </x:c>
      <x:c r="J149" s="7" t="n">
        <x:f>IF(AND(ISNUMBER(H149),'요약'!$B$19),H149-'요약'!$B$15,"")</x:f>
        <x:v>-0.00008566125150911841</x:v>
      </x:c>
      <x:c r="K149" t="n">
        <x:f>IF(ISNUMBER(B149),IF('Hill'!$B$4=1,IF(B149&lt;0,-B149,""),IF('Hill'!$B$4=2,IF(B149&gt;0,B149,""),IF('Hill'!$B$4=3,IF(B149&lt;&gt;0,ABS(B149),""),""))),"")</x:f>
        <x:v>0.00406797832798722</x:v>
      </x:c>
    </x:row>
    <x:row r="150">
      <x:c r="A150" t="n">
        <x:f>149</x:f>
        <x:v>149</x:v>
      </x:c>
      <x:c r="B150" s="7" t="n">
        <x:f>IF('요약'!$B$4=4,IF(ISNUMBER('input'!A150),'input'!A150,""),IF(149&lt;=1000,CHOOSE('요약'!$B$4,'input'!B150,'input'!C150,'input'!D150),""))</x:f>
        <x:v>0.0018168250704618037</x:v>
      </x:c>
      <x:c r="C150" s="7" t="n">
        <x:f>IF(AND(ISNUMBER(B150),'요약'!$B$19),B150-'요약'!$B$7,"")</x:f>
        <x:v>0.0018650643975113052</x:v>
      </x:c>
      <x:c r="D150" s="7" t="n">
        <x:f>IF(ISNUMBER(C150),C150^2,"")</x:f>
        <x:v>0.000003478465206864208</x:v>
      </x:c>
      <x:c r="E150" s="15" t="n">
        <x:f>IF(ISNUMBER(C150),C150^3,"")</x:f>
        <x:v>6.487561615304231e-9</x:v>
      </x:c>
      <x:c r="F150" s="15" t="n">
        <x:f>IF(ISNUMBER(C150),C150^4,"")</x:f>
        <x:v>1.2099720195364855e-11</x:v>
      </x:c>
      <x:c r="G150" s="7" t="n">
        <x:f>IF(ISNUMBER(B150),ABS(B150),"")</x:f>
        <x:v>0.0018168250704618037</x:v>
      </x:c>
      <x:c r="H150" s="7" t="n">
        <x:f>IF(ISNUMBER(B150),B150^2,"")</x:f>
        <x:v>0.0000033008533366585378</x:v>
      </x:c>
      <x:c r="I150" s="7" t="n">
        <x:f>IF(AND(ISNUMBER(G150),'요약'!$B$19),G150-'요약'!$B$14,"")</x:f>
        <x:v>-0.006196691556941051</x:v>
      </x:c>
      <x:c r="J150" s="7" t="n">
        <x:f>IF(AND(ISNUMBER(H150),'요약'!$B$19),H150-'요약'!$B$15,"")</x:f>
        <x:v>-0.00009890884584943357</x:v>
      </x:c>
      <x:c r="K150" t="str">
        <x:f>IF(ISNUMBER(B150),IF('Hill'!$B$4=1,IF(B150&lt;0,-B150,""),IF('Hill'!$B$4=2,IF(B150&gt;0,B150,""),IF('Hill'!$B$4=3,IF(B150&lt;&gt;0,ABS(B150),""),""))),"")</x:f>
      </x:c>
    </x:row>
    <x:row r="151">
      <x:c r="A151" t="n">
        <x:f>150</x:f>
        <x:v>150</x:v>
      </x:c>
      <x:c r="B151" s="7" t="n">
        <x:f>IF('요약'!$B$4=4,IF(ISNUMBER('input'!A151),'input'!A151,""),IF(150&lt;=1000,CHOOSE('요약'!$B$4,'input'!B151,'input'!C151,'input'!D151),""))</x:f>
        <x:v>-0.012744520949407073</x:v>
      </x:c>
      <x:c r="C151" s="7" t="n">
        <x:f>IF(AND(ISNUMBER(B151),'요약'!$B$19),B151-'요약'!$B$7,"")</x:f>
        <x:v>-0.012696281622357572</x:v>
      </x:c>
      <x:c r="D151" s="7" t="n">
        <x:f>IF(ISNUMBER(C151),C151^2,"")</x:f>
        <x:v>0.00016119556703421463</x:v>
      </x:c>
      <x:c r="E151" s="15" t="n">
        <x:f>IF(ISNUMBER(C151),C151^3,"")</x:f>
        <x:v>-0.0000020465843153420073</x:v>
      </x:c>
      <x:c r="F151" s="15" t="n">
        <x:f>IF(ISNUMBER(C151),C151^4,"")</x:f>
        <x:v>2.5984010831481978e-8</x:v>
      </x:c>
      <x:c r="G151" s="7" t="n">
        <x:f>IF(ISNUMBER(B151),ABS(B151),"")</x:f>
        <x:v>0.012744520949407073</x:v>
      </x:c>
      <x:c r="H151" s="7" t="n">
        <x:f>IF(ISNUMBER(B151),B151^2,"")</x:f>
        <x:v>0.00016242281422987575</x:v>
      </x:c>
      <x:c r="I151" s="7" t="n">
        <x:f>IF(AND(ISNUMBER(G151),'요약'!$B$19),G151-'요약'!$B$14,"")</x:f>
        <x:v>0.004731004322004217</x:v>
      </x:c>
      <x:c r="J151" s="7" t="n">
        <x:f>IF(AND(ISNUMBER(H151),'요약'!$B$19),H151-'요약'!$B$15,"")</x:f>
        <x:v>0.00006021311504378365</x:v>
      </x:c>
      <x:c r="K151" t="n">
        <x:f>IF(ISNUMBER(B151),IF('Hill'!$B$4=1,IF(B151&lt;0,-B151,""),IF('Hill'!$B$4=2,IF(B151&gt;0,B151,""),IF('Hill'!$B$4=3,IF(B151&lt;&gt;0,ABS(B151),""),""))),"")</x:f>
        <x:v>0.012744520949407073</x:v>
      </x:c>
    </x:row>
    <x:row r="152">
      <x:c r="A152" t="n">
        <x:f>151</x:f>
        <x:v>151</x:v>
      </x:c>
      <x:c r="B152" s="7" t="n">
        <x:f>IF('요약'!$B$4=4,IF(ISNUMBER('input'!A152),'input'!A152,""),IF(151&lt;=1000,CHOOSE('요약'!$B$4,'input'!B152,'input'!C152,'input'!D152),""))</x:f>
        <x:v>0.0000202071640632205</x:v>
      </x:c>
      <x:c r="C152" s="7" t="n">
        <x:f>IF(AND(ISNUMBER(B152),'요약'!$B$19),B152-'요약'!$B$7,"")</x:f>
        <x:v>0.00006844649111272188</x:v>
      </x:c>
      <x:c r="D152" s="7" t="n">
        <x:f>IF(ISNUMBER(C152),C152^2,"")</x:f>
        <x:v>4.684922145643915e-9</x:v>
      </x:c>
      <x:c r="E152" s="15" t="n">
        <x:f>IF(ISNUMBER(C152),C152^3,"")</x:f>
        <x:v>3.2066648200561013e-13</x:v>
      </x:c>
      <x:c r="F152" s="15" t="n">
        <x:f>IF(ISNUMBER(C152),C152^4,"")</x:f>
        <x:v>2.194849551074478e-17</x:v>
      </x:c>
      <x:c r="G152" s="7" t="n">
        <x:f>IF(ISNUMBER(B152),ABS(B152),"")</x:f>
        <x:v>0.0000202071640632205</x:v>
      </x:c>
      <x:c r="H152" s="7" t="n">
        <x:f>IF(ISNUMBER(B152),B152^2,"")</x:f>
        <x:v>4.0832947947791e-10</x:v>
      </x:c>
      <x:c r="I152" s="7" t="n">
        <x:f>IF(AND(ISNUMBER(G152),'요약'!$B$19),G152-'요약'!$B$14,"")</x:f>
        <x:v>-0.007993309463339635</x:v>
      </x:c>
      <x:c r="J152" s="7" t="n">
        <x:f>IF(AND(ISNUMBER(H152),'요약'!$B$19),H152-'요약'!$B$15,"")</x:f>
        <x:v>-0.00010220929085661262</x:v>
      </x:c>
      <x:c r="K152" t="str">
        <x:f>IF(ISNUMBER(B152),IF('Hill'!$B$4=1,IF(B152&lt;0,-B152,""),IF('Hill'!$B$4=2,IF(B152&gt;0,B152,""),IF('Hill'!$B$4=3,IF(B152&lt;&gt;0,ABS(B152),""),""))),"")</x:f>
      </x:c>
    </x:row>
    <x:row r="153">
      <x:c r="A153" t="n">
        <x:f>152</x:f>
        <x:v>152</x:v>
      </x:c>
      <x:c r="B153" s="7" t="n">
        <x:f>IF('요약'!$B$4=4,IF(ISNUMBER('input'!A153),'input'!A153,""),IF(152&lt;=1000,CHOOSE('요약'!$B$4,'input'!B153,'input'!C153,'input'!D153),""))</x:f>
        <x:v>0.0016911010957130687</x:v>
      </x:c>
      <x:c r="C153" s="7" t="n">
        <x:f>IF(AND(ISNUMBER(B153),'요약'!$B$19),B153-'요약'!$B$7,"")</x:f>
        <x:v>0.0017393404227625702</x:v>
      </x:c>
      <x:c r="D153" s="7" t="n">
        <x:f>IF(ISNUMBER(C153),C153^2,"")</x:f>
        <x:v>0.0000030253051062558765</x:v>
      </x:c>
      <x:c r="E153" s="15" t="n">
        <x:f>IF(ISNUMBER(C153),C153^3,"")</x:f>
        <x:v>5.262035462500859e-9</x:v>
      </x:c>
      <x:c r="F153" s="15" t="n">
        <x:f>IF(ISNUMBER(C153),C153^4,"")</x:f>
        <x:v>9.15247098593788e-12</x:v>
      </x:c>
      <x:c r="G153" s="7" t="n">
        <x:f>IF(ISNUMBER(B153),ABS(B153),"")</x:f>
        <x:v>0.0016911010957130687</x:v>
      </x:c>
      <x:c r="H153" s="7" t="n">
        <x:f>IF(ISNUMBER(B153),B153^2,"")</x:f>
        <x:v>0.0000028598229159219415</x:v>
      </x:c>
      <x:c r="I153" s="7" t="n">
        <x:f>IF(AND(ISNUMBER(G153),'요약'!$B$19),G153-'요약'!$B$14,"")</x:f>
        <x:v>-0.0063224155316897864</x:v>
      </x:c>
      <x:c r="J153" s="7" t="n">
        <x:f>IF(AND(ISNUMBER(H153),'요약'!$B$19),H153-'요약'!$B$15,"")</x:f>
        <x:v>-0.00009934987627017017</x:v>
      </x:c>
      <x:c r="K153" t="str">
        <x:f>IF(ISNUMBER(B153),IF('Hill'!$B$4=1,IF(B153&lt;0,-B153,""),IF('Hill'!$B$4=2,IF(B153&gt;0,B153,""),IF('Hill'!$B$4=3,IF(B153&lt;&gt;0,ABS(B153),""),""))),"")</x:f>
      </x:c>
    </x:row>
    <x:row r="154">
      <x:c r="A154" t="n">
        <x:f>153</x:f>
        <x:v>153</x:v>
      </x:c>
      <x:c r="B154" s="7" t="n">
        <x:f>IF('요약'!$B$4=4,IF(ISNUMBER('input'!A154),'input'!A154,""),IF(153&lt;=1000,CHOOSE('요약'!$B$4,'input'!B154,'input'!C154,'input'!D154),""))</x:f>
        <x:v>0.0031172204231866185</x:v>
      </x:c>
      <x:c r="C154" s="7" t="n">
        <x:f>IF(AND(ISNUMBER(B154),'요약'!$B$19),B154-'요약'!$B$7,"")</x:f>
        <x:v>0.00316545975023612</x:v>
      </x:c>
      <x:c r="D154" s="7" t="n">
        <x:f>IF(ISNUMBER(C154),C154^2,"")</x:f>
        <x:v>0.00001002013543036492</x:v>
      </x:c>
      <x:c r="E154" s="15" t="n">
        <x:f>IF(ISNUMBER(C154),C154^3,"")</x:f>
        <x:v>3.1718335396735036e-8</x:v>
      </x:c>
      <x:c r="F154" s="15" t="n">
        <x:f>IF(ISNUMBER(C154),C154^4,"")</x:f>
        <x:v>1.0040311404285436e-10</x:v>
      </x:c>
      <x:c r="G154" s="7" t="n">
        <x:f>IF(ISNUMBER(B154),ABS(B154),"")</x:f>
        <x:v>0.0031172204231866185</x:v>
      </x:c>
      <x:c r="H154" s="7" t="n">
        <x:f>IF(ISNUMBER(B154),B154^2,"")</x:f>
        <x:v>0.00000971706316673176</x:v>
      </x:c>
      <x:c r="I154" s="7" t="n">
        <x:f>IF(AND(ISNUMBER(G154),'요약'!$B$19),G154-'요약'!$B$14,"")</x:f>
        <x:v>-0.004896296204216237</x:v>
      </x:c>
      <x:c r="J154" s="7" t="n">
        <x:f>IF(AND(ISNUMBER(H154),'요약'!$B$19),H154-'요약'!$B$15,"")</x:f>
        <x:v>-0.00009249263601936034</x:v>
      </x:c>
      <x:c r="K154" t="str">
        <x:f>IF(ISNUMBER(B154),IF('Hill'!$B$4=1,IF(B154&lt;0,-B154,""),IF('Hill'!$B$4=2,IF(B154&gt;0,B154,""),IF('Hill'!$B$4=3,IF(B154&lt;&gt;0,ABS(B154),""),""))),"")</x:f>
      </x:c>
    </x:row>
    <x:row r="155">
      <x:c r="A155" t="n">
        <x:f>154</x:f>
        <x:v>154</x:v>
      </x:c>
      <x:c r="B155" s="7" t="n">
        <x:f>IF('요약'!$B$4=4,IF(ISNUMBER('input'!A155),'input'!A155,""),IF(154&lt;=1000,CHOOSE('요약'!$B$4,'input'!B155,'input'!C155,'input'!D155),""))</x:f>
        <x:v>-0.0011843625811873773</x:v>
      </x:c>
      <x:c r="C155" s="7" t="n">
        <x:f>IF(AND(ISNUMBER(B155),'요약'!$B$19),B155-'요약'!$B$7,"")</x:f>
        <x:v>-0.0011361232541378758</x:v>
      </x:c>
      <x:c r="D155" s="7" t="n">
        <x:f>IF(ISNUMBER(C155),C155^2,"")</x:f>
        <x:v>0.0000012907760485928364</x:v>
      </x:c>
      <x:c r="E155" s="15" t="n">
        <x:f>IF(ISNUMBER(C155),C155^3,"")</x:f>
        <x:v>-1.4664806846905223e-9</x:v>
      </x:c>
      <x:c r="F155" s="15" t="n">
        <x:f>IF(ISNUMBER(C155),C155^4,"")</x:f>
        <x:v>1.6661028076209365e-12</x:v>
      </x:c>
      <x:c r="G155" s="7" t="n">
        <x:f>IF(ISNUMBER(B155),ABS(B155),"")</x:f>
        <x:v>0.0011843625811873773</x:v>
      </x:c>
      <x:c r="H155" s="7" t="n">
        <x:f>IF(ISNUMBER(B155),B155^2,"")</x:f>
        <x:v>0.000001402714723716827</x:v>
      </x:c>
      <x:c r="I155" s="7" t="n">
        <x:f>IF(AND(ISNUMBER(G155),'요약'!$B$19),G155-'요약'!$B$14,"")</x:f>
        <x:v>-0.006829154046215478</x:v>
      </x:c>
      <x:c r="J155" s="7" t="n">
        <x:f>IF(AND(ISNUMBER(H155),'요약'!$B$19),H155-'요약'!$B$15,"")</x:f>
        <x:v>-0.00010080698446237528</x:v>
      </x:c>
      <x:c r="K155" t="n">
        <x:f>IF(ISNUMBER(B155),IF('Hill'!$B$4=1,IF(B155&lt;0,-B155,""),IF('Hill'!$B$4=2,IF(B155&gt;0,B155,""),IF('Hill'!$B$4=3,IF(B155&lt;&gt;0,ABS(B155),""),""))),"")</x:f>
        <x:v>0.0011843625811873773</x:v>
      </x:c>
    </x:row>
    <x:row r="156">
      <x:c r="A156" t="n">
        <x:f>155</x:f>
        <x:v>155</x:v>
      </x:c>
      <x:c r="B156" s="7" t="n">
        <x:f>IF('요약'!$B$4=4,IF(ISNUMBER('input'!A156),'input'!A156,""),IF(155&lt;=1000,CHOOSE('요약'!$B$4,'input'!B156,'input'!C156,'input'!D156),""))</x:f>
        <x:v>-0.00797323069679752</x:v>
      </x:c>
      <x:c r="C156" s="7" t="n">
        <x:f>IF(AND(ISNUMBER(B156),'요약'!$B$19),B156-'요약'!$B$7,"")</x:f>
        <x:v>-0.00792499136974802</x:v>
      </x:c>
      <x:c r="D156" s="7" t="n">
        <x:f>IF(ISNUMBER(C156),C156^2,"")</x:f>
        <x:v>0.0000628054882105806</x:v>
      </x:c>
      <x:c r="E156" s="15" t="n">
        <x:f>IF(ISNUMBER(C156),C156^3,"")</x:f>
        <x:v>-4.977329520416622e-7</x:v>
      </x:c>
      <x:c r="F156" s="15" t="n">
        <x:f>IF(ISNUMBER(C156),C156^4,"")</x:f>
        <x:v>3.944529349369378e-9</x:v>
      </x:c>
      <x:c r="G156" s="7" t="n">
        <x:f>IF(ISNUMBER(B156),ABS(B156),"")</x:f>
        <x:v>0.00797323069679752</x:v>
      </x:c>
      <x:c r="H156" s="7" t="n">
        <x:f>IF(ISNUMBER(B156),B156^2,"")</x:f>
        <x:v>0.00006357240774435427</x:v>
      </x:c>
      <x:c r="I156" s="7" t="n">
        <x:f>IF(AND(ISNUMBER(G156),'요약'!$B$19),G156-'요약'!$B$14,"")</x:f>
        <x:v>-0.00004028593060533513</x:v>
      </x:c>
      <x:c r="J156" s="7" t="n">
        <x:f>IF(AND(ISNUMBER(H156),'요약'!$B$19),H156-'요약'!$B$15,"")</x:f>
        <x:v>-0.00003863729144173784</x:v>
      </x:c>
      <x:c r="K156" t="n">
        <x:f>IF(ISNUMBER(B156),IF('Hill'!$B$4=1,IF(B156&lt;0,-B156,""),IF('Hill'!$B$4=2,IF(B156&gt;0,B156,""),IF('Hill'!$B$4=3,IF(B156&lt;&gt;0,ABS(B156),""),""))),"")</x:f>
        <x:v>0.00797323069679752</x:v>
      </x:c>
    </x:row>
    <x:row r="157">
      <x:c r="A157" t="n">
        <x:f>156</x:f>
        <x:v>156</x:v>
      </x:c>
      <x:c r="B157" s="7" t="n">
        <x:f>IF('요약'!$B$4=4,IF(ISNUMBER('input'!A157),'input'!A157,""),IF(156&lt;=1000,CHOOSE('요약'!$B$4,'input'!B157,'input'!C157,'input'!D157),""))</x:f>
        <x:v>0.009818161386356519</x:v>
      </x:c>
      <x:c r="C157" s="7" t="n">
        <x:f>IF(AND(ISNUMBER(B157),'요약'!$B$19),B157-'요약'!$B$7,"")</x:f>
        <x:v>0.00986640071340602</x:v>
      </x:c>
      <x:c r="D157" s="7" t="n">
        <x:f>IF(ISNUMBER(C157),C157^2,"")</x:f>
        <x:v>0.0000973458630374988</x:v>
      </x:c>
      <x:c r="E157" s="15" t="n">
        <x:f>IF(ISNUMBER(C157),C157^3,"")</x:f>
        <x:v>9.604532925203028e-7</x:v>
      </x:c>
      <x:c r="F157" s="15" t="n">
        <x:f>IF(ISNUMBER(C157),C157^4,"")</x:f>
        <x:v>9.476217050515476e-9</x:v>
      </x:c>
      <x:c r="G157" s="7" t="n">
        <x:f>IF(ISNUMBER(B157),ABS(B157),"")</x:f>
        <x:v>0.009818161386356519</x:v>
      </x:c>
      <x:c r="H157" s="7" t="n">
        <x:f>IF(ISNUMBER(B157),B157^2,"")</x:f>
        <x:v>0.00009639629300854216</x:v>
      </x:c>
      <x:c r="I157" s="7" t="n">
        <x:f>IF(AND(ISNUMBER(G157),'요약'!$B$19),G157-'요약'!$B$14,"")</x:f>
        <x:v>0.0018046447589536632</x:v>
      </x:c>
      <x:c r="J157" s="7" t="n">
        <x:f>IF(AND(ISNUMBER(H157),'요약'!$B$19),H157-'요약'!$B$15,"")</x:f>
        <x:v>-0.000005813406177549948</x:v>
      </x:c>
      <x:c r="K157" t="str">
        <x:f>IF(ISNUMBER(B157),IF('Hill'!$B$4=1,IF(B157&lt;0,-B157,""),IF('Hill'!$B$4=2,IF(B157&gt;0,B157,""),IF('Hill'!$B$4=3,IF(B157&lt;&gt;0,ABS(B157),""),""))),"")</x:f>
      </x:c>
    </x:row>
    <x:row r="158">
      <x:c r="A158" t="n">
        <x:f>157</x:f>
        <x:v>157</x:v>
      </x:c>
      <x:c r="B158" s="7" t="n">
        <x:f>IF('요약'!$B$4=4,IF(ISNUMBER('input'!A158),'input'!A158,""),IF(157&lt;=1000,CHOOSE('요약'!$B$4,'input'!B158,'input'!C158,'input'!D158),""))</x:f>
        <x:v>0.015465042473153999</x:v>
      </x:c>
      <x:c r="C158" s="7" t="n">
        <x:f>IF(AND(ISNUMBER(B158),'요약'!$B$19),B158-'요약'!$B$7,"")</x:f>
        <x:v>0.0155132818002035</x:v>
      </x:c>
      <x:c r="D158" s="7" t="n">
        <x:f>IF(ISNUMBER(C158),C158^2,"")</x:f>
        <x:v>0.0002406619122125251</x:v>
      </x:c>
      <x:c r="E158" s="15" t="n">
        <x:f>IF(ISNUMBER(C158),C158^3,"")</x:f>
        <x:v>0.0000037334560627287384</x:v>
      </x:c>
      <x:c r="F158" s="15" t="n">
        <x:f>IF(ISNUMBER(C158),C158^4,"")</x:f>
        <x:v>5.791815598978915e-8</x:v>
      </x:c>
      <x:c r="G158" s="7" t="n">
        <x:f>IF(ISNUMBER(B158),ABS(B158),"")</x:f>
        <x:v>0.015465042473153999</x:v>
      </x:c>
      <x:c r="H158" s="7" t="n">
        <x:f>IF(ISNUMBER(B158),B158^2,"")</x:f>
        <x:v>0.00023916753869645713</x:v>
      </x:c>
      <x:c r="I158" s="7" t="n">
        <x:f>IF(AND(ISNUMBER(G158),'요약'!$B$19),G158-'요약'!$B$14,"")</x:f>
        <x:v>0.007451525845751143</x:v>
      </x:c>
      <x:c r="J158" s="7" t="n">
        <x:f>IF(AND(ISNUMBER(H158),'요약'!$B$19),H158-'요약'!$B$15,"")</x:f>
        <x:v>0.00013695783951036503</x:v>
      </x:c>
      <x:c r="K158" t="str">
        <x:f>IF(ISNUMBER(B158),IF('Hill'!$B$4=1,IF(B158&lt;0,-B158,""),IF('Hill'!$B$4=2,IF(B158&gt;0,B158,""),IF('Hill'!$B$4=3,IF(B158&lt;&gt;0,ABS(B158),""),""))),"")</x:f>
      </x:c>
    </x:row>
    <x:row r="159">
      <x:c r="A159" t="n">
        <x:f>158</x:f>
        <x:v>158</x:v>
      </x:c>
      <x:c r="B159" s="7" t="n">
        <x:f>IF('요약'!$B$4=4,IF(ISNUMBER('input'!A159),'input'!A159,""),IF(158&lt;=1000,CHOOSE('요약'!$B$4,'input'!B159,'input'!C159,'input'!D159),""))</x:f>
        <x:v>0.01760376064827434</x:v>
      </x:c>
      <x:c r="C159" s="7" t="n">
        <x:f>IF(AND(ISNUMBER(B159),'요약'!$B$19),B159-'요약'!$B$7,"")</x:f>
        <x:v>0.01765199997532384</x:v>
      </x:c>
      <x:c r="D159" s="7" t="n">
        <x:f>IF(ISNUMBER(C159),C159^2,"")</x:f>
        <x:v>0.0003115931031288329</x:v>
      </x:c>
      <x:c r="E159" s="15" t="n">
        <x:f>IF(ISNUMBER(C159),C159^3,"")</x:f>
        <x:v>0.000005500241448741237</x:v>
      </x:c>
      <x:c r="F159" s="15" t="n">
        <x:f>IF(ISNUMBER(C159),C159^4,"")</x:f>
        <x:v>9.709026191745548e-8</x:v>
      </x:c>
      <x:c r="G159" s="7" t="n">
        <x:f>IF(ISNUMBER(B159),ABS(B159),"")</x:f>
        <x:v>0.01760376064827434</x:v>
      </x:c>
      <x:c r="H159" s="7" t="n">
        <x:f>IF(ISNUMBER(B159),B159^2,"")</x:f>
        <x:v>0.0003098923889617322</x:v>
      </x:c>
      <x:c r="I159" s="7" t="n">
        <x:f>IF(AND(ISNUMBER(G159),'요약'!$B$19),G159-'요약'!$B$14,"")</x:f>
        <x:v>0.009590244020871485</x:v>
      </x:c>
      <x:c r="J159" s="7" t="n">
        <x:f>IF(AND(ISNUMBER(H159),'요약'!$B$19),H159-'요약'!$B$15,"")</x:f>
        <x:v>0.0002076826897756401</x:v>
      </x:c>
      <x:c r="K159" t="str">
        <x:f>IF(ISNUMBER(B159),IF('Hill'!$B$4=1,IF(B159&lt;0,-B159,""),IF('Hill'!$B$4=2,IF(B159&gt;0,B159,""),IF('Hill'!$B$4=3,IF(B159&lt;&gt;0,ABS(B159),""),""))),"")</x:f>
      </x:c>
    </x:row>
    <x:row r="160">
      <x:c r="A160" t="n">
        <x:f>159</x:f>
        <x:v>159</x:v>
      </x:c>
      <x:c r="B160" s="7" t="n">
        <x:f>IF('요약'!$B$4=4,IF(ISNUMBER('input'!A160),'input'!A160,""),IF(159&lt;=1000,CHOOSE('요약'!$B$4,'input'!B160,'input'!C160,'input'!D160),""))</x:f>
        <x:v>-0.005269958753779177</x:v>
      </x:c>
      <x:c r="C160" s="7" t="n">
        <x:f>IF(AND(ISNUMBER(B160),'요약'!$B$19),B160-'요약'!$B$7,"")</x:f>
        <x:v>-0.005221719426729676</x:v>
      </x:c>
      <x:c r="D160" s="7" t="n">
        <x:f>IF(ISNUMBER(C160),C160^2,"")</x:f>
        <x:v>0.00002726635377148609</x:v>
      </x:c>
      <x:c r="E160" s="15" t="n">
        <x:f>IF(ISNUMBER(C160),C160^3,"")</x:f>
        <x:v>-1.4237724918465287e-7</x:v>
      </x:c>
      <x:c r="F160" s="15" t="n">
        <x:f>IF(ISNUMBER(C160),C160^4,"")</x:f>
        <x:v>7.434540479918338e-10</x:v>
      </x:c>
      <x:c r="G160" s="7" t="n">
        <x:f>IF(ISNUMBER(B160),ABS(B160),"")</x:f>
        <x:v>0.005269958753779177</x:v>
      </x:c>
      <x:c r="H160" s="7" t="n">
        <x:f>IF(ISNUMBER(B160),B160^2,"")</x:f>
        <x:v>0.000027772465266533777</x:v>
      </x:c>
      <x:c r="I160" s="7" t="n">
        <x:f>IF(AND(ISNUMBER(G160),'요약'!$B$19),G160-'요약'!$B$14,"")</x:f>
        <x:v>-0.0027435578736236784</x:v>
      </x:c>
      <x:c r="J160" s="7" t="n">
        <x:f>IF(AND(ISNUMBER(H160),'요약'!$B$19),H160-'요약'!$B$15,"")</x:f>
        <x:v>-0.00007443723391955833</x:v>
      </x:c>
      <x:c r="K160" t="n">
        <x:f>IF(ISNUMBER(B160),IF('Hill'!$B$4=1,IF(B160&lt;0,-B160,""),IF('Hill'!$B$4=2,IF(B160&gt;0,B160,""),IF('Hill'!$B$4=3,IF(B160&lt;&gt;0,ABS(B160),""),""))),"")</x:f>
        <x:v>0.005269958753779177</x:v>
      </x:c>
    </x:row>
    <x:row r="161">
      <x:c r="A161" t="n">
        <x:f>160</x:f>
        <x:v>160</x:v>
      </x:c>
      <x:c r="B161" s="7" t="n">
        <x:f>IF('요약'!$B$4=4,IF(ISNUMBER('input'!A161),'input'!A161,""),IF(160&lt;=1000,CHOOSE('요약'!$B$4,'input'!B161,'input'!C161,'input'!D161),""))</x:f>
        <x:v>-0.023737263206771466</x:v>
      </x:c>
      <x:c r="C161" s="7" t="n">
        <x:f>IF(AND(ISNUMBER(B161),'요약'!$B$19),B161-'요약'!$B$7,"")</x:f>
        <x:v>-0.023689023879721965</x:v>
      </x:c>
      <x:c r="D161" s="7" t="n">
        <x:f>IF(ISNUMBER(C161),C161^2,"")</x:f>
        <x:v>0.0005611698523740375</x:v>
      </x:c>
      <x:c r="E161" s="15" t="n">
        <x:f>IF(ISNUMBER(C161),C161^3,"")</x:f>
        <x:v>-0.000013293566033468624</x:v>
      </x:c>
      <x:c r="F161" s="15" t="n">
        <x:f>IF(ISNUMBER(C161),C161^4,"")</x:f>
        <x:v>3.1491160321349905e-7</x:v>
      </x:c>
      <x:c r="G161" s="7" t="n">
        <x:f>IF(ISNUMBER(B161),ABS(B161),"")</x:f>
        <x:v>0.023737263206771466</x:v>
      </x:c>
      <x:c r="H161" s="7" t="n">
        <x:f>IF(ISNUMBER(B161),B161^2,"")</x:f>
        <x:v>0.0005634576645475464</x:v>
      </x:c>
      <x:c r="I161" s="7" t="n">
        <x:f>IF(AND(ISNUMBER(G161),'요약'!$B$19),G161-'요약'!$B$14,"")</x:f>
        <x:v>0.015723746579368612</x:v>
      </x:c>
      <x:c r="J161" s="7" t="n">
        <x:f>IF(AND(ISNUMBER(H161),'요약'!$B$19),H161-'요약'!$B$15,"")</x:f>
        <x:v>0.0004612479653614543</x:v>
      </x:c>
      <x:c r="K161" t="n">
        <x:f>IF(ISNUMBER(B161),IF('Hill'!$B$4=1,IF(B161&lt;0,-B161,""),IF('Hill'!$B$4=2,IF(B161&gt;0,B161,""),IF('Hill'!$B$4=3,IF(B161&lt;&gt;0,ABS(B161),""),""))),"")</x:f>
        <x:v>0.023737263206771466</x:v>
      </x:c>
    </x:row>
    <x:row r="162">
      <x:c r="A162" t="n">
        <x:f>161</x:f>
        <x:v>161</x:v>
      </x:c>
      <x:c r="B162" s="7" t="n">
        <x:f>IF('요약'!$B$4=4,IF(ISNUMBER('input'!A162),'input'!A162,""),IF(161&lt;=1000,CHOOSE('요약'!$B$4,'input'!B162,'input'!C162,'input'!D162),""))</x:f>
        <x:v>-0.0019264832689393076</x:v>
      </x:c>
      <x:c r="C162" s="7" t="n">
        <x:f>IF(AND(ISNUMBER(B162),'요약'!$B$19),B162-'요약'!$B$7,"")</x:f>
        <x:v>-0.001878243941889806</x:v>
      </x:c>
      <x:c r="D162" s="7" t="n">
        <x:f>IF(ISNUMBER(C162),C162^2,"")</x:f>
        <x:v>0.0000035278003052457574</x:v>
      </x:c>
      <x:c r="E162" s="15" t="n">
        <x:f>IF(ISNUMBER(C162),C162^3,"")</x:f>
        <x:v>-6.626069551524852e-9</x:v>
      </x:c>
      <x:c r="F162" s="15" t="n">
        <x:f>IF(ISNUMBER(C162),C162^4,"")</x:f>
        <x:v>1.2445374993692058e-11</x:v>
      </x:c>
      <x:c r="G162" s="7" t="n">
        <x:f>IF(ISNUMBER(B162),ABS(B162),"")</x:f>
        <x:v>0.0019264832689393076</x:v>
      </x:c>
      <x:c r="H162" s="7" t="n">
        <x:f>IF(ISNUMBER(B162),B162^2,"")</x:f>
        <x:v>0.0000037113377855030805</x:v>
      </x:c>
      <x:c r="I162" s="7" t="n">
        <x:f>IF(AND(ISNUMBER(G162),'요약'!$B$19),G162-'요약'!$B$14,"")</x:f>
        <x:v>-0.006087033358463547</x:v>
      </x:c>
      <x:c r="J162" s="7" t="n">
        <x:f>IF(AND(ISNUMBER(H162),'요약'!$B$19),H162-'요약'!$B$15,"")</x:f>
        <x:v>-0.00009849836140058903</x:v>
      </x:c>
      <x:c r="K162" t="n">
        <x:f>IF(ISNUMBER(B162),IF('Hill'!$B$4=1,IF(B162&lt;0,-B162,""),IF('Hill'!$B$4=2,IF(B162&gt;0,B162,""),IF('Hill'!$B$4=3,IF(B162&lt;&gt;0,ABS(B162),""),""))),"")</x:f>
        <x:v>0.0019264832689393076</x:v>
      </x:c>
    </x:row>
    <x:row r="163">
      <x:c r="A163" t="n">
        <x:f>162</x:f>
        <x:v>162</x:v>
      </x:c>
      <x:c r="B163" s="7" t="n">
        <x:f>IF('요약'!$B$4=4,IF(ISNUMBER('input'!A163),'input'!A163,""),IF(162&lt;=1000,CHOOSE('요약'!$B$4,'input'!B163,'input'!C163,'input'!D163),""))</x:f>
        <x:v>0.000482916766949534</x:v>
      </x:c>
      <x:c r="C163" s="7" t="n">
        <x:f>IF(AND(ISNUMBER(B163),'요약'!$B$19),B163-'요약'!$B$7,"")</x:f>
        <x:v>0.0005311560939990354</x:v>
      </x:c>
      <x:c r="D163" s="7" t="n">
        <x:f>IF(ISNUMBER(C163),C163^2,"")</x:f>
        <x:v>2.8212679619231213e-7</x:v>
      </x:c>
      <x:c r="E163" s="15" t="n">
        <x:f>IF(ISNUMBER(C163),C163^3,"")</x:f>
        <x:v>1.4985336707797045e-10</x:v>
      </x:c>
      <x:c r="F163" s="15" t="n">
        <x:f>IF(ISNUMBER(C163),C163^4,"")</x:f>
        <x:v>7.959552912973844e-14</x:v>
      </x:c>
      <x:c r="G163" s="7" t="n">
        <x:f>IF(ISNUMBER(B163),ABS(B163),"")</x:f>
        <x:v>0.000482916766949534</x:v>
      </x:c>
      <x:c r="H163" s="7" t="n">
        <x:f>IF(ISNUMBER(B163),B163^2,"")</x:f>
        <x:v>2.3320860380099054e-7</x:v>
      </x:c>
      <x:c r="I163" s="7" t="n">
        <x:f>IF(AND(ISNUMBER(G163),'요약'!$B$19),G163-'요약'!$B$14,"")</x:f>
        <x:v>-0.007530599860453321</x:v>
      </x:c>
      <x:c r="J163" s="7" t="n">
        <x:f>IF(AND(ISNUMBER(H163),'요약'!$B$19),H163-'요약'!$B$15,"")</x:f>
        <x:v>-0.00010197649058229111</x:v>
      </x:c>
      <x:c r="K163" t="str">
        <x:f>IF(ISNUMBER(B163),IF('Hill'!$B$4=1,IF(B163&lt;0,-B163,""),IF('Hill'!$B$4=2,IF(B163&gt;0,B163,""),IF('Hill'!$B$4=3,IF(B163&lt;&gt;0,ABS(B163),""),""))),"")</x:f>
      </x:c>
    </x:row>
    <x:row r="164">
      <x:c r="A164" t="n">
        <x:f>163</x:f>
        <x:v>163</x:v>
      </x:c>
      <x:c r="B164" s="7" t="n">
        <x:f>IF('요약'!$B$4=4,IF(ISNUMBER('input'!A164),'input'!A164,""),IF(163&lt;=1000,CHOOSE('요약'!$B$4,'input'!B164,'input'!C164,'input'!D164),""))</x:f>
        <x:v>0.002681736526235722</x:v>
      </x:c>
      <x:c r="C164" s="7" t="n">
        <x:f>IF(AND(ISNUMBER(B164),'요약'!$B$19),B164-'요약'!$B$7,"")</x:f>
        <x:v>0.0027299758532852237</x:v>
      </x:c>
      <x:c r="D164" s="7" t="n">
        <x:f>IF(ISNUMBER(C164),C164^2,"")</x:f>
        <x:v>0.000007452768159520385</x:v>
      </x:c>
      <x:c r="E164" s="15" t="n">
        <x:f>IF(ISNUMBER(C164),C164^3,"")</x:f>
        <x:v>2.034587711562361e-8</x:v>
      </x:c>
      <x:c r="F164" s="15" t="n">
        <x:f>IF(ISNUMBER(C164),C164^4,"")</x:f>
        <x:v>5.554375323956087e-11</x:v>
      </x:c>
      <x:c r="G164" s="7" t="n">
        <x:f>IF(ISNUMBER(B164),ABS(B164),"")</x:f>
        <x:v>0.002681736526235722</x:v>
      </x:c>
      <x:c r="H164" s="7" t="n">
        <x:f>IF(ISNUMBER(B164),B164^2,"")</x:f>
        <x:v>0.000007191710796146838</x:v>
      </x:c>
      <x:c r="I164" s="7" t="n">
        <x:f>IF(AND(ISNUMBER(G164),'요약'!$B$19),G164-'요약'!$B$14,"")</x:f>
        <x:v>-0.005331780101167133</x:v>
      </x:c>
      <x:c r="J164" s="7" t="n">
        <x:f>IF(AND(ISNUMBER(H164),'요약'!$B$19),H164-'요약'!$B$15,"")</x:f>
        <x:v>-0.00009501798838994526</x:v>
      </x:c>
      <x:c r="K164" t="str">
        <x:f>IF(ISNUMBER(B164),IF('Hill'!$B$4=1,IF(B164&lt;0,-B164,""),IF('Hill'!$B$4=2,IF(B164&gt;0,B164,""),IF('Hill'!$B$4=3,IF(B164&lt;&gt;0,ABS(B164),""),""))),"")</x:f>
      </x:c>
    </x:row>
    <x:row r="165">
      <x:c r="A165" t="n">
        <x:f>164</x:f>
        <x:v>164</x:v>
      </x:c>
      <x:c r="B165" s="7" t="n">
        <x:f>IF('요약'!$B$4=4,IF(ISNUMBER('input'!A165),'input'!A165,""),IF(164&lt;=1000,CHOOSE('요약'!$B$4,'input'!B165,'input'!C165,'input'!D165),""))</x:f>
        <x:v>0.019643618345008124</x:v>
      </x:c>
      <x:c r="C165" s="7" t="n">
        <x:f>IF(AND(ISNUMBER(B165),'요약'!$B$19),B165-'요약'!$B$7,"")</x:f>
        <x:v>0.019691857672057625</x:v>
      </x:c>
      <x:c r="D165" s="7" t="n">
        <x:f>IF(ISNUMBER(C165),C165^2,"")</x:f>
        <x:v>0.00038776925857657475</x:v>
      </x:c>
      <x:c r="E165" s="15" t="n">
        <x:f>IF(ISNUMBER(C165),C165^3,"")</x:f>
        <x:v>0.00000763589704948922</x:v>
      </x:c>
      <x:c r="F165" s="15" t="n">
        <x:f>IF(ISNUMBER(C165),C165^4,"")</x:f>
        <x:v>1.503649978970265e-7</x:v>
      </x:c>
      <x:c r="G165" s="7" t="n">
        <x:f>IF(ISNUMBER(B165),ABS(B165),"")</x:f>
        <x:v>0.019643618345008124</x:v>
      </x:c>
      <x:c r="H165" s="7" t="n">
        <x:f>IF(ISNUMBER(B165),B165^2,"")</x:f>
        <x:v>0.00038587174168433974</x:v>
      </x:c>
      <x:c r="I165" s="7" t="n">
        <x:f>IF(AND(ISNUMBER(G165),'요약'!$B$19),G165-'요약'!$B$14,"")</x:f>
        <x:v>0.011630101717605269</x:v>
      </x:c>
      <x:c r="J165" s="7" t="n">
        <x:f>IF(AND(ISNUMBER(H165),'요약'!$B$19),H165-'요약'!$B$15,"")</x:f>
        <x:v>0.0002836620424982476</x:v>
      </x:c>
      <x:c r="K165" t="str">
        <x:f>IF(ISNUMBER(B165),IF('Hill'!$B$4=1,IF(B165&lt;0,-B165,""),IF('Hill'!$B$4=2,IF(B165&gt;0,B165,""),IF('Hill'!$B$4=3,IF(B165&lt;&gt;0,ABS(B165),""),""))),"")</x:f>
      </x:c>
    </x:row>
    <x:row r="166">
      <x:c r="A166" t="n">
        <x:f>165</x:f>
        <x:v>165</x:v>
      </x:c>
      <x:c r="B166" s="7" t="n">
        <x:f>IF('요약'!$B$4=4,IF(ISNUMBER('input'!A166),'input'!A166,""),IF(165&lt;=1000,CHOOSE('요약'!$B$4,'input'!B166,'input'!C166,'input'!D166),""))</x:f>
        <x:v>-0.011795655861963667</x:v>
      </x:c>
      <x:c r="C166" s="7" t="n">
        <x:f>IF(AND(ISNUMBER(B166),'요약'!$B$19),B166-'요약'!$B$7,"")</x:f>
        <x:v>-0.011747416534914167</x:v>
      </x:c>
      <x:c r="D166" s="7" t="n">
        <x:f>IF(ISNUMBER(C166),C166^2,"")</x:f>
        <x:v>0.00013800179524477477</x:v>
      </x:c>
      <x:c r="E166" s="15" t="n">
        <x:f>IF(ISNUMBER(C166),C166^3,"")</x:f>
        <x:v>-0.0000016211645713063063</x:v>
      </x:c>
      <x:c r="F166" s="15" t="n">
        <x:f>IF(ISNUMBER(C166),C166^4,"")</x:f>
        <x:v>1.904449549078074e-8</x:v>
      </x:c>
      <x:c r="G166" s="7" t="n">
        <x:f>IF(ISNUMBER(B166),ABS(B166),"")</x:f>
        <x:v>0.011795655861963667</x:v>
      </x:c>
      <x:c r="H166" s="7" t="n">
        <x:f>IF(ISNUMBER(B166),B166^2,"")</x:f>
        <x:v>0.00013913749721387782</x:v>
      </x:c>
      <x:c r="I166" s="7" t="n">
        <x:f>IF(AND(ISNUMBER(G166),'요약'!$B$19),G166-'요약'!$B$14,"")</x:f>
        <x:v>0.003782139234560812</x:v>
      </x:c>
      <x:c r="J166" s="7" t="n">
        <x:f>IF(AND(ISNUMBER(H166),'요약'!$B$19),H166-'요약'!$B$15,"")</x:f>
        <x:v>0.00003692779802778572</x:v>
      </x:c>
      <x:c r="K166" t="n">
        <x:f>IF(ISNUMBER(B166),IF('Hill'!$B$4=1,IF(B166&lt;0,-B166,""),IF('Hill'!$B$4=2,IF(B166&gt;0,B166,""),IF('Hill'!$B$4=3,IF(B166&lt;&gt;0,ABS(B166),""),""))),"")</x:f>
        <x:v>0.011795655861963667</x:v>
      </x:c>
    </x:row>
    <x:row r="167">
      <x:c r="A167" t="n">
        <x:f>166</x:f>
        <x:v>166</x:v>
      </x:c>
      <x:c r="B167" s="7" t="n">
        <x:f>IF('요약'!$B$4=4,IF(ISNUMBER('input'!A167),'input'!A167,""),IF(166&lt;=1000,CHOOSE('요약'!$B$4,'input'!B167,'input'!C167,'input'!D167),""))</x:f>
        <x:v>-0.000948399878766008</x:v>
      </x:c>
      <x:c r="C167" s="7" t="n">
        <x:f>IF(AND(ISNUMBER(B167),'요약'!$B$19),B167-'요약'!$B$7,"")</x:f>
        <x:v>-0.0009001605517165067</x:v>
      </x:c>
      <x:c r="D167" s="7" t="n">
        <x:f>IF(ISNUMBER(C167),C167^2,"")</x:f>
        <x:v>8.102890188665657e-7</x:v>
      </x:c>
      <x:c r="E167" s="15" t="n">
        <x:f>IF(ISNUMBER(C167),C167^3,"")</x:f>
        <x:v>-7.293902102727546e-10</x:v>
      </x:c>
      <x:c r="F167" s="15" t="n">
        <x:f>IF(ISNUMBER(C167),C167^4,"")</x:f>
        <x:v>6.565682940957416e-13</x:v>
      </x:c>
      <x:c r="G167" s="7" t="n">
        <x:f>IF(ISNUMBER(B167),ABS(B167),"")</x:f>
        <x:v>0.000948399878766008</x:v>
      </x:c>
      <x:c r="H167" s="7" t="n">
        <x:f>IF(ISNUMBER(B167),B167^2,"")</x:f>
        <x:v>8.994623300433787e-7</x:v>
      </x:c>
      <x:c r="I167" s="7" t="n">
        <x:f>IF(AND(ISNUMBER(G167),'요약'!$B$19),G167-'요약'!$B$14,"")</x:f>
        <x:v>-0.007065116748636848</x:v>
      </x:c>
      <x:c r="J167" s="7" t="n">
        <x:f>IF(AND(ISNUMBER(H167),'요약'!$B$19),H167-'요약'!$B$15,"")</x:f>
        <x:v>-0.00010131023685604872</x:v>
      </x:c>
      <x:c r="K167" t="n">
        <x:f>IF(ISNUMBER(B167),IF('Hill'!$B$4=1,IF(B167&lt;0,-B167,""),IF('Hill'!$B$4=2,IF(B167&gt;0,B167,""),IF('Hill'!$B$4=3,IF(B167&lt;&gt;0,ABS(B167),""),""))),"")</x:f>
        <x:v>0.000948399878766008</x:v>
      </x:c>
    </x:row>
    <x:row r="168">
      <x:c r="A168" t="n">
        <x:f>167</x:f>
        <x:v>167</x:v>
      </x:c>
      <x:c r="B168" s="7" t="n">
        <x:f>IF('요약'!$B$4=4,IF(ISNUMBER('input'!A168),'input'!A168,""),IF(167&lt;=1000,CHOOSE('요약'!$B$4,'input'!B168,'input'!C168,'input'!D168),""))</x:f>
        <x:v>0.004888993850659733</x:v>
      </x:c>
      <x:c r="C168" s="7" t="n">
        <x:f>IF(AND(ISNUMBER(B168),'요약'!$B$19),B168-'요약'!$B$7,"")</x:f>
        <x:v>0.0049372331777092346</x:v>
      </x:c>
      <x:c r="D168" s="7" t="n">
        <x:f>IF(ISNUMBER(C168),C168^2,"")</x:f>
        <x:v>0.000024376271451072827</x:v>
      </x:c>
      <x:c r="E168" s="15" t="n">
        <x:f>IF(ISNUMBER(C168),C168^3,"")</x:f>
        <x:v>1.2035133615708318e-7</x:v>
      </x:c>
      <x:c r="F168" s="15" t="n">
        <x:f>IF(ISNUMBER(C168),C168^4,"")</x:f>
        <x:v>5.942026098563881e-10</x:v>
      </x:c>
      <x:c r="G168" s="7" t="n">
        <x:f>IF(ISNUMBER(B168),ABS(B168),"")</x:f>
        <x:v>0.004888993850659733</x:v>
      </x:c>
      <x:c r="H168" s="7" t="n">
        <x:f>IF(ISNUMBER(B168),B168^2,"")</x:f>
        <x:v>0.000023902260871788685</x:v>
      </x:c>
      <x:c r="I168" s="7" t="n">
        <x:f>IF(AND(ISNUMBER(G168),'요약'!$B$19),G168-'요약'!$B$14,"")</x:f>
        <x:v>-0.0031245227767431223</x:v>
      </x:c>
      <x:c r="J168" s="7" t="n">
        <x:f>IF(AND(ISNUMBER(H168),'요약'!$B$19),H168-'요약'!$B$15,"")</x:f>
        <x:v>-0.00007830743831430343</x:v>
      </x:c>
      <x:c r="K168" t="str">
        <x:f>IF(ISNUMBER(B168),IF('Hill'!$B$4=1,IF(B168&lt;0,-B168,""),IF('Hill'!$B$4=2,IF(B168&gt;0,B168,""),IF('Hill'!$B$4=3,IF(B168&lt;&gt;0,ABS(B168),""),""))),"")</x:f>
      </x:c>
    </x:row>
    <x:row r="169">
      <x:c r="A169" t="n">
        <x:f>168</x:f>
        <x:v>168</x:v>
      </x:c>
      <x:c r="B169" s="7" t="n">
        <x:f>IF('요약'!$B$4=4,IF(ISNUMBER('input'!A169),'input'!A169,""),IF(168&lt;=1000,CHOOSE('요약'!$B$4,'input'!B169,'input'!C169,'input'!D169),""))</x:f>
        <x:v>-0.0010402140618060477</x:v>
      </x:c>
      <x:c r="C169" s="7" t="n">
        <x:f>IF(AND(ISNUMBER(B169),'요약'!$B$19),B169-'요약'!$B$7,"")</x:f>
        <x:v>-0.0009919747347565463</x:v>
      </x:c>
      <x:c r="D169" s="7" t="n">
        <x:f>IF(ISNUMBER(C169),C169^2,"")</x:f>
        <x:v>9.840138743953204e-7</x:v>
      </x:c>
      <x:c r="E169" s="15" t="n">
        <x:f>IF(ISNUMBER(C169),C169^3,"")</x:f>
        <x:v>-9.761169020500592e-10</x:v>
      </x:c>
      <x:c r="F169" s="15" t="n">
        <x:f>IF(ISNUMBER(C169),C169^4,"")</x:f>
        <x:v>9.682833050024891e-13</x:v>
      </x:c>
      <x:c r="G169" s="7" t="n">
        <x:f>IF(ISNUMBER(B169),ABS(B169),"")</x:f>
        <x:v>0.0010402140618060477</x:v>
      </x:c>
      <x:c r="H169" s="7" t="n">
        <x:f>IF(ISNUMBER(B169),B169^2,"")</x:f>
        <x:v>0.000001082045294379036</x:v>
      </x:c>
      <x:c r="I169" s="7" t="n">
        <x:f>IF(AND(ISNUMBER(G169),'요약'!$B$19),G169-'요약'!$B$14,"")</x:f>
        <x:v>-0.006973302565596808</x:v>
      </x:c>
      <x:c r="J169" s="7" t="n">
        <x:f>IF(AND(ISNUMBER(H169),'요약'!$B$19),H169-'요약'!$B$15,"")</x:f>
        <x:v>-0.00010112765389171307</x:v>
      </x:c>
      <x:c r="K169" t="n">
        <x:f>IF(ISNUMBER(B169),IF('Hill'!$B$4=1,IF(B169&lt;0,-B169,""),IF('Hill'!$B$4=2,IF(B169&gt;0,B169,""),IF('Hill'!$B$4=3,IF(B169&lt;&gt;0,ABS(B169),""),""))),"")</x:f>
        <x:v>0.0010402140618060477</x:v>
      </x:c>
    </x:row>
    <x:row r="170">
      <x:c r="A170" t="n">
        <x:f>169</x:f>
        <x:v>169</x:v>
      </x:c>
      <x:c r="B170" s="7" t="n">
        <x:f>IF('요약'!$B$4=4,IF(ISNUMBER('input'!A170),'input'!A170,""),IF(169&lt;=1000,CHOOSE('요약'!$B$4,'input'!B170,'input'!C170,'input'!D170),""))</x:f>
        <x:v>0.0028203167181860608</x:v>
      </x:c>
      <x:c r="C170" s="7" t="n">
        <x:f>IF(AND(ISNUMBER(B170),'요약'!$B$19),B170-'요약'!$B$7,"")</x:f>
        <x:v>0.0028685560452355622</x:v>
      </x:c>
      <x:c r="D170" s="7" t="n">
        <x:f>IF(ISNUMBER(C170),C170^2,"")</x:f>
        <x:v>0.000008228613784657488</x:v>
      </x:c>
      <x:c r="E170" s="15" t="n">
        <x:f>IF(ISNUMBER(C170),C170^3,"")</x:f>
        <x:v>2.3604239815887917e-8</x:v>
      </x:c>
      <x:c r="F170" s="15" t="n">
        <x:f>IF(ISNUMBER(C170),C170^4,"")</x:f>
        <x:v>6.771008481705524e-11</x:v>
      </x:c>
      <x:c r="G170" s="7" t="n">
        <x:f>IF(ISNUMBER(B170),ABS(B170),"")</x:f>
        <x:v>0.0028203167181860608</x:v>
      </x:c>
      <x:c r="H170" s="7" t="n">
        <x:f>IF(ISNUMBER(B170),B170^2,"")</x:f>
        <x:v>0.000007954186390879792</x:v>
      </x:c>
      <x:c r="I170" s="7" t="n">
        <x:f>IF(AND(ISNUMBER(G170),'요약'!$B$19),G170-'요약'!$B$14,"")</x:f>
        <x:v>-0.005193199909216795</x:v>
      </x:c>
      <x:c r="J170" s="7" t="n">
        <x:f>IF(AND(ISNUMBER(H170),'요약'!$B$19),H170-'요약'!$B$15,"")</x:f>
        <x:v>-0.00009425551279521231</x:v>
      </x:c>
      <x:c r="K170" t="str">
        <x:f>IF(ISNUMBER(B170),IF('Hill'!$B$4=1,IF(B170&lt;0,-B170,""),IF('Hill'!$B$4=2,IF(B170&gt;0,B170,""),IF('Hill'!$B$4=3,IF(B170&lt;&gt;0,ABS(B170),""),""))),"")</x:f>
      </x:c>
    </x:row>
    <x:row r="171">
      <x:c r="A171" t="n">
        <x:f>170</x:f>
        <x:v>170</x:v>
      </x:c>
      <x:c r="B171" s="7" t="n">
        <x:f>IF('요약'!$B$4=4,IF(ISNUMBER('input'!A171),'input'!A171,""),IF(170&lt;=1000,CHOOSE('요약'!$B$4,'input'!B171,'input'!C171,'input'!D171),""))</x:f>
        <x:v>0.011530856098962197</x:v>
      </x:c>
      <x:c r="C171" s="7" t="n">
        <x:f>IF(AND(ISNUMBER(B171),'요약'!$B$19),B171-'요약'!$B$7,"")</x:f>
        <x:v>0.011579095426011697</x:v>
      </x:c>
      <x:c r="D171" s="7" t="n">
        <x:f>IF(ISNUMBER(C171),C171^2,"")</x:f>
        <x:v>0.00013407545088468502</x:v>
      </x:c>
      <x:c r="E171" s="15" t="n">
        <x:f>IF(ISNUMBER(C171),C171^3,"")</x:f>
        <x:v>0.0000015524724400793123</x:v>
      </x:c>
      <x:c r="F171" s="15" t="n">
        <x:f>IF(ISNUMBER(C171),C171^4,"")</x:f>
        <x:v>1.7976226529931583e-8</x:v>
      </x:c>
      <x:c r="G171" s="7" t="n">
        <x:f>IF(ISNUMBER(B171),ABS(B171),"")</x:f>
        <x:v>0.011530856098962197</x:v>
      </x:c>
      <x:c r="H171" s="7" t="n">
        <x:f>IF(ISNUMBER(B171),B171^2,"")</x:f>
        <x:v>0.0001329606423749737</x:v>
      </x:c>
      <x:c r="I171" s="7" t="n">
        <x:f>IF(AND(ISNUMBER(G171),'요약'!$B$19),G171-'요약'!$B$14,"")</x:f>
        <x:v>0.0035173394715593415</x:v>
      </x:c>
      <x:c r="J171" s="7" t="n">
        <x:f>IF(AND(ISNUMBER(H171),'요약'!$B$19),H171-'요약'!$B$15,"")</x:f>
        <x:v>0.000030750943188881586</x:v>
      </x:c>
      <x:c r="K171" t="str">
        <x:f>IF(ISNUMBER(B171),IF('Hill'!$B$4=1,IF(B171&lt;0,-B171,""),IF('Hill'!$B$4=2,IF(B171&gt;0,B171,""),IF('Hill'!$B$4=3,IF(B171&lt;&gt;0,ABS(B171),""),""))),"")</x:f>
      </x:c>
    </x:row>
    <x:row r="172">
      <x:c r="A172" t="n">
        <x:f>171</x:f>
        <x:v>171</x:v>
      </x:c>
      <x:c r="B172" s="7" t="n">
        <x:f>IF('요약'!$B$4=4,IF(ISNUMBER('input'!A172),'input'!A172,""),IF(171&lt;=1000,CHOOSE('요약'!$B$4,'input'!B172,'input'!C172,'input'!D172),""))</x:f>
        <x:v>-0.006739668425856036</x:v>
      </x:c>
      <x:c r="C172" s="7" t="n">
        <x:f>IF(AND(ISNUMBER(B172),'요약'!$B$19),B172-'요약'!$B$7,"")</x:f>
        <x:v>-0.006691429098806535</x:v>
      </x:c>
      <x:c r="D172" s="7" t="n">
        <x:f>IF(ISNUMBER(C172),C172^2,"")</x:f>
        <x:v>0.000044775223384354834</x:v>
      </x:c>
      <x:c r="E172" s="15" t="n">
        <x:f>IF(ISNUMBER(C172),C172^3,"")</x:f>
        <x:v>-2.996102326596347e-7</x:v>
      </x:c>
      <x:c r="F172" s="15" t="n">
        <x:f>IF(ISNUMBER(C172),C172^4,"")</x:f>
        <x:v>2.004820629118876e-9</x:v>
      </x:c>
      <x:c r="G172" s="7" t="n">
        <x:f>IF(ISNUMBER(B172),ABS(B172),"")</x:f>
        <x:v>0.006739668425856036</x:v>
      </x:c>
      <x:c r="H172" s="7" t="n">
        <x:f>IF(ISNUMBER(B172),B172^2,"")</x:f>
        <x:v>0.00004542313049048078</x:v>
      </x:c>
      <x:c r="I172" s="7" t="n">
        <x:f>IF(AND(ISNUMBER(G172),'요약'!$B$19),G172-'요약'!$B$14,"")</x:f>
        <x:v>-0.0012738482015468193</x:v>
      </x:c>
      <x:c r="J172" s="7" t="n">
        <x:f>IF(AND(ISNUMBER(H172),'요약'!$B$19),H172-'요약'!$B$15,"")</x:f>
        <x:v>-0.00005678656869561132</x:v>
      </x:c>
      <x:c r="K172" t="n">
        <x:f>IF(ISNUMBER(B172),IF('Hill'!$B$4=1,IF(B172&lt;0,-B172,""),IF('Hill'!$B$4=2,IF(B172&gt;0,B172,""),IF('Hill'!$B$4=3,IF(B172&lt;&gt;0,ABS(B172),""),""))),"")</x:f>
        <x:v>0.006739668425856036</x:v>
      </x:c>
    </x:row>
    <x:row r="173">
      <x:c r="A173" t="n">
        <x:f>172</x:f>
        <x:v>172</x:v>
      </x:c>
      <x:c r="B173" s="7" t="n">
        <x:f>IF('요약'!$B$4=4,IF(ISNUMBER('input'!A173),'input'!A173,""),IF(172&lt;=1000,CHOOSE('요약'!$B$4,'input'!B173,'input'!C173,'input'!D173),""))</x:f>
        <x:v>0.006562757202947293</x:v>
      </x:c>
      <x:c r="C173" s="7" t="n">
        <x:f>IF(AND(ISNUMBER(B173),'요약'!$B$19),B173-'요약'!$B$7,"")</x:f>
        <x:v>0.006610996529996795</x:v>
      </x:c>
      <x:c r="D173" s="7" t="n">
        <x:f>IF(ISNUMBER(C173),C173^2,"")</x:f>
        <x:v>0.00004370527511962966</x:v>
      </x:c>
      <x:c r="E173" s="15" t="n">
        <x:f>IF(ISNUMBER(C173),C173^3,"")</x:f>
        <x:v>2.8893542215842693e-7</x:v>
      </x:c>
      <x:c r="F173" s="15" t="n">
        <x:f>IF(ISNUMBER(C173),C173^4,"")</x:f>
        <x:v>1.9101510732825195e-9</x:v>
      </x:c>
      <x:c r="G173" s="7" t="n">
        <x:f>IF(ISNUMBER(B173),ABS(B173),"")</x:f>
        <x:v>0.006562757202947293</x:v>
      </x:c>
      <x:c r="H173" s="7" t="n">
        <x:f>IF(ISNUMBER(B173),B173^2,"")</x:f>
        <x:v>0.00004306978210483658</x:v>
      </x:c>
      <x:c r="I173" s="7" t="n">
        <x:f>IF(AND(ISNUMBER(G173),'요약'!$B$19),G173-'요약'!$B$14,"")</x:f>
        <x:v>-0.001450759424455562</x:v>
      </x:c>
      <x:c r="J173" s="7" t="n">
        <x:f>IF(AND(ISNUMBER(H173),'요약'!$B$19),H173-'요약'!$B$15,"")</x:f>
        <x:v>-0.000059139917081255524</x:v>
      </x:c>
      <x:c r="K173" t="str">
        <x:f>IF(ISNUMBER(B173),IF('Hill'!$B$4=1,IF(B173&lt;0,-B173,""),IF('Hill'!$B$4=2,IF(B173&gt;0,B173,""),IF('Hill'!$B$4=3,IF(B173&lt;&gt;0,ABS(B173),""),""))),"")</x:f>
      </x:c>
    </x:row>
    <x:row r="174">
      <x:c r="A174" t="n">
        <x:f>173</x:f>
        <x:v>173</x:v>
      </x:c>
      <x:c r="B174" s="7" t="n">
        <x:f>IF('요약'!$B$4=4,IF(ISNUMBER('input'!A174),'input'!A174,""),IF(173&lt;=1000,CHOOSE('요약'!$B$4,'input'!B174,'input'!C174,'input'!D174),""))</x:f>
        <x:v>0.010062242042435936</x:v>
      </x:c>
      <x:c r="C174" s="7" t="n">
        <x:f>IF(AND(ISNUMBER(B174),'요약'!$B$19),B174-'요약'!$B$7,"")</x:f>
        <x:v>0.010110481369485436</x:v>
      </x:c>
      <x:c r="D174" s="7" t="n">
        <x:f>IF(ISNUMBER(C174),C174^2,"")</x:f>
        <x:v>0.00010222183352271211</x:v>
      </x:c>
      <x:c r="E174" s="15" t="n">
        <x:f>IF(ISNUMBER(C174),C174^3,"")</x:f>
        <x:v>0.0000010335119433860225</x:v>
      </x:c>
      <x:c r="F174" s="15" t="n">
        <x:f>IF(ISNUMBER(C174),C174^4,"")</x:f>
        <x:v>1.0449303248745067e-8</x:v>
      </x:c>
      <x:c r="G174" s="7" t="n">
        <x:f>IF(ISNUMBER(B174),ABS(B174),"")</x:f>
        <x:v>0.010062242042435936</x:v>
      </x:c>
      <x:c r="H174" s="7" t="n">
        <x:f>IF(ISNUMBER(B174),B174^2,"")</x:f>
        <x:v>0.00010124871492056531</x:v>
      </x:c>
      <x:c r="I174" s="7" t="n">
        <x:f>IF(AND(ISNUMBER(G174),'요약'!$B$19),G174-'요약'!$B$14,"")</x:f>
        <x:v>0.0020487254150330803</x:v>
      </x:c>
      <x:c r="J174" s="7" t="n">
        <x:f>IF(AND(ISNUMBER(H174),'요약'!$B$19),H174-'요약'!$B$15,"")</x:f>
        <x:v>-9.609842655267933e-7</x:v>
      </x:c>
      <x:c r="K174" t="str">
        <x:f>IF(ISNUMBER(B174),IF('Hill'!$B$4=1,IF(B174&lt;0,-B174,""),IF('Hill'!$B$4=2,IF(B174&gt;0,B174,""),IF('Hill'!$B$4=3,IF(B174&lt;&gt;0,ABS(B174),""),""))),"")</x:f>
      </x:c>
    </x:row>
    <x:row r="175">
      <x:c r="A175" t="n">
        <x:f>174</x:f>
        <x:v>174</x:v>
      </x:c>
      <x:c r="B175" s="7" t="n">
        <x:f>IF('요약'!$B$4=4,IF(ISNUMBER('input'!A175),'input'!A175,""),IF(174&lt;=1000,CHOOSE('요약'!$B$4,'input'!B175,'input'!C175,'input'!D175),""))</x:f>
        <x:v>-0.009455498527692903</x:v>
      </x:c>
      <x:c r="C175" s="7" t="n">
        <x:f>IF(AND(ISNUMBER(B175),'요약'!$B$19),B175-'요약'!$B$7,"")</x:f>
        <x:v>-0.009407259200643402</x:v>
      </x:c>
      <x:c r="D175" s="7" t="n">
        <x:f>IF(ISNUMBER(C175),C175^2,"")</x:f>
        <x:v>0.00008849652566808995</x:v>
      </x:c>
      <x:c r="E175" s="15" t="n">
        <x:f>IF(ISNUMBER(C175),C175^3,"")</x:f>
        <x:v>-8.325097553161142e-7</x:v>
      </x:c>
      <x:c r="F175" s="15" t="n">
        <x:f>IF(ISNUMBER(C175),C175^4,"")</x:f>
        <x:v>7.831635055322903e-9</x:v>
      </x:c>
      <x:c r="G175" s="7" t="n">
        <x:f>IF(ISNUMBER(B175),ABS(B175),"")</x:f>
        <x:v>0.009455498527692903</x:v>
      </x:c>
      <x:c r="H175" s="7" t="n">
        <x:f>IF(ISNUMBER(B175),B175^2,"")</x:f>
        <x:v>0.00008940645240720266</x:v>
      </x:c>
      <x:c r="I175" s="7" t="n">
        <x:f>IF(AND(ISNUMBER(G175),'요약'!$B$19),G175-'요약'!$B$14,"")</x:f>
        <x:v>0.0014419819002900475</x:v>
      </x:c>
      <x:c r="J175" s="7" t="n">
        <x:f>IF(AND(ISNUMBER(H175),'요약'!$B$19),H175-'요약'!$B$15,"")</x:f>
        <x:v>-0.000012803246778889444</x:v>
      </x:c>
      <x:c r="K175" t="n">
        <x:f>IF(ISNUMBER(B175),IF('Hill'!$B$4=1,IF(B175&lt;0,-B175,""),IF('Hill'!$B$4=2,IF(B175&gt;0,B175,""),IF('Hill'!$B$4=3,IF(B175&lt;&gt;0,ABS(B175),""),""))),"")</x:f>
        <x:v>0.009455498527692903</x:v>
      </x:c>
    </x:row>
    <x:row r="176">
      <x:c r="A176" t="n">
        <x:f>175</x:f>
        <x:v>175</x:v>
      </x:c>
      <x:c r="B176" s="7" t="n">
        <x:f>IF('요약'!$B$4=4,IF(ISNUMBER('input'!A176),'input'!A176,""),IF(175&lt;=1000,CHOOSE('요약'!$B$4,'input'!B176,'input'!C176,'input'!D176),""))</x:f>
        <x:v>-0.0033803974599708225</x:v>
      </x:c>
      <x:c r="C176" s="7" t="n">
        <x:f>IF(AND(ISNUMBER(B176),'요약'!$B$19),B176-'요약'!$B$7,"")</x:f>
        <x:v>-0.003332158132921321</x:v>
      </x:c>
      <x:c r="D176" s="7" t="n">
        <x:f>IF(ISNUMBER(C176),C176^2,"")</x:f>
        <x:v>0.000011103277822793705</x:v>
      </x:c>
      <x:c r="E176" s="15" t="n">
        <x:f>IF(ISNUMBER(C176),C176^3,"")</x:f>
        <x:v>-3.699787749930698e-8</x:v>
      </x:c>
      <x:c r="F176" s="15" t="n">
        <x:f>IF(ISNUMBER(C176),C176^4,"")</x:f>
        <x:v>1.2328277841014251e-10</x:v>
      </x:c>
      <x:c r="G176" s="7" t="n">
        <x:f>IF(ISNUMBER(B176),ABS(B176),"")</x:f>
        <x:v>0.0033803974599708225</x:v>
      </x:c>
      <x:c r="H176" s="7" t="n">
        <x:f>IF(ISNUMBER(B176),B176^2,"")</x:f>
        <x:v>0.000011427086987377189</x:v>
      </x:c>
      <x:c r="I176" s="7" t="n">
        <x:f>IF(AND(ISNUMBER(G176),'요약'!$B$19),G176-'요약'!$B$14,"")</x:f>
        <x:v>-0.004633119167432033</x:v>
      </x:c>
      <x:c r="J176" s="7" t="n">
        <x:f>IF(AND(ISNUMBER(H176),'요약'!$B$19),H176-'요약'!$B$15,"")</x:f>
        <x:v>-0.00009078261219871491</x:v>
      </x:c>
      <x:c r="K176" t="n">
        <x:f>IF(ISNUMBER(B176),IF('Hill'!$B$4=1,IF(B176&lt;0,-B176,""),IF('Hill'!$B$4=2,IF(B176&gt;0,B176,""),IF('Hill'!$B$4=3,IF(B176&lt;&gt;0,ABS(B176),""),""))),"")</x:f>
        <x:v>0.0033803974599708225</x:v>
      </x:c>
    </x:row>
    <x:row r="177">
      <x:c r="A177" t="n">
        <x:f>176</x:f>
        <x:v>176</x:v>
      </x:c>
      <x:c r="B177" s="7" t="n">
        <x:f>IF('요약'!$B$4=4,IF(ISNUMBER('input'!A177),'input'!A177,""),IF(176&lt;=1000,CHOOSE('요약'!$B$4,'input'!B177,'input'!C177,'input'!D177),""))</x:f>
        <x:v>0.0031519834483837153</x:v>
      </x:c>
      <x:c r="C177" s="7" t="n">
        <x:f>IF(AND(ISNUMBER(B177),'요약'!$B$19),B177-'요약'!$B$7,"")</x:f>
        <x:v>0.0032002227754332167</x:v>
      </x:c>
      <x:c r="D177" s="7" t="n">
        <x:f>IF(ISNUMBER(C177),C177^2,"")</x:f>
        <x:v>0.00001024142581240148</x:v>
      </x:c>
      <x:c r="E177" s="15" t="n">
        <x:f>IF(ISNUMBER(C177),C177^3,"")</x:f>
        <x:v>3.277484413775685e-8</x:v>
      </x:c>
      <x:c r="F177" s="15" t="n">
        <x:f>IF(ISNUMBER(C177),C177^4,"")</x:f>
        <x:v>1.0488680267092333e-10</x:v>
      </x:c>
      <x:c r="G177" s="7" t="n">
        <x:f>IF(ISNUMBER(B177),ABS(B177),"")</x:f>
        <x:v>0.0031519834483837153</x:v>
      </x:c>
      <x:c r="H177" s="7" t="n">
        <x:f>IF(ISNUMBER(B177),B177^2,"")</x:f>
        <x:v>0.000009934999658884898</x:v>
      </x:c>
      <x:c r="I177" s="7" t="n">
        <x:f>IF(AND(ISNUMBER(G177),'요약'!$B$19),G177-'요약'!$B$14,"")</x:f>
        <x:v>-0.00486153317901914</x:v>
      </x:c>
      <x:c r="J177" s="7" t="n">
        <x:f>IF(AND(ISNUMBER(H177),'요약'!$B$19),H177-'요약'!$B$15,"")</x:f>
        <x:v>-0.0000922746995272072</x:v>
      </x:c>
      <x:c r="K177" t="str">
        <x:f>IF(ISNUMBER(B177),IF('Hill'!$B$4=1,IF(B177&lt;0,-B177,""),IF('Hill'!$B$4=2,IF(B177&gt;0,B177,""),IF('Hill'!$B$4=3,IF(B177&lt;&gt;0,ABS(B177),""),""))),"")</x:f>
      </x:c>
    </x:row>
    <x:row r="178">
      <x:c r="A178" t="n">
        <x:f>177</x:f>
        <x:v>177</x:v>
      </x:c>
      <x:c r="B178" s="7" t="n">
        <x:f>IF('요약'!$B$4=4,IF(ISNUMBER('input'!A178),'input'!A178,""),IF(177&lt;=1000,CHOOSE('요약'!$B$4,'input'!B178,'input'!C178,'input'!D178),""))</x:f>
        <x:v>-0.0019312709091744177</x:v>
      </x:c>
      <x:c r="C178" s="7" t="n">
        <x:f>IF(AND(ISNUMBER(B178),'요약'!$B$19),B178-'요약'!$B$7,"")</x:f>
        <x:v>-0.0018830315821249163</x:v>
      </x:c>
      <x:c r="D178" s="7" t="n">
        <x:f>IF(ISNUMBER(C178),C178^2,"")</x:f>
        <x:v>0.0000035458079392798653</x:v>
      </x:c>
      <x:c r="E178" s="15" t="n">
        <x:f>IF(ISNUMBER(C178),C178^3,"")</x:f>
        <x:v>-6.6768683338132535e-9</x:v>
      </x:c>
      <x:c r="F178" s="15" t="n">
        <x:f>IF(ISNUMBER(C178),C178^4,"")</x:f>
        <x:v>1.2572753942260124e-11</x:v>
      </x:c>
      <x:c r="G178" s="7" t="n">
        <x:f>IF(ISNUMBER(B178),ABS(B178),"")</x:f>
        <x:v>0.0019312709091744177</x:v>
      </x:c>
      <x:c r="H178" s="7" t="n">
        <x:f>IF(ISNUMBER(B178),B178^2,"")</x:f>
        <x:v>0.000003729807324623382</x:v>
      </x:c>
      <x:c r="I178" s="7" t="n">
        <x:f>IF(AND(ISNUMBER(G178),'요약'!$B$19),G178-'요약'!$B$14,"")</x:f>
        <x:v>-0.006082245718228438</x:v>
      </x:c>
      <x:c r="J178" s="7" t="n">
        <x:f>IF(AND(ISNUMBER(H178),'요약'!$B$19),H178-'요약'!$B$15,"")</x:f>
        <x:v>-0.00009847989186146873</x:v>
      </x:c>
      <x:c r="K178" t="n">
        <x:f>IF(ISNUMBER(B178),IF('Hill'!$B$4=1,IF(B178&lt;0,-B178,""),IF('Hill'!$B$4=2,IF(B178&gt;0,B178,""),IF('Hill'!$B$4=3,IF(B178&lt;&gt;0,ABS(B178),""),""))),"")</x:f>
        <x:v>0.0019312709091744177</x:v>
      </x:c>
    </x:row>
    <x:row r="179">
      <x:c r="A179" t="n">
        <x:f>178</x:f>
        <x:v>178</x:v>
      </x:c>
      <x:c r="B179" s="7" t="n">
        <x:f>IF('요약'!$B$4=4,IF(ISNUMBER('input'!A179),'input'!A179,""),IF(178&lt;=1000,CHOOSE('요약'!$B$4,'input'!B179,'input'!C179,'input'!D179),""))</x:f>
        <x:v>0.011484149999767572</x:v>
      </x:c>
      <x:c r="C179" s="7" t="n">
        <x:f>IF(AND(ISNUMBER(B179),'요약'!$B$19),B179-'요약'!$B$7,"")</x:f>
        <x:v>0.011532389326817072</x:v>
      </x:c>
      <x:c r="D179" s="7" t="n">
        <x:f>IF(ISNUMBER(C179),C179^2,"")</x:f>
        <x:v>0.00013299600358528433</x:v>
      </x:c>
      <x:c r="E179" s="15" t="n">
        <x:f>IF(ISNUMBER(C179),C179^3,"")</x:f>
        <x:v>0.000001533761692256258</x:v>
      </x:c>
      <x:c r="F179" s="15" t="n">
        <x:f>IF(ISNUMBER(C179),C179^4,"")</x:f>
        <x:v>1.768793696965696e-8</x:v>
      </x:c>
      <x:c r="G179" s="7" t="n">
        <x:f>IF(ISNUMBER(B179),ABS(B179),"")</x:f>
        <x:v>0.011484149999767572</x:v>
      </x:c>
      <x:c r="H179" s="7" t="n">
        <x:f>IF(ISNUMBER(B179),B179^2,"")</x:f>
        <x:v>0.00013188570121716153</x:v>
      </x:c>
      <x:c r="I179" s="7" t="n">
        <x:f>IF(AND(ISNUMBER(G179),'요약'!$B$19),G179-'요약'!$B$14,"")</x:f>
        <x:v>0.003470633372364716</x:v>
      </x:c>
      <x:c r="J179" s="7" t="n">
        <x:f>IF(AND(ISNUMBER(H179),'요약'!$B$19),H179-'요약'!$B$15,"")</x:f>
        <x:v>0.000029676002031069423</x:v>
      </x:c>
      <x:c r="K179" t="str">
        <x:f>IF(ISNUMBER(B179),IF('Hill'!$B$4=1,IF(B179&lt;0,-B179,""),IF('Hill'!$B$4=2,IF(B179&gt;0,B179,""),IF('Hill'!$B$4=3,IF(B179&lt;&gt;0,ABS(B179),""),""))),"")</x:f>
      </x:c>
    </x:row>
    <x:row r="180">
      <x:c r="A180" t="n">
        <x:f>179</x:f>
        <x:v>179</x:v>
      </x:c>
      <x:c r="B180" s="7" t="n">
        <x:f>IF('요약'!$B$4=4,IF(ISNUMBER('input'!A180),'input'!A180,""),IF(179&lt;=1000,CHOOSE('요약'!$B$4,'input'!B180,'input'!C180,'input'!D180),""))</x:f>
        <x:v>0.019155507555325222</x:v>
      </x:c>
      <x:c r="C180" s="7" t="n">
        <x:f>IF(AND(ISNUMBER(B180),'요약'!$B$19),B180-'요약'!$B$7,"")</x:f>
        <x:v>0.019203746882374723</x:v>
      </x:c>
      <x:c r="D180" s="7" t="n">
        <x:f>IF(ISNUMBER(C180),C180^2,"")</x:f>
        <x:v>0.00036878389432231685</x:v>
      </x:c>
      <x:c r="E180" s="15" t="n">
        <x:f>IF(ISNUMBER(C180),C180^3,"")</x:f>
        <x:v>0.000007082032560862202</x:v>
      </x:c>
      <x:c r="F180" s="15" t="n">
        <x:f>IF(ISNUMBER(C180),C180^4,"")</x:f>
        <x:v>1.360015607115338e-7</x:v>
      </x:c>
      <x:c r="G180" s="7" t="n">
        <x:f>IF(ISNUMBER(B180),ABS(B180),"")</x:f>
        <x:v>0.019155507555325222</x:v>
      </x:c>
      <x:c r="H180" s="7" t="n">
        <x:f>IF(ISNUMBER(B180),B180^2,"")</x:f>
        <x:v>0.00036693346970212166</x:v>
      </x:c>
      <x:c r="I180" s="7" t="n">
        <x:f>IF(AND(ISNUMBER(G180),'요약'!$B$19),G180-'요약'!$B$14,"")</x:f>
        <x:v>0.011141990927922367</x:v>
      </x:c>
      <x:c r="J180" s="7" t="n">
        <x:f>IF(AND(ISNUMBER(H180),'요약'!$B$19),H180-'요약'!$B$15,"")</x:f>
        <x:v>0.0002647237705160296</x:v>
      </x:c>
      <x:c r="K180" t="str">
        <x:f>IF(ISNUMBER(B180),IF('Hill'!$B$4=1,IF(B180&lt;0,-B180,""),IF('Hill'!$B$4=2,IF(B180&gt;0,B180,""),IF('Hill'!$B$4=3,IF(B180&lt;&gt;0,ABS(B180),""),""))),"")</x:f>
      </x:c>
    </x:row>
    <x:row r="181">
      <x:c r="A181" t="n">
        <x:f>180</x:f>
        <x:v>180</x:v>
      </x:c>
      <x:c r="B181" s="7" t="n">
        <x:f>IF('요약'!$B$4=4,IF(ISNUMBER('input'!A181),'input'!A181,""),IF(180&lt;=1000,CHOOSE('요약'!$B$4,'input'!B181,'input'!C181,'input'!D181),""))</x:f>
        <x:v>-0.0007814317343242293</x:v>
      </x:c>
      <x:c r="C181" s="7" t="n">
        <x:f>IF(AND(ISNUMBER(B181),'요약'!$B$19),B181-'요약'!$B$7,"")</x:f>
        <x:v>-0.000733192407274728</x:v>
      </x:c>
      <x:c r="D181" s="7" t="n">
        <x:f>IF(ISNUMBER(C181),C181^2,"")</x:f>
        <x:v>5.375711060853106e-7</x:v>
      </x:c>
      <x:c r="E181" s="15" t="n">
        <x:f>IF(ISNUMBER(C181),C181^3,"")</x:f>
        <x:v>-3.94143053352027e-10</x:v>
      </x:c>
      <x:c r="F181" s="15" t="n">
        <x:f>IF(ISNUMBER(C181),C181^4,"")</x:f>
        <x:v>2.8898269409778425e-13</x:v>
      </x:c>
      <x:c r="G181" s="7" t="n">
        <x:f>IF(ISNUMBER(B181),ABS(B181),"")</x:f>
        <x:v>0.0007814317343242293</x:v>
      </x:c>
      <x:c r="H181" s="7" t="n">
        <x:f>IF(ISNUMBER(B181),B181^2,"")</x:f>
        <x:v>6.10635555408973e-7</x:v>
      </x:c>
      <x:c r="I181" s="7" t="n">
        <x:f>IF(AND(ISNUMBER(G181),'요약'!$B$19),G181-'요약'!$B$14,"")</x:f>
        <x:v>-0.007232084893078626</x:v>
      </x:c>
      <x:c r="J181" s="7" t="n">
        <x:f>IF(AND(ISNUMBER(H181),'요약'!$B$19),H181-'요약'!$B$15,"")</x:f>
        <x:v>-0.00010159906363068313</x:v>
      </x:c>
      <x:c r="K181" t="n">
        <x:f>IF(ISNUMBER(B181),IF('Hill'!$B$4=1,IF(B181&lt;0,-B181,""),IF('Hill'!$B$4=2,IF(B181&gt;0,B181,""),IF('Hill'!$B$4=3,IF(B181&lt;&gt;0,ABS(B181),""),""))),"")</x:f>
        <x:v>0.0007814317343242293</x:v>
      </x:c>
    </x:row>
    <x:row r="182">
      <x:c r="A182" t="n">
        <x:f>181</x:f>
        <x:v>181</x:v>
      </x:c>
      <x:c r="B182" s="7" t="n">
        <x:f>IF('요약'!$B$4=4,IF(ISNUMBER('input'!A182),'input'!A182,""),IF(181&lt;=1000,CHOOSE('요약'!$B$4,'input'!B182,'input'!C182,'input'!D182),""))</x:f>
        <x:v>0.00009801125894415032</x:v>
      </x:c>
      <x:c r="C182" s="7" t="n">
        <x:f>IF(AND(ISNUMBER(B182),'요약'!$B$19),B182-'요약'!$B$7,"")</x:f>
        <x:v>0.0001462505859936517</x:v>
      </x:c>
      <x:c r="D182" s="7" t="n">
        <x:f>IF(ISNUMBER(C182),C182^2,"")</x:f>
        <x:v>2.1389233903486507e-8</x:v>
      </x:c>
      <x:c r="E182" s="15" t="n">
        <x:f>IF(ISNUMBER(C182),C182^3,"")</x:f>
        <x:v>3.128187992340184e-12</x:v>
      </x:c>
      <x:c r="F182" s="15" t="n">
        <x:f>IF(ISNUMBER(C182),C182^4,"")</x:f>
        <x:v>4.574993269780567e-16</x:v>
      </x:c>
      <x:c r="G182" s="7" t="n">
        <x:f>IF(ISNUMBER(B182),ABS(B182),"")</x:f>
        <x:v>0.00009801125894415032</x:v>
      </x:c>
      <x:c r="H182" s="7" t="n">
        <x:f>IF(ISNUMBER(B182),B182^2,"")</x:f>
        <x:v>9.606206879817286e-9</x:v>
      </x:c>
      <x:c r="I182" s="7" t="n">
        <x:f>IF(AND(ISNUMBER(G182),'요약'!$B$19),G182-'요약'!$B$14,"")</x:f>
        <x:v>-0.007915505368458704</x:v>
      </x:c>
      <x:c r="J182" s="7" t="n">
        <x:f>IF(AND(ISNUMBER(H182),'요약'!$B$19),H182-'요약'!$B$15,"")</x:f>
        <x:v>-0.00010220009297921229</x:v>
      </x:c>
      <x:c r="K182" t="str">
        <x:f>IF(ISNUMBER(B182),IF('Hill'!$B$4=1,IF(B182&lt;0,-B182,""),IF('Hill'!$B$4=2,IF(B182&gt;0,B182,""),IF('Hill'!$B$4=3,IF(B182&lt;&gt;0,ABS(B182),""),""))),"")</x:f>
      </x:c>
    </x:row>
    <x:row r="183">
      <x:c r="A183" t="n">
        <x:f>182</x:f>
        <x:v>182</x:v>
      </x:c>
      <x:c r="B183" s="7" t="n">
        <x:f>IF('요약'!$B$4=4,IF(ISNUMBER('input'!A183),'input'!A183,""),IF(182&lt;=1000,CHOOSE('요약'!$B$4,'input'!B183,'input'!C183,'input'!D183),""))</x:f>
        <x:v>0.023255407133711006</x:v>
      </x:c>
      <x:c r="C183" s="7" t="n">
        <x:f>IF(AND(ISNUMBER(B183),'요약'!$B$19),B183-'요약'!$B$7,"")</x:f>
        <x:v>0.023303646460760507</x:v>
      </x:c>
      <x:c r="D183" s="7" t="n">
        <x:f>IF(ISNUMBER(C183),C183^2,"")</x:f>
        <x:v>0.0005430599383681157</x:v>
      </x:c>
      <x:c r="E183" s="15" t="n">
        <x:f>IF(ISNUMBER(C183),C183^3,"")</x:f>
        <x:v>0.000012655276810732959</x:v>
      </x:c>
      <x:c r="F183" s="15" t="n">
        <x:f>IF(ISNUMBER(C183),C183^4,"")</x:f>
        <x:v>2.9491409666038163e-7</x:v>
      </x:c>
      <x:c r="G183" s="7" t="n">
        <x:f>IF(ISNUMBER(B183),ABS(B183),"")</x:f>
        <x:v>0.023255407133711006</x:v>
      </x:c>
      <x:c r="H183" s="7" t="n">
        <x:f>IF(ISNUMBER(B183),B183^2,"")</x:f>
        <x:v>0.0005408139609546568</x:v>
      </x:c>
      <x:c r="I183" s="7" t="n">
        <x:f>IF(AND(ISNUMBER(G183),'요약'!$B$19),G183-'요약'!$B$14,"")</x:f>
        <x:v>0.015241890506308151</x:v>
      </x:c>
      <x:c r="J183" s="7" t="n">
        <x:f>IF(AND(ISNUMBER(H183),'요약'!$B$19),H183-'요약'!$B$15,"")</x:f>
        <x:v>0.0004386042617685647</x:v>
      </x:c>
      <x:c r="K183" t="str">
        <x:f>IF(ISNUMBER(B183),IF('Hill'!$B$4=1,IF(B183&lt;0,-B183,""),IF('Hill'!$B$4=2,IF(B183&gt;0,B183,""),IF('Hill'!$B$4=3,IF(B183&lt;&gt;0,ABS(B183),""),""))),"")</x:f>
      </x:c>
    </x:row>
    <x:row r="184">
      <x:c r="A184" t="n">
        <x:f>183</x:f>
        <x:v>183</x:v>
      </x:c>
      <x:c r="B184" s="7" t="n">
        <x:f>IF('요약'!$B$4=4,IF(ISNUMBER('input'!A184),'input'!A184,""),IF(183&lt;=1000,CHOOSE('요약'!$B$4,'input'!B184,'input'!C184,'input'!D184),""))</x:f>
        <x:v>-0.013443012550982202</x:v>
      </x:c>
      <x:c r="C184" s="7" t="n">
        <x:f>IF(AND(ISNUMBER(B184),'요약'!$B$19),B184-'요약'!$B$7,"")</x:f>
        <x:v>-0.013394773223932701</x:v>
      </x:c>
      <x:c r="D184" s="7" t="n">
        <x:f>IF(ISNUMBER(C184),C184^2,"")</x:f>
        <x:v>0.00017941994972058445</x:v>
      </x:c>
      <x:c r="E184" s="15" t="n">
        <x:f>IF(ISNUMBER(C184),C184^3,"")</x:f>
        <x:v>-0.000002403289538356636</x:v>
      </x:c>
      <x:c r="F184" s="15" t="n">
        <x:f>IF(ISNUMBER(C184),C184^4,"")</x:f>
        <x:v>3.219151835773705e-8</x:v>
      </x:c>
      <x:c r="G184" s="7" t="n">
        <x:f>IF(ISNUMBER(B184),ABS(B184),"")</x:f>
        <x:v>0.013443012550982202</x:v>
      </x:c>
      <x:c r="H184" s="7" t="n">
        <x:f>IF(ISNUMBER(B184),B184^2,"")</x:f>
        <x:v>0.000180714586445865</x:v>
      </x:c>
      <x:c r="I184" s="7" t="n">
        <x:f>IF(AND(ISNUMBER(G184),'요약'!$B$19),G184-'요약'!$B$14,"")</x:f>
        <x:v>0.005429495923579346</x:v>
      </x:c>
      <x:c r="J184" s="7" t="n">
        <x:f>IF(AND(ISNUMBER(H184),'요약'!$B$19),H184-'요약'!$B$15,"")</x:f>
        <x:v>0.00007850488725977289</x:v>
      </x:c>
      <x:c r="K184" t="n">
        <x:f>IF(ISNUMBER(B184),IF('Hill'!$B$4=1,IF(B184&lt;0,-B184,""),IF('Hill'!$B$4=2,IF(B184&gt;0,B184,""),IF('Hill'!$B$4=3,IF(B184&lt;&gt;0,ABS(B184),""),""))),"")</x:f>
        <x:v>0.013443012550982202</x:v>
      </x:c>
    </x:row>
    <x:row r="185">
      <x:c r="A185" t="n">
        <x:f>184</x:f>
        <x:v>184</x:v>
      </x:c>
      <x:c r="B185" s="7" t="n">
        <x:f>IF('요약'!$B$4=4,IF(ISNUMBER('input'!A185),'input'!A185,""),IF(184&lt;=1000,CHOOSE('요약'!$B$4,'input'!B185,'input'!C185,'input'!D185),""))</x:f>
        <x:v>-0.0022542634025977844</x:v>
      </x:c>
      <x:c r="C185" s="7" t="n">
        <x:f>IF(AND(ISNUMBER(B185),'요약'!$B$19),B185-'요약'!$B$7,"")</x:f>
        <x:v>-0.002206024075548283</x:v>
      </x:c>
      <x:c r="D185" s="7" t="n">
        <x:f>IF(ISNUMBER(C185),C185^2,"")</x:f>
        <x:v>0.000004866542221898656</x:v>
      </x:c>
      <x:c r="E185" s="15" t="n">
        <x:f>IF(ISNUMBER(C185),C185^3,"")</x:f>
        <x:v>-1.073570930618067e-8</x:v>
      </x:c>
      <x:c r="F185" s="15" t="n">
        <x:f>IF(ISNUMBER(C185),C185^4,"")</x:f>
        <x:v>2.368323319752231e-11</x:v>
      </x:c>
      <x:c r="G185" s="7" t="n">
        <x:f>IF(ISNUMBER(B185),ABS(B185),"")</x:f>
        <x:v>0.0022542634025977844</x:v>
      </x:c>
      <x:c r="H185" s="7" t="n">
        <x:f>IF(ISNUMBER(B185),B185^2,"")</x:f>
        <x:v>0.00000508170348829174</x:v>
      </x:c>
      <x:c r="I185" s="7" t="n">
        <x:f>IF(AND(ISNUMBER(G185),'요약'!$B$19),G185-'요약'!$B$14,"")</x:f>
        <x:v>-0.005759253224805071</x:v>
      </x:c>
      <x:c r="J185" s="7" t="n">
        <x:f>IF(AND(ISNUMBER(H185),'요약'!$B$19),H185-'요약'!$B$15,"")</x:f>
        <x:v>-0.00009712799569780037</x:v>
      </x:c>
      <x:c r="K185" t="n">
        <x:f>IF(ISNUMBER(B185),IF('Hill'!$B$4=1,IF(B185&lt;0,-B185,""),IF('Hill'!$B$4=2,IF(B185&gt;0,B185,""),IF('Hill'!$B$4=3,IF(B185&lt;&gt;0,ABS(B185),""),""))),"")</x:f>
        <x:v>0.0022542634025977844</x:v>
      </x:c>
    </x:row>
    <x:row r="186">
      <x:c r="A186" t="n">
        <x:f>185</x:f>
        <x:v>185</x:v>
      </x:c>
      <x:c r="B186" s="7" t="n">
        <x:f>IF('요약'!$B$4=4,IF(ISNUMBER('input'!A186),'input'!A186,""),IF(185&lt;=1000,CHOOSE('요약'!$B$4,'input'!B186,'input'!C186,'input'!D186),""))</x:f>
        <x:v>0.010764462370018815</x:v>
      </x:c>
      <x:c r="C186" s="7" t="n">
        <x:f>IF(AND(ISNUMBER(B186),'요약'!$B$19),B186-'요약'!$B$7,"")</x:f>
        <x:v>0.010812701697068315</x:v>
      </x:c>
      <x:c r="D186" s="7" t="n">
        <x:f>IF(ISNUMBER(C186),C186^2,"")</x:f>
        <x:v>0.00011691451798978403</x:v>
      </x:c>
      <x:c r="E186" s="15" t="n">
        <x:f>IF(ISNUMBER(C186),C186^3,"")</x:f>
        <x:v>0.000001264161807080062</x:v>
      </x:c>
      <x:c r="F186" s="15" t="n">
        <x:f>IF(ISNUMBER(C186),C186^4,"")</x:f>
        <x:v>1.3669004516783534e-8</x:v>
      </x:c>
      <x:c r="G186" s="7" t="n">
        <x:f>IF(ISNUMBER(B186),ABS(B186),"")</x:f>
        <x:v>0.010764462370018815</x:v>
      </x:c>
      <x:c r="H186" s="7" t="n">
        <x:f>IF(ISNUMBER(B186),B186^2,"")</x:f>
        <x:v>0.00011587365011555108</x:v>
      </x:c>
      <x:c r="I186" s="7" t="n">
        <x:f>IF(AND(ISNUMBER(G186),'요약'!$B$19),G186-'요약'!$B$14,"")</x:f>
        <x:v>0.0027509457426159595</x:v>
      </x:c>
      <x:c r="J186" s="7" t="n">
        <x:f>IF(AND(ISNUMBER(H186),'요약'!$B$19),H186-'요약'!$B$15,"")</x:f>
        <x:v>0.000013663950929458977</x:v>
      </x:c>
      <x:c r="K186" t="str">
        <x:f>IF(ISNUMBER(B186),IF('Hill'!$B$4=1,IF(B186&lt;0,-B186,""),IF('Hill'!$B$4=2,IF(B186&gt;0,B186,""),IF('Hill'!$B$4=3,IF(B186&lt;&gt;0,ABS(B186),""),""))),"")</x:f>
      </x:c>
    </x:row>
    <x:row r="187">
      <x:c r="A187" t="n">
        <x:f>186</x:f>
        <x:v>186</x:v>
      </x:c>
      <x:c r="B187" s="7" t="n">
        <x:f>IF('요약'!$B$4=4,IF(ISNUMBER('input'!A187),'input'!A187,""),IF(186&lt;=1000,CHOOSE('요약'!$B$4,'input'!B187,'input'!C187,'input'!D187),""))</x:f>
        <x:v>-0.014504278481696345</x:v>
      </x:c>
      <x:c r="C187" s="7" t="n">
        <x:f>IF(AND(ISNUMBER(B187),'요약'!$B$19),B187-'요약'!$B$7,"")</x:f>
        <x:v>-0.014456039154646844</x:v>
      </x:c>
      <x:c r="D187" s="7" t="n">
        <x:f>IF(ISNUMBER(C187),C187^2,"")</x:f>
        <x:v>0.00020897706804068265</x:v>
      </x:c>
      <x:c r="E187" s="15" t="n">
        <x:f>IF(ISNUMBER(C187),C187^3,"")</x:f>
        <x:v>-0.000003020980678019406</x:v>
      </x:c>
      <x:c r="F187" s="15" t="n">
        <x:f>IF(ISNUMBER(C187),C187^4,"")</x:f>
        <x:v>4.36714149668801e-8</x:v>
      </x:c>
      <x:c r="G187" s="7" t="n">
        <x:f>IF(ISNUMBER(B187),ABS(B187),"")</x:f>
        <x:v>0.014504278481696345</x:v>
      </x:c>
      <x:c r="H187" s="7" t="n">
        <x:f>IF(ISNUMBER(B187),B187^2,"")</x:f>
        <x:v>0.00021037409427459962</x:v>
      </x:c>
      <x:c r="I187" s="7" t="n">
        <x:f>IF(AND(ISNUMBER(G187),'요약'!$B$19),G187-'요약'!$B$14,"")</x:f>
        <x:v>0.0064907618542934895</x:v>
      </x:c>
      <x:c r="J187" s="7" t="n">
        <x:f>IF(AND(ISNUMBER(H187),'요약'!$B$19),H187-'요약'!$B$15,"")</x:f>
        <x:v>0.00010816439508850751</x:v>
      </x:c>
      <x:c r="K187" t="n">
        <x:f>IF(ISNUMBER(B187),IF('Hill'!$B$4=1,IF(B187&lt;0,-B187,""),IF('Hill'!$B$4=2,IF(B187&gt;0,B187,""),IF('Hill'!$B$4=3,IF(B187&lt;&gt;0,ABS(B187),""),""))),"")</x:f>
        <x:v>0.014504278481696345</x:v>
      </x:c>
    </x:row>
    <x:row r="188">
      <x:c r="A188" t="n">
        <x:f>187</x:f>
        <x:v>187</x:v>
      </x:c>
      <x:c r="B188" s="7" t="n">
        <x:f>IF('요약'!$B$4=4,IF(ISNUMBER('input'!A188),'input'!A188,""),IF(187&lt;=1000,CHOOSE('요약'!$B$4,'input'!B188,'input'!C188,'input'!D188),""))</x:f>
        <x:v>-0.001589499195825002</x:v>
      </x:c>
      <x:c r="C188" s="7" t="n">
        <x:f>IF(AND(ISNUMBER(B188),'요약'!$B$19),B188-'요약'!$B$7,"")</x:f>
        <x:v>-0.0015412598687755004</x:v>
      </x:c>
      <x:c r="D188" s="7" t="n">
        <x:f>IF(ISNUMBER(C188),C188^2,"")</x:f>
        <x:v>0.000002375481983097873</x:v>
      </x:c>
      <x:c r="E188" s="15" t="n">
        <x:f>IF(ISNUMBER(C188),C188^3,"")</x:f>
        <x:v>-3.661235049547993e-9</x:v>
      </x:c>
      <x:c r="F188" s="15" t="n">
        <x:f>IF(ISNUMBER(C188),C188^4,"")</x:f>
        <x:v>5.642914652022603e-12</x:v>
      </x:c>
      <x:c r="G188" s="7" t="n">
        <x:f>IF(ISNUMBER(B188),ABS(B188),"")</x:f>
        <x:v>0.001589499195825002</x:v>
      </x:c>
      <x:c r="H188" s="7" t="n">
        <x:f>IF(ISNUMBER(B188),B188^2,"")</x:f>
        <x:v>0.0000025265076935283276</x:v>
      </x:c>
      <x:c r="I188" s="7" t="n">
        <x:f>IF(AND(ISNUMBER(G188),'요약'!$B$19),G188-'요약'!$B$14,"")</x:f>
        <x:v>-0.006424017431577854</x:v>
      </x:c>
      <x:c r="J188" s="7" t="n">
        <x:f>IF(AND(ISNUMBER(H188),'요약'!$B$19),H188-'요약'!$B$15,"")</x:f>
        <x:v>-0.00009968319149256378</x:v>
      </x:c>
      <x:c r="K188" t="n">
        <x:f>IF(ISNUMBER(B188),IF('Hill'!$B$4=1,IF(B188&lt;0,-B188,""),IF('Hill'!$B$4=2,IF(B188&gt;0,B188,""),IF('Hill'!$B$4=3,IF(B188&lt;&gt;0,ABS(B188),""),""))),"")</x:f>
        <x:v>0.001589499195825002</x:v>
      </x:c>
    </x:row>
    <x:row r="189">
      <x:c r="A189" t="n">
        <x:f>188</x:f>
        <x:v>188</x:v>
      </x:c>
      <x:c r="B189" s="7" t="n">
        <x:f>IF('요약'!$B$4=4,IF(ISNUMBER('input'!A189),'input'!A189,""),IF(188&lt;=1000,CHOOSE('요약'!$B$4,'input'!B189,'input'!C189,'input'!D189),""))</x:f>
        <x:v>-0.002891786497149937</x:v>
      </x:c>
      <x:c r="C189" s="7" t="n">
        <x:f>IF(AND(ISNUMBER(B189),'요약'!$B$19),B189-'요약'!$B$7,"")</x:f>
        <x:v>-0.0028435471701004356</x:v>
      </x:c>
      <x:c r="D189" s="7" t="n">
        <x:f>IF(ISNUMBER(C189),C189^2,"")</x:f>
        <x:v>0.000008085760508586195</x:v>
      </x:c>
      <x:c r="E189" s="15" t="n">
        <x:f>IF(ISNUMBER(C189),C189^3,"")</x:f>
        <x:v>-2.2992241412300135e-8</x:v>
      </x:c>
      <x:c r="F189" s="15" t="n">
        <x:f>IF(ISNUMBER(C189),C189^4,"")</x:f>
        <x:v>6.537952300221209e-11</x:v>
      </x:c>
      <x:c r="G189" s="7" t="n">
        <x:f>IF(ISNUMBER(B189),ABS(B189),"")</x:f>
        <x:v>0.002891786497149937</x:v>
      </x:c>
      <x:c r="H189" s="7" t="n">
        <x:f>IF(ISNUMBER(B189),B189^2,"")</x:f>
        <x:v>0.000008362429145098703</x:v>
      </x:c>
      <x:c r="I189" s="7" t="n">
        <x:f>IF(AND(ISNUMBER(G189),'요약'!$B$19),G189-'요약'!$B$14,"")</x:f>
        <x:v>-0.005121730130252918</x:v>
      </x:c>
      <x:c r="J189" s="7" t="n">
        <x:f>IF(AND(ISNUMBER(H189),'요약'!$B$19),H189-'요약'!$B$15,"")</x:f>
        <x:v>-0.0000938472700409934</x:v>
      </x:c>
      <x:c r="K189" t="n">
        <x:f>IF(ISNUMBER(B189),IF('Hill'!$B$4=1,IF(B189&lt;0,-B189,""),IF('Hill'!$B$4=2,IF(B189&gt;0,B189,""),IF('Hill'!$B$4=3,IF(B189&lt;&gt;0,ABS(B189),""),""))),"")</x:f>
        <x:v>0.002891786497149937</x:v>
      </x:c>
    </x:row>
    <x:row r="190">
      <x:c r="A190" t="n">
        <x:f>189</x:f>
        <x:v>189</x:v>
      </x:c>
      <x:c r="B190" s="7" t="n">
        <x:f>IF('요약'!$B$4=4,IF(ISNUMBER('input'!A190),'input'!A190,""),IF(189&lt;=1000,CHOOSE('요약'!$B$4,'input'!B190,'input'!C190,'input'!D190),""))</x:f>
        <x:v>0.0005483947124132001</x:v>
      </x:c>
      <x:c r="C190" s="7" t="n">
        <x:f>IF(AND(ISNUMBER(B190),'요약'!$B$19),B190-'요약'!$B$7,"")</x:f>
        <x:v>0.0005966340394627014</x:v>
      </x:c>
      <x:c r="D190" s="7" t="n">
        <x:f>IF(ISNUMBER(C190),C190^2,"")</x:f>
        <x:v>3.5597217704558036e-7</x:v>
      </x:c>
      <x:c r="E190" s="15" t="n">
        <x:f>IF(ISNUMBER(C190),C190^3,"")</x:f>
        <x:v>2.123851179270365e-10</x:v>
      </x:c>
      <x:c r="F190" s="15" t="n">
        <x:f>IF(ISNUMBER(C190),C190^4,"")</x:f>
        <x:v>1.2671619083057e-13</x:v>
      </x:c>
      <x:c r="G190" s="7" t="n">
        <x:f>IF(ISNUMBER(B190),ABS(B190),"")</x:f>
        <x:v>0.0005483947124132001</x:v>
      </x:c>
      <x:c r="H190" s="7" t="n">
        <x:f>IF(ISNUMBER(B190),B190^2,"")</x:f>
        <x:v>3.007367606027564e-7</x:v>
      </x:c>
      <x:c r="I190" s="7" t="n">
        <x:f>IF(AND(ISNUMBER(G190),'요약'!$B$19),G190-'요약'!$B$14,"")</x:f>
        <x:v>-0.007465121914989655</x:v>
      </x:c>
      <x:c r="J190" s="7" t="n">
        <x:f>IF(AND(ISNUMBER(H190),'요약'!$B$19),H190-'요약'!$B$15,"")</x:f>
        <x:v>-0.00010190896242548935</x:v>
      </x:c>
      <x:c r="K190" t="str">
        <x:f>IF(ISNUMBER(B190),IF('Hill'!$B$4=1,IF(B190&lt;0,-B190,""),IF('Hill'!$B$4=2,IF(B190&gt;0,B190,""),IF('Hill'!$B$4=3,IF(B190&lt;&gt;0,ABS(B190),""),""))),"")</x:f>
      </x:c>
    </x:row>
    <x:row r="191">
      <x:c r="A191" t="n">
        <x:f>190</x:f>
        <x:v>190</x:v>
      </x:c>
      <x:c r="B191" s="7" t="n">
        <x:f>IF('요약'!$B$4=4,IF(ISNUMBER('input'!A191),'input'!A191,""),IF(190&lt;=1000,CHOOSE('요약'!$B$4,'input'!B191,'input'!C191,'input'!D191),""))</x:f>
        <x:v>-0.028722992051685884</x:v>
      </x:c>
      <x:c r="C191" s="7" t="n">
        <x:f>IF(AND(ISNUMBER(B191),'요약'!$B$19),B191-'요약'!$B$7,"")</x:f>
        <x:v>-0.028674752724636383</x:v>
      </x:c>
      <x:c r="D191" s="7" t="n">
        <x:f>IF(ISNUMBER(C191),C191^2,"")</x:f>
        <x:v>0.0008222414438190417</x:v>
      </x:c>
      <x:c r="E191" s="15" t="n">
        <x:f>IF(ISNUMBER(C191),C191^3,"")</x:f>
        <x:v>-0.00002357757008145902</x:v>
      </x:c>
      <x:c r="F191" s="15" t="n">
        <x:f>IF(ISNUMBER(C191),C191^4,"")</x:f>
        <x:v>6.760809919336223e-7</x:v>
      </x:c>
      <x:c r="G191" s="7" t="n">
        <x:f>IF(ISNUMBER(B191),ABS(B191),"")</x:f>
        <x:v>0.028722992051685884</x:v>
      </x:c>
      <x:c r="H191" s="7" t="n">
        <x:f>IF(ISNUMBER(B191),B191^2,"")</x:f>
        <x:v>0.0008250102724012105</x:v>
      </x:c>
      <x:c r="I191" s="7" t="n">
        <x:f>IF(AND(ISNUMBER(G191),'요약'!$B$19),G191-'요약'!$B$14,"")</x:f>
        <x:v>0.02070947542428303</x:v>
      </x:c>
      <x:c r="J191" s="7" t="n">
        <x:f>IF(AND(ISNUMBER(H191),'요약'!$B$19),H191-'요약'!$B$15,"")</x:f>
        <x:v>0.0007228005732151184</x:v>
      </x:c>
      <x:c r="K191" t="n">
        <x:f>IF(ISNUMBER(B191),IF('Hill'!$B$4=1,IF(B191&lt;0,-B191,""),IF('Hill'!$B$4=2,IF(B191&gt;0,B191,""),IF('Hill'!$B$4=3,IF(B191&lt;&gt;0,ABS(B191),""),""))),"")</x:f>
        <x:v>0.028722992051685884</x:v>
      </x:c>
    </x:row>
    <x:row r="192">
      <x:c r="A192" t="n">
        <x:f>191</x:f>
        <x:v>191</x:v>
      </x:c>
      <x:c r="B192" s="7" t="n">
        <x:f>IF('요약'!$B$4=4,IF(ISNUMBER('input'!A192),'input'!A192,""),IF(191&lt;=1000,CHOOSE('요약'!$B$4,'input'!B192,'input'!C192,'input'!D192),""))</x:f>
        <x:v>-0.007007807321879418</x:v>
      </x:c>
      <x:c r="C192" s="7" t="n">
        <x:f>IF(AND(ISNUMBER(B192),'요약'!$B$19),B192-'요약'!$B$7,"")</x:f>
        <x:v>-0.006959567994829916</x:v>
      </x:c>
      <x:c r="D192" s="7" t="n">
        <x:f>IF(ISNUMBER(C192),C192^2,"")</x:f>
        <x:v>0.0000484355866746609</x:v>
      </x:c>
      <x:c r="E192" s="15" t="n">
        <x:f>IF(ISNUMBER(C192),C192^3,"")</x:f>
        <x:v>-3.370907588317804e-7</x:v>
      </x:c>
      <x:c r="F192" s="15" t="n">
        <x:f>IF(ISNUMBER(C192),C192^4,"")</x:f>
        <x:v>2.3460060565185888e-9</x:v>
      </x:c>
      <x:c r="G192" s="7" t="n">
        <x:f>IF(ISNUMBER(B192),ABS(B192),"")</x:f>
        <x:v>0.007007807321879418</x:v>
      </x:c>
      <x:c r="H192" s="7" t="n">
        <x:f>IF(ISNUMBER(B192),B192^2,"")</x:f>
        <x:v>0.000049109363460586776</x:v>
      </x:c>
      <x:c r="I192" s="7" t="n">
        <x:f>IF(AND(ISNUMBER(G192),'요약'!$B$19),G192-'요약'!$B$14,"")</x:f>
        <x:v>-0.0010057093055234377</x:v>
      </x:c>
      <x:c r="J192" s="7" t="n">
        <x:f>IF(AND(ISNUMBER(H192),'요약'!$B$19),H192-'요약'!$B$15,"")</x:f>
        <x:v>-0.00005310033572550533</x:v>
      </x:c>
      <x:c r="K192" t="n">
        <x:f>IF(ISNUMBER(B192),IF('Hill'!$B$4=1,IF(B192&lt;0,-B192,""),IF('Hill'!$B$4=2,IF(B192&gt;0,B192,""),IF('Hill'!$B$4=3,IF(B192&lt;&gt;0,ABS(B192),""),""))),"")</x:f>
        <x:v>0.007007807321879418</x:v>
      </x:c>
    </x:row>
    <x:row r="193">
      <x:c r="A193" t="n">
        <x:f>192</x:f>
        <x:v>192</x:v>
      </x:c>
      <x:c r="B193" s="7" t="n">
        <x:f>IF('요약'!$B$4=4,IF(ISNUMBER('input'!A193),'input'!A193,""),IF(192&lt;=1000,CHOOSE('요약'!$B$4,'input'!B193,'input'!C193,'input'!D193),""))</x:f>
        <x:v>0.017683757973240774</x:v>
      </x:c>
      <x:c r="C193" s="7" t="n">
        <x:f>IF(AND(ISNUMBER(B193),'요약'!$B$19),B193-'요약'!$B$7,"")</x:f>
        <x:v>0.017731997300290275</x:v>
      </x:c>
      <x:c r="D193" s="7" t="n">
        <x:f>IF(ISNUMBER(C193),C193^2,"")</x:f>
        <x:v>0.0003144237282575016</x:v>
      </x:c>
      <x:c r="E193" s="15" t="n">
        <x:f>IF(ISNUMBER(C193),C193^3,"")</x:f>
        <x:v>0.000005575360700609221</x:v>
      </x:c>
      <x:c r="F193" s="15" t="n">
        <x:f>IF(ISNUMBER(C193),C193^4,"")</x:f>
        <x:v>9.886228089134721e-8</x:v>
      </x:c>
      <x:c r="G193" s="7" t="n">
        <x:f>IF(ISNUMBER(B193),ABS(B193),"")</x:f>
        <x:v>0.017683757973240774</x:v>
      </x:c>
      <x:c r="H193" s="7" t="n">
        <x:f>IF(ISNUMBER(B193),B193^2,"")</x:f>
        <x:v>0.00031271529605615667</x:v>
      </x:c>
      <x:c r="I193" s="7" t="n">
        <x:f>IF(AND(ISNUMBER(G193),'요약'!$B$19),G193-'요약'!$B$14,"")</x:f>
        <x:v>0.009670241345837919</x:v>
      </x:c>
      <x:c r="J193" s="7" t="n">
        <x:f>IF(AND(ISNUMBER(H193),'요약'!$B$19),H193-'요약'!$B$15,"")</x:f>
        <x:v>0.00021050559687006457</x:v>
      </x:c>
      <x:c r="K193" t="str">
        <x:f>IF(ISNUMBER(B193),IF('Hill'!$B$4=1,IF(B193&lt;0,-B193,""),IF('Hill'!$B$4=2,IF(B193&gt;0,B193,""),IF('Hill'!$B$4=3,IF(B193&lt;&gt;0,ABS(B193),""),""))),"")</x:f>
      </x:c>
    </x:row>
    <x:row r="194">
      <x:c r="A194" t="n">
        <x:f>193</x:f>
        <x:v>193</x:v>
      </x:c>
      <x:c r="B194" s="7" t="n">
        <x:f>IF('요약'!$B$4=4,IF(ISNUMBER('input'!A194),'input'!A194,""),IF(193&lt;=1000,CHOOSE('요약'!$B$4,'input'!B194,'input'!C194,'input'!D194),""))</x:f>
        <x:v>0.013660366581932796</x:v>
      </x:c>
      <x:c r="C194" s="7" t="n">
        <x:f>IF(AND(ISNUMBER(B194),'요약'!$B$19),B194-'요약'!$B$7,"")</x:f>
        <x:v>0.013708605908982296</x:v>
      </x:c>
      <x:c r="D194" s="7" t="n">
        <x:f>IF(ISNUMBER(C194),C194^2,"")</x:f>
        <x:v>0.00018792587596778434</x:v>
      </x:c>
      <x:c r="E194" s="15" t="n">
        <x:f>IF(ISNUMBER(C194),C194^3,"")</x:f>
        <x:v>0.0000025762017737426425</x:v>
      </x:c>
      <x:c r="F194" s="15" t="n">
        <x:f>IF(ISNUMBER(C194),C194^4,"")</x:f>
        <x:v>3.531613485825906e-8</x:v>
      </x:c>
      <x:c r="G194" s="7" t="n">
        <x:f>IF(ISNUMBER(B194),ABS(B194),"")</x:f>
        <x:v>0.013660366581932796</x:v>
      </x:c>
      <x:c r="H194" s="7" t="n">
        <x:f>IF(ISNUMBER(B194),B194^2,"")</x:f>
        <x:v>0.0001866056151527863</x:v>
      </x:c>
      <x:c r="I194" s="7" t="n">
        <x:f>IF(AND(ISNUMBER(G194),'요약'!$B$19),G194-'요약'!$B$14,"")</x:f>
        <x:v>0.00564684995452994</x:v>
      </x:c>
      <x:c r="J194" s="7" t="n">
        <x:f>IF(AND(ISNUMBER(H194),'요약'!$B$19),H194-'요약'!$B$15,"")</x:f>
        <x:v>0.0000843959159666942</x:v>
      </x:c>
      <x:c r="K194" t="str">
        <x:f>IF(ISNUMBER(B194),IF('Hill'!$B$4=1,IF(B194&lt;0,-B194,""),IF('Hill'!$B$4=2,IF(B194&gt;0,B194,""),IF('Hill'!$B$4=3,IF(B194&lt;&gt;0,ABS(B194),""),""))),"")</x:f>
      </x:c>
    </x:row>
    <x:row r="195">
      <x:c r="A195" t="n">
        <x:f>194</x:f>
        <x:v>194</x:v>
      </x:c>
      <x:c r="B195" s="7" t="n">
        <x:f>IF('요약'!$B$4=4,IF(ISNUMBER('input'!A195),'input'!A195,""),IF(194&lt;=1000,CHOOSE('요약'!$B$4,'input'!B195,'input'!C195,'input'!D195),""))</x:f>
        <x:v>-0.008431068396385643</x:v>
      </x:c>
      <x:c r="C195" s="7" t="n">
        <x:f>IF(AND(ISNUMBER(B195),'요약'!$B$19),B195-'요약'!$B$7,"")</x:f>
        <x:v>-0.008382829069336142</x:v>
      </x:c>
      <x:c r="D195" s="7" t="n">
        <x:f>IF(ISNUMBER(C195),C195^2,"")</x:f>
        <x:v>0.00007027182320570706</x:v>
      </x:c>
      <x:c r="E195" s="15" t="n">
        <x:f>IF(ISNUMBER(C195),C195^3,"")</x:f>
        <x:v>-5.890766823240512e-7</x:v>
      </x:c>
      <x:c r="F195" s="15" t="n">
        <x:f>IF(ISNUMBER(C195),C195^4,"")</x:f>
        <x:v>4.938129136654149e-9</x:v>
      </x:c>
      <x:c r="G195" s="7" t="n">
        <x:f>IF(ISNUMBER(B195),ABS(B195),"")</x:f>
        <x:v>0.008431068396385643</x:v>
      </x:c>
      <x:c r="H195" s="7" t="n">
        <x:f>IF(ISNUMBER(B195),B195^2,"")</x:f>
        <x:v>0.00007108291430453278</x:v>
      </x:c>
      <x:c r="I195" s="7" t="n">
        <x:f>IF(AND(ISNUMBER(G195),'요약'!$B$19),G195-'요약'!$B$14,"")</x:f>
        <x:v>0.00041755176898278755</x:v>
      </x:c>
      <x:c r="J195" s="7" t="n">
        <x:f>IF(AND(ISNUMBER(H195),'요약'!$B$19),H195-'요약'!$B$15,"")</x:f>
        <x:v>-0.00003112678488155932</x:v>
      </x:c>
      <x:c r="K195" t="n">
        <x:f>IF(ISNUMBER(B195),IF('Hill'!$B$4=1,IF(B195&lt;0,-B195,""),IF('Hill'!$B$4=2,IF(B195&gt;0,B195,""),IF('Hill'!$B$4=3,IF(B195&lt;&gt;0,ABS(B195),""),""))),"")</x:f>
        <x:v>0.008431068396385643</x:v>
      </x:c>
    </x:row>
    <x:row r="196">
      <x:c r="A196" t="n">
        <x:f>195</x:f>
        <x:v>195</x:v>
      </x:c>
      <x:c r="B196" s="7" t="n">
        <x:f>IF('요약'!$B$4=4,IF(ISNUMBER('input'!A196),'input'!A196,""),IF(195&lt;=1000,CHOOSE('요약'!$B$4,'input'!B196,'input'!C196,'input'!D196),""))</x:f>
        <x:v>-0.008889511854668509</x:v>
      </x:c>
      <x:c r="C196" s="7" t="n">
        <x:f>IF(AND(ISNUMBER(B196),'요약'!$B$19),B196-'요약'!$B$7,"")</x:f>
        <x:v>-0.008841272527619008</x:v>
      </x:c>
      <x:c r="D196" s="7" t="n">
        <x:f>IF(ISNUMBER(C196),C196^2,"")</x:f>
        <x:v>0.0000781680999076306</x:v>
      </x:c>
      <x:c r="E196" s="15" t="n">
        <x:f>IF(ISNUMBER(C196),C196^3,"")</x:f>
        <x:v>-6.911054742495124e-7</x:v>
      </x:c>
      <x:c r="F196" s="15" t="n">
        <x:f>IF(ISNUMBER(C196),C196^4,"")</x:f>
        <x:v>6.11025184316932e-9</x:v>
      </x:c>
      <x:c r="G196" s="7" t="n">
        <x:f>IF(ISNUMBER(B196),ABS(B196),"")</x:f>
        <x:v>0.008889511854668509</x:v>
      </x:c>
      <x:c r="H196" s="7" t="n">
        <x:f>IF(ISNUMBER(B196),B196^2,"")</x:f>
        <x:v>0.00007902342101429196</x:v>
      </x:c>
      <x:c r="I196" s="7" t="n">
        <x:f>IF(AND(ISNUMBER(G196),'요약'!$B$19),G196-'요약'!$B$14,"")</x:f>
        <x:v>0.0008759952272656534</x:v>
      </x:c>
      <x:c r="J196" s="7" t="n">
        <x:f>IF(AND(ISNUMBER(H196),'요약'!$B$19),H196-'요약'!$B$15,"")</x:f>
        <x:v>-0.000023186278171800147</x:v>
      </x:c>
      <x:c r="K196" t="n">
        <x:f>IF(ISNUMBER(B196),IF('Hill'!$B$4=1,IF(B196&lt;0,-B196,""),IF('Hill'!$B$4=2,IF(B196&gt;0,B196,""),IF('Hill'!$B$4=3,IF(B196&lt;&gt;0,ABS(B196),""),""))),"")</x:f>
        <x:v>0.008889511854668509</x:v>
      </x:c>
    </x:row>
    <x:row r="197">
      <x:c r="A197" t="n">
        <x:f>196</x:f>
        <x:v>196</x:v>
      </x:c>
      <x:c r="B197" s="7" t="n">
        <x:f>IF('요약'!$B$4=4,IF(ISNUMBER('input'!A197),'input'!A197,""),IF(196&lt;=1000,CHOOSE('요약'!$B$4,'input'!B197,'input'!C197,'input'!D197),""))</x:f>
        <x:v>-0.001631088292271387</x:v>
      </x:c>
      <x:c r="C197" s="7" t="n">
        <x:f>IF(AND(ISNUMBER(B197),'요약'!$B$19),B197-'요약'!$B$7,"")</x:f>
        <x:v>-0.0015828489652218855</x:v>
      </x:c>
      <x:c r="D197" s="7" t="n">
        <x:f>IF(ISNUMBER(C197),C197^2,"")</x:f>
        <x:v>0.0000025054108467039936</x:v>
      </x:c>
      <x:c r="E197" s="15" t="n">
        <x:f>IF(ISNUMBER(C197),C197^3,"")</x:f>
        <x:v>-3.965686966161104e-9</x:v>
      </x:c>
      <x:c r="F197" s="15" t="n">
        <x:f>IF(ISNUMBER(C197),C197^4,"")</x:f>
        <x:v>6.277083510782022e-12</x:v>
      </x:c>
      <x:c r="G197" s="7" t="n">
        <x:f>IF(ISNUMBER(B197),ABS(B197),"")</x:f>
        <x:v>0.001631088292271387</x:v>
      </x:c>
      <x:c r="H197" s="7" t="n">
        <x:f>IF(ISNUMBER(B197),B197^2,"")</x:f>
        <x:v>0.0000026604490171847894</x:v>
      </x:c>
      <x:c r="I197" s="7" t="n">
        <x:f>IF(AND(ISNUMBER(G197),'요약'!$B$19),G197-'요약'!$B$14,"")</x:f>
        <x:v>-0.0063824283351314685</x:v>
      </x:c>
      <x:c r="J197" s="7" t="n">
        <x:f>IF(AND(ISNUMBER(H197),'요약'!$B$19),H197-'요약'!$B$15,"")</x:f>
        <x:v>-0.00009954925016890731</x:v>
      </x:c>
      <x:c r="K197" t="n">
        <x:f>IF(ISNUMBER(B197),IF('Hill'!$B$4=1,IF(B197&lt;0,-B197,""),IF('Hill'!$B$4=2,IF(B197&gt;0,B197,""),IF('Hill'!$B$4=3,IF(B197&lt;&gt;0,ABS(B197),""),""))),"")</x:f>
        <x:v>0.001631088292271387</x:v>
      </x:c>
    </x:row>
    <x:row r="198">
      <x:c r="A198" t="n">
        <x:f>197</x:f>
        <x:v>197</x:v>
      </x:c>
      <x:c r="B198" s="7" t="n">
        <x:f>IF('요약'!$B$4=4,IF(ISNUMBER('input'!A198),'input'!A198,""),IF(197&lt;=1000,CHOOSE('요약'!$B$4,'input'!B198,'input'!C198,'input'!D198),""))</x:f>
        <x:v>0.0017756007242508505</x:v>
      </x:c>
      <x:c r="C198" s="7" t="n">
        <x:f>IF(AND(ISNUMBER(B198),'요약'!$B$19),B198-'요약'!$B$7,"")</x:f>
        <x:v>0.001823840051300352</x:v>
      </x:c>
      <x:c r="D198" s="7" t="n">
        <x:f>IF(ISNUMBER(C198),C198^2,"")</x:f>
        <x:v>0.0000033263925327272706</x:v>
      </x:c>
      <x:c r="E198" s="15" t="n">
        <x:f>IF(ISNUMBER(C198),C198^3,"")</x:f>
        <x:v>6.066807927534413e-9</x:v>
      </x:c>
      <x:c r="F198" s="15" t="n">
        <x:f>IF(ISNUMBER(C198),C198^4,"")</x:f>
        <x:v>1.1064887281783745e-11</x:v>
      </x:c>
      <x:c r="G198" s="7" t="n">
        <x:f>IF(ISNUMBER(B198),ABS(B198),"")</x:f>
        <x:v>0.0017756007242508505</x:v>
      </x:c>
      <x:c r="H198" s="7" t="n">
        <x:f>IF(ISNUMBER(B198),B198^2,"")</x:f>
        <x:v>0.000003152757931960145</x:v>
      </x:c>
      <x:c r="I198" s="7" t="n">
        <x:f>IF(AND(ISNUMBER(G198),'요약'!$B$19),G198-'요약'!$B$14,"")</x:f>
        <x:v>-0.006237915903152005</x:v>
      </x:c>
      <x:c r="J198" s="7" t="n">
        <x:f>IF(AND(ISNUMBER(H198),'요약'!$B$19),H198-'요약'!$B$15,"")</x:f>
        <x:v>-0.00009905694125413196</x:v>
      </x:c>
      <x:c r="K198" t="str">
        <x:f>IF(ISNUMBER(B198),IF('Hill'!$B$4=1,IF(B198&lt;0,-B198,""),IF('Hill'!$B$4=2,IF(B198&gt;0,B198,""),IF('Hill'!$B$4=3,IF(B198&lt;&gt;0,ABS(B198),""),""))),"")</x:f>
      </x:c>
    </x:row>
    <x:row r="199">
      <x:c r="A199" t="n">
        <x:f>198</x:f>
        <x:v>198</x:v>
      </x:c>
      <x:c r="B199" s="7" t="n">
        <x:f>IF('요약'!$B$4=4,IF(ISNUMBER('input'!A199),'input'!A199,""),IF(198&lt;=1000,CHOOSE('요약'!$B$4,'input'!B199,'input'!C199,'input'!D199),""))</x:f>
        <x:v>0.024742450031842354</x:v>
      </x:c>
      <x:c r="C199" s="7" t="n">
        <x:f>IF(AND(ISNUMBER(B199),'요약'!$B$19),B199-'요약'!$B$7,"")</x:f>
        <x:v>0.024790689358891855</x:v>
      </x:c>
      <x:c r="D199" s="7" t="n">
        <x:f>IF(ISNUMBER(C199),C199^2,"")</x:f>
        <x:v>0.0006145782788890739</x:v>
      </x:c>
      <x:c r="E199" s="15" t="n">
        <x:f>IF(ISNUMBER(C199),C199^3,"")</x:f>
        <x:v>0.000015235819198661433</x:v>
      </x:c>
      <x:c r="F199" s="15" t="n">
        <x:f>IF(ISNUMBER(C199),C199^4,"")</x:f>
        <x:v>3.777064608822562e-7</x:v>
      </x:c>
      <x:c r="G199" s="7" t="n">
        <x:f>IF(ISNUMBER(B199),ABS(B199),"")</x:f>
        <x:v>0.024742450031842354</x:v>
      </x:c>
      <x:c r="H199" s="7" t="n">
        <x:f>IF(ISNUMBER(B199),B199^2,"")</x:f>
        <x:v>0.0006121888335782157</x:v>
      </x:c>
      <x:c r="I199" s="7" t="n">
        <x:f>IF(AND(ISNUMBER(G199),'요약'!$B$19),G199-'요약'!$B$14,"")</x:f>
        <x:v>0.016728933404439497</x:v>
      </x:c>
      <x:c r="J199" s="7" t="n">
        <x:f>IF(AND(ISNUMBER(H199),'요약'!$B$19),H199-'요약'!$B$15,"")</x:f>
        <x:v>0.0005099791343921237</x:v>
      </x:c>
      <x:c r="K199" t="str">
        <x:f>IF(ISNUMBER(B199),IF('Hill'!$B$4=1,IF(B199&lt;0,-B199,""),IF('Hill'!$B$4=2,IF(B199&gt;0,B199,""),IF('Hill'!$B$4=3,IF(B199&lt;&gt;0,ABS(B199),""),""))),"")</x:f>
      </x:c>
    </x:row>
    <x:row r="200">
      <x:c r="A200" t="n">
        <x:f>199</x:f>
        <x:v>199</x:v>
      </x:c>
      <x:c r="B200" s="7" t="n">
        <x:f>IF('요약'!$B$4=4,IF(ISNUMBER('input'!A200),'input'!A200,""),IF(199&lt;=1000,CHOOSE('요약'!$B$4,'input'!B200,'input'!C200,'input'!D200),""))</x:f>
        <x:v>0.011677656125944782</x:v>
      </x:c>
      <x:c r="C200" s="7" t="n">
        <x:f>IF(AND(ISNUMBER(B200),'요약'!$B$19),B200-'요약'!$B$7,"")</x:f>
        <x:v>0.011725895452994283</x:v>
      </x:c>
      <x:c r="D200" s="7" t="n">
        <x:f>IF(ISNUMBER(C200),C200^2,"")</x:f>
        <x:v>0.000137496624174552</x:v>
      </x:c>
      <x:c r="E200" s="15" t="n">
        <x:f>IF(ISNUMBER(C200),C200^3,"")</x:f>
        <x:v>0.000001612271040210443</x:v>
      </x:c>
      <x:c r="F200" s="15" t="n">
        <x:f>IF(ISNUMBER(C200),C200^4,"")</x:f>
        <x:v>1.8905321659397996e-8</x:v>
      </x:c>
      <x:c r="G200" s="7" t="n">
        <x:f>IF(ISNUMBER(B200),ABS(B200),"")</x:f>
        <x:v>0.011677656125944782</x:v>
      </x:c>
      <x:c r="H200" s="7" t="n">
        <x:f>IF(ISNUMBER(B200),B200^2,"")</x:f>
        <x:v>0.0001363676525958157</x:v>
      </x:c>
      <x:c r="I200" s="7" t="n">
        <x:f>IF(AND(ISNUMBER(G200),'요약'!$B$19),G200-'요약'!$B$14,"")</x:f>
        <x:v>0.0036641394985419268</x:v>
      </x:c>
      <x:c r="J200" s="7" t="n">
        <x:f>IF(AND(ISNUMBER(H200),'요약'!$B$19),H200-'요약'!$B$15,"")</x:f>
        <x:v>0.000034157953409723584</x:v>
      </x:c>
      <x:c r="K200" t="str">
        <x:f>IF(ISNUMBER(B200),IF('Hill'!$B$4=1,IF(B200&lt;0,-B200,""),IF('Hill'!$B$4=2,IF(B200&gt;0,B200,""),IF('Hill'!$B$4=3,IF(B200&lt;&gt;0,ABS(B200),""),""))),"")</x:f>
      </x:c>
    </x:row>
    <x:row r="201">
      <x:c r="A201" t="n">
        <x:f>200</x:f>
        <x:v>200</x:v>
      </x:c>
      <x:c r="B201" s="7" t="n">
        <x:f>IF('요약'!$B$4=4,IF(ISNUMBER('input'!A201),'input'!A201,""),IF(200&lt;=1000,CHOOSE('요약'!$B$4,'input'!B201,'input'!C201,'input'!D201),""))</x:f>
        <x:v>0.009134843029605117</x:v>
      </x:c>
      <x:c r="C201" s="7" t="n">
        <x:f>IF(AND(ISNUMBER(B201),'요약'!$B$19),B201-'요약'!$B$7,"")</x:f>
        <x:v>0.009183082356654618</x:v>
      </x:c>
      <x:c r="D201" s="7" t="n">
        <x:f>IF(ISNUMBER(C201),C201^2,"")</x:f>
        <x:v>0.00008432900156910133</x:v>
      </x:c>
      <x:c r="E201" s="15" t="n">
        <x:f>IF(ISNUMBER(C201),C201^3,"")</x:f>
        <x:v>7.744001664635139e-7</x:v>
      </x:c>
      <x:c r="F201" s="15" t="n">
        <x:f>IF(ISNUMBER(C201),C201^4,"")</x:f>
        <x:v>7.111380505641494e-9</x:v>
      </x:c>
      <x:c r="G201" s="7" t="n">
        <x:f>IF(ISNUMBER(B201),ABS(B201),"")</x:f>
        <x:v>0.009134843029605117</x:v>
      </x:c>
      <x:c r="H201" s="7" t="n">
        <x:f>IF(ISNUMBER(B201),B201^2,"")</x:f>
        <x:v>0.0000834453571755252</x:v>
      </x:c>
      <x:c r="I201" s="7" t="n">
        <x:f>IF(AND(ISNUMBER(G201),'요약'!$B$19),G201-'요약'!$B$14,"")</x:f>
        <x:v>0.0011213264022022617</x:v>
      </x:c>
      <x:c r="J201" s="7" t="n">
        <x:f>IF(AND(ISNUMBER(H201),'요약'!$B$19),H201-'요약'!$B$15,"")</x:f>
        <x:v>-0.000018764342010566906</x:v>
      </x:c>
      <x:c r="K201" t="str">
        <x:f>IF(ISNUMBER(B201),IF('Hill'!$B$4=1,IF(B201&lt;0,-B201,""),IF('Hill'!$B$4=2,IF(B201&gt;0,B201,""),IF('Hill'!$B$4=3,IF(B201&lt;&gt;0,ABS(B201),""),""))),"")</x:f>
      </x:c>
    </x:row>
    <x:row r="202">
      <x:c r="A202" t="n">
        <x:f>201</x:f>
        <x:v>201</x:v>
      </x:c>
      <x:c r="B202" s="7" t="n">
        <x:f>IF('요약'!$B$4=4,IF(ISNUMBER('input'!A202),'input'!A202,""),IF(201&lt;=1000,CHOOSE('요약'!$B$4,'input'!B202,'input'!C202,'input'!D202),""))</x:f>
        <x:v>-0.008277830100517882</x:v>
      </x:c>
      <x:c r="C202" s="7" t="n">
        <x:f>IF(AND(ISNUMBER(B202),'요약'!$B$19),B202-'요약'!$B$7,"")</x:f>
        <x:v>-0.008229590773468382</x:v>
      </x:c>
      <x:c r="D202" s="7" t="n">
        <x:f>IF(ISNUMBER(C202),C202^2,"")</x:f>
        <x:v>0.00006772616429875591</x:v>
      </x:c>
      <x:c r="E202" s="15" t="n">
        <x:f>IF(ISNUMBER(C202),C202^3,"")</x:f>
        <x:v>-5.573586168354454e-7</x:v>
      </x:c>
      <x:c r="F202" s="15" t="n">
        <x:f>IF(ISNUMBER(C202),C202^4,"")</x:f>
        <x:v>4.5868333306220805e-9</x:v>
      </x:c>
      <x:c r="G202" s="7" t="n">
        <x:f>IF(ISNUMBER(B202),ABS(B202),"")</x:f>
        <x:v>0.008277830100517882</x:v>
      </x:c>
      <x:c r="H202" s="7" t="n">
        <x:f>IF(ISNUMBER(B202),B202^2,"")</x:f>
        <x:v>0.0000685224711730399</x:v>
      </x:c>
      <x:c r="I202" s="7" t="n">
        <x:f>IF(AND(ISNUMBER(G202),'요약'!$B$19),G202-'요약'!$B$14,"")</x:f>
        <x:v>0.0002643134731150267</x:v>
      </x:c>
      <x:c r="J202" s="7" t="n">
        <x:f>IF(AND(ISNUMBER(H202),'요약'!$B$19),H202-'요약'!$B$15,"")</x:f>
        <x:v>-0.00003368722801305221</x:v>
      </x:c>
      <x:c r="K202" t="n">
        <x:f>IF(ISNUMBER(B202),IF('Hill'!$B$4=1,IF(B202&lt;0,-B202,""),IF('Hill'!$B$4=2,IF(B202&gt;0,B202,""),IF('Hill'!$B$4=3,IF(B202&lt;&gt;0,ABS(B202),""),""))),"")</x:f>
        <x:v>0.008277830100517882</x:v>
      </x:c>
    </x:row>
    <x:row r="203">
      <x:c r="A203" t="n">
        <x:f>202</x:f>
        <x:v>202</x:v>
      </x:c>
      <x:c r="B203" s="7" t="n">
        <x:f>IF('요약'!$B$4=4,IF(ISNUMBER('input'!A203),'input'!A203,""),IF(202&lt;=1000,CHOOSE('요약'!$B$4,'input'!B203,'input'!C203,'input'!D203),""))</x:f>
        <x:v>0.004391011372287299</x:v>
      </x:c>
      <x:c r="C203" s="7" t="n">
        <x:f>IF(AND(ISNUMBER(B203),'요약'!$B$19),B203-'요약'!$B$7,"")</x:f>
        <x:v>0.004439250699336801</x:v>
      </x:c>
      <x:c r="D203" s="7" t="n">
        <x:f>IF(ISNUMBER(C203),C203^2,"")</x:f>
        <x:v>0.000019706946771562276</x:v>
      </x:c>
      <x:c r="E203" s="15" t="n">
        <x:f>IF(ISNUMBER(C203),C203^3,"")</x:f>
        <x:v>8.748407723745094e-8</x:v>
      </x:c>
      <x:c r="F203" s="15" t="n">
        <x:f>IF(ISNUMBER(C203),C203^4,"")</x:f>
        <x:v>3.883637510571888e-10</x:v>
      </x:c>
      <x:c r="G203" s="7" t="n">
        <x:f>IF(ISNUMBER(B203),ABS(B203),"")</x:f>
        <x:v>0.004391011372287299</x:v>
      </x:c>
      <x:c r="H203" s="7" t="n">
        <x:f>IF(ISNUMBER(B203),B203^2,"")</x:f>
        <x:v>0.00001928098087155639</x:v>
      </x:c>
      <x:c r="I203" s="7" t="n">
        <x:f>IF(AND(ISNUMBER(G203),'요약'!$B$19),G203-'요약'!$B$14,"")</x:f>
        <x:v>-0.003622505255115556</x:v>
      </x:c>
      <x:c r="J203" s="7" t="n">
        <x:f>IF(AND(ISNUMBER(H203),'요약'!$B$19),H203-'요약'!$B$15,"")</x:f>
        <x:v>-0.00008292871831453572</x:v>
      </x:c>
      <x:c r="K203" t="str">
        <x:f>IF(ISNUMBER(B203),IF('Hill'!$B$4=1,IF(B203&lt;0,-B203,""),IF('Hill'!$B$4=2,IF(B203&gt;0,B203,""),IF('Hill'!$B$4=3,IF(B203&lt;&gt;0,ABS(B203),""),""))),"")</x:f>
      </x:c>
    </x:row>
    <x:row r="204">
      <x:c r="A204" t="n">
        <x:f>203</x:f>
        <x:v>203</x:v>
      </x:c>
      <x:c r="B204" s="7" t="n">
        <x:f>IF('요약'!$B$4=4,IF(ISNUMBER('input'!A204),'input'!A204,""),IF(203&lt;=1000,CHOOSE('요약'!$B$4,'input'!B204,'input'!C204,'input'!D204),""))</x:f>
        <x:v>0.011674840158858599</x:v>
      </x:c>
      <x:c r="C204" s="7" t="n">
        <x:f>IF(AND(ISNUMBER(B204),'요약'!$B$19),B204-'요약'!$B$7,"")</x:f>
        <x:v>0.0117230794859081</x:v>
      </x:c>
      <x:c r="D204" s="7" t="n">
        <x:f>IF(ISNUMBER(C204),C204^2,"")</x:f>
        <x:v>0.00013743059263291932</x:v>
      </x:c>
      <x:c r="E204" s="15" t="n">
        <x:f>IF(ISNUMBER(C204),C204^3,"")</x:f>
        <x:v>0.0000016111097612311691</x:v>
      </x:c>
      <x:c r="F204" s="15" t="n">
        <x:f>IF(ISNUMBER(C204),C204^4,"")</x:f>
        <x:v>1.8887167791435414e-8</x:v>
      </x:c>
      <x:c r="G204" s="7" t="n">
        <x:f>IF(ISNUMBER(B204),ABS(B204),"")</x:f>
        <x:v>0.011674840158858599</x:v>
      </x:c>
      <x:c r="H204" s="7" t="n">
        <x:f>IF(ISNUMBER(B204),B204^2,"")</x:f>
        <x:v>0.00013630189273489748</x:v>
      </x:c>
      <x:c r="I204" s="7" t="n">
        <x:f>IF(AND(ISNUMBER(G204),'요약'!$B$19),G204-'요약'!$B$14,"")</x:f>
        <x:v>0.0036613235314557433</x:v>
      </x:c>
      <x:c r="J204" s="7" t="n">
        <x:f>IF(AND(ISNUMBER(H204),'요약'!$B$19),H204-'요약'!$B$15,"")</x:f>
        <x:v>0.00003409219354880537</x:v>
      </x:c>
      <x:c r="K204" t="str">
        <x:f>IF(ISNUMBER(B204),IF('Hill'!$B$4=1,IF(B204&lt;0,-B204,""),IF('Hill'!$B$4=2,IF(B204&gt;0,B204,""),IF('Hill'!$B$4=3,IF(B204&lt;&gt;0,ABS(B204),""),""))),"")</x:f>
      </x:c>
    </x:row>
    <x:row r="205">
      <x:c r="A205" t="n">
        <x:f>204</x:f>
        <x:v>204</x:v>
      </x:c>
      <x:c r="B205" s="7" t="n">
        <x:f>IF('요약'!$B$4=4,IF(ISNUMBER('input'!A205),'input'!A205,""),IF(204&lt;=1000,CHOOSE('요약'!$B$4,'input'!B205,'input'!C205,'input'!D205),""))</x:f>
        <x:v>0.0061229495111237665</x:v>
      </x:c>
      <x:c r="C205" s="7" t="n">
        <x:f>IF(AND(ISNUMBER(B205),'요약'!$B$19),B205-'요약'!$B$7,"")</x:f>
        <x:v>0.006171188838173268</x:v>
      </x:c>
      <x:c r="D205" s="7" t="n">
        <x:f>IF(ISNUMBER(C205),C205^2,"")</x:f>
        <x:v>0.00003808357167639433</x:v>
      </x:c>
      <x:c r="E205" s="15" t="n">
        <x:f>IF(ISNUMBER(C205),C205^3,"")</x:f>
        <x:v>2.350209124471363e-7</x:v>
      </x:c>
      <x:c r="F205" s="15" t="n">
        <x:f>IF(ISNUMBER(C205),C205^4,"")</x:f>
        <x:v>1.4503584316310643e-9</x:v>
      </x:c>
      <x:c r="G205" s="7" t="n">
        <x:f>IF(ISNUMBER(B205),ABS(B205),"")</x:f>
        <x:v>0.0061229495111237665</x:v>
      </x:c>
      <x:c r="H205" s="7" t="n">
        <x:f>IF(ISNUMBER(B205),B205^2,"")</x:f>
        <x:v>0.00003749051071577077</x:v>
      </x:c>
      <x:c r="I205" s="7" t="n">
        <x:f>IF(AND(ISNUMBER(G205),'요약'!$B$19),G205-'요약'!$B$14,"")</x:f>
        <x:v>-0.001890567116279089</x:v>
      </x:c>
      <x:c r="J205" s="7" t="n">
        <x:f>IF(AND(ISNUMBER(H205),'요약'!$B$19),H205-'요약'!$B$15,"")</x:f>
        <x:v>-0.00006471918847032133</x:v>
      </x:c>
      <x:c r="K205" t="str">
        <x:f>IF(ISNUMBER(B205),IF('Hill'!$B$4=1,IF(B205&lt;0,-B205,""),IF('Hill'!$B$4=2,IF(B205&gt;0,B205,""),IF('Hill'!$B$4=3,IF(B205&lt;&gt;0,ABS(B205),""),""))),"")</x:f>
      </x:c>
    </x:row>
    <x:row r="206">
      <x:c r="A206" t="n">
        <x:f>205</x:f>
        <x:v>205</x:v>
      </x:c>
      <x:c r="B206" s="7" t="n">
        <x:f>IF('요약'!$B$4=4,IF(ISNUMBER('input'!A206),'input'!A206,""),IF(205&lt;=1000,CHOOSE('요약'!$B$4,'input'!B206,'input'!C206,'input'!D206),""))</x:f>
        <x:v>0.0018691218890763159</x:v>
      </x:c>
      <x:c r="C206" s="7" t="n">
        <x:f>IF(AND(ISNUMBER(B206),'요약'!$B$19),B206-'요약'!$B$7,"")</x:f>
        <x:v>0.0019173612161258174</x:v>
      </x:c>
      <x:c r="D206" s="7" t="n">
        <x:f>IF(ISNUMBER(C206),C206^2,"")</x:f>
        <x:v>0.000003676274033103473</x:v>
      </x:c>
      <x:c r="E206" s="15" t="n">
        <x:f>IF(ISNUMBER(C206),C206^3,"")</x:f>
        <x:v>7.048745250923039e-9</x:v>
      </x:c>
      <x:c r="F206" s="15" t="n">
        <x:f>IF(ISNUMBER(C206),C206^4,"")</x:f>
        <x:v>1.3514990766470878e-11</x:v>
      </x:c>
      <x:c r="G206" s="7" t="n">
        <x:f>IF(ISNUMBER(B206),ABS(B206),"")</x:f>
        <x:v>0.0018691218890763159</x:v>
      </x:c>
      <x:c r="H206" s="7" t="n">
        <x:f>IF(ISNUMBER(B206),B206^2,"")</x:f>
        <x:v>0.0000034936166362242156</x:v>
      </x:c>
      <x:c r="I206" s="7" t="n">
        <x:f>IF(AND(ISNUMBER(G206),'요약'!$B$19),G206-'요약'!$B$14,"")</x:f>
        <x:v>-0.00614439473832654</x:v>
      </x:c>
      <x:c r="J206" s="7" t="n">
        <x:f>IF(AND(ISNUMBER(H206),'요약'!$B$19),H206-'요약'!$B$15,"")</x:f>
        <x:v>-0.00009871608254986788</x:v>
      </x:c>
      <x:c r="K206" t="str">
        <x:f>IF(ISNUMBER(B206),IF('Hill'!$B$4=1,IF(B206&lt;0,-B206,""),IF('Hill'!$B$4=2,IF(B206&gt;0,B206,""),IF('Hill'!$B$4=3,IF(B206&lt;&gt;0,ABS(B206),""),""))),"")</x:f>
      </x:c>
    </x:row>
    <x:row r="207">
      <x:c r="A207" t="n">
        <x:f>206</x:f>
        <x:v>206</x:v>
      </x:c>
      <x:c r="B207" s="7" t="n">
        <x:f>IF('요약'!$B$4=4,IF(ISNUMBER('input'!A207),'input'!A207,""),IF(206&lt;=1000,CHOOSE('요약'!$B$4,'input'!B207,'input'!C207,'input'!D207),""))</x:f>
        <x:v>0.005717496622507002</x:v>
      </x:c>
      <x:c r="C207" s="7" t="n">
        <x:f>IF(AND(ISNUMBER(B207),'요약'!$B$19),B207-'요약'!$B$7,"")</x:f>
        <x:v>0.005765735949556504</x:v>
      </x:c>
      <x:c r="D207" s="7" t="n">
        <x:f>IF(ISNUMBER(C207),C207^2,"")</x:f>
        <x:v>0.00003324371104000824</x:v>
      </x:c>
      <x:c r="E207" s="15" t="n">
        <x:f>IF(ISNUMBER(C207),C207^3,"")</x:f>
        <x:v>1.9167445984004394e-7</x:v>
      </x:c>
      <x:c r="F207" s="15" t="n">
        <x:f>IF(ISNUMBER(C207),C207^4,"")</x:f>
        <x:v>1.1051443237115656e-9</x:v>
      </x:c>
      <x:c r="G207" s="7" t="n">
        <x:f>IF(ISNUMBER(B207),ABS(B207),"")</x:f>
        <x:v>0.005717496622507002</x:v>
      </x:c>
      <x:c r="H207" s="7" t="n">
        <x:f>IF(ISNUMBER(B207),B207^2,"")</x:f>
        <x:v>0.00003268976762837898</x:v>
      </x:c>
      <x:c r="I207" s="7" t="n">
        <x:f>IF(AND(ISNUMBER(G207),'요약'!$B$19),G207-'요약'!$B$14,"")</x:f>
        <x:v>-0.002296020004895853</x:v>
      </x:c>
      <x:c r="J207" s="7" t="n">
        <x:f>IF(AND(ISNUMBER(H207),'요약'!$B$19),H207-'요약'!$B$15,"")</x:f>
        <x:v>-0.00006951993155771313</x:v>
      </x:c>
      <x:c r="K207" t="str">
        <x:f>IF(ISNUMBER(B207),IF('Hill'!$B$4=1,IF(B207&lt;0,-B207,""),IF('Hill'!$B$4=2,IF(B207&gt;0,B207,""),IF('Hill'!$B$4=3,IF(B207&lt;&gt;0,ABS(B207),""),""))),"")</x:f>
      </x:c>
    </x:row>
    <x:row r="208">
      <x:c r="A208" t="n">
        <x:f>207</x:f>
        <x:v>207</x:v>
      </x:c>
      <x:c r="B208" s="7" t="n">
        <x:f>IF('요약'!$B$4=4,IF(ISNUMBER('input'!A208),'input'!A208,""),IF(207&lt;=1000,CHOOSE('요약'!$B$4,'input'!B208,'input'!C208,'input'!D208),""))</x:f>
        <x:v>-0.0009273941829693723</x:v>
      </x:c>
      <x:c r="C208" s="7" t="n">
        <x:f>IF(AND(ISNUMBER(B208),'요약'!$B$19),B208-'요약'!$B$7,"")</x:f>
        <x:v>-0.0008791548559198709</x:v>
      </x:c>
      <x:c r="D208" s="7" t="n">
        <x:f>IF(ISNUMBER(C208),C208^2,"")</x:f>
        <x:v>7.729132606874891e-7</x:v>
      </x:c>
      <x:c r="E208" s="15" t="n">
        <x:f>IF(ISNUMBER(C208),C208^3,"")</x:f>
        <x:v>-6.795104463382671e-10</x:v>
      </x:c>
      <x:c r="F208" s="15" t="n">
        <x:f>IF(ISNUMBER(C208),C208^4,"")</x:f>
        <x:v>5.973949085465663e-13</x:v>
      </x:c>
      <x:c r="G208" s="7" t="n">
        <x:f>IF(ISNUMBER(B208),ABS(B208),"")</x:f>
        <x:v>0.0009273941829693723</x:v>
      </x:c>
      <x:c r="H208" s="7" t="n">
        <x:f>IF(ISNUMBER(B208),B208^2,"")</x:f>
        <x:v>8.600599706054296e-7</x:v>
      </x:c>
      <x:c r="I208" s="7" t="n">
        <x:f>IF(AND(ISNUMBER(G208),'요약'!$B$19),G208-'요약'!$B$14,"")</x:f>
        <x:v>-0.007086122444433483</x:v>
      </x:c>
      <x:c r="J208" s="7" t="n">
        <x:f>IF(AND(ISNUMBER(H208),'요약'!$B$19),H208-'요약'!$B$15,"")</x:f>
        <x:v>-0.00010134963921548668</x:v>
      </x:c>
      <x:c r="K208" t="n">
        <x:f>IF(ISNUMBER(B208),IF('Hill'!$B$4=1,IF(B208&lt;0,-B208,""),IF('Hill'!$B$4=2,IF(B208&gt;0,B208,""),IF('Hill'!$B$4=3,IF(B208&lt;&gt;0,ABS(B208),""),""))),"")</x:f>
        <x:v>0.0009273941829693723</x:v>
      </x:c>
    </x:row>
    <x:row r="209">
      <x:c r="A209" t="n">
        <x:f>208</x:f>
        <x:v>208</x:v>
      </x:c>
      <x:c r="B209" s="7" t="n">
        <x:f>IF('요약'!$B$4=4,IF(ISNUMBER('input'!A209),'input'!A209,""),IF(208&lt;=1000,CHOOSE('요약'!$B$4,'input'!B209,'input'!C209,'input'!D209),""))</x:f>
        <x:v>0.011078761682720244</x:v>
      </x:c>
      <x:c r="C209" s="7" t="n">
        <x:f>IF(AND(ISNUMBER(B209),'요약'!$B$19),B209-'요약'!$B$7,"")</x:f>
        <x:v>0.011127001009769745</x:v>
      </x:c>
      <x:c r="D209" s="7" t="n">
        <x:f>IF(ISNUMBER(C209),C209^2,"")</x:f>
        <x:v>0.00012381015147141692</x:v>
      </x:c>
      <x:c r="E209" s="15" t="n">
        <x:f>IF(ISNUMBER(C209),C209^3,"")</x:f>
        <x:v>0.0000013776356804422012</x:v>
      </x:c>
      <x:c r="F209" s="15" t="n">
        <x:f>IF(ISNUMBER(C209),C209^4,"")</x:f>
        <x:v>1.53289536073752e-8</x:v>
      </x:c>
      <x:c r="G209" s="7" t="n">
        <x:f>IF(ISNUMBER(B209),ABS(B209),"")</x:f>
        <x:v>0.011078761682720244</x:v>
      </x:c>
      <x:c r="H209" s="7" t="n">
        <x:f>IF(ISNUMBER(B209),B209^2,"")</x:f>
        <x:v>0.0001227389604225103</x:v>
      </x:c>
      <x:c r="I209" s="7" t="n">
        <x:f>IF(AND(ISNUMBER(G209),'요약'!$B$19),G209-'요약'!$B$14,"")</x:f>
        <x:v>0.003065245055317389</x:v>
      </x:c>
      <x:c r="J209" s="7" t="n">
        <x:f>IF(AND(ISNUMBER(H209),'요약'!$B$19),H209-'요약'!$B$15,"")</x:f>
        <x:v>0.000020529261236418192</x:v>
      </x:c>
      <x:c r="K209" t="str">
        <x:f>IF(ISNUMBER(B209),IF('Hill'!$B$4=1,IF(B209&lt;0,-B209,""),IF('Hill'!$B$4=2,IF(B209&gt;0,B209,""),IF('Hill'!$B$4=3,IF(B209&lt;&gt;0,ABS(B209),""),""))),"")</x:f>
      </x:c>
    </x:row>
    <x:row r="210">
      <x:c r="A210" t="n">
        <x:f>209</x:f>
        <x:v>209</x:v>
      </x:c>
      <x:c r="B210" s="7" t="n">
        <x:f>IF('요약'!$B$4=4,IF(ISNUMBER('input'!A210),'input'!A210,""),IF(209&lt;=1000,CHOOSE('요약'!$B$4,'input'!B210,'input'!C210,'input'!D210),""))</x:f>
        <x:v>0.014089953310765003</x:v>
      </x:c>
      <x:c r="C210" s="7" t="n">
        <x:f>IF(AND(ISNUMBER(B210),'요약'!$B$19),B210-'요약'!$B$7,"")</x:f>
        <x:v>0.014138192637814503</x:v>
      </x:c>
      <x:c r="D210" s="7" t="n">
        <x:f>IF(ISNUMBER(C210),C210^2,"")</x:f>
        <x:v>0.00019988849106395223</x:v>
      </x:c>
      <x:c r="E210" s="15" t="n">
        <x:f>IF(ISNUMBER(C210),C210^3,"")</x:f>
        <x:v>0.0000028260619927442194</x:v>
      </x:c>
      <x:c r="F210" s="15" t="n">
        <x:f>IF(ISNUMBER(C210),C210^4,"")</x:f>
        <x:v>3.995540885982371e-8</x:v>
      </x:c>
      <x:c r="G210" s="7" t="n">
        <x:f>IF(ISNUMBER(B210),ABS(B210),"")</x:f>
        <x:v>0.014089953310765003</x:v>
      </x:c>
      <x:c r="H210" s="7" t="n">
        <x:f>IF(ISNUMBER(B210),B210^2,"")</x:f>
        <x:v>0.00019852678429953767</x:v>
      </x:c>
      <x:c r="I210" s="7" t="n">
        <x:f>IF(AND(ISNUMBER(G210),'요약'!$B$19),G210-'요약'!$B$14,"")</x:f>
        <x:v>0.006076436683362147</x:v>
      </x:c>
      <x:c r="J210" s="7" t="n">
        <x:f>IF(AND(ISNUMBER(H210),'요약'!$B$19),H210-'요약'!$B$15,"")</x:f>
        <x:v>0.00009631708511344557</x:v>
      </x:c>
      <x:c r="K210" t="str">
        <x:f>IF(ISNUMBER(B210),IF('Hill'!$B$4=1,IF(B210&lt;0,-B210,""),IF('Hill'!$B$4=2,IF(B210&gt;0,B210,""),IF('Hill'!$B$4=3,IF(B210&lt;&gt;0,ABS(B210),""),""))),"")</x:f>
      </x:c>
    </x:row>
    <x:row r="211">
      <x:c r="A211" t="n">
        <x:f>210</x:f>
        <x:v>210</x:v>
      </x:c>
      <x:c r="B211" s="7" t="n">
        <x:f>IF('요약'!$B$4=4,IF(ISNUMBER('input'!A211),'input'!A211,""),IF(210&lt;=1000,CHOOSE('요약'!$B$4,'input'!B211,'input'!C211,'input'!D211),""))</x:f>
        <x:v>-0.025405820917670463</x:v>
      </x:c>
      <x:c r="C211" s="7" t="n">
        <x:f>IF(AND(ISNUMBER(B211),'요약'!$B$19),B211-'요약'!$B$7,"")</x:f>
        <x:v>-0.025357581590620962</x:v>
      </x:c>
      <x:c r="D211" s="7" t="n">
        <x:f>IF(ISNUMBER(C211),C211^2,"")</x:f>
        <x:v>0.0006430069441249991</x:v>
      </x:c>
      <x:c r="E211" s="15" t="n">
        <x:f>IF(ISNUMBER(C211),C211^3,"")</x:f>
        <x:v>-0.00001630510104898552</x:v>
      </x:c>
      <x:c r="F211" s="15" t="n">
        <x:f>IF(ISNUMBER(C211),C211^4,"")</x:f>
        <x:v>4.134579301929698e-7</x:v>
      </x:c>
      <x:c r="G211" s="7" t="n">
        <x:f>IF(ISNUMBER(B211),ABS(B211),"")</x:f>
        <x:v>0.025405820917670463</x:v>
      </x:c>
      <x:c r="H211" s="7" t="n">
        <x:f>IF(ISNUMBER(B211),B211^2,"")</x:f>
        <x:v>0.0006454557365007421</x:v>
      </x:c>
      <x:c r="I211" s="7" t="n">
        <x:f>IF(AND(ISNUMBER(G211),'요약'!$B$19),G211-'요약'!$B$14,"")</x:f>
        <x:v>0.017392304290267606</x:v>
      </x:c>
      <x:c r="J211" s="7" t="n">
        <x:f>IF(AND(ISNUMBER(H211),'요약'!$B$19),H211-'요약'!$B$15,"")</x:f>
        <x:v>0.00054324603731465</x:v>
      </x:c>
      <x:c r="K211" t="n">
        <x:f>IF(ISNUMBER(B211),IF('Hill'!$B$4=1,IF(B211&lt;0,-B211,""),IF('Hill'!$B$4=2,IF(B211&gt;0,B211,""),IF('Hill'!$B$4=3,IF(B211&lt;&gt;0,ABS(B211),""),""))),"")</x:f>
        <x:v>0.025405820917670463</x:v>
      </x:c>
    </x:row>
    <x:row r="212">
      <x:c r="A212" t="n">
        <x:f>211</x:f>
        <x:v>211</x:v>
      </x:c>
      <x:c r="B212" s="7" t="n">
        <x:f>IF('요약'!$B$4=4,IF(ISNUMBER('input'!A212),'input'!A212,""),IF(211&lt;=1000,CHOOSE('요약'!$B$4,'input'!B212,'input'!C212,'input'!D212),""))</x:f>
        <x:v>0.006982569806328097</x:v>
      </x:c>
      <x:c r="C212" s="7" t="n">
        <x:f>IF(AND(ISNUMBER(B212),'요약'!$B$19),B212-'요약'!$B$7,"")</x:f>
        <x:v>0.007030809133377599</x:v>
      </x:c>
      <x:c r="D212" s="7" t="n">
        <x:f>IF(ISNUMBER(C212),C212^2,"")</x:f>
        <x:v>0.00004943227706998586</x:v>
      </x:c>
      <x:c r="E212" s="15" t="n">
        <x:f>IF(ISNUMBER(C212),C212^3,"")</x:f>
        <x:v>3.4754890510730866e-7</x:v>
      </x:c>
      <x:c r="F212" s="15" t="n">
        <x:f>IF(ISNUMBER(C212),C212^4,"")</x:f>
        <x:v>2.44355001632385e-9</x:v>
      </x:c>
      <x:c r="G212" s="7" t="n">
        <x:f>IF(ISNUMBER(B212),ABS(B212),"")</x:f>
        <x:v>0.006982569806328097</x:v>
      </x:c>
      <x:c r="H212" s="7" t="n">
        <x:f>IF(ISNUMBER(B212),B212^2,"")</x:f>
        <x:v>0.000048756281100244805</x:v>
      </x:c>
      <x:c r="I212" s="7" t="n">
        <x:f>IF(AND(ISNUMBER(G212),'요약'!$B$19),G212-'요약'!$B$14,"")</x:f>
        <x:v>-0.0010309468210747581</x:v>
      </x:c>
      <x:c r="J212" s="7" t="n">
        <x:f>IF(AND(ISNUMBER(H212),'요약'!$B$19),H212-'요약'!$B$15,"")</x:f>
        <x:v>-0.0000534534180858473</x:v>
      </x:c>
      <x:c r="K212" t="str">
        <x:f>IF(ISNUMBER(B212),IF('Hill'!$B$4=1,IF(B212&lt;0,-B212,""),IF('Hill'!$B$4=2,IF(B212&gt;0,B212,""),IF('Hill'!$B$4=3,IF(B212&lt;&gt;0,ABS(B212),""),""))),"")</x:f>
      </x:c>
    </x:row>
    <x:row r="213">
      <x:c r="A213" t="n">
        <x:f>212</x:f>
        <x:v>212</x:v>
      </x:c>
      <x:c r="B213" s="7" t="n">
        <x:f>IF('요약'!$B$4=4,IF(ISNUMBER('input'!A213),'input'!A213,""),IF(212&lt;=1000,CHOOSE('요약'!$B$4,'input'!B213,'input'!C213,'input'!D213),""))</x:f>
        <x:v>0.008298888375543127</x:v>
      </x:c>
      <x:c r="C213" s="7" t="n">
        <x:f>IF(AND(ISNUMBER(B213),'요약'!$B$19),B213-'요약'!$B$7,"")</x:f>
        <x:v>0.008347127702592627</x:v>
      </x:c>
      <x:c r="D213" s="7" t="n">
        <x:f>IF(ISNUMBER(C213),C213^2,"")</x:f>
        <x:v>0.00006967454088338928</x:v>
      </x:c>
      <x:c r="E213" s="15" t="n">
        <x:f>IF(ISNUMBER(C213),C213^3,"")</x:f>
        <x:v>5.815822903731612e-7</x:v>
      </x:c>
      <x:c r="F213" s="15" t="n">
        <x:f>IF(ISNUMBER(C213),C213^4,"")</x:f>
        <x:v>4.854541647311084e-9</x:v>
      </x:c>
      <x:c r="G213" s="7" t="n">
        <x:f>IF(ISNUMBER(B213),ABS(B213),"")</x:f>
        <x:v>0.008298888375543127</x:v>
      </x:c>
      <x:c r="H213" s="7" t="n">
        <x:f>IF(ISNUMBER(B213),B213^2,"")</x:f>
        <x:v>0.00006887154826972484</x:v>
      </x:c>
      <x:c r="I213" s="7" t="n">
        <x:f>IF(AND(ISNUMBER(G213),'요약'!$B$19),G213-'요약'!$B$14,"")</x:f>
        <x:v>0.0002853717481402715</x:v>
      </x:c>
      <x:c r="J213" s="7" t="n">
        <x:f>IF(AND(ISNUMBER(H213),'요약'!$B$19),H213-'요약'!$B$15,"")</x:f>
        <x:v>-0.000033338150916367265</x:v>
      </x:c>
      <x:c r="K213" t="str">
        <x:f>IF(ISNUMBER(B213),IF('Hill'!$B$4=1,IF(B213&lt;0,-B213,""),IF('Hill'!$B$4=2,IF(B213&gt;0,B213,""),IF('Hill'!$B$4=3,IF(B213&lt;&gt;0,ABS(B213),""),""))),"")</x:f>
      </x:c>
    </x:row>
    <x:row r="214">
      <x:c r="A214" t="n">
        <x:f>213</x:f>
        <x:v>213</x:v>
      </x:c>
      <x:c r="B214" s="7" t="n">
        <x:f>IF('요약'!$B$4=4,IF(ISNUMBER('input'!A214),'input'!A214,""),IF(213&lt;=1000,CHOOSE('요약'!$B$4,'input'!B214,'input'!C214,'input'!D214),""))</x:f>
        <x:v>0.00459089061105829</x:v>
      </x:c>
      <x:c r="C214" s="7" t="n">
        <x:f>IF(AND(ISNUMBER(B214),'요약'!$B$19),B214-'요약'!$B$7,"")</x:f>
        <x:v>0.004639129938107792</x:v>
      </x:c>
      <x:c r="D214" s="7" t="n">
        <x:f>IF(ISNUMBER(C214),C214^2,"")</x:f>
        <x:v>0.000021521526582648003</x:v>
      </x:c>
      <x:c r="E214" s="15" t="n">
        <x:f>IF(ISNUMBER(C214),C214^3,"")</x:f>
        <x:v>9.984115828334502e-8</x:v>
      </x:c>
      <x:c r="F214" s="15" t="n">
        <x:f>IF(ISNUMBER(C214),C214^4,"")</x:f>
        <x:v>4.631761064476246e-10</x:v>
      </x:c>
      <x:c r="G214" s="7" t="n">
        <x:f>IF(ISNUMBER(B214),ABS(B214),"")</x:f>
        <x:v>0.00459089061105829</x:v>
      </x:c>
      <x:c r="H214" s="7" t="n">
        <x:f>IF(ISNUMBER(B214),B214^2,"")</x:f>
        <x:v>0.00002107627660270316</x:v>
      </x:c>
      <x:c r="I214" s="7" t="n">
        <x:f>IF(AND(ISNUMBER(G214),'요약'!$B$19),G214-'요약'!$B$14,"")</x:f>
        <x:v>-0.0034226260163445653</x:v>
      </x:c>
      <x:c r="J214" s="7" t="n">
        <x:f>IF(AND(ISNUMBER(H214),'요약'!$B$19),H214-'요약'!$B$15,"")</x:f>
        <x:v>-0.00008113342258338895</x:v>
      </x:c>
      <x:c r="K214" t="str">
        <x:f>IF(ISNUMBER(B214),IF('Hill'!$B$4=1,IF(B214&lt;0,-B214,""),IF('Hill'!$B$4=2,IF(B214&gt;0,B214,""),IF('Hill'!$B$4=3,IF(B214&lt;&gt;0,ABS(B214),""),""))),"")</x:f>
      </x:c>
    </x:row>
    <x:row r="215">
      <x:c r="A215" t="n">
        <x:f>214</x:f>
        <x:v>214</x:v>
      </x:c>
      <x:c r="B215" s="7" t="n">
        <x:f>IF('요약'!$B$4=4,IF(ISNUMBER('input'!A215),'input'!A215,""),IF(214&lt;=1000,CHOOSE('요약'!$B$4,'input'!B215,'input'!C215,'input'!D215),""))</x:f>
        <x:v>0.0003540630292503616</x:v>
      </x:c>
      <x:c r="C215" s="7" t="n">
        <x:f>IF(AND(ISNUMBER(B215),'요약'!$B$19),B215-'요약'!$B$7,"")</x:f>
        <x:v>0.00040230235629986293</x:v>
      </x:c>
      <x:c r="D215" s="7" t="n">
        <x:f>IF(ISNUMBER(C215),C215^2,"")</x:f>
        <x:v>1.6184718588442187e-7</x:v>
      </x:c>
      <x:c r="E215" s="15" t="n">
        <x:f>IF(ISNUMBER(C215),C215^3,"")</x:f>
        <x:v>6.511150424180483e-11</x:v>
      </x:c>
      <x:c r="F215" s="15" t="n">
        <x:f>IF(ISNUMBER(C215),C215^4,"")</x:f>
        <x:v>2.6194511578706604e-14</x:v>
      </x:c>
      <x:c r="G215" s="7" t="n">
        <x:f>IF(ISNUMBER(B215),ABS(B215),"")</x:f>
        <x:v>0.0003540630292503616</x:v>
      </x:c>
      <x:c r="H215" s="7" t="n">
        <x:f>IF(ISNUMBER(B215),B215^2,"")</x:f>
        <x:v>1.253606286819424e-7</x:v>
      </x:c>
      <x:c r="I215" s="7" t="n">
        <x:f>IF(AND(ISNUMBER(G215),'요약'!$B$19),G215-'요약'!$B$14,"")</x:f>
        <x:v>-0.007659453598152494</x:v>
      </x:c>
      <x:c r="J215" s="7" t="n">
        <x:f>IF(AND(ISNUMBER(H215),'요약'!$B$19),H215-'요약'!$B$15,"")</x:f>
        <x:v>-0.00010208433855741017</x:v>
      </x:c>
      <x:c r="K215" t="str">
        <x:f>IF(ISNUMBER(B215),IF('Hill'!$B$4=1,IF(B215&lt;0,-B215,""),IF('Hill'!$B$4=2,IF(B215&gt;0,B215,""),IF('Hill'!$B$4=3,IF(B215&lt;&gt;0,ABS(B215),""),""))),"")</x:f>
      </x:c>
    </x:row>
    <x:row r="216">
      <x:c r="A216" t="n">
        <x:f>215</x:f>
        <x:v>215</x:v>
      </x:c>
      <x:c r="B216" s="7" t="n">
        <x:f>IF('요약'!$B$4=4,IF(ISNUMBER('input'!A216),'input'!A216,""),IF(215&lt;=1000,CHOOSE('요약'!$B$4,'input'!B216,'input'!C216,'input'!D216),""))</x:f>
        <x:v>0.005847611430838426</x:v>
      </x:c>
      <x:c r="C216" s="7" t="n">
        <x:f>IF(AND(ISNUMBER(B216),'요약'!$B$19),B216-'요약'!$B$7,"")</x:f>
        <x:v>0.005895850757887927</x:v>
      </x:c>
      <x:c r="D216" s="7" t="n">
        <x:f>IF(ISNUMBER(C216),C216^2,"")</x:f>
        <x:v>0.000034761056159287644</x:v>
      </x:c>
      <x:c r="E216" s="15" t="n">
        <x:f>IF(ISNUMBER(C216),C216^3,"")</x:f>
        <x:v>2.0494599930172085e-7</x:v>
      </x:c>
      <x:c r="F216" s="15" t="n">
        <x:f>IF(ISNUMBER(C216),C216^4,"")</x:f>
        <x:v>1.2083310253091495e-9</x:v>
      </x:c>
      <x:c r="G216" s="7" t="n">
        <x:f>IF(ISNUMBER(B216),ABS(B216),"")</x:f>
        <x:v>0.005847611430838426</x:v>
      </x:c>
      <x:c r="H216" s="7" t="n">
        <x:f>IF(ISNUMBER(B216),B216^2,"")</x:f>
        <x:v>0.00003419455944607222</x:v>
      </x:c>
      <x:c r="I216" s="7" t="n">
        <x:f>IF(AND(ISNUMBER(G216),'요약'!$B$19),G216-'요약'!$B$14,"")</x:f>
        <x:v>-0.0021659051965644298</x:v>
      </x:c>
      <x:c r="J216" s="7" t="n">
        <x:f>IF(AND(ISNUMBER(H216),'요약'!$B$19),H216-'요약'!$B$15,"")</x:f>
        <x:v>-0.00006801513974001988</x:v>
      </x:c>
      <x:c r="K216" t="str">
        <x:f>IF(ISNUMBER(B216),IF('Hill'!$B$4=1,IF(B216&lt;0,-B216,""),IF('Hill'!$B$4=2,IF(B216&gt;0,B216,""),IF('Hill'!$B$4=3,IF(B216&lt;&gt;0,ABS(B216),""),""))),"")</x:f>
      </x:c>
    </x:row>
    <x:row r="217">
      <x:c r="A217" t="n">
        <x:f>216</x:f>
        <x:v>216</x:v>
      </x:c>
      <x:c r="B217" s="7" t="n">
        <x:f>IF('요약'!$B$4=4,IF(ISNUMBER('input'!A217),'input'!A217,""),IF(216&lt;=1000,CHOOSE('요약'!$B$4,'input'!B217,'input'!C217,'input'!D217),""))</x:f>
        <x:v>0.0003684099305139909</x:v>
      </x:c>
      <x:c r="C217" s="7" t="n">
        <x:f>IF(AND(ISNUMBER(B217),'요약'!$B$19),B217-'요약'!$B$7,"")</x:f>
        <x:v>0.00041664925756349224</x:v>
      </x:c>
      <x:c r="D217" s="7" t="n">
        <x:f>IF(ISNUMBER(C217),C217^2,"")</x:f>
        <x:v>1.7359660382820929e-7</x:v>
      </x:c>
      <x:c r="E217" s="15" t="n">
        <x:f>IF(ISNUMBER(C217),C217^3,"")</x:f>
        <x:v>7.23288961005671e-11</x:v>
      </x:c>
      <x:c r="F217" s="15" t="n">
        <x:f>IF(ISNUMBER(C217),C217^4,"")</x:f>
        <x:v>3.013578086068825e-14</x:v>
      </x:c>
      <x:c r="G217" s="7" t="n">
        <x:f>IF(ISNUMBER(B217),ABS(B217),"")</x:f>
        <x:v>0.0003684099305139909</x:v>
      </x:c>
      <x:c r="H217" s="7" t="n">
        <x:f>IF(ISNUMBER(B217),B217^2,"")</x:f>
        <x:v>1.3572587690132358e-7</x:v>
      </x:c>
      <x:c r="I217" s="7" t="n">
        <x:f>IF(AND(ISNUMBER(G217),'요약'!$B$19),G217-'요약'!$B$14,"")</x:f>
        <x:v>-0.007645106696888865</x:v>
      </x:c>
      <x:c r="J217" s="7" t="n">
        <x:f>IF(AND(ISNUMBER(H217),'요약'!$B$19),H217-'요약'!$B$15,"")</x:f>
        <x:v>-0.00010207397330919078</x:v>
      </x:c>
      <x:c r="K217" t="str">
        <x:f>IF(ISNUMBER(B217),IF('Hill'!$B$4=1,IF(B217&lt;0,-B217,""),IF('Hill'!$B$4=2,IF(B217&gt;0,B217,""),IF('Hill'!$B$4=3,IF(B217&lt;&gt;0,ABS(B217),""),""))),"")</x:f>
      </x:c>
    </x:row>
    <x:row r="218">
      <x:c r="A218" t="n">
        <x:f>217</x:f>
        <x:v>217</x:v>
      </x:c>
      <x:c r="B218" s="7" t="n">
        <x:f>IF('요약'!$B$4=4,IF(ISNUMBER('input'!A218),'input'!A218,""),IF(217&lt;=1000,CHOOSE('요약'!$B$4,'input'!B218,'input'!C218,'input'!D218),""))</x:f>
        <x:v>-0.008773633438673836</x:v>
      </x:c>
      <x:c r="C218" s="7" t="n">
        <x:f>IF(AND(ISNUMBER(B218),'요약'!$B$19),B218-'요약'!$B$7,"")</x:f>
        <x:v>-0.008725394111624336</x:v>
      </x:c>
      <x:c r="D218" s="7" t="n">
        <x:f>IF(ISNUMBER(C218),C218^2,"")</x:f>
        <x:v>0.00007613250240316862</x:v>
      </x:c>
      <x:c r="E218" s="15" t="n">
        <x:f>IF(ISNUMBER(C218),C218^3,"")</x:f>
        <x:v>-6.642860881718331e-7</x:v>
      </x:c>
      <x:c r="F218" s="15" t="n">
        <x:f>IF(ISNUMBER(C218),C218^4,"")</x:f>
        <x:v>5.796157922168477e-9</x:v>
      </x:c>
      <x:c r="G218" s="7" t="n">
        <x:f>IF(ISNUMBER(B218),ABS(B218),"")</x:f>
        <x:v>0.008773633438673836</x:v>
      </x:c>
      <x:c r="H218" s="7" t="n">
        <x:f>IF(ISNUMBER(B218),B218^2,"")</x:f>
        <x:v>0.00007697664371621568</x:v>
      </x:c>
      <x:c r="I218" s="7" t="n">
        <x:f>IF(AND(ISNUMBER(G218),'요약'!$B$19),G218-'요약'!$B$14,"")</x:f>
        <x:v>0.0007601168112709809</x:v>
      </x:c>
      <x:c r="J218" s="7" t="n">
        <x:f>IF(AND(ISNUMBER(H218),'요약'!$B$19),H218-'요약'!$B$15,"")</x:f>
        <x:v>-0.00002523305546987642</x:v>
      </x:c>
      <x:c r="K218" t="n">
        <x:f>IF(ISNUMBER(B218),IF('Hill'!$B$4=1,IF(B218&lt;0,-B218,""),IF('Hill'!$B$4=2,IF(B218&gt;0,B218,""),IF('Hill'!$B$4=3,IF(B218&lt;&gt;0,ABS(B218),""),""))),"")</x:f>
        <x:v>0.008773633438673836</x:v>
      </x:c>
    </x:row>
    <x:row r="219">
      <x:c r="A219" t="n">
        <x:f>218</x:f>
        <x:v>218</x:v>
      </x:c>
      <x:c r="B219" s="7" t="n">
        <x:f>IF('요약'!$B$4=4,IF(ISNUMBER('input'!A219),'input'!A219,""),IF(218&lt;=1000,CHOOSE('요약'!$B$4,'input'!B219,'input'!C219,'input'!D219),""))</x:f>
        <x:v>-0.002614173142272831</x:v>
      </x:c>
      <x:c r="C219" s="7" t="n">
        <x:f>IF(AND(ISNUMBER(B219),'요약'!$B$19),B219-'요약'!$B$7,"")</x:f>
        <x:v>-0.0025659338152233297</x:v>
      </x:c>
      <x:c r="D219" s="7" t="n">
        <x:f>IF(ISNUMBER(C219),C219^2,"")</x:f>
        <x:v>0.0000065840163441065525</x:v>
      </x:c>
      <x:c r="E219" s="15" t="n">
        <x:f>IF(ISNUMBER(C219),C219^3,"")</x:f>
        <x:v>-1.6894150177326087e-8</x:v>
      </x:c>
      <x:c r="F219" s="15" t="n">
        <x:f>IF(ISNUMBER(C219),C219^4,"")</x:f>
        <x:v>4.334927121946221e-11</x:v>
      </x:c>
      <x:c r="G219" s="7" t="n">
        <x:f>IF(ISNUMBER(B219),ABS(B219),"")</x:f>
        <x:v>0.002614173142272831</x:v>
      </x:c>
      <x:c r="H219" s="7" t="n">
        <x:f>IF(ISNUMBER(B219),B219^2,"")</x:f>
        <x:v>0.000006833901217780607</x:v>
      </x:c>
      <x:c r="I219" s="7" t="n">
        <x:f>IF(AND(ISNUMBER(G219),'요약'!$B$19),G219-'요약'!$B$14,"")</x:f>
        <x:v>-0.005399343485130024</x:v>
      </x:c>
      <x:c r="J219" s="7" t="n">
        <x:f>IF(AND(ISNUMBER(H219),'요약'!$B$19),H219-'요약'!$B$15,"")</x:f>
        <x:v>-0.00009537579796831149</x:v>
      </x:c>
      <x:c r="K219" t="n">
        <x:f>IF(ISNUMBER(B219),IF('Hill'!$B$4=1,IF(B219&lt;0,-B219,""),IF('Hill'!$B$4=2,IF(B219&gt;0,B219,""),IF('Hill'!$B$4=3,IF(B219&lt;&gt;0,ABS(B219),""),""))),"")</x:f>
        <x:v>0.002614173142272831</x:v>
      </x:c>
    </x:row>
    <x:row r="220">
      <x:c r="A220" t="n">
        <x:f>219</x:f>
        <x:v>219</x:v>
      </x:c>
      <x:c r="B220" s="7" t="n">
        <x:f>IF('요약'!$B$4=4,IF(ISNUMBER('input'!A220),'input'!A220,""),IF(219&lt;=1000,CHOOSE('요약'!$B$4,'input'!B220,'input'!C220,'input'!D220),""))</x:f>
        <x:v>0.004633945952516274</x:v>
      </x:c>
      <x:c r="C220" s="7" t="n">
        <x:f>IF(AND(ISNUMBER(B220),'요약'!$B$19),B220-'요약'!$B$7,"")</x:f>
        <x:v>0.004682185279565775</x:v>
      </x:c>
      <x:c r="D220" s="7" t="n">
        <x:f>IF(ISNUMBER(C220),C220^2,"")</x:f>
        <x:v>0.000021922858992182436</x:v>
      </x:c>
      <x:c r="E220" s="15" t="n">
        <x:f>IF(ISNUMBER(C220),C220^3,"")</x:f>
        <x:v>1.026468876591928e-7</x:v>
      </x:c>
      <x:c r="F220" s="15" t="n">
        <x:f>IF(ISNUMBER(C220),C220^4,"")</x:f>
        <x:v>4.806117463911143e-10</x:v>
      </x:c>
      <x:c r="G220" s="7" t="n">
        <x:f>IF(ISNUMBER(B220),ABS(B220),"")</x:f>
        <x:v>0.004633945952516274</x:v>
      </x:c>
      <x:c r="H220" s="7" t="n">
        <x:f>IF(ISNUMBER(B220),B220^2,"")</x:f>
        <x:v>0.000021473455090841957</x:v>
      </x:c>
      <x:c r="I220" s="7" t="n">
        <x:f>IF(AND(ISNUMBER(G220),'요약'!$B$19),G220-'요약'!$B$14,"")</x:f>
        <x:v>-0.0033795706748865817</x:v>
      </x:c>
      <x:c r="J220" s="7" t="n">
        <x:f>IF(AND(ISNUMBER(H220),'요약'!$B$19),H220-'요약'!$B$15,"")</x:f>
        <x:v>-0.00008073624409525015</x:v>
      </x:c>
      <x:c r="K220" t="str">
        <x:f>IF(ISNUMBER(B220),IF('Hill'!$B$4=1,IF(B220&lt;0,-B220,""),IF('Hill'!$B$4=2,IF(B220&gt;0,B220,""),IF('Hill'!$B$4=3,IF(B220&lt;&gt;0,ABS(B220),""),""))),"")</x:f>
      </x:c>
    </x:row>
    <x:row r="221">
      <x:c r="A221" t="n">
        <x:f>220</x:f>
        <x:v>220</x:v>
      </x:c>
      <x:c r="B221" s="7" t="n">
        <x:f>IF('요약'!$B$4=4,IF(ISNUMBER('input'!A221),'input'!A221,""),IF(220&lt;=1000,CHOOSE('요약'!$B$4,'input'!B221,'input'!C221,'input'!D221),""))</x:f>
        <x:v>-0.0026662932983682296</x:v>
      </x:c>
      <x:c r="C221" s="7" t="n">
        <x:f>IF(AND(ISNUMBER(B221),'요약'!$B$19),B221-'요약'!$B$7,"")</x:f>
        <x:v>-0.002618053971318728</x:v>
      </x:c>
      <x:c r="D221" s="7" t="n">
        <x:f>IF(ISNUMBER(C221),C221^2,"")</x:f>
        <x:v>0.000006854206596737763</x:v>
      </x:c>
      <x:c r="E221" s="15" t="n">
        <x:f>IF(ISNUMBER(C221),C221^3,"")</x:f>
        <x:v>-1.7944682800828326e-8</x:v>
      </x:c>
      <x:c r="F221" s="15" t="n">
        <x:f>IF(ISNUMBER(C221),C221^4,"")</x:f>
        <x:v>4.6980148070763476e-11</x:v>
      </x:c>
      <x:c r="G221" s="7" t="n">
        <x:f>IF(ISNUMBER(B221),ABS(B221),"")</x:f>
        <x:v>0.0026662932983682296</x:v>
      </x:c>
      <x:c r="H221" s="7" t="n">
        <x:f>IF(ISNUMBER(B221),B221^2,"")</x:f>
        <x:v>0.000007109119952923333</x:v>
      </x:c>
      <x:c r="I221" s="7" t="n">
        <x:f>IF(AND(ISNUMBER(G221),'요약'!$B$19),G221-'요약'!$B$14,"")</x:f>
        <x:v>-0.005347223329034626</x:v>
      </x:c>
      <x:c r="J221" s="7" t="n">
        <x:f>IF(AND(ISNUMBER(H221),'요약'!$B$19),H221-'요약'!$B$15,"")</x:f>
        <x:v>-0.00009510057923316877</x:v>
      </x:c>
      <x:c r="K221" t="n">
        <x:f>IF(ISNUMBER(B221),IF('Hill'!$B$4=1,IF(B221&lt;0,-B221,""),IF('Hill'!$B$4=2,IF(B221&gt;0,B221,""),IF('Hill'!$B$4=3,IF(B221&lt;&gt;0,ABS(B221),""),""))),"")</x:f>
        <x:v>0.0026662932983682296</x:v>
      </x:c>
    </x:row>
    <x:row r="222">
      <x:c r="A222" t="n">
        <x:f>221</x:f>
        <x:v>221</x:v>
      </x:c>
      <x:c r="B222" s="7" t="n">
        <x:f>IF('요약'!$B$4=4,IF(ISNUMBER('input'!A222),'input'!A222,""),IF(221&lt;=1000,CHOOSE('요약'!$B$4,'input'!B222,'input'!C222,'input'!D222),""))</x:f>
        <x:v>-0.006118555651509669</x:v>
      </x:c>
      <x:c r="C222" s="7" t="n">
        <x:f>IF(AND(ISNUMBER(B222),'요약'!$B$19),B222-'요약'!$B$7,"")</x:f>
        <x:v>-0.006070316324460167</x:v>
      </x:c>
      <x:c r="D222" s="7" t="n">
        <x:f>IF(ISNUMBER(C222),C222^2,"")</x:f>
        <x:v>0.00003684874027900759</x:v>
      </x:c>
      <x:c r="E222" s="15" t="n">
        <x:f>IF(ISNUMBER(C222),C222^3,"")</x:f>
        <x:v>-2.236835096514527e-7</x:v>
      </x:c>
      <x:c r="F222" s="15" t="n">
        <x:f>IF(ISNUMBER(C222),C222^4,"")</x:f>
        <x:v>1.3578296601497567e-9</x:v>
      </x:c>
      <x:c r="G222" s="7" t="n">
        <x:f>IF(ISNUMBER(B222),ABS(B222),"")</x:f>
        <x:v>0.006118555651509669</x:v>
      </x:c>
      <x:c r="H222" s="7" t="n">
        <x:f>IF(ISNUMBER(B222),B222^2,"")</x:f>
        <x:v>0.00003743672326062091</x:v>
      </x:c>
      <x:c r="I222" s="7" t="n">
        <x:f>IF(AND(ISNUMBER(G222),'요약'!$B$19),G222-'요약'!$B$14,"")</x:f>
        <x:v>-0.0018949609758931868</x:v>
      </x:c>
      <x:c r="J222" s="7" t="n">
        <x:f>IF(AND(ISNUMBER(H222),'요약'!$B$19),H222-'요약'!$B$15,"")</x:f>
        <x:v>-0.0000647729759254712</x:v>
      </x:c>
      <x:c r="K222" t="n">
        <x:f>IF(ISNUMBER(B222),IF('Hill'!$B$4=1,IF(B222&lt;0,-B222,""),IF('Hill'!$B$4=2,IF(B222&gt;0,B222,""),IF('Hill'!$B$4=3,IF(B222&lt;&gt;0,ABS(B222),""),""))),"")</x:f>
        <x:v>0.006118555651509669</x:v>
      </x:c>
    </x:row>
    <x:row r="223">
      <x:c r="A223" t="n">
        <x:f>222</x:f>
        <x:v>222</x:v>
      </x:c>
      <x:c r="B223" s="7" t="n">
        <x:f>IF('요약'!$B$4=4,IF(ISNUMBER('input'!A223),'input'!A223,""),IF(222&lt;=1000,CHOOSE('요약'!$B$4,'input'!B223,'input'!C223,'input'!D223),""))</x:f>
        <x:v>0.015191728686574948</x:v>
      </x:c>
      <x:c r="C223" s="7" t="n">
        <x:f>IF(AND(ISNUMBER(B223),'요약'!$B$19),B223-'요약'!$B$7,"")</x:f>
        <x:v>0.015239968013624448</x:v>
      </x:c>
      <x:c r="D223" s="7" t="n">
        <x:f>IF(ISNUMBER(C223),C223^2,"")</x:f>
        <x:v>0.00023225662505629632</x:v>
      </x:c>
      <x:c r="E223" s="15" t="n">
        <x:f>IF(ISNUMBER(C223),C223^3,"")</x:f>
        <x:v>0.0000035395835368103225</x:v>
      </x:c>
      <x:c r="F223" s="15" t="n">
        <x:f>IF(ISNUMBER(C223),C223^4,"")</x:f>
        <x:v>5.394313988254101e-8</x:v>
      </x:c>
      <x:c r="G223" s="7" t="n">
        <x:f>IF(ISNUMBER(B223),ABS(B223),"")</x:f>
        <x:v>0.015191728686574948</x:v>
      </x:c>
      <x:c r="H223" s="7" t="n">
        <x:f>IF(ISNUMBER(B223),B223^2,"")</x:f>
        <x:v>0.0002307886204865042</x:v>
      </x:c>
      <x:c r="I223" s="7" t="n">
        <x:f>IF(AND(ISNUMBER(G223),'요약'!$B$19),G223-'요약'!$B$14,"")</x:f>
        <x:v>0.007178212059172092</x:v>
      </x:c>
      <x:c r="J223" s="7" t="n">
        <x:f>IF(AND(ISNUMBER(H223),'요약'!$B$19),H223-'요약'!$B$15,"")</x:f>
        <x:v>0.0001285789213004121</x:v>
      </x:c>
      <x:c r="K223" t="str">
        <x:f>IF(ISNUMBER(B223),IF('Hill'!$B$4=1,IF(B223&lt;0,-B223,""),IF('Hill'!$B$4=2,IF(B223&gt;0,B223,""),IF('Hill'!$B$4=3,IF(B223&lt;&gt;0,ABS(B223),""),""))),"")</x:f>
      </x:c>
    </x:row>
    <x:row r="224">
      <x:c r="A224" t="n">
        <x:f>223</x:f>
        <x:v>223</x:v>
      </x:c>
      <x:c r="B224" s="7" t="n">
        <x:f>IF('요약'!$B$4=4,IF(ISNUMBER('input'!A224),'input'!A224,""),IF(223&lt;=1000,CHOOSE('요약'!$B$4,'input'!B224,'input'!C224,'input'!D224),""))</x:f>
        <x:v>-0.004302526822069905</x:v>
      </x:c>
      <x:c r="C224" s="7" t="n">
        <x:f>IF(AND(ISNUMBER(B224),'요약'!$B$19),B224-'요약'!$B$7,"")</x:f>
        <x:v>-0.004254287495020404</x:v>
      </x:c>
      <x:c r="D224" s="7" t="n">
        <x:f>IF(ISNUMBER(C224),C224^2,"")</x:f>
        <x:v>0.000018098962090286983</x:v>
      </x:c>
      <x:c r="E224" s="15" t="n">
        <x:f>IF(ISNUMBER(C224),C224^3,"")</x:f>
        <x:v>-7.699818809355626e-8</x:v>
      </x:c>
      <x:c r="F224" s="15" t="n">
        <x:f>IF(ISNUMBER(C224),C224^4,"")</x:f>
        <x:v>3.2757242874564533e-10</x:v>
      </x:c>
      <x:c r="G224" s="7" t="n">
        <x:f>IF(ISNUMBER(B224),ABS(B224),"")</x:f>
        <x:v>0.004302526822069905</x:v>
      </x:c>
      <x:c r="H224" s="7" t="n">
        <x:f>IF(ISNUMBER(B224),B224^2,"")</x:f>
        <x:v>0.000018511737054630957</x:v>
      </x:c>
      <x:c r="I224" s="7" t="n">
        <x:f>IF(AND(ISNUMBER(G224),'요약'!$B$19),G224-'요약'!$B$14,"")</x:f>
        <x:v>-0.00371098980533295</x:v>
      </x:c>
      <x:c r="J224" s="7" t="n">
        <x:f>IF(AND(ISNUMBER(H224),'요약'!$B$19),H224-'요약'!$B$15,"")</x:f>
        <x:v>-0.00008369796213146115</x:v>
      </x:c>
      <x:c r="K224" t="n">
        <x:f>IF(ISNUMBER(B224),IF('Hill'!$B$4=1,IF(B224&lt;0,-B224,""),IF('Hill'!$B$4=2,IF(B224&gt;0,B224,""),IF('Hill'!$B$4=3,IF(B224&lt;&gt;0,ABS(B224),""),""))),"")</x:f>
        <x:v>0.004302526822069905</x:v>
      </x:c>
    </x:row>
    <x:row r="225">
      <x:c r="A225" t="n">
        <x:f>224</x:f>
        <x:v>224</x:v>
      </x:c>
      <x:c r="B225" s="7" t="n">
        <x:f>IF('요약'!$B$4=4,IF(ISNUMBER('input'!A225),'input'!A225,""),IF(224&lt;=1000,CHOOSE('요약'!$B$4,'input'!B225,'input'!C225,'input'!D225),""))</x:f>
        <x:v>0.0014870777846837247</x:v>
      </x:c>
      <x:c r="C225" s="7" t="n">
        <x:f>IF(AND(ISNUMBER(B225),'요약'!$B$19),B225-'요약'!$B$7,"")</x:f>
        <x:v>0.0015353171117332262</x:v>
      </x:c>
      <x:c r="D225" s="7" t="n">
        <x:f>IF(ISNUMBER(C225),C225^2,"")</x:f>
        <x:v>0.000002357198633580856</x:v>
      </x:c>
      <x:c r="E225" s="15" t="n">
        <x:f>IF(ISNUMBER(C225),C225^3,"")</x:f>
        <x:v>3.619047397890867e-9</x:v>
      </x:c>
      <x:c r="F225" s="15" t="n">
        <x:f>IF(ISNUMBER(C225),C225^4,"")</x:f>
        <x:v>5.556385398155454e-12</x:v>
      </x:c>
      <x:c r="G225" s="7" t="n">
        <x:f>IF(ISNUMBER(B225),ABS(B225),"")</x:f>
        <x:v>0.0014870777846837247</x:v>
      </x:c>
      <x:c r="H225" s="7" t="n">
        <x:f>IF(ISNUMBER(B225),B225^2,"")</x:f>
        <x:v>0.0000022114003376998546</x:v>
      </x:c>
      <x:c r="I225" s="7" t="n">
        <x:f>IF(AND(ISNUMBER(G225),'요약'!$B$19),G225-'요약'!$B$14,"")</x:f>
        <x:v>-0.0065264388427191304</x:v>
      </x:c>
      <x:c r="J225" s="7" t="n">
        <x:f>IF(AND(ISNUMBER(H225),'요약'!$B$19),H225-'요약'!$B$15,"")</x:f>
        <x:v>-0.00009999829884839225</x:v>
      </x:c>
      <x:c r="K225" t="str">
        <x:f>IF(ISNUMBER(B225),IF('Hill'!$B$4=1,IF(B225&lt;0,-B225,""),IF('Hill'!$B$4=2,IF(B225&gt;0,B225,""),IF('Hill'!$B$4=3,IF(B225&lt;&gt;0,ABS(B225),""),""))),"")</x:f>
      </x:c>
    </x:row>
    <x:row r="226">
      <x:c r="A226" t="n">
        <x:f>225</x:f>
        <x:v>225</x:v>
      </x:c>
      <x:c r="B226" s="7" t="n">
        <x:f>IF('요약'!$B$4=4,IF(ISNUMBER('input'!A226),'input'!A226,""),IF(225&lt;=1000,CHOOSE('요약'!$B$4,'input'!B226,'input'!C226,'input'!D226),""))</x:f>
        <x:v>0.008853273403918645</x:v>
      </x:c>
      <x:c r="C226" s="7" t="n">
        <x:f>IF(AND(ISNUMBER(B226),'요약'!$B$19),B226-'요약'!$B$7,"")</x:f>
        <x:v>0.008901512730968146</x:v>
      </x:c>
      <x:c r="D226" s="7" t="n">
        <x:f>IF(ISNUMBER(C226),C226^2,"")</x:f>
        <x:v>0.00007923692889958797</x:v>
      </x:c>
      <x:c r="E226" s="15" t="n">
        <x:f>IF(ISNUMBER(C226),C226^3,"")</x:f>
        <x:v>7.053285313625001e-7</x:v>
      </x:c>
      <x:c r="F226" s="15" t="n">
        <x:f>IF(ISNUMBER(C226),C226^4,"")</x:f>
        <x:v>6.27849090143836e-9</x:v>
      </x:c>
      <x:c r="G226" s="7" t="n">
        <x:f>IF(ISNUMBER(B226),ABS(B226),"")</x:f>
        <x:v>0.008853273403918645</x:v>
      </x:c>
      <x:c r="H226" s="7" t="n">
        <x:f>IF(ISNUMBER(B226),B226^2,"")</x:f>
        <x:v>0.00007838044996453324</x:v>
      </x:c>
      <x:c r="I226" s="7" t="n">
        <x:f>IF(AND(ISNUMBER(G226),'요약'!$B$19),G226-'요약'!$B$14,"")</x:f>
        <x:v>0.0008397567765157897</x:v>
      </x:c>
      <x:c r="J226" s="7" t="n">
        <x:f>IF(AND(ISNUMBER(H226),'요약'!$B$19),H226-'요약'!$B$15,"")</x:f>
        <x:v>-0.000023829249221558868</x:v>
      </x:c>
      <x:c r="K226" t="str">
        <x:f>IF(ISNUMBER(B226),IF('Hill'!$B$4=1,IF(B226&lt;0,-B226,""),IF('Hill'!$B$4=2,IF(B226&gt;0,B226,""),IF('Hill'!$B$4=3,IF(B226&lt;&gt;0,ABS(B226),""),""))),"")</x:f>
      </x:c>
    </x:row>
    <x:row r="227">
      <x:c r="A227" t="n">
        <x:f>226</x:f>
        <x:v>226</x:v>
      </x:c>
      <x:c r="B227" s="7" t="n">
        <x:f>IF('요약'!$B$4=4,IF(ISNUMBER('input'!A227),'input'!A227,""),IF(226&lt;=1000,CHOOSE('요약'!$B$4,'input'!B227,'input'!C227,'input'!D227),""))</x:f>
        <x:v>-0.005792849774608779</x:v>
      </x:c>
      <x:c r="C227" s="7" t="n">
        <x:f>IF(AND(ISNUMBER(B227),'요약'!$B$19),B227-'요약'!$B$7,"")</x:f>
        <x:v>-0.005744610447559278</x:v>
      </x:c>
      <x:c r="D227" s="7" t="n">
        <x:f>IF(ISNUMBER(C227),C227^2,"")</x:f>
        <x:v>0.000033000549194207203</x:v>
      </x:c>
      <x:c r="E227" s="15" t="n">
        <x:f>IF(ISNUMBER(C227),C227^3,"")</x:f>
        <x:v>-1.8957529967623662e-7</x:v>
      </x:c>
      <x:c r="F227" s="15" t="n">
        <x:f>IF(ISNUMBER(C227),C227^4,"")</x:f>
        <x:v>1.0890362471192898e-9</x:v>
      </x:c>
      <x:c r="G227" s="7" t="n">
        <x:f>IF(ISNUMBER(B227),ABS(B227),"")</x:f>
        <x:v>0.005792849774608779</x:v>
      </x:c>
      <x:c r="H227" s="7" t="n">
        <x:f>IF(ISNUMBER(B227),B227^2,"")</x:f>
        <x:v>0.000033557108511184986</x:v>
      </x:c>
      <x:c r="I227" s="7" t="n">
        <x:f>IF(AND(ISNUMBER(G227),'요약'!$B$19),G227-'요약'!$B$14,"")</x:f>
        <x:v>-0.0022206668527940763</x:v>
      </x:c>
      <x:c r="J227" s="7" t="n">
        <x:f>IF(AND(ISNUMBER(H227),'요약'!$B$19),H227-'요약'!$B$15,"")</x:f>
        <x:v>-0.00006865259067490712</x:v>
      </x:c>
      <x:c r="K227" t="n">
        <x:f>IF(ISNUMBER(B227),IF('Hill'!$B$4=1,IF(B227&lt;0,-B227,""),IF('Hill'!$B$4=2,IF(B227&gt;0,B227,""),IF('Hill'!$B$4=3,IF(B227&lt;&gt;0,ABS(B227),""),""))),"")</x:f>
        <x:v>0.005792849774608779</x:v>
      </x:c>
    </x:row>
    <x:row r="228">
      <x:c r="A228" t="n">
        <x:f>227</x:f>
        <x:v>227</x:v>
      </x:c>
      <x:c r="B228" s="7" t="n">
        <x:f>IF('요약'!$B$4=4,IF(ISNUMBER('input'!A228),'input'!A228,""),IF(227&lt;=1000,CHOOSE('요약'!$B$4,'input'!B228,'input'!C228,'input'!D228),""))</x:f>
        <x:v>-0.01939890192131679</x:v>
      </x:c>
      <x:c r="C228" s="7" t="n">
        <x:f>IF(AND(ISNUMBER(B228),'요약'!$B$19),B228-'요약'!$B$7,"")</x:f>
        <x:v>-0.01935066259426729</x:v>
      </x:c>
      <x:c r="D228" s="7" t="n">
        <x:f>IF(ISNUMBER(C228),C228^2,"")</x:f>
        <x:v>0.00037444814283717524</x:v>
      </x:c>
      <x:c r="E228" s="15" t="n">
        <x:f>IF(ISNUMBER(C228),C228^3,"")</x:f>
        <x:v>-0.000007245819671092183</x:v>
      </x:c>
      <x:c r="F228" s="15" t="n">
        <x:f>IF(ISNUMBER(C228),C228^4,"")</x:f>
        <x:v>1.402114116742096e-7</x:v>
      </x:c>
      <x:c r="G228" s="7" t="n">
        <x:f>IF(ISNUMBER(B228),ABS(B228),"")</x:f>
        <x:v>0.01939890192131679</x:v>
      </x:c>
      <x:c r="H228" s="7" t="n">
        <x:f>IF(ISNUMBER(B228),B228^2,"")</x:f>
        <x:v>0.00037631739575286823</x:v>
      </x:c>
      <x:c r="I228" s="7" t="n">
        <x:f>IF(AND(ISNUMBER(G228),'요약'!$B$19),G228-'요약'!$B$14,"")</x:f>
        <x:v>0.011385385293913934</x:v>
      </x:c>
      <x:c r="J228" s="7" t="n">
        <x:f>IF(AND(ISNUMBER(H228),'요약'!$B$19),H228-'요약'!$B$15,"")</x:f>
        <x:v>0.00027410769656677615</x:v>
      </x:c>
      <x:c r="K228" t="n">
        <x:f>IF(ISNUMBER(B228),IF('Hill'!$B$4=1,IF(B228&lt;0,-B228,""),IF('Hill'!$B$4=2,IF(B228&gt;0,B228,""),IF('Hill'!$B$4=3,IF(B228&lt;&gt;0,ABS(B228),""),""))),"")</x:f>
        <x:v>0.01939890192131679</x:v>
      </x:c>
    </x:row>
    <x:row r="229">
      <x:c r="A229" t="n">
        <x:f>228</x:f>
        <x:v>228</x:v>
      </x:c>
      <x:c r="B229" s="7" t="n">
        <x:f>IF('요약'!$B$4=4,IF(ISNUMBER('input'!A229),'input'!A229,""),IF(228&lt;=1000,CHOOSE('요약'!$B$4,'input'!B229,'input'!C229,'input'!D229),""))</x:f>
        <x:v>-0.0058095531740345145</x:v>
      </x:c>
      <x:c r="C229" s="7" t="n">
        <x:f>IF(AND(ISNUMBER(B229),'요약'!$B$19),B229-'요약'!$B$7,"")</x:f>
        <x:v>-0.005761313846985013</x:v>
      </x:c>
      <x:c r="D229" s="7" t="n">
        <x:f>IF(ISNUMBER(C229),C229^2,"")</x:f>
        <x:v>0.00003319273724346125</x:v>
      </x:c>
      <x:c r="E229" s="15" t="n">
        <x:f>IF(ISNUMBER(C229),C229^3,"")</x:f>
        <x:v>-1.9123377670008847e-7</x:v>
      </x:c>
      <x:c r="F229" s="15" t="n">
        <x:f>IF(ISNUMBER(C229),C229^4,"")</x:f>
        <x:v>1.1017578057134596e-9</x:v>
      </x:c>
      <x:c r="G229" s="7" t="n">
        <x:f>IF(ISNUMBER(B229),ABS(B229),"")</x:f>
        <x:v>0.0058095531740345145</x:v>
      </x:c>
      <x:c r="H229" s="7" t="n">
        <x:f>IF(ISNUMBER(B229),B229^2,"")</x:f>
        <x:v>0.000033750908081934504</x:v>
      </x:c>
      <x:c r="I229" s="7" t="n">
        <x:f>IF(AND(ISNUMBER(G229),'요약'!$B$19),G229-'요약'!$B$14,"")</x:f>
        <x:v>-0.002203963453368341</x:v>
      </x:c>
      <x:c r="J229" s="7" t="n">
        <x:f>IF(AND(ISNUMBER(H229),'요약'!$B$19),H229-'요약'!$B$15,"")</x:f>
        <x:v>-0.0000684587911041576</x:v>
      </x:c>
      <x:c r="K229" t="n">
        <x:f>IF(ISNUMBER(B229),IF('Hill'!$B$4=1,IF(B229&lt;0,-B229,""),IF('Hill'!$B$4=2,IF(B229&gt;0,B229,""),IF('Hill'!$B$4=3,IF(B229&lt;&gt;0,ABS(B229),""),""))),"")</x:f>
        <x:v>0.0058095531740345145</x:v>
      </x:c>
    </x:row>
    <x:row r="230">
      <x:c r="A230" t="n">
        <x:f>229</x:f>
        <x:v>229</x:v>
      </x:c>
      <x:c r="B230" s="7" t="n">
        <x:f>IF('요약'!$B$4=4,IF(ISNUMBER('input'!A230),'input'!A230,""),IF(229&lt;=1000,CHOOSE('요약'!$B$4,'input'!B230,'input'!C230,'input'!D230),""))</x:f>
        <x:v>-0.010212082191505788</x:v>
      </x:c>
      <x:c r="C230" s="7" t="n">
        <x:f>IF(AND(ISNUMBER(B230),'요약'!$B$19),B230-'요약'!$B$7,"")</x:f>
        <x:v>-0.010163842864456287</x:v>
      </x:c>
      <x:c r="D230" s="7" t="n">
        <x:f>IF(ISNUMBER(C230),C230^2,"")</x:f>
        <x:v>0.00010330370177335898</x:v>
      </x:c>
      <x:c r="E230" s="15" t="n">
        <x:f>IF(ISNUMBER(C230),C230^3,"")</x:f>
        <x:v>-0.000001049962592141075</x:v>
      </x:c>
      <x:c r="F230" s="15" t="n">
        <x:f>IF(ISNUMBER(C230),C230^4,"")</x:f>
        <x:v>1.0671654800079092e-8</x:v>
      </x:c>
      <x:c r="G230" s="7" t="n">
        <x:f>IF(ISNUMBER(B230),ABS(B230),"")</x:f>
        <x:v>0.010212082191505788</x:v>
      </x:c>
      <x:c r="H230" s="7" t="n">
        <x:f>IF(ISNUMBER(B230),B230^2,"")</x:f>
        <x:v>0.00010428662268606966</x:v>
      </x:c>
      <x:c r="I230" s="7" t="n">
        <x:f>IF(AND(ISNUMBER(G230),'요약'!$B$19),G230-'요약'!$B$14,"")</x:f>
        <x:v>0.0021985655641029323</x:v>
      </x:c>
      <x:c r="J230" s="7" t="n">
        <x:f>IF(AND(ISNUMBER(H230),'요약'!$B$19),H230-'요약'!$B$15,"")</x:f>
        <x:v>0.0000020769234999775516</x:v>
      </x:c>
      <x:c r="K230" t="n">
        <x:f>IF(ISNUMBER(B230),IF('Hill'!$B$4=1,IF(B230&lt;0,-B230,""),IF('Hill'!$B$4=2,IF(B230&gt;0,B230,""),IF('Hill'!$B$4=3,IF(B230&lt;&gt;0,ABS(B230),""),""))),"")</x:f>
        <x:v>0.010212082191505788</x:v>
      </x:c>
    </x:row>
    <x:row r="231">
      <x:c r="A231" t="n">
        <x:f>230</x:f>
        <x:v>230</x:v>
      </x:c>
      <x:c r="B231" s="7" t="n">
        <x:f>IF('요약'!$B$4=4,IF(ISNUMBER('input'!A231),'input'!A231,""),IF(230&lt;=1000,CHOOSE('요약'!$B$4,'input'!B231,'input'!C231,'input'!D231),""))</x:f>
        <x:v>0.017613654708654395</x:v>
      </x:c>
      <x:c r="C231" s="7" t="n">
        <x:f>IF(AND(ISNUMBER(B231),'요약'!$B$19),B231-'요약'!$B$7,"")</x:f>
        <x:v>0.017661894035703896</x:v>
      </x:c>
      <x:c r="D231" s="7" t="n">
        <x:f>IF(ISNUMBER(C231),C231^2,"")</x:f>
        <x:v>0.00031194250092843285</x:v>
      </x:c>
      <x:c r="E231" s="15" t="n">
        <x:f>IF(ISNUMBER(C231),C231^3,"")</x:f>
        <x:v>0.000005509495396630445</x:v>
      </x:c>
      <x:c r="F231" s="15" t="n">
        <x:f>IF(ISNUMBER(C231),C231^4,"")</x:f>
        <x:v>9.730812388548533e-8</x:v>
      </x:c>
      <x:c r="G231" s="7" t="n">
        <x:f>IF(ISNUMBER(B231),ABS(B231),"")</x:f>
        <x:v>0.017613654708654395</x:v>
      </x:c>
      <x:c r="H231" s="7" t="n">
        <x:f>IF(ISNUMBER(B231),B231^2,"")</x:f>
        <x:v>0.0003102408321957031</x:v>
      </x:c>
      <x:c r="I231" s="7" t="n">
        <x:f>IF(AND(ISNUMBER(G231),'요약'!$B$19),G231-'요약'!$B$14,"")</x:f>
        <x:v>0.00960013808125154</x:v>
      </x:c>
      <x:c r="J231" s="7" t="n">
        <x:f>IF(AND(ISNUMBER(H231),'요약'!$B$19),H231-'요약'!$B$15,"")</x:f>
        <x:v>0.00020803113300961102</x:v>
      </x:c>
      <x:c r="K231" t="str">
        <x:f>IF(ISNUMBER(B231),IF('Hill'!$B$4=1,IF(B231&lt;0,-B231,""),IF('Hill'!$B$4=2,IF(B231&gt;0,B231,""),IF('Hill'!$B$4=3,IF(B231&lt;&gt;0,ABS(B231),""),""))),"")</x:f>
      </x:c>
    </x:row>
    <x:row r="232">
      <x:c r="A232" t="n">
        <x:f>231</x:f>
        <x:v>231</x:v>
      </x:c>
      <x:c r="B232" s="7" t="n">
        <x:f>IF('요약'!$B$4=4,IF(ISNUMBER('input'!A232),'input'!A232,""),IF(231&lt;=1000,CHOOSE('요약'!$B$4,'input'!B232,'input'!C232,'input'!D232),""))</x:f>
        <x:v>0.03421539421382388</x:v>
      </x:c>
      <x:c r="C232" s="7" t="n">
        <x:f>IF(AND(ISNUMBER(B232),'요약'!$B$19),B232-'요약'!$B$7,"")</x:f>
        <x:v>0.03426363354087338</x:v>
      </x:c>
      <x:c r="D232" s="7" t="n">
        <x:f>IF(ISNUMBER(C232),C232^2,"")</x:f>
        <x:v>0.0011739965834232635</x:v>
      </x:c>
      <x:c r="E232" s="15" t="n">
        <x:f>IF(ISNUMBER(C232),C232^3,"")</x:f>
        <x:v>0.00004022538871265209</x:v>
      </x:c>
      <x:c r="F232" s="15" t="n">
        <x:f>IF(ISNUMBER(C232),C232^4,"")</x:f>
        <x:v>0.0000013782679778894955</x:v>
      </x:c>
      <x:c r="G232" s="7" t="n">
        <x:f>IF(ISNUMBER(B232),ABS(B232),"")</x:f>
        <x:v>0.03421539421382388</x:v>
      </x:c>
      <x:c r="H232" s="7" t="n">
        <x:f>IF(ISNUMBER(B232),B232^2,"")</x:f>
        <x:v>0.0011706932012073726</x:v>
      </x:c>
      <x:c r="I232" s="7" t="n">
        <x:f>IF(AND(ISNUMBER(G232),'요약'!$B$19),G232-'요약'!$B$14,"")</x:f>
        <x:v>0.02620187758642102</x:v>
      </x:c>
      <x:c r="J232" s="7" t="n">
        <x:f>IF(AND(ISNUMBER(H232),'요약'!$B$19),H232-'요약'!$B$15,"")</x:f>
        <x:v>0.0010684835020212805</x:v>
      </x:c>
      <x:c r="K232" t="str">
        <x:f>IF(ISNUMBER(B232),IF('Hill'!$B$4=1,IF(B232&lt;0,-B232,""),IF('Hill'!$B$4=2,IF(B232&gt;0,B232,""),IF('Hill'!$B$4=3,IF(B232&lt;&gt;0,ABS(B232),""),""))),"")</x:f>
      </x:c>
    </x:row>
    <x:row r="233">
      <x:c r="A233" t="n">
        <x:f>232</x:f>
        <x:v>232</x:v>
      </x:c>
      <x:c r="B233" s="7" t="n">
        <x:f>IF('요약'!$B$4=4,IF(ISNUMBER('input'!A233),'input'!A233,""),IF(232&lt;=1000,CHOOSE('요약'!$B$4,'input'!B233,'input'!C233,'input'!D233),""))</x:f>
        <x:v>0.0031788781707624033</x:v>
      </x:c>
      <x:c r="C233" s="7" t="n">
        <x:f>IF(AND(ISNUMBER(B233),'요약'!$B$19),B233-'요약'!$B$7,"")</x:f>
        <x:v>0.003227117497811905</x:v>
      </x:c>
      <x:c r="D233" s="7" t="n">
        <x:f>IF(ISNUMBER(C233),C233^2,"")</x:f>
        <x:v>0.00001041428734468377</x:v>
      </x:c>
      <x:c r="E233" s="15" t="n">
        <x:f>IF(ISNUMBER(C233),C233^3,"")</x:f>
        <x:v>3.360812891727007e-8</x:v>
      </x:c>
      <x:c r="F233" s="15" t="n">
        <x:f>IF(ISNUMBER(C233),C233^4,"")</x:f>
        <x:v>1.0845738089764052e-10</x:v>
      </x:c>
      <x:c r="G233" s="7" t="n">
        <x:f>IF(ISNUMBER(B233),ABS(B233),"")</x:f>
        <x:v>0.0031788781707624033</x:v>
      </x:c>
      <x:c r="H233" s="7" t="n">
        <x:f>IF(ISNUMBER(B233),B233^2,"")</x:f>
        <x:v>0.000010105266424549723</x:v>
      </x:c>
      <x:c r="I233" s="7" t="n">
        <x:f>IF(AND(ISNUMBER(G233),'요약'!$B$19),G233-'요약'!$B$14,"")</x:f>
        <x:v>-0.004834638456640452</x:v>
      </x:c>
      <x:c r="J233" s="7" t="n">
        <x:f>IF(AND(ISNUMBER(H233),'요약'!$B$19),H233-'요약'!$B$15,"")</x:f>
        <x:v>-0.00009210443276154238</x:v>
      </x:c>
      <x:c r="K233" t="str">
        <x:f>IF(ISNUMBER(B233),IF('Hill'!$B$4=1,IF(B233&lt;0,-B233,""),IF('Hill'!$B$4=2,IF(B233&gt;0,B233,""),IF('Hill'!$B$4=3,IF(B233&lt;&gt;0,ABS(B233),""),""))),"")</x:f>
      </x:c>
    </x:row>
    <x:row r="234">
      <x:c r="A234" t="n">
        <x:f>233</x:f>
        <x:v>233</x:v>
      </x:c>
      <x:c r="B234" s="7" t="n">
        <x:f>IF('요약'!$B$4=4,IF(ISNUMBER('input'!A234),'input'!A234,""),IF(233&lt;=1000,CHOOSE('요약'!$B$4,'input'!B234,'input'!C234,'input'!D234),""))</x:f>
        <x:v>0.014939362014823005</x:v>
      </x:c>
      <x:c r="C234" s="7" t="n">
        <x:f>IF(AND(ISNUMBER(B234),'요약'!$B$19),B234-'요약'!$B$7,"")</x:f>
        <x:v>0.014987601341872506</x:v>
      </x:c>
      <x:c r="D234" s="7" t="n">
        <x:f>IF(ISNUMBER(C234),C234^2,"")</x:f>
        <x:v>0.00022462819398289853</x:v>
      </x:c>
      <x:c r="E234" s="15" t="n">
        <x:f>IF(ISNUMBER(C234),C234^3,"")</x:f>
        <x:v>0.0000033666378215604876</x:v>
      </x:c>
      <x:c r="F234" s="15" t="n">
        <x:f>IF(ISNUMBER(C234),C234^4,"")</x:f>
        <x:v>5.0457825532018696e-8</x:v>
      </x:c>
      <x:c r="G234" s="7" t="n">
        <x:f>IF(ISNUMBER(B234),ABS(B234),"")</x:f>
        <x:v>0.014939362014823005</x:v>
      </x:c>
      <x:c r="H234" s="7" t="n">
        <x:f>IF(ISNUMBER(B234),B234^2,"")</x:f>
        <x:v>0.00022318453740993648</x:v>
      </x:c>
      <x:c r="I234" s="7" t="n">
        <x:f>IF(AND(ISNUMBER(G234),'요약'!$B$19),G234-'요약'!$B$14,"")</x:f>
        <x:v>0.00692584538742015</x:v>
      </x:c>
      <x:c r="J234" s="7" t="n">
        <x:f>IF(AND(ISNUMBER(H234),'요약'!$B$19),H234-'요약'!$B$15,"")</x:f>
        <x:v>0.00012097483822384438</x:v>
      </x:c>
      <x:c r="K234" t="str">
        <x:f>IF(ISNUMBER(B234),IF('Hill'!$B$4=1,IF(B234&lt;0,-B234,""),IF('Hill'!$B$4=2,IF(B234&gt;0,B234,""),IF('Hill'!$B$4=3,IF(B234&lt;&gt;0,ABS(B234),""),""))),"")</x:f>
      </x:c>
    </x:row>
    <x:row r="235">
      <x:c r="A235" t="n">
        <x:f>234</x:f>
        <x:v>234</x:v>
      </x:c>
      <x:c r="B235" s="7" t="n">
        <x:f>IF('요약'!$B$4=4,IF(ISNUMBER('input'!A235),'input'!A235,""),IF(234&lt;=1000,CHOOSE('요약'!$B$4,'input'!B235,'input'!C235,'input'!D235),""))</x:f>
        <x:v>0.006040792593417224</x:v>
      </x:c>
      <x:c r="C235" s="7" t="n">
        <x:f>IF(AND(ISNUMBER(B235),'요약'!$B$19),B235-'요약'!$B$7,"")</x:f>
        <x:v>0.006089031920466725</x:v>
      </x:c>
      <x:c r="D235" s="7" t="n">
        <x:f>IF(ISNUMBER(C235),C235^2,"")</x:f>
        <x:v>0.0000370763097284627</x:v>
      </x:c>
      <x:c r="E235" s="15" t="n">
        <x:f>IF(ISNUMBER(C235),C235^3,"")</x:f>
        <x:v>2.2575883342972036e-7</x:v>
      </x:c>
      <x:c r="F235" s="15" t="n">
        <x:f>IF(ISNUMBER(C235),C235^4,"")</x:f>
        <x:v>1.3746527430808977e-9</x:v>
      </x:c>
      <x:c r="G235" s="7" t="n">
        <x:f>IF(ISNUMBER(B235),ABS(B235),"")</x:f>
        <x:v>0.006040792593417224</x:v>
      </x:c>
      <x:c r="H235" s="7" t="n">
        <x:f>IF(ISNUMBER(B235),B235^2,"")</x:f>
        <x:v>0.00003649117515668439</x:v>
      </x:c>
      <x:c r="I235" s="7" t="n">
        <x:f>IF(AND(ISNUMBER(G235),'요약'!$B$19),G235-'요약'!$B$14,"")</x:f>
        <x:v>-0.0019727240339856315</x:v>
      </x:c>
      <x:c r="J235" s="7" t="n">
        <x:f>IF(AND(ISNUMBER(H235),'요약'!$B$19),H235-'요약'!$B$15,"")</x:f>
        <x:v>-0.00006571852402940771</x:v>
      </x:c>
      <x:c r="K235" t="str">
        <x:f>IF(ISNUMBER(B235),IF('Hill'!$B$4=1,IF(B235&lt;0,-B235,""),IF('Hill'!$B$4=2,IF(B235&gt;0,B235,""),IF('Hill'!$B$4=3,IF(B235&lt;&gt;0,ABS(B235),""),""))),"")</x:f>
      </x:c>
    </x:row>
    <x:row r="236">
      <x:c r="A236" t="n">
        <x:f>235</x:f>
        <x:v>235</x:v>
      </x:c>
      <x:c r="B236" s="7" t="n">
        <x:f>IF('요약'!$B$4=4,IF(ISNUMBER('input'!A236),'input'!A236,""),IF(235&lt;=1000,CHOOSE('요약'!$B$4,'input'!B236,'input'!C236,'input'!D236),""))</x:f>
        <x:v>-0.005901773984809481</x:v>
      </x:c>
      <x:c r="C236" s="7" t="n">
        <x:f>IF(AND(ISNUMBER(B236),'요약'!$B$19),B236-'요약'!$B$7,"")</x:f>
        <x:v>-0.00585353465775998</x:v>
      </x:c>
      <x:c r="D236" s="7" t="n">
        <x:f>IF(ISNUMBER(C236),C236^2,"")</x:f>
        <x:v>0.000034263867989597244</x:v>
      </x:c>
      <x:c r="E236" s="15" t="n">
        <x:f>IF(ISNUMBER(C236),C236^3,"")</x:f>
        <x:v>-2.0056473878602024e-7</x:v>
      </x:c>
      <x:c r="F236" s="15" t="n">
        <x:f>IF(ISNUMBER(C236),C236^4,"")</x:f>
        <x:v>1.1740126496085467e-9</x:v>
      </x:c>
      <x:c r="G236" s="7" t="n">
        <x:f>IF(ISNUMBER(B236),ABS(B236),"")</x:f>
        <x:v>0.005901773984809481</x:v>
      </x:c>
      <x:c r="H236" s="7" t="n">
        <x:f>IF(ISNUMBER(B236),B236^2,"")</x:f>
        <x:v>0.00003483093616777398</x:v>
      </x:c>
      <x:c r="I236" s="7" t="n">
        <x:f>IF(AND(ISNUMBER(G236),'요약'!$B$19),G236-'요약'!$B$14,"")</x:f>
        <x:v>-0.002111742642593374</x:v>
      </x:c>
      <x:c r="J236" s="7" t="n">
        <x:f>IF(AND(ISNUMBER(H236),'요약'!$B$19),H236-'요약'!$B$15,"")</x:f>
        <x:v>-0.00006737876301831812</x:v>
      </x:c>
      <x:c r="K236" t="n">
        <x:f>IF(ISNUMBER(B236),IF('Hill'!$B$4=1,IF(B236&lt;0,-B236,""),IF('Hill'!$B$4=2,IF(B236&gt;0,B236,""),IF('Hill'!$B$4=3,IF(B236&lt;&gt;0,ABS(B236),""),""))),"")</x:f>
        <x:v>0.005901773984809481</x:v>
      </x:c>
    </x:row>
    <x:row r="237">
      <x:c r="A237" t="n">
        <x:f>236</x:f>
        <x:v>236</x:v>
      </x:c>
      <x:c r="B237" s="7" t="n">
        <x:f>IF('요약'!$B$4=4,IF(ISNUMBER('input'!A237),'input'!A237,""),IF(236&lt;=1000,CHOOSE('요약'!$B$4,'input'!B237,'input'!C237,'input'!D237),""))</x:f>
        <x:v>0.008897203922794234</x:v>
      </x:c>
      <x:c r="C237" s="7" t="n">
        <x:f>IF(AND(ISNUMBER(B237),'요약'!$B$19),B237-'요약'!$B$7,"")</x:f>
        <x:v>0.008945443249843735</x:v>
      </x:c>
      <x:c r="D237" s="7" t="n">
        <x:f>IF(ISNUMBER(C237),C237^2,"")</x:f>
        <x:v>0.00008002095493617485</x:v>
      </x:c>
      <x:c r="E237" s="15" t="n">
        <x:f>IF(ISNUMBER(C237),C237^3,"")</x:f>
        <x:v>7.158229111798549e-7</x:v>
      </x:c>
      <x:c r="F237" s="15" t="n">
        <x:f>IF(ISNUMBER(C237),C237^4,"")</x:f>
        <x:v>6.403353228897325e-9</x:v>
      </x:c>
      <x:c r="G237" s="7" t="n">
        <x:f>IF(ISNUMBER(B237),ABS(B237),"")</x:f>
        <x:v>0.008897203922794234</x:v>
      </x:c>
      <x:c r="H237" s="7" t="n">
        <x:f>IF(ISNUMBER(B237),B237^2,"")</x:f>
        <x:v>0.00007916023764378511</x:v>
      </x:c>
      <x:c r="I237" s="7" t="n">
        <x:f>IF(AND(ISNUMBER(G237),'요약'!$B$19),G237-'요약'!$B$14,"")</x:f>
        <x:v>0.0008836872953913791</x:v>
      </x:c>
      <x:c r="J237" s="7" t="n">
        <x:f>IF(AND(ISNUMBER(H237),'요약'!$B$19),H237-'요약'!$B$15,"")</x:f>
        <x:v>-0.000023049461542306993</x:v>
      </x:c>
      <x:c r="K237" t="str">
        <x:f>IF(ISNUMBER(B237),IF('Hill'!$B$4=1,IF(B237&lt;0,-B237,""),IF('Hill'!$B$4=2,IF(B237&gt;0,B237,""),IF('Hill'!$B$4=3,IF(B237&lt;&gt;0,ABS(B237),""),""))),"")</x:f>
      </x:c>
    </x:row>
    <x:row r="238">
      <x:c r="A238" t="n">
        <x:f>237</x:f>
        <x:v>237</x:v>
      </x:c>
      <x:c r="B238" s="7" t="n">
        <x:f>IF('요약'!$B$4=4,IF(ISNUMBER('input'!A238),'input'!A238,""),IF(237&lt;=1000,CHOOSE('요약'!$B$4,'input'!B238,'input'!C238,'input'!D238),""))</x:f>
        <x:v>0.01304316700459289</x:v>
      </x:c>
      <x:c r="C238" s="7" t="n">
        <x:f>IF(AND(ISNUMBER(B238),'요약'!$B$19),B238-'요약'!$B$7,"")</x:f>
        <x:v>0.01309140633164239</x:v>
      </x:c>
      <x:c r="D238" s="7" t="n">
        <x:f>IF(ISNUMBER(C238),C238^2,"")</x:f>
        <x:v>0.00017138491974016647</x:v>
      </x:c>
      <x:c r="E238" s="15" t="n">
        <x:f>IF(ISNUMBER(C238),C238^3,"")</x:f>
        <x:v>0.0000022436696234344384</x:v>
      </x:c>
      <x:c r="F238" s="15" t="n">
        <x:f>IF(ISNUMBER(C238),C238^4,"")</x:f>
        <x:v>2.9372790714343304e-8</x:v>
      </x:c>
      <x:c r="G238" s="7" t="n">
        <x:f>IF(ISNUMBER(B238),ABS(B238),"")</x:f>
        <x:v>0.01304316700459289</x:v>
      </x:c>
      <x:c r="H238" s="7" t="n">
        <x:f>IF(ISNUMBER(B238),B238^2,"")</x:f>
        <x:v>0.00017012420550970066</x:v>
      </x:c>
      <x:c r="I238" s="7" t="n">
        <x:f>IF(AND(ISNUMBER(G238),'요약'!$B$19),G238-'요약'!$B$14,"")</x:f>
        <x:v>0.0050296503771900345</x:v>
      </x:c>
      <x:c r="J238" s="7" t="n">
        <x:f>IF(AND(ISNUMBER(H238),'요약'!$B$19),H238-'요약'!$B$15,"")</x:f>
        <x:v>0.00006791450632360856</x:v>
      </x:c>
      <x:c r="K238" t="str">
        <x:f>IF(ISNUMBER(B238),IF('Hill'!$B$4=1,IF(B238&lt;0,-B238,""),IF('Hill'!$B$4=2,IF(B238&gt;0,B238,""),IF('Hill'!$B$4=3,IF(B238&lt;&gt;0,ABS(B238),""),""))),"")</x:f>
      </x:c>
    </x:row>
    <x:row r="239">
      <x:c r="A239" t="n">
        <x:f>238</x:f>
        <x:v>238</x:v>
      </x:c>
      <x:c r="B239" s="7" t="n">
        <x:f>IF('요약'!$B$4=4,IF(ISNUMBER('input'!A239),'input'!A239,""),IF(238&lt;=1000,CHOOSE('요약'!$B$4,'input'!B239,'input'!C239,'input'!D239),""))</x:f>
        <x:v>-0.03335874100088873</x:v>
      </x:c>
      <x:c r="C239" s="7" t="n">
        <x:f>IF(AND(ISNUMBER(B239),'요약'!$B$19),B239-'요약'!$B$7,"")</x:f>
        <x:v>-0.03331050167383923</x:v>
      </x:c>
      <x:c r="D239" s="7" t="n">
        <x:f>IF(ISNUMBER(C239),C239^2,"")</x:f>
        <x:v>0.0011095895217628458</x:v>
      </x:c>
      <x:c r="E239" s="15" t="n">
        <x:f>IF(ISNUMBER(C239),C239^3,"")</x:f>
        <x:v>-0.00003696098362195575</x:v>
      </x:c>
      <x:c r="F239" s="15" t="n">
        <x:f>IF(ISNUMBER(C239),C239^4,"")</x:f>
        <x:v>0.0000012311889068059012</x:v>
      </x:c>
      <x:c r="G239" s="7" t="n">
        <x:f>IF(ISNUMBER(B239),ABS(B239),"")</x:f>
        <x:v>0.03335874100088873</x:v>
      </x:c>
      <x:c r="H239" s="7" t="n">
        <x:f>IF(ISNUMBER(B239),B239^2,"")</x:f>
        <x:v>0.001112805601164375</x:v>
      </x:c>
      <x:c r="I239" s="7" t="n">
        <x:f>IF(AND(ISNUMBER(G239),'요약'!$B$19),G239-'요약'!$B$14,"")</x:f>
        <x:v>0.025345224373485874</x:v>
      </x:c>
      <x:c r="J239" s="7" t="n">
        <x:f>IF(AND(ISNUMBER(H239),'요약'!$B$19),H239-'요약'!$B$15,"")</x:f>
        <x:v>0.0010105959019782828</x:v>
      </x:c>
      <x:c r="K239" t="n">
        <x:f>IF(ISNUMBER(B239),IF('Hill'!$B$4=1,IF(B239&lt;0,-B239,""),IF('Hill'!$B$4=2,IF(B239&gt;0,B239,""),IF('Hill'!$B$4=3,IF(B239&lt;&gt;0,ABS(B239),""),""))),"")</x:f>
        <x:v>0.03335874100088873</x:v>
      </x:c>
    </x:row>
    <x:row r="240">
      <x:c r="A240" t="n">
        <x:f>239</x:f>
        <x:v>239</x:v>
      </x:c>
      <x:c r="B240" s="7" t="n">
        <x:f>IF('요약'!$B$4=4,IF(ISNUMBER('input'!A240),'input'!A240,""),IF(239&lt;=1000,CHOOSE('요약'!$B$4,'input'!B240,'input'!C240,'input'!D240),""))</x:f>
        <x:v>0.007555362948614445</x:v>
      </x:c>
      <x:c r="C240" s="7" t="n">
        <x:f>IF(AND(ISNUMBER(B240),'요약'!$B$19),B240-'요약'!$B$7,"")</x:f>
        <x:v>0.007603602275663947</x:v>
      </x:c>
      <x:c r="D240" s="7" t="n">
        <x:f>IF(ISNUMBER(C240),C240^2,"")</x:f>
        <x:v>0.00005781476756648195</x:v>
      </x:c>
      <x:c r="E240" s="15" t="n">
        <x:f>IF(ISNUMBER(C240),C240^3,"")</x:f>
        <x:v>4.3960049823548426e-7</x:v>
      </x:c>
      <x:c r="F240" s="15" t="n">
        <x:f>IF(ISNUMBER(C240),C240^4,"")</x:f>
        <x:v>3.342547348766333e-9</x:v>
      </x:c>
      <x:c r="G240" s="7" t="n">
        <x:f>IF(ISNUMBER(B240),ABS(B240),"")</x:f>
        <x:v>0.007555362948614445</x:v>
      </x:c>
      <x:c r="H240" s="7" t="n">
        <x:f>IF(ISNUMBER(B240),B240^2,"")</x:f>
        <x:v>0.000057083509285295965</x:v>
      </x:c>
      <x:c r="I240" s="7" t="n">
        <x:f>IF(AND(ISNUMBER(G240),'요약'!$B$19),G240-'요약'!$B$14,"")</x:f>
        <x:v>-0.00045815367878841023</x:v>
      </x:c>
      <x:c r="J240" s="7" t="n">
        <x:f>IF(AND(ISNUMBER(H240),'요약'!$B$19),H240-'요약'!$B$15,"")</x:f>
        <x:v>-0.00004512618990079614</x:v>
      </x:c>
      <x:c r="K240" t="str">
        <x:f>IF(ISNUMBER(B240),IF('Hill'!$B$4=1,IF(B240&lt;0,-B240,""),IF('Hill'!$B$4=2,IF(B240&gt;0,B240,""),IF('Hill'!$B$4=3,IF(B240&lt;&gt;0,ABS(B240),""),""))),"")</x:f>
      </x:c>
    </x:row>
    <x:row r="241">
      <x:c r="A241" t="n">
        <x:f>240</x:f>
        <x:v>240</x:v>
      </x:c>
      <x:c r="B241" s="7" t="n">
        <x:f>IF('요약'!$B$4=4,IF(ISNUMBER('input'!A241),'input'!A241,""),IF(240&lt;=1000,CHOOSE('요약'!$B$4,'input'!B241,'input'!C241,'input'!D241),""))</x:f>
        <x:v>0.005450196285551738</x:v>
      </x:c>
      <x:c r="C241" s="7" t="n">
        <x:f>IF(AND(ISNUMBER(B241),'요약'!$B$19),B241-'요약'!$B$7,"")</x:f>
        <x:v>0.005498435612601239</x:v>
      </x:c>
      <x:c r="D241" s="7" t="n">
        <x:f>IF(ISNUMBER(C241),C241^2,"")</x:f>
        <x:v>0.000030232794185921563</x:v>
      </x:c>
      <x:c r="E241" s="15" t="n">
        <x:f>IF(ISNUMBER(C241),C241^3,"")</x:f>
        <x:v>1.662330722203148e-7</x:v>
      </x:c>
      <x:c r="F241" s="15" t="n">
        <x:f>IF(ISNUMBER(C241),C241^4,"")</x:f>
        <x:v>9.140218442882927e-10</x:v>
      </x:c>
      <x:c r="G241" s="7" t="n">
        <x:f>IF(ISNUMBER(B241),ABS(B241),"")</x:f>
        <x:v>0.005450196285551738</x:v>
      </x:c>
      <x:c r="H241" s="7" t="n">
        <x:f>IF(ISNUMBER(B241),B241^2,"")</x:f>
        <x:v>0.00002970463955104196</x:v>
      </x:c>
      <x:c r="I241" s="7" t="n">
        <x:f>IF(AND(ISNUMBER(G241),'요약'!$B$19),G241-'요약'!$B$14,"")</x:f>
        <x:v>-0.0025633203418511177</x:v>
      </x:c>
      <x:c r="J241" s="7" t="n">
        <x:f>IF(AND(ISNUMBER(H241),'요약'!$B$19),H241-'요약'!$B$15,"")</x:f>
        <x:v>-0.00007250505963505015</x:v>
      </x:c>
      <x:c r="K241" t="str">
        <x:f>IF(ISNUMBER(B241),IF('Hill'!$B$4=1,IF(B241&lt;0,-B241,""),IF('Hill'!$B$4=2,IF(B241&gt;0,B241,""),IF('Hill'!$B$4=3,IF(B241&lt;&gt;0,ABS(B241),""),""))),"")</x:f>
      </x:c>
    </x:row>
    <x:row r="242">
      <x:c r="A242" t="n">
        <x:f>241</x:f>
        <x:v>241</x:v>
      </x:c>
      <x:c r="B242" s="7" t="n">
        <x:f>IF('요약'!$B$4=4,IF(ISNUMBER('input'!A242),'input'!A242,""),IF(241&lt;=1000,CHOOSE('요약'!$B$4,'input'!B242,'input'!C242,'input'!D242),""))</x:f>
        <x:v>-0.012119430629571461</x:v>
      </x:c>
      <x:c r="C242" s="7" t="n">
        <x:f>IF(AND(ISNUMBER(B242),'요약'!$B$19),B242-'요약'!$B$7,"")</x:f>
        <x:v>-0.01207119130252196</x:v>
      </x:c>
      <x:c r="D242" s="7" t="n">
        <x:f>IF(ISNUMBER(C242),C242^2,"")</x:f>
        <x:v>0.00014571365946208184</x:v>
      </x:c>
      <x:c r="E242" s="15" t="n">
        <x:f>IF(ISNUMBER(C242),C242^3,"")</x:f>
        <x:v>-0.0000017589374587573291</x:v>
      </x:c>
      <x:c r="F242" s="15" t="n">
        <x:f>IF(ISNUMBER(C242),C242^4,"")</x:f>
        <x:v>2.123247055383155e-8</x:v>
      </x:c>
      <x:c r="G242" s="7" t="n">
        <x:f>IF(ISNUMBER(B242),ABS(B242),"")</x:f>
        <x:v>0.012119430629571461</x:v>
      </x:c>
      <x:c r="H242" s="7" t="n">
        <x:f>IF(ISNUMBER(B242),B242^2,"")</x:f>
        <x:v>0.0001468805987849949</x:v>
      </x:c>
      <x:c r="I242" s="7" t="n">
        <x:f>IF(AND(ISNUMBER(G242),'요약'!$B$19),G242-'요약'!$B$14,"")</x:f>
        <x:v>0.004105914002168606</x:v>
      </x:c>
      <x:c r="J242" s="7" t="n">
        <x:f>IF(AND(ISNUMBER(H242),'요약'!$B$19),H242-'요약'!$B$15,"")</x:f>
        <x:v>0.000044670899598902794</x:v>
      </x:c>
      <x:c r="K242" t="n">
        <x:f>IF(ISNUMBER(B242),IF('Hill'!$B$4=1,IF(B242&lt;0,-B242,""),IF('Hill'!$B$4=2,IF(B242&gt;0,B242,""),IF('Hill'!$B$4=3,IF(B242&lt;&gt;0,ABS(B242),""),""))),"")</x:f>
        <x:v>0.012119430629571461</x:v>
      </x:c>
    </x:row>
    <x:row r="243">
      <x:c r="A243" t="n">
        <x:f>242</x:f>
        <x:v>242</x:v>
      </x:c>
      <x:c r="B243" s="7" t="n">
        <x:f>IF('요약'!$B$4=4,IF(ISNUMBER('input'!A243),'input'!A243,""),IF(242&lt;=1000,CHOOSE('요약'!$B$4,'input'!B243,'input'!C243,'input'!D243),""))</x:f>
        <x:v>-0.0032231888301986786</x:v>
      </x:c>
      <x:c r="C243" s="7" t="n">
        <x:f>IF(AND(ISNUMBER(B243),'요약'!$B$19),B243-'요약'!$B$7,"")</x:f>
        <x:v>-0.003174949503149177</x:v>
      </x:c>
      <x:c r="D243" s="7" t="n">
        <x:f>IF(ISNUMBER(C243),C243^2,"")</x:f>
        <x:v>0.000010080304347547207</x:v>
      </x:c>
      <x:c r="E243" s="15" t="n">
        <x:f>IF(ISNUMBER(C243),C243^3,"")</x:f>
        <x:v>-3.2004457279837494e-8</x:v>
      </x:c>
      <x:c r="F243" s="15" t="n">
        <x:f>IF(ISNUMBER(C243),C243^4,"")</x:f>
        <x:v>1.0161253573917911e-10</x:v>
      </x:c>
      <x:c r="G243" s="7" t="n">
        <x:f>IF(ISNUMBER(B243),ABS(B243),"")</x:f>
        <x:v>0.0032231888301986786</x:v>
      </x:c>
      <x:c r="H243" s="7" t="n">
        <x:f>IF(ISNUMBER(B243),B243^2,"")</x:f>
        <x:v>0.000010388946235117526</x:v>
      </x:c>
      <x:c r="I243" s="7" t="n">
        <x:f>IF(AND(ISNUMBER(G243),'요약'!$B$19),G243-'요약'!$B$14,"")</x:f>
        <x:v>-0.004790327797204176</x:v>
      </x:c>
      <x:c r="J243" s="7" t="n">
        <x:f>IF(AND(ISNUMBER(H243),'요약'!$B$19),H243-'요약'!$B$15,"")</x:f>
        <x:v>-0.00009182075295097457</x:v>
      </x:c>
      <x:c r="K243" t="n">
        <x:f>IF(ISNUMBER(B243),IF('Hill'!$B$4=1,IF(B243&lt;0,-B243,""),IF('Hill'!$B$4=2,IF(B243&gt;0,B243,""),IF('Hill'!$B$4=3,IF(B243&lt;&gt;0,ABS(B243),""),""))),"")</x:f>
        <x:v>0.0032231888301986786</x:v>
      </x:c>
    </x:row>
    <x:row r="244">
      <x:c r="A244" t="n">
        <x:f>243</x:f>
        <x:v>243</x:v>
      </x:c>
      <x:c r="B244" s="7" t="n">
        <x:f>IF('요약'!$B$4=4,IF(ISNUMBER('input'!A244),'input'!A244,""),IF(243&lt;=1000,CHOOSE('요약'!$B$4,'input'!B244,'input'!C244,'input'!D244),""))</x:f>
        <x:v>-0.008707003521318184</x:v>
      </x:c>
      <x:c r="C244" s="7" t="n">
        <x:f>IF(AND(ISNUMBER(B244),'요약'!$B$19),B244-'요약'!$B$7,"")</x:f>
        <x:v>-0.008658764194268684</x:v>
      </x:c>
      <x:c r="D244" s="7" t="n">
        <x:f>IF(ISNUMBER(C244),C244^2,"")</x:f>
        <x:v>0.00007497419737194941</x:v>
      </x:c>
      <x:c r="E244" s="15" t="n">
        <x:f>IF(ISNUMBER(C244),C244^3,"")</x:f>
        <x:v>-6.491838956982688e-7</x:v>
      </x:c>
      <x:c r="F244" s="15" t="n">
        <x:f>IF(ISNUMBER(C244),C244^4,"")</x:f>
        <x:v>5.621130271568026e-9</x:v>
      </x:c>
      <x:c r="G244" s="7" t="n">
        <x:f>IF(ISNUMBER(B244),ABS(B244),"")</x:f>
        <x:v>0.008707003521318184</x:v>
      </x:c>
      <x:c r="H244" s="7" t="n">
        <x:f>IF(ISNUMBER(B244),B244^2,"")</x:f>
        <x:v>0.00007581191032024727</x:v>
      </x:c>
      <x:c r="I244" s="7" t="n">
        <x:f>IF(AND(ISNUMBER(G244),'요약'!$B$19),G244-'요약'!$B$14,"")</x:f>
        <x:v>0.000693486893915329</x:v>
      </x:c>
      <x:c r="J244" s="7" t="n">
        <x:f>IF(AND(ISNUMBER(H244),'요약'!$B$19),H244-'요약'!$B$15,"")</x:f>
        <x:v>-0.000026397788865844838</x:v>
      </x:c>
      <x:c r="K244" t="n">
        <x:f>IF(ISNUMBER(B244),IF('Hill'!$B$4=1,IF(B244&lt;0,-B244,""),IF('Hill'!$B$4=2,IF(B244&gt;0,B244,""),IF('Hill'!$B$4=3,IF(B244&lt;&gt;0,ABS(B244),""),""))),"")</x:f>
        <x:v>0.008707003521318184</x:v>
      </x:c>
    </x:row>
    <x:row r="245">
      <x:c r="A245" t="n">
        <x:f>244</x:f>
        <x:v>244</x:v>
      </x:c>
      <x:c r="B245" s="7" t="n">
        <x:f>IF('요약'!$B$4=4,IF(ISNUMBER('input'!A245),'input'!A245,""),IF(244&lt;=1000,CHOOSE('요약'!$B$4,'input'!B245,'input'!C245,'input'!D245),""))</x:f>
        <x:v>0.024100127069118613</x:v>
      </x:c>
      <x:c r="C245" s="7" t="n">
        <x:f>IF(AND(ISNUMBER(B245),'요약'!$B$19),B245-'요약'!$B$7,"")</x:f>
        <x:v>0.024148366396168113</x:v>
      </x:c>
      <x:c r="D245" s="7" t="n">
        <x:f>IF(ISNUMBER(C245),C245^2,"")</x:f>
        <x:v>0.0005831435996035814</x:v>
      </x:c>
      <x:c r="E245" s="15" t="n">
        <x:f>IF(ISNUMBER(C245),C245^3,"")</x:f>
        <x:v>0.000014081965304807636</x:v>
      </x:c>
      <x:c r="F245" s="15" t="n">
        <x:f>IF(ISNUMBER(C245),C245^4,"")</x:f>
        <x:v>3.40056457758622e-7</x:v>
      </x:c>
      <x:c r="G245" s="7" t="n">
        <x:f>IF(ISNUMBER(B245),ABS(B245),"")</x:f>
        <x:v>0.024100127069118613</x:v>
      </x:c>
      <x:c r="H245" s="7" t="n">
        <x:f>IF(ISNUMBER(B245),B245^2,"")</x:f>
        <x:v>0.0005808161247476636</x:v>
      </x:c>
      <x:c r="I245" s="7" t="n">
        <x:f>IF(AND(ISNUMBER(G245),'요약'!$B$19),G245-'요약'!$B$14,"")</x:f>
        <x:v>0.016086610441715755</x:v>
      </x:c>
      <x:c r="J245" s="7" t="n">
        <x:f>IF(AND(ISNUMBER(H245),'요약'!$B$19),H245-'요약'!$B$15,"")</x:f>
        <x:v>0.00047860642556157157</x:v>
      </x:c>
      <x:c r="K245" t="str">
        <x:f>IF(ISNUMBER(B245),IF('Hill'!$B$4=1,IF(B245&lt;0,-B245,""),IF('Hill'!$B$4=2,IF(B245&gt;0,B245,""),IF('Hill'!$B$4=3,IF(B245&lt;&gt;0,ABS(B245),""),""))),"")</x:f>
      </x:c>
    </x:row>
    <x:row r="246">
      <x:c r="A246" t="n">
        <x:f>245</x:f>
        <x:v>245</x:v>
      </x:c>
      <x:c r="B246" s="7" t="n">
        <x:f>IF('요약'!$B$4=4,IF(ISNUMBER('input'!A246),'input'!A246,""),IF(245&lt;=1000,CHOOSE('요약'!$B$4,'input'!B246,'input'!C246,'input'!D246),""))</x:f>
        <x:v>0.007696806637142092</x:v>
      </x:c>
      <x:c r="C246" s="7" t="n">
        <x:f>IF(AND(ISNUMBER(B246),'요약'!$B$19),B246-'요약'!$B$7,"")</x:f>
        <x:v>0.007745045964191594</x:v>
      </x:c>
      <x:c r="D246" s="7" t="n">
        <x:f>IF(ISNUMBER(C246),C246^2,"")</x:f>
        <x:v>0.00005998573698744049</x:v>
      </x:c>
      <x:c r="E246" s="15" t="n">
        <x:f>IF(ISNUMBER(C246),C246^3,"")</x:f>
        <x:v>4.645922901636344e-7</x:v>
      </x:c>
      <x:c r="F246" s="15" t="n">
        <x:f>IF(ISNUMBER(C246),C246^4,"")</x:f>
        <x:v>3.5982886419263863e-9</x:v>
      </x:c>
      <x:c r="G246" s="7" t="n">
        <x:f>IF(ISNUMBER(B246),ABS(B246),"")</x:f>
        <x:v>0.007696806637142092</x:v>
      </x:c>
      <x:c r="H246" s="7" t="n">
        <x:f>IF(ISNUMBER(B246),B246^2,"")</x:f>
        <x:v>0.00005924083240955456</x:v>
      </x:c>
      <x:c r="I246" s="7" t="n">
        <x:f>IF(AND(ISNUMBER(G246),'요약'!$B$19),G246-'요약'!$B$14,"")</x:f>
        <x:v>-0.00031670999026076323</x:v>
      </x:c>
      <x:c r="J246" s="7" t="n">
        <x:f>IF(AND(ISNUMBER(H246),'요약'!$B$19),H246-'요약'!$B$15,"")</x:f>
        <x:v>-0.00004296886677653754</x:v>
      </x:c>
      <x:c r="K246" t="str">
        <x:f>IF(ISNUMBER(B246),IF('Hill'!$B$4=1,IF(B246&lt;0,-B246,""),IF('Hill'!$B$4=2,IF(B246&gt;0,B246,""),IF('Hill'!$B$4=3,IF(B246&lt;&gt;0,ABS(B246),""),""))),"")</x:f>
      </x:c>
    </x:row>
    <x:row r="247">
      <x:c r="A247" t="n">
        <x:f>246</x:f>
        <x:v>246</x:v>
      </x:c>
      <x:c r="B247" s="7" t="n">
        <x:f>IF('요약'!$B$4=4,IF(ISNUMBER('input'!A247),'input'!A247,""),IF(246&lt;=1000,CHOOSE('요약'!$B$4,'input'!B247,'input'!C247,'input'!D247),""))</x:f>
        <x:v>0.009977419362301244</x:v>
      </x:c>
      <x:c r="C247" s="7" t="n">
        <x:f>IF(AND(ISNUMBER(B247),'요약'!$B$19),B247-'요약'!$B$7,"")</x:f>
        <x:v>0.010025658689350745</x:v>
      </x:c>
      <x:c r="D247" s="7" t="n">
        <x:f>IF(ISNUMBER(C247),C247^2,"")</x:f>
        <x:v>0.0001005138321553541</x:v>
      </x:c>
      <x:c r="E247" s="15" t="n">
        <x:f>IF(ISNUMBER(C247),C247^3,"")</x:f>
        <x:v>0.000001007717374748268</x:v>
      </x:c>
      <x:c r="F247" s="15" t="n">
        <x:f>IF(ISNUMBER(C247),C247^4,"")</x:f>
        <x:v>1.0103030454554695e-8</x:v>
      </x:c>
      <x:c r="G247" s="7" t="n">
        <x:f>IF(ISNUMBER(B247),ABS(B247),"")</x:f>
        <x:v>0.009977419362301244</x:v>
      </x:c>
      <x:c r="H247" s="7" t="n">
        <x:f>IF(ISNUMBER(B247),B247^2,"")</x:f>
        <x:v>0.00009954889713122376</x:v>
      </x:c>
      <x:c r="I247" s="7" t="n">
        <x:f>IF(AND(ISNUMBER(G247),'요약'!$B$19),G247-'요약'!$B$14,"")</x:f>
        <x:v>0.0019639027348983887</x:v>
      </x:c>
      <x:c r="J247" s="7" t="n">
        <x:f>IF(AND(ISNUMBER(H247),'요약'!$B$19),H247-'요약'!$B$15,"")</x:f>
        <x:v>-0.00000266080205486834</x:v>
      </x:c>
      <x:c r="K247" t="str">
        <x:f>IF(ISNUMBER(B247),IF('Hill'!$B$4=1,IF(B247&lt;0,-B247,""),IF('Hill'!$B$4=2,IF(B247&gt;0,B247,""),IF('Hill'!$B$4=3,IF(B247&lt;&gt;0,ABS(B247),""),""))),"")</x:f>
      </x:c>
    </x:row>
    <x:row r="248">
      <x:c r="A248" t="n">
        <x:f>247</x:f>
        <x:v>247</x:v>
      </x:c>
      <x:c r="B248" s="7" t="n">
        <x:f>IF('요약'!$B$4=4,IF(ISNUMBER('input'!A248),'input'!A248,""),IF(247&lt;=1000,CHOOSE('요약'!$B$4,'input'!B248,'input'!C248,'input'!D248),""))</x:f>
        <x:v>-0.016044485741635885</x:v>
      </x:c>
      <x:c r="C248" s="7" t="n">
        <x:f>IF(AND(ISNUMBER(B248),'요약'!$B$19),B248-'요약'!$B$7,"")</x:f>
        <x:v>-0.015996246414586385</x:v>
      </x:c>
      <x:c r="D248" s="7" t="n">
        <x:f>IF(ISNUMBER(C248),C248^2,"")</x:f>
        <x:v>0.00025587989935616775</x:v>
      </x:c>
      <x:c r="E248" s="15" t="n">
        <x:f>IF(ISNUMBER(C248),C248^3,"")</x:f>
        <x:v>-0.000004093117922640824</x:v>
      </x:c>
      <x:c r="F248" s="15" t="n">
        <x:f>IF(ISNUMBER(C248),C248^4,"")</x:f>
        <x:v>6.547452289452255e-8</x:v>
      </x:c>
      <x:c r="G248" s="7" t="n">
        <x:f>IF(ISNUMBER(B248),ABS(B248),"")</x:f>
        <x:v>0.016044485741635885</x:v>
      </x:c>
      <x:c r="H248" s="7" t="n">
        <x:f>IF(ISNUMBER(B248),B248^2,"")</x:f>
        <x:v>0.0002574255227135572</x:v>
      </x:c>
      <x:c r="I248" s="7" t="n">
        <x:f>IF(AND(ISNUMBER(G248),'요약'!$B$19),G248-'요약'!$B$14,"")</x:f>
        <x:v>0.00803096911423303</x:v>
      </x:c>
      <x:c r="J248" s="7" t="n">
        <x:f>IF(AND(ISNUMBER(H248),'요약'!$B$19),H248-'요약'!$B$15,"")</x:f>
        <x:v>0.0001552158235274651</x:v>
      </x:c>
      <x:c r="K248" t="n">
        <x:f>IF(ISNUMBER(B248),IF('Hill'!$B$4=1,IF(B248&lt;0,-B248,""),IF('Hill'!$B$4=2,IF(B248&gt;0,B248,""),IF('Hill'!$B$4=3,IF(B248&lt;&gt;0,ABS(B248),""),""))),"")</x:f>
        <x:v>0.016044485741635885</x:v>
      </x:c>
    </x:row>
    <x:row r="249">
      <x:c r="A249" t="n">
        <x:f>248</x:f>
        <x:v>248</x:v>
      </x:c>
      <x:c r="B249" s="7" t="n">
        <x:f>IF('요약'!$B$4=4,IF(ISNUMBER('input'!A249),'input'!A249,""),IF(248&lt;=1000,CHOOSE('요약'!$B$4,'input'!B249,'input'!C249,'input'!D249),""))</x:f>
        <x:v>-0.0010684222430103628</x:v>
      </x:c>
      <x:c r="C249" s="7" t="n">
        <x:f>IF(AND(ISNUMBER(B249),'요약'!$B$19),B249-'요약'!$B$7,"")</x:f>
        <x:v>-0.0010201829159608613</x:v>
      </x:c>
      <x:c r="D249" s="7" t="n">
        <x:f>IF(ISNUMBER(C249),C249^2,"")</x:f>
        <x:v>0.0000010407731820184058</x:v>
      </x:c>
      <x:c r="E249" s="15" t="n">
        <x:f>IF(ISNUMBER(C249),C249^3,"")</x:f>
        <x:v>-1.0617790196854015e-9</x:v>
      </x:c>
      <x:c r="F249" s="15" t="n">
        <x:f>IF(ISNUMBER(C249),C249^4,"")</x:f>
        <x:v>1.0832088164087177e-12</x:v>
      </x:c>
      <x:c r="G249" s="7" t="n">
        <x:f>IF(ISNUMBER(B249),ABS(B249),"")</x:f>
        <x:v>0.0010684222430103628</x:v>
      </x:c>
      <x:c r="H249" s="7" t="n">
        <x:f>IF(ISNUMBER(B249),B249^2,"")</x:f>
        <x:v>0.0000011415260893592947</x:v>
      </x:c>
      <x:c r="I249" s="7" t="n">
        <x:f>IF(AND(ISNUMBER(G249),'요약'!$B$19),G249-'요약'!$B$14,"")</x:f>
        <x:v>-0.006945094384392492</x:v>
      </x:c>
      <x:c r="J249" s="7" t="n">
        <x:f>IF(AND(ISNUMBER(H249),'요약'!$B$19),H249-'요약'!$B$15,"")</x:f>
        <x:v>-0.0001010681730967328</x:v>
      </x:c>
      <x:c r="K249" t="n">
        <x:f>IF(ISNUMBER(B249),IF('Hill'!$B$4=1,IF(B249&lt;0,-B249,""),IF('Hill'!$B$4=2,IF(B249&gt;0,B249,""),IF('Hill'!$B$4=3,IF(B249&lt;&gt;0,ABS(B249),""),""))),"")</x:f>
        <x:v>0.0010684222430103628</x:v>
      </x:c>
    </x:row>
    <x:row r="250">
      <x:c r="A250" t="n">
        <x:f>249</x:f>
        <x:v>249</x:v>
      </x:c>
      <x:c r="B250" s="7" t="n">
        <x:f>IF('요약'!$B$4=4,IF(ISNUMBER('input'!A250),'input'!A250,""),IF(249&lt;=1000,CHOOSE('요약'!$B$4,'input'!B250,'input'!C250,'input'!D250),""))</x:f>
        <x:v>0.0019322166218047382</x:v>
      </x:c>
      <x:c r="C250" s="7" t="n">
        <x:f>IF(AND(ISNUMBER(B250),'요약'!$B$19),B250-'요약'!$B$7,"")</x:f>
        <x:v>0.0019804559488542394</x:v>
      </x:c>
      <x:c r="D250" s="7" t="n">
        <x:f>IF(ISNUMBER(C250),C250^2,"")</x:f>
        <x:v>0.0000039222057653521454</x:v>
      </x:c>
      <x:c r="E250" s="15" t="n">
        <x:f>IF(ISNUMBER(C250),C250^3,"")</x:f>
        <x:v>7.767755740622053e-9</x:v>
      </x:c>
      <x:c r="F250" s="15" t="n">
        <x:f>IF(ISNUMBER(C250),C250^4,"")</x:f>
        <x:v>1.5383698065761613e-11</x:v>
      </x:c>
      <x:c r="G250" s="7" t="n">
        <x:f>IF(ISNUMBER(B250),ABS(B250),"")</x:f>
        <x:v>0.0019322166218047382</x:v>
      </x:c>
      <x:c r="H250" s="7" t="n">
        <x:f>IF(ISNUMBER(B250),B250^2,"")</x:f>
        <x:v>0.0000037334610735785147</x:v>
      </x:c>
      <x:c r="I250" s="7" t="n">
        <x:f>IF(AND(ISNUMBER(G250),'요약'!$B$19),G250-'요약'!$B$14,"")</x:f>
        <x:v>-0.006081300005598117</x:v>
      </x:c>
      <x:c r="J250" s="7" t="n">
        <x:f>IF(AND(ISNUMBER(H250),'요약'!$B$19),H250-'요약'!$B$15,"")</x:f>
        <x:v>-0.00009847623811251359</x:v>
      </x:c>
      <x:c r="K250" t="str">
        <x:f>IF(ISNUMBER(B250),IF('Hill'!$B$4=1,IF(B250&lt;0,-B250,""),IF('Hill'!$B$4=2,IF(B250&gt;0,B250,""),IF('Hill'!$B$4=3,IF(B250&lt;&gt;0,ABS(B250),""),""))),"")</x:f>
      </x:c>
    </x:row>
    <x:row r="251">
      <x:c r="A251" t="n">
        <x:f>250</x:f>
        <x:v>250</x:v>
      </x:c>
      <x:c r="B251" s="7" t="n">
        <x:f>IF('요약'!$B$4=4,IF(ISNUMBER('input'!A251),'input'!A251,""),IF(250&lt;=1000,CHOOSE('요약'!$B$4,'input'!B251,'input'!C251,'input'!D251),""))</x:f>
        <x:v>0.00234084882078323</x:v>
      </x:c>
      <x:c r="C251" s="7" t="n">
        <x:f>IF(AND(ISNUMBER(B251),'요약'!$B$19),B251-'요약'!$B$7,"")</x:f>
        <x:v>0.0023890881478327314</x:v>
      </x:c>
      <x:c r="D251" s="7" t="n">
        <x:f>IF(ISNUMBER(C251),C251^2,"")</x:f>
        <x:v>0.000005707742178114831</x:v>
      </x:c>
      <x:c r="E251" s="15" t="n">
        <x:f>IF(ISNUMBER(C251),C251^3,"")</x:f>
        <x:v>1.3636299188619123e-8</x:v>
      </x:c>
      <x:c r="F251" s="15" t="n">
        <x:f>IF(ISNUMBER(C251),C251^4,"")</x:f>
        <x:v>3.2578320771831035e-11</x:v>
      </x:c>
      <x:c r="G251" s="7" t="n">
        <x:f>IF(ISNUMBER(B251),ABS(B251),"")</x:f>
        <x:v>0.00234084882078323</x:v>
      </x:c>
      <x:c r="H251" s="7" t="n">
        <x:f>IF(ISNUMBER(B251),B251^2,"")</x:f>
        <x:v>0.000005479573201762239</x:v>
      </x:c>
      <x:c r="I251" s="7" t="n">
        <x:f>IF(AND(ISNUMBER(G251),'요약'!$B$19),G251-'요약'!$B$14,"")</x:f>
        <x:v>-0.005672667806619625</x:v>
      </x:c>
      <x:c r="J251" s="7" t="n">
        <x:f>IF(AND(ISNUMBER(H251),'요약'!$B$19),H251-'요약'!$B$15,"")</x:f>
        <x:v>-0.00009673012598432987</x:v>
      </x:c>
      <x:c r="K251" t="str">
        <x:f>IF(ISNUMBER(B251),IF('Hill'!$B$4=1,IF(B251&lt;0,-B251,""),IF('Hill'!$B$4=2,IF(B251&gt;0,B251,""),IF('Hill'!$B$4=3,IF(B251&lt;&gt;0,ABS(B251),""),""))),"")</x:f>
      </x:c>
    </x:row>
    <x:row r="252">
      <x:c r="A252" t="n">
        <x:f>251</x:f>
        <x:v>251</x:v>
      </x:c>
      <x:c r="B252" s="7" t="n">
        <x:f>IF('요약'!$B$4=4,IF(ISNUMBER('input'!A252),'input'!A252,""),IF(251&lt;=1000,CHOOSE('요약'!$B$4,'input'!B252,'input'!C252,'input'!D252),""))</x:f>
        <x:v>0.0056975117339882995</x:v>
      </x:c>
      <x:c r="C252" s="7" t="n">
        <x:f>IF(AND(ISNUMBER(B252),'요약'!$B$19),B252-'요약'!$B$7,"")</x:f>
        <x:v>0.005745751061037801</x:v>
      </x:c>
      <x:c r="D252" s="7" t="n">
        <x:f>IF(ISNUMBER(C252),C252^2,"")</x:f>
        <x:v>0.000033013655255417014</x:v>
      </x:c>
      <x:c r="E252" s="15" t="n">
        <x:f>IF(ISNUMBER(C252),C252^3,"")</x:f>
        <x:v>1.896882447125485e-7</x:v>
      </x:c>
      <x:c r="F252" s="15" t="n">
        <x:f>IF(ISNUMBER(C252),C252^4,"")</x:f>
        <x:v>1.0899014333235235e-9</x:v>
      </x:c>
      <x:c r="G252" s="7" t="n">
        <x:f>IF(ISNUMBER(B252),ABS(B252),"")</x:f>
        <x:v>0.0056975117339882995</x:v>
      </x:c>
      <x:c r="H252" s="7" t="n">
        <x:f>IF(ISNUMBER(B252),B252^2,"")</x:f>
        <x:v>0.00003246163995893436</x:v>
      </x:c>
      <x:c r="I252" s="7" t="n">
        <x:f>IF(AND(ISNUMBER(G252),'요약'!$B$19),G252-'요약'!$B$14,"")</x:f>
        <x:v>-0.002316004893414556</x:v>
      </x:c>
      <x:c r="J252" s="7" t="n">
        <x:f>IF(AND(ISNUMBER(H252),'요약'!$B$19),H252-'요약'!$B$15,"")</x:f>
        <x:v>-0.00006974805922715775</x:v>
      </x:c>
      <x:c r="K252" t="str">
        <x:f>IF(ISNUMBER(B252),IF('Hill'!$B$4=1,IF(B252&lt;0,-B252,""),IF('Hill'!$B$4=2,IF(B252&gt;0,B252,""),IF('Hill'!$B$4=3,IF(B252&lt;&gt;0,ABS(B252),""),""))),"")</x:f>
      </x:c>
    </x:row>
    <x:row r="253">
      <x:c r="A253" t="n">
        <x:f>252</x:f>
        <x:v>252</x:v>
      </x:c>
      <x:c r="B253" s="7" t="n">
        <x:f>IF('요약'!$B$4=4,IF(ISNUMBER('input'!A253),'input'!A253,""),IF(252&lt;=1000,CHOOSE('요약'!$B$4,'input'!B253,'input'!C253,'input'!D253),""))</x:f>
        <x:v>0.01820381656384575</x:v>
      </x:c>
      <x:c r="C253" s="7" t="n">
        <x:f>IF(AND(ISNUMBER(B253),'요약'!$B$19),B253-'요약'!$B$7,"")</x:f>
        <x:v>0.01825205589089525</x:v>
      </x:c>
      <x:c r="D253" s="7" t="n">
        <x:f>IF(ISNUMBER(C253),C253^2,"")</x:f>
        <x:v>0.000333137544244364</x:v>
      </x:c>
      <x:c r="E253" s="15" t="n">
        <x:f>IF(ISNUMBER(C253),C253^3,"")</x:f>
        <x:v>0.0000060804450769037205</x:v>
      </x:c>
      <x:c r="F253" s="15" t="n">
        <x:f>IF(ISNUMBER(C253),C253^4,"")</x:f>
        <x:v>1.1098062338516558e-7</x:v>
      </x:c>
      <x:c r="G253" s="7" t="n">
        <x:f>IF(ISNUMBER(B253),ABS(B253),"")</x:f>
        <x:v>0.01820381656384575</x:v>
      </x:c>
      <x:c r="H253" s="7" t="n">
        <x:f>IF(ISNUMBER(B253),B253^2,"")</x:f>
        <x:v>0.0003313789374901449</x:v>
      </x:c>
      <x:c r="I253" s="7" t="n">
        <x:f>IF(AND(ISNUMBER(G253),'요약'!$B$19),G253-'요약'!$B$14,"")</x:f>
        <x:v>0.010190299936442894</x:v>
      </x:c>
      <x:c r="J253" s="7" t="n">
        <x:f>IF(AND(ISNUMBER(H253),'요약'!$B$19),H253-'요약'!$B$15,"")</x:f>
        <x:v>0.00022916923830405277</x:v>
      </x:c>
      <x:c r="K253" t="str">
        <x:f>IF(ISNUMBER(B253),IF('Hill'!$B$4=1,IF(B253&lt;0,-B253,""),IF('Hill'!$B$4=2,IF(B253&gt;0,B253,""),IF('Hill'!$B$4=3,IF(B253&lt;&gt;0,ABS(B253),""),""))),"")</x:f>
      </x:c>
    </x:row>
    <x:row r="254">
      <x:c r="A254" t="n">
        <x:f>253</x:f>
        <x:v>253</x:v>
      </x:c>
      <x:c r="B254" s="7" t="n">
        <x:f>IF('요약'!$B$4=4,IF(ISNUMBER('input'!A254),'input'!A254,""),IF(253&lt;=1000,CHOOSE('요약'!$B$4,'input'!B254,'input'!C254,'input'!D254),""))</x:f>
        <x:v>-0.016283015006215956</x:v>
      </x:c>
      <x:c r="C254" s="7" t="n">
        <x:f>IF(AND(ISNUMBER(B254),'요약'!$B$19),B254-'요약'!$B$7,"")</x:f>
        <x:v>-0.016234775679166456</x:v>
      </x:c>
      <x:c r="D254" s="7" t="n">
        <x:f>IF(ISNUMBER(C254),C254^2,"")</x:f>
        <x:v>0.00026356794135285464</x:v>
      </x:c>
      <x:c r="E254" s="15" t="n">
        <x:f>IF(ISNUMBER(C254),C254^3,"")</x:f>
        <x:v>-0.000004278966404083295</x:v>
      </x:c>
      <x:c r="F254" s="15" t="n">
        <x:f>IF(ISNUMBER(C254),C254^4,"")</x:f>
        <x:v>6.946805970898182e-8</x:v>
      </x:c>
      <x:c r="G254" s="7" t="n">
        <x:f>IF(ISNUMBER(B254),ABS(B254),"")</x:f>
        <x:v>0.016283015006215956</x:v>
      </x:c>
      <x:c r="H254" s="7" t="n">
        <x:f>IF(ISNUMBER(B254),B254^2,"")</x:f>
        <x:v>0.00026513657769265404</x:v>
      </x:c>
      <x:c r="I254" s="7" t="n">
        <x:f>IF(AND(ISNUMBER(G254),'요약'!$B$19),G254-'요약'!$B$14,"")</x:f>
        <x:v>0.0082694983788131</x:v>
      </x:c>
      <x:c r="J254" s="7" t="n">
        <x:f>IF(AND(ISNUMBER(H254),'요약'!$B$19),H254-'요약'!$B$15,"")</x:f>
        <x:v>0.00016292687850656194</x:v>
      </x:c>
      <x:c r="K254" t="n">
        <x:f>IF(ISNUMBER(B254),IF('Hill'!$B$4=1,IF(B254&lt;0,-B254,""),IF('Hill'!$B$4=2,IF(B254&gt;0,B254,""),IF('Hill'!$B$4=3,IF(B254&lt;&gt;0,ABS(B254),""),""))),"")</x:f>
        <x:v>0.016283015006215956</x:v>
      </x:c>
    </x:row>
    <x:row r="255">
      <x:c r="A255" t="n">
        <x:f>254</x:f>
        <x:v>254</x:v>
      </x:c>
      <x:c r="B255" s="7" t="n">
        <x:f>IF('요약'!$B$4=4,IF(ISNUMBER('input'!A255),'input'!A255,""),IF(254&lt;=1000,CHOOSE('요약'!$B$4,'input'!B255,'input'!C255,'input'!D255),""))</x:f>
        <x:v>0.0002987420620560532</x:v>
      </x:c>
      <x:c r="C255" s="7" t="n">
        <x:f>IF(AND(ISNUMBER(B255),'요약'!$B$19),B255-'요약'!$B$7,"")</x:f>
        <x:v>0.00034698138910555453</x:v>
      </x:c>
      <x:c r="D255" s="7" t="n">
        <x:f>IF(ISNUMBER(C255),C255^2,"")</x:f>
        <x:v>1.2039608438562025e-7</x:v>
      </x:c>
      <x:c r="E255" s="15" t="n">
        <x:f>IF(ISNUMBER(C255),C255^3,"")</x:f>
        <x:v>4.177520060299207e-11</x:v>
      </x:c>
      <x:c r="F255" s="15" t="n">
        <x:f>IF(ISNUMBER(C255),C255^4,"")</x:f>
        <x:v>1.449521713538939e-14</x:v>
      </x:c>
      <x:c r="G255" s="7" t="n">
        <x:f>IF(ISNUMBER(B255),ABS(B255),"")</x:f>
        <x:v>0.0002987420620560532</x:v>
      </x:c>
      <x:c r="H255" s="7" t="n">
        <x:f>IF(ISNUMBER(B255),B255^2,"")</x:f>
        <x:v>8.924681964150273e-8</x:v>
      </x:c>
      <x:c r="I255" s="7" t="n">
        <x:f>IF(AND(ISNUMBER(G255),'요약'!$B$19),G255-'요약'!$B$14,"")</x:f>
        <x:v>-0.007714774565346802</x:v>
      </x:c>
      <x:c r="J255" s="7" t="n">
        <x:f>IF(AND(ISNUMBER(H255),'요약'!$B$19),H255-'요약'!$B$15,"")</x:f>
        <x:v>-0.0001021204523664506</x:v>
      </x:c>
      <x:c r="K255" t="str">
        <x:f>IF(ISNUMBER(B255),IF('Hill'!$B$4=1,IF(B255&lt;0,-B255,""),IF('Hill'!$B$4=2,IF(B255&gt;0,B255,""),IF('Hill'!$B$4=3,IF(B255&lt;&gt;0,ABS(B255),""),""))),"")</x:f>
      </x:c>
    </x:row>
    <x:row r="256">
      <x:c r="A256" t="n">
        <x:f>255</x:f>
        <x:v>255</x:v>
      </x:c>
      <x:c r="B256" s="7" t="n">
        <x:f>IF('요약'!$B$4=4,IF(ISNUMBER('input'!A256),'input'!A256,""),IF(255&lt;=1000,CHOOSE('요약'!$B$4,'input'!B256,'input'!C256,'input'!D256),""))</x:f>
        <x:v>-0.007285507868452679</x:v>
      </x:c>
      <x:c r="C256" s="7" t="n">
        <x:f>IF(AND(ISNUMBER(B256),'요약'!$B$19),B256-'요약'!$B$7,"")</x:f>
        <x:v>-0.007237268541403177</x:v>
      </x:c>
      <x:c r="D256" s="7" t="n">
        <x:f>IF(ISNUMBER(C256),C256^2,"")</x:f>
        <x:v>0.00005237805594038407</x:v>
      </x:c>
      <x:c r="E256" s="15" t="n">
        <x:f>IF(ISNUMBER(C256),C256^3,"")</x:f>
        <x:v>-3.790740565171975e-7</x:v>
      </x:c>
      <x:c r="F256" s="15" t="n">
        <x:f>IF(ISNUMBER(C256),C256^4,"")</x:f>
        <x:v>2.7434607440940034e-9</x:v>
      </x:c>
      <x:c r="G256" s="7" t="n">
        <x:f>IF(ISNUMBER(B256),ABS(B256),"")</x:f>
        <x:v>0.007285507868452679</x:v>
      </x:c>
      <x:c r="H256" s="7" t="n">
        <x:f>IF(ISNUMBER(B256),B256^2,"")</x:f>
        <x:v>0.0000530786249012859</x:v>
      </x:c>
      <x:c r="I256" s="7" t="n">
        <x:f>IF(AND(ISNUMBER(G256),'요약'!$B$19),G256-'요약'!$B$14,"")</x:f>
        <x:v>-0.0007280087589501766</x:v>
      </x:c>
      <x:c r="J256" s="7" t="n">
        <x:f>IF(AND(ISNUMBER(H256),'요약'!$B$19),H256-'요약'!$B$15,"")</x:f>
        <x:v>-0.000049131074284806206</x:v>
      </x:c>
      <x:c r="K256" t="n">
        <x:f>IF(ISNUMBER(B256),IF('Hill'!$B$4=1,IF(B256&lt;0,-B256,""),IF('Hill'!$B$4=2,IF(B256&gt;0,B256,""),IF('Hill'!$B$4=3,IF(B256&lt;&gt;0,ABS(B256),""),""))),"")</x:f>
        <x:v>0.007285507868452679</x:v>
      </x:c>
    </x:row>
    <x:row r="257">
      <x:c r="A257" t="n">
        <x:f>256</x:f>
        <x:v>256</x:v>
      </x:c>
      <x:c r="B257" s="7" t="n">
        <x:f>IF('요약'!$B$4=4,IF(ISNUMBER('input'!A257),'input'!A257,""),IF(256&lt;=1000,CHOOSE('요약'!$B$4,'input'!B257,'input'!C257,'input'!D257),""))</x:f>
        <x:v>0.015728049863102438</x:v>
      </x:c>
      <x:c r="C257" s="7" t="n">
        <x:f>IF(AND(ISNUMBER(B257),'요약'!$B$19),B257-'요약'!$B$7,"")</x:f>
        <x:v>0.015776289190151938</x:v>
      </x:c>
      <x:c r="D257" s="7" t="n">
        <x:f>IF(ISNUMBER(C257),C257^2,"")</x:f>
        <x:v>0.0002488913006113049</x:v>
      </x:c>
      <x:c r="E257" s="15" t="n">
        <x:f>IF(ISNUMBER(C257),C257^3,"")</x:f>
        <x:v>0.000003926581135356986</x:v>
      </x:c>
      <x:c r="F257" s="15" t="n">
        <x:f>IF(ISNUMBER(C257),C257^4,"")</x:f>
        <x:v>6.194687951998694e-8</x:v>
      </x:c>
      <x:c r="G257" s="7" t="n">
        <x:f>IF(ISNUMBER(B257),ABS(B257),"")</x:f>
        <x:v>0.015728049863102438</x:v>
      </x:c>
      <x:c r="H257" s="7" t="n">
        <x:f>IF(ISNUMBER(B257),B257^2,"")</x:f>
        <x:v>0.0002473715524962366</x:v>
      </x:c>
      <x:c r="I257" s="7" t="n">
        <x:f>IF(AND(ISNUMBER(G257),'요약'!$B$19),G257-'요약'!$B$14,"")</x:f>
        <x:v>0.007714533235699582</x:v>
      </x:c>
      <x:c r="J257" s="7" t="n">
        <x:f>IF(AND(ISNUMBER(H257),'요약'!$B$19),H257-'요약'!$B$15,"")</x:f>
        <x:v>0.0001451618533101445</x:v>
      </x:c>
      <x:c r="K257" t="str">
        <x:f>IF(ISNUMBER(B257),IF('Hill'!$B$4=1,IF(B257&lt;0,-B257,""),IF('Hill'!$B$4=2,IF(B257&gt;0,B257,""),IF('Hill'!$B$4=3,IF(B257&lt;&gt;0,ABS(B257),""),""))),"")</x:f>
      </x:c>
    </x:row>
    <x:row r="258">
      <x:c r="A258" t="n">
        <x:f>257</x:f>
        <x:v>257</x:v>
      </x:c>
      <x:c r="B258" s="7" t="n">
        <x:f>IF('요약'!$B$4=4,IF(ISNUMBER('input'!A258),'input'!A258,""),IF(257&lt;=1000,CHOOSE('요약'!$B$4,'input'!B258,'input'!C258,'input'!D258),""))</x:f>
        <x:v>-0.009076212647084138</x:v>
      </x:c>
      <x:c r="C258" s="7" t="n">
        <x:f>IF(AND(ISNUMBER(B258),'요약'!$B$19),B258-'요약'!$B$7,"")</x:f>
        <x:v>-0.009027973320034638</x:v>
      </x:c>
      <x:c r="D258" s="7" t="n">
        <x:f>IF(ISNUMBER(C258),C258^2,"")</x:f>
        <x:v>0.00008150430226725724</x:v>
      </x:c>
      <x:c r="E258" s="15" t="n">
        <x:f>IF(ISNUMBER(C258),C258^3,"")</x:f>
        <x:v>-7.358186663368369e-7</x:v>
      </x:c>
      <x:c r="F258" s="15" t="n">
        <x:f>IF(ISNUMBER(C258),C258^4,"")</x:f>
        <x:v>6.642951288072433e-9</x:v>
      </x:c>
      <x:c r="G258" s="7" t="n">
        <x:f>IF(ISNUMBER(B258),ABS(B258),"")</x:f>
        <x:v>0.009076212647084138</x:v>
      </x:c>
      <x:c r="H258" s="7" t="n">
        <x:f>IF(ISNUMBER(B258),B258^2,"")</x:f>
        <x:v>0.00008237763601509006</x:v>
      </x:c>
      <x:c r="I258" s="7" t="n">
        <x:f>IF(AND(ISNUMBER(G258),'요약'!$B$19),G258-'요약'!$B$14,"")</x:f>
        <x:v>0.0010626960196812828</x:v>
      </x:c>
      <x:c r="J258" s="7" t="n">
        <x:f>IF(AND(ISNUMBER(H258),'요약'!$B$19),H258-'요약'!$B$15,"")</x:f>
        <x:v>-0.00001983206317100205</x:v>
      </x:c>
      <x:c r="K258" t="n">
        <x:f>IF(ISNUMBER(B258),IF('Hill'!$B$4=1,IF(B258&lt;0,-B258,""),IF('Hill'!$B$4=2,IF(B258&gt;0,B258,""),IF('Hill'!$B$4=3,IF(B258&lt;&gt;0,ABS(B258),""),""))),"")</x:f>
        <x:v>0.009076212647084138</x:v>
      </x:c>
    </x:row>
    <x:row r="259">
      <x:c r="A259" t="n">
        <x:f>258</x:f>
        <x:v>258</x:v>
      </x:c>
      <x:c r="B259" s="7" t="n">
        <x:f>IF('요약'!$B$4=4,IF(ISNUMBER('input'!A259),'input'!A259,""),IF(258&lt;=1000,CHOOSE('요약'!$B$4,'input'!B259,'input'!C259,'input'!D259),""))</x:f>
        <x:v>0.006638582961846316</x:v>
      </x:c>
      <x:c r="C259" s="7" t="n">
        <x:f>IF(AND(ISNUMBER(B259),'요약'!$B$19),B259-'요약'!$B$7,"")</x:f>
        <x:v>0.006686822288895817</x:v>
      </x:c>
      <x:c r="D259" s="7" t="n">
        <x:f>IF(ISNUMBER(C259),C259^2,"")</x:f>
        <x:v>0.000044713592323273895</x:v>
      </x:c>
      <x:c r="E259" s="15" t="n">
        <x:f>IF(ISNUMBER(C259),C259^3,"")</x:f>
        <x:v>2.989918457638688e-7</x:v>
      </x:c>
      <x:c r="F259" s="15" t="n">
        <x:f>IF(ISNUMBER(C259),C259^4,"")</x:f>
        <x:v>1.9993053384519382e-9</x:v>
      </x:c>
      <x:c r="G259" s="7" t="n">
        <x:f>IF(ISNUMBER(B259),ABS(B259),"")</x:f>
        <x:v>0.006638582961846316</x:v>
      </x:c>
      <x:c r="H259" s="7" t="n">
        <x:f>IF(ISNUMBER(B259),B259^2,"")</x:f>
        <x:v>0.0000440707837413162</x:v>
      </x:c>
      <x:c r="I259" s="7" t="n">
        <x:f>IF(AND(ISNUMBER(G259),'요약'!$B$19),G259-'요약'!$B$14,"")</x:f>
        <x:v>-0.0013749336655565396</x:v>
      </x:c>
      <x:c r="J259" s="7" t="n">
        <x:f>IF(AND(ISNUMBER(H259),'요약'!$B$19),H259-'요약'!$B$15,"")</x:f>
        <x:v>-0.000058138915444775904</x:v>
      </x:c>
      <x:c r="K259" t="str">
        <x:f>IF(ISNUMBER(B259),IF('Hill'!$B$4=1,IF(B259&lt;0,-B259,""),IF('Hill'!$B$4=2,IF(B259&gt;0,B259,""),IF('Hill'!$B$4=3,IF(B259&lt;&gt;0,ABS(B259),""),""))),"")</x:f>
      </x:c>
    </x:row>
    <x:row r="260">
      <x:c r="A260" t="n">
        <x:f>259</x:f>
        <x:v>259</x:v>
      </x:c>
      <x:c r="B260" s="7" t="n">
        <x:f>IF('요약'!$B$4=4,IF(ISNUMBER('input'!A260),'input'!A260,""),IF(259&lt;=1000,CHOOSE('요약'!$B$4,'input'!B260,'input'!C260,'input'!D260),""))</x:f>
        <x:v>-0.012685540928688508</x:v>
      </x:c>
      <x:c r="C260" s="7" t="n">
        <x:f>IF(AND(ISNUMBER(B260),'요약'!$B$19),B260-'요약'!$B$7,"")</x:f>
        <x:v>-0.012637301601639008</x:v>
      </x:c>
      <x:c r="D260" s="7" t="n">
        <x:f>IF(ISNUMBER(C260),C260^2,"")</x:f>
        <x:v>0.00015970139177078784</x:v>
      </x:c>
      <x:c r="E260" s="15" t="n">
        <x:f>IF(ISNUMBER(C260),C260^3,"")</x:f>
        <x:v>-0.0000020181946540089556</x:v>
      </x:c>
      <x:c r="F260" s="15" t="n">
        <x:f>IF(ISNUMBER(C260),C260^4,"")</x:f>
        <x:v>2.550453453352666e-8</x:v>
      </x:c>
      <x:c r="G260" s="7" t="n">
        <x:f>IF(ISNUMBER(B260),ABS(B260),"")</x:f>
        <x:v>0.012685540928688508</x:v>
      </x:c>
      <x:c r="H260" s="7" t="n">
        <x:f>IF(ISNUMBER(B260),B260^2,"")</x:f>
        <x:v>0.0001609229486534313</x:v>
      </x:c>
      <x:c r="I260" s="7" t="n">
        <x:f>IF(AND(ISNUMBER(G260),'요약'!$B$19),G260-'요약'!$B$14,"")</x:f>
        <x:v>0.004672024301285653</x:v>
      </x:c>
      <x:c r="J260" s="7" t="n">
        <x:f>IF(AND(ISNUMBER(H260),'요약'!$B$19),H260-'요약'!$B$15,"")</x:f>
        <x:v>0.00005871324946733921</x:v>
      </x:c>
      <x:c r="K260" t="n">
        <x:f>IF(ISNUMBER(B260),IF('Hill'!$B$4=1,IF(B260&lt;0,-B260,""),IF('Hill'!$B$4=2,IF(B260&gt;0,B260,""),IF('Hill'!$B$4=3,IF(B260&lt;&gt;0,ABS(B260),""),""))),"")</x:f>
        <x:v>0.012685540928688508</x:v>
      </x:c>
    </x:row>
    <x:row r="261">
      <x:c r="A261" t="n">
        <x:f>260</x:f>
        <x:v>260</x:v>
      </x:c>
      <x:c r="B261" s="7" t="n">
        <x:f>IF('요약'!$B$4=4,IF(ISNUMBER('input'!A261),'input'!A261,""),IF(260&lt;=1000,CHOOSE('요약'!$B$4,'input'!B261,'input'!C261,'input'!D261),""))</x:f>
        <x:v>0.007630261905015059</x:v>
      </x:c>
      <x:c r="C261" s="7" t="n">
        <x:f>IF(AND(ISNUMBER(B261),'요약'!$B$19),B261-'요약'!$B$7,"")</x:f>
        <x:v>0.00767850123206456</x:v>
      </x:c>
      <x:c r="D261" s="7" t="n">
        <x:f>IF(ISNUMBER(C261),C261^2,"")</x:f>
        <x:v>0.00005895938117081697</x:v>
      </x:c>
      <x:c r="E261" s="15" t="n">
        <x:f>IF(ISNUMBER(C261),C261^3,"")</x:f>
        <x:v>4.5271968096188214e-7</x:v>
      </x:c>
      <x:c r="F261" s="15" t="n">
        <x:f>IF(ISNUMBER(C261),C261^4,"")</x:f>
        <x:v>3.4762086280456864e-9</x:v>
      </x:c>
      <x:c r="G261" s="7" t="n">
        <x:f>IF(ISNUMBER(B261),ABS(B261),"")</x:f>
        <x:v>0.007630261905015059</x:v>
      </x:c>
      <x:c r="H261" s="7" t="n">
        <x:f>IF(ISNUMBER(B261),B261^2,"")</x:f>
        <x:v>0.00005822089673912403</x:v>
      </x:c>
      <x:c r="I261" s="7" t="n">
        <x:f>IF(AND(ISNUMBER(G261),'요약'!$B$19),G261-'요약'!$B$14,"")</x:f>
        <x:v>-0.0003832547223877967</x:v>
      </x:c>
      <x:c r="J261" s="7" t="n">
        <x:f>IF(AND(ISNUMBER(H261),'요약'!$B$19),H261-'요약'!$B$15,"")</x:f>
        <x:v>-0.00004398880244696807</x:v>
      </x:c>
      <x:c r="K261" t="str">
        <x:f>IF(ISNUMBER(B261),IF('Hill'!$B$4=1,IF(B261&lt;0,-B261,""),IF('Hill'!$B$4=2,IF(B261&gt;0,B261,""),IF('Hill'!$B$4=3,IF(B261&lt;&gt;0,ABS(B261),""),""))),"")</x:f>
      </x:c>
    </x:row>
    <x:row r="262">
      <x:c r="A262" t="n">
        <x:f>261</x:f>
        <x:v>261</x:v>
      </x:c>
      <x:c r="B262" s="7" t="n">
        <x:f>IF('요약'!$B$4=4,IF(ISNUMBER('input'!A262),'input'!A262,""),IF(261&lt;=1000,CHOOSE('요약'!$B$4,'input'!B262,'input'!C262,'input'!D262),""))</x:f>
        <x:v>-0.006030299255683936</x:v>
      </x:c>
      <x:c r="C262" s="7" t="n">
        <x:f>IF(AND(ISNUMBER(B262),'요약'!$B$19),B262-'요약'!$B$7,"")</x:f>
        <x:v>-0.005982059928634435</x:v>
      </x:c>
      <x:c r="D262" s="7" t="n">
        <x:f>IF(ISNUMBER(C262),C262^2,"")</x:f>
        <x:v>0.000035785040989773815</x:v>
      </x:c>
      <x:c r="E262" s="15" t="n">
        <x:f>IF(ISNUMBER(C262),C262^3,"")</x:f>
        <x:v>-2.1406825974946668e-7</x:v>
      </x:c>
      <x:c r="F262" s="15" t="n">
        <x:f>IF(ISNUMBER(C262),C262^4,"")</x:f>
        <x:v>1.2805691586397923e-9</x:v>
      </x:c>
      <x:c r="G262" s="7" t="n">
        <x:f>IF(ISNUMBER(B262),ABS(B262),"")</x:f>
        <x:v>0.006030299255683936</x:v>
      </x:c>
      <x:c r="H262" s="7" t="n">
        <x:f>IF(ISNUMBER(B262),B262^2,"")</x:f>
        <x:v>0.000036364509113102234</x:v>
      </x:c>
      <x:c r="I262" s="7" t="n">
        <x:f>IF(AND(ISNUMBER(G262),'요약'!$B$19),G262-'요약'!$B$14,"")</x:f>
        <x:v>-0.0019832173717189193</x:v>
      </x:c>
      <x:c r="J262" s="7" t="n">
        <x:f>IF(AND(ISNUMBER(H262),'요약'!$B$19),H262-'요약'!$B$15,"")</x:f>
        <x:v>-0.00006584519007298988</x:v>
      </x:c>
      <x:c r="K262" t="n">
        <x:f>IF(ISNUMBER(B262),IF('Hill'!$B$4=1,IF(B262&lt;0,-B262,""),IF('Hill'!$B$4=2,IF(B262&gt;0,B262,""),IF('Hill'!$B$4=3,IF(B262&lt;&gt;0,ABS(B262),""),""))),"")</x:f>
        <x:v>0.006030299255683936</x:v>
      </x:c>
    </x:row>
    <x:row r="263">
      <x:c r="A263" t="n">
        <x:f>262</x:f>
        <x:v>262</x:v>
      </x:c>
      <x:c r="B263" s="7" t="n">
        <x:f>IF('요약'!$B$4=4,IF(ISNUMBER('input'!A263),'input'!A263,""),IF(262&lt;=1000,CHOOSE('요약'!$B$4,'input'!B263,'input'!C263,'input'!D263),""))</x:f>
        <x:v>-0.00969287959339782</x:v>
      </x:c>
      <x:c r="C263" s="7" t="n">
        <x:f>IF(AND(ISNUMBER(B263),'요약'!$B$19),B263-'요약'!$B$7,"")</x:f>
        <x:v>-0.00964464026634832</x:v>
      </x:c>
      <x:c r="D263" s="7" t="n">
        <x:f>IF(ISNUMBER(C263),C263^2,"")</x:f>
        <x:v>0.00009301908586726738</x:v>
      </x:c>
      <x:c r="E263" s="15" t="n">
        <x:f>IF(ISNUMBER(C263),C263^3,"")</x:f>
        <x:v>-8.971356210943589e-7</x:v>
      </x:c>
      <x:c r="F263" s="15" t="n">
        <x:f>IF(ISNUMBER(C263),C263^4,"")</x:f>
        <x:v>8.652550335582063e-9</x:v>
      </x:c>
      <x:c r="G263" s="7" t="n">
        <x:f>IF(ISNUMBER(B263),ABS(B263),"")</x:f>
        <x:v>0.00969287959339782</x:v>
      </x:c>
      <x:c r="H263" s="7" t="n">
        <x:f>IF(ISNUMBER(B263),B263^2,"")</x:f>
        <x:v>0.0000939519148121079</x:v>
      </x:c>
      <x:c r="I263" s="7" t="n">
        <x:f>IF(AND(ISNUMBER(G263),'요약'!$B$19),G263-'요약'!$B$14,"")</x:f>
        <x:v>0.0016793629659949648</x:v>
      </x:c>
      <x:c r="J263" s="7" t="n">
        <x:f>IF(AND(ISNUMBER(H263),'요약'!$B$19),H263-'요약'!$B$15,"")</x:f>
        <x:v>-0.000008257784373984206</x:v>
      </x:c>
      <x:c r="K263" t="n">
        <x:f>IF(ISNUMBER(B263),IF('Hill'!$B$4=1,IF(B263&lt;0,-B263,""),IF('Hill'!$B$4=2,IF(B263&gt;0,B263,""),IF('Hill'!$B$4=3,IF(B263&lt;&gt;0,ABS(B263),""),""))),"")</x:f>
        <x:v>0.00969287959339782</x:v>
      </x:c>
    </x:row>
    <x:row r="264">
      <x:c r="A264" t="n">
        <x:f>263</x:f>
        <x:v>263</x:v>
      </x:c>
      <x:c r="B264" s="7" t="n">
        <x:f>IF('요약'!$B$4=4,IF(ISNUMBER('input'!A264),'input'!A264,""),IF(263&lt;=1000,CHOOSE('요약'!$B$4,'input'!B264,'input'!C264,'input'!D264),""))</x:f>
        <x:v>-0.001621848876236423</x:v>
      </x:c>
      <x:c r="C264" s="7" t="n">
        <x:f>IF(AND(ISNUMBER(B264),'요약'!$B$19),B264-'요약'!$B$7,"")</x:f>
        <x:v>-0.0015736095491869215</x:v>
      </x:c>
      <x:c r="D264" s="7" t="n">
        <x:f>IF(ISNUMBER(C264),C264^2,"")</x:f>
        <x:v>0.0000024762470132922665</x:v>
      </x:c>
      <x:c r="E264" s="15" t="n">
        <x:f>IF(ISNUMBER(C264),C264^3,"")</x:f>
        <x:v>-3.896645946262304e-9</x:v>
      </x:c>
      <x:c r="F264" s="15" t="n">
        <x:f>IF(ISNUMBER(C264),C264^4,"")</x:f>
        <x:v>6.13179927083887e-12</x:v>
      </x:c>
      <x:c r="G264" s="7" t="n">
        <x:f>IF(ISNUMBER(B264),ABS(B264),"")</x:f>
        <x:v>0.001621848876236423</x:v>
      </x:c>
      <x:c r="H264" s="7" t="n">
        <x:f>IF(ISNUMBER(B264),B264^2,"")</x:f>
        <x:v>0.000002630393777349348</x:v>
      </x:c>
      <x:c r="I264" s="7" t="n">
        <x:f>IF(AND(ISNUMBER(G264),'요약'!$B$19),G264-'요약'!$B$14,"")</x:f>
        <x:v>-0.006391667751166432</x:v>
      </x:c>
      <x:c r="J264" s="7" t="n">
        <x:f>IF(AND(ISNUMBER(H264),'요약'!$B$19),H264-'요약'!$B$15,"")</x:f>
        <x:v>-0.00009957930540874276</x:v>
      </x:c>
      <x:c r="K264" t="n">
        <x:f>IF(ISNUMBER(B264),IF('Hill'!$B$4=1,IF(B264&lt;0,-B264,""),IF('Hill'!$B$4=2,IF(B264&gt;0,B264,""),IF('Hill'!$B$4=3,IF(B264&lt;&gt;0,ABS(B264),""),""))),"")</x:f>
        <x:v>0.001621848876236423</x:v>
      </x:c>
    </x:row>
    <x:row r="265">
      <x:c r="A265" t="n">
        <x:f>264</x:f>
        <x:v>264</x:v>
      </x:c>
      <x:c r="B265" s="7" t="n">
        <x:f>IF('요약'!$B$4=4,IF(ISNUMBER('input'!A265),'input'!A265,""),IF(264&lt;=1000,CHOOSE('요약'!$B$4,'input'!B265,'input'!C265,'input'!D265),""))</x:f>
        <x:v>-0.009225371667586047</x:v>
      </x:c>
      <x:c r="C265" s="7" t="n">
        <x:f>IF(AND(ISNUMBER(B265),'요약'!$B$19),B265-'요약'!$B$7,"")</x:f>
        <x:v>-0.009177132340536546</x:v>
      </x:c>
      <x:c r="D265" s="7" t="n">
        <x:f>IF(ISNUMBER(C265),C265^2,"")</x:f>
        <x:v>0.00008421975799572179</x:v>
      </x:c>
      <x:c r="E265" s="15" t="n">
        <x:f>IF(ISNUMBER(C265),C265^3,"")</x:f>
        <x:v>-7.728958648146998e-7</x:v>
      </x:c>
      <x:c r="F265" s="15" t="n">
        <x:f>IF(ISNUMBER(C265),C265^4,"")</x:f>
        <x:v>7.092967636857944e-9</x:v>
      </x:c>
      <x:c r="G265" s="7" t="n">
        <x:f>IF(ISNUMBER(B265),ABS(B265),"")</x:f>
        <x:v>0.009225371667586047</x:v>
      </x:c>
      <x:c r="H265" s="7" t="n">
        <x:f>IF(ISNUMBER(B265),B265^2,"")</x:f>
        <x:v>0.00008510748240509936</x:v>
      </x:c>
      <x:c r="I265" s="7" t="n">
        <x:f>IF(AND(ISNUMBER(G265),'요약'!$B$19),G265-'요약'!$B$14,"")</x:f>
        <x:v>0.0012118550401831914</x:v>
      </x:c>
      <x:c r="J265" s="7" t="n">
        <x:f>IF(AND(ISNUMBER(H265),'요약'!$B$19),H265-'요약'!$B$15,"")</x:f>
        <x:v>-0.000017102216780992747</x:v>
      </x:c>
      <x:c r="K265" t="n">
        <x:f>IF(ISNUMBER(B265),IF('Hill'!$B$4=1,IF(B265&lt;0,-B265,""),IF('Hill'!$B$4=2,IF(B265&gt;0,B265,""),IF('Hill'!$B$4=3,IF(B265&lt;&gt;0,ABS(B265),""),""))),"")</x:f>
        <x:v>0.009225371667586047</x:v>
      </x:c>
    </x:row>
    <x:row r="266">
      <x:c r="A266" t="n">
        <x:f>265</x:f>
        <x:v>265</x:v>
      </x:c>
      <x:c r="B266" s="7" t="n">
        <x:f>IF('요약'!$B$4=4,IF(ISNUMBER('input'!A266),'input'!A266,""),IF(265&lt;=1000,CHOOSE('요약'!$B$4,'input'!B266,'input'!C266,'input'!D266),""))</x:f>
        <x:v>0.0032760150125669134</x:v>
      </x:c>
      <x:c r="C266" s="7" t="n">
        <x:f>IF(AND(ISNUMBER(B266),'요약'!$B$19),B266-'요약'!$B$7,"")</x:f>
        <x:v>0.003324254339616415</x:v>
      </x:c>
      <x:c r="D266" s="7" t="n">
        <x:f>IF(ISNUMBER(C266),C266^2,"")</x:f>
        <x:v>0.000011050666914458567</x:v>
      </x:c>
      <x:c r="E266" s="15" t="n">
        <x:f>IF(ISNUMBER(C266),C266^3,"")</x:f>
        <x:v>3.673522744604443e-8</x:v>
      </x:c>
      <x:c r="F266" s="15" t="n">
        <x:f>IF(ISNUMBER(C266),C266^4,"")</x:f>
        <x:v>1.221172392543092e-10</x:v>
      </x:c>
      <x:c r="G266" s="7" t="n">
        <x:f>IF(ISNUMBER(B266),ABS(B266),"")</x:f>
        <x:v>0.0032760150125669134</x:v>
      </x:c>
      <x:c r="H266" s="7" t="n">
        <x:f>IF(ISNUMBER(B266),B266^2,"")</x:f>
        <x:v>0.000010732274362563794</x:v>
      </x:c>
      <x:c r="I266" s="7" t="n">
        <x:f>IF(AND(ISNUMBER(G266),'요약'!$B$19),G266-'요약'!$B$14,"")</x:f>
        <x:v>-0.0047375016148359424</x:v>
      </x:c>
      <x:c r="J266" s="7" t="n">
        <x:f>IF(AND(ISNUMBER(H266),'요약'!$B$19),H266-'요약'!$B$15,"")</x:f>
        <x:v>-0.00009147742482352832</x:v>
      </x:c>
      <x:c r="K266" t="str">
        <x:f>IF(ISNUMBER(B266),IF('Hill'!$B$4=1,IF(B266&lt;0,-B266,""),IF('Hill'!$B$4=2,IF(B266&gt;0,B266,""),IF('Hill'!$B$4=3,IF(B266&lt;&gt;0,ABS(B266),""),""))),"")</x:f>
      </x:c>
    </x:row>
    <x:row r="267">
      <x:c r="A267" t="n">
        <x:f>266</x:f>
        <x:v>266</x:v>
      </x:c>
      <x:c r="B267" s="7" t="n">
        <x:f>IF('요약'!$B$4=4,IF(ISNUMBER('input'!A267),'input'!A267,""),IF(266&lt;=1000,CHOOSE('요약'!$B$4,'input'!B267,'input'!C267,'input'!D267),""))</x:f>
        <x:v>0.01526496331076456</x:v>
      </x:c>
      <x:c r="C267" s="7" t="n">
        <x:f>IF(AND(ISNUMBER(B267),'요약'!$B$19),B267-'요약'!$B$7,"")</x:f>
        <x:v>0.01531320263781406</x:v>
      </x:c>
      <x:c r="D267" s="7" t="n">
        <x:f>IF(ISNUMBER(C267),C267^2,"")</x:f>
        <x:v>0.00023449417502675548</x:v>
      </x:c>
      <x:c r="E267" s="15" t="n">
        <x:f>IF(ISNUMBER(C267),C267^3,"")</x:f>
        <x:v>0.000003590856819571744</x:v>
      </x:c>
      <x:c r="F267" s="15" t="n">
        <x:f>IF(ISNUMBER(C267),C267^4,"")</x:f>
        <x:v>5.4987518121478634e-8</x:v>
      </x:c>
      <x:c r="G267" s="7" t="n">
        <x:f>IF(ISNUMBER(B267),ABS(B267),"")</x:f>
        <x:v>0.01526496331076456</x:v>
      </x:c>
      <x:c r="H267" s="7" t="n">
        <x:f>IF(ISNUMBER(B267),B267^2,"")</x:f>
        <x:v>0.0002330191048789881</x:v>
      </x:c>
      <x:c r="I267" s="7" t="n">
        <x:f>IF(AND(ISNUMBER(G267),'요약'!$B$19),G267-'요약'!$B$14,"")</x:f>
        <x:v>0.007251446683361704</x:v>
      </x:c>
      <x:c r="J267" s="7" t="n">
        <x:f>IF(AND(ISNUMBER(H267),'요약'!$B$19),H267-'요약'!$B$15,"")</x:f>
        <x:v>0.00013080940569289599</x:v>
      </x:c>
      <x:c r="K267" t="str">
        <x:f>IF(ISNUMBER(B267),IF('Hill'!$B$4=1,IF(B267&lt;0,-B267,""),IF('Hill'!$B$4=2,IF(B267&gt;0,B267,""),IF('Hill'!$B$4=3,IF(B267&lt;&gt;0,ABS(B267),""),""))),"")</x:f>
      </x:c>
    </x:row>
    <x:row r="268">
      <x:c r="A268" t="n">
        <x:f>267</x:f>
        <x:v>267</x:v>
      </x:c>
      <x:c r="B268" s="7" t="n">
        <x:f>IF('요약'!$B$4=4,IF(ISNUMBER('input'!A268),'input'!A268,""),IF(267&lt;=1000,CHOOSE('요약'!$B$4,'input'!B268,'input'!C268,'input'!D268),""))</x:f>
        <x:v>0.00035434362928938755</x:v>
      </x:c>
      <x:c r="C268" s="7" t="n">
        <x:f>IF(AND(ISNUMBER(B268),'요약'!$B$19),B268-'요약'!$B$7,"")</x:f>
        <x:v>0.0004025829563388889</x:v>
      </x:c>
      <x:c r="D268" s="7" t="n">
        <x:f>IF(ISNUMBER(C268),C268^2,"")</x:f>
        <x:v>1.6207303673455973e-7</x:v>
      </x:c>
      <x:c r="E268" s="15" t="n">
        <x:f>IF(ISNUMBER(C268),C268^3,"")</x:f>
        <x:v>6.52478422714204e-11</x:v>
      </x:c>
      <x:c r="F268" s="15" t="n">
        <x:f>IF(ISNUMBER(C268),C268^4,"")</x:f>
        <x:v>2.6267669236361948e-14</x:v>
      </x:c>
      <x:c r="G268" s="7" t="n">
        <x:f>IF(ISNUMBER(B268),ABS(B268),"")</x:f>
        <x:v>0.00035434362928938755</x:v>
      </x:c>
      <x:c r="H268" s="7" t="n">
        <x:f>IF(ISNUMBER(B268),B268^2,"")</x:f>
        <x:v>1.255594076179749e-7</x:v>
      </x:c>
      <x:c r="I268" s="7" t="n">
        <x:f>IF(AND(ISNUMBER(G268),'요약'!$B$19),G268-'요약'!$B$14,"")</x:f>
        <x:v>-0.007659172998113467</x:v>
      </x:c>
      <x:c r="J268" s="7" t="n">
        <x:f>IF(AND(ISNUMBER(H268),'요약'!$B$19),H268-'요약'!$B$15,"")</x:f>
        <x:v>-0.00010208413977847414</x:v>
      </x:c>
      <x:c r="K268" t="str">
        <x:f>IF(ISNUMBER(B268),IF('Hill'!$B$4=1,IF(B268&lt;0,-B268,""),IF('Hill'!$B$4=2,IF(B268&gt;0,B268,""),IF('Hill'!$B$4=3,IF(B268&lt;&gt;0,ABS(B268),""),""))),"")</x:f>
      </x:c>
    </x:row>
    <x:row r="269">
      <x:c r="A269" t="n">
        <x:f>268</x:f>
        <x:v>268</x:v>
      </x:c>
      <x:c r="B269" s="7" t="n">
        <x:f>IF('요약'!$B$4=4,IF(ISNUMBER('input'!A269),'input'!A269,""),IF(268&lt;=1000,CHOOSE('요약'!$B$4,'input'!B269,'input'!C269,'input'!D269),""))</x:f>
        <x:v>-0.010317504394273551</x:v>
      </x:c>
      <x:c r="C269" s="7" t="n">
        <x:f>IF(AND(ISNUMBER(B269),'요약'!$B$19),B269-'요약'!$B$7,"")</x:f>
        <x:v>-0.01026926506722405</x:v>
      </x:c>
      <x:c r="D269" s="7" t="n">
        <x:f>IF(ISNUMBER(C269),C269^2,"")</x:f>
        <x:v>0.00010545780502090819</x:v>
      </x:c>
      <x:c r="E269" s="15" t="n">
        <x:f>IF(ISNUMBER(C269),C269^3,"")</x:f>
        <x:v>-0.0000010829741531673375</x:v>
      </x:c>
      <x:c r="F269" s="15" t="n">
        <x:f>IF(ISNUMBER(C269),C269^4,"")</x:f>
        <x:v>1.1121348639827887e-8</x:v>
      </x:c>
      <x:c r="G269" s="7" t="n">
        <x:f>IF(ISNUMBER(B269),ABS(B269),"")</x:f>
        <x:v>0.010317504394273551</x:v>
      </x:c>
      <x:c r="H269" s="7" t="n">
        <x:f>IF(ISNUMBER(B269),B269^2,"")</x:f>
        <x:v>0.00010645089692585404</x:v>
      </x:c>
      <x:c r="I269" s="7" t="n">
        <x:f>IF(AND(ISNUMBER(G269),'요약'!$B$19),G269-'요약'!$B$14,"")</x:f>
        <x:v>0.002303987766870696</x:v>
      </x:c>
      <x:c r="J269" s="7" t="n">
        <x:f>IF(AND(ISNUMBER(H269),'요약'!$B$19),H269-'요약'!$B$15,"")</x:f>
        <x:v>0.000004241197739761931</x:v>
      </x:c>
      <x:c r="K269" t="n">
        <x:f>IF(ISNUMBER(B269),IF('Hill'!$B$4=1,IF(B269&lt;0,-B269,""),IF('Hill'!$B$4=2,IF(B269&gt;0,B269,""),IF('Hill'!$B$4=3,IF(B269&lt;&gt;0,ABS(B269),""),""))),"")</x:f>
        <x:v>0.010317504394273551</x:v>
      </x:c>
    </x:row>
    <x:row r="270">
      <x:c r="A270" t="n">
        <x:f>269</x:f>
        <x:v>269</x:v>
      </x:c>
      <x:c r="B270" s="7" t="n">
        <x:f>IF('요약'!$B$4=4,IF(ISNUMBER('input'!A270),'input'!A270,""),IF(269&lt;=1000,CHOOSE('요약'!$B$4,'input'!B270,'input'!C270,'input'!D270),""))</x:f>
        <x:v>-0.00514978285043289</x:v>
      </x:c>
      <x:c r="C270" s="7" t="n">
        <x:f>IF(AND(ISNUMBER(B270),'요약'!$B$19),B270-'요약'!$B$7,"")</x:f>
        <x:v>-0.005101543523383389</x:v>
      </x:c>
      <x:c r="D270" s="7" t="n">
        <x:f>IF(ISNUMBER(C270),C270^2,"")</x:f>
        <x:v>0.000026025746320975</x:v>
      </x:c>
      <x:c r="E270" s="15" t="n">
        <x:f>IF(ISNUMBER(C270),C270^3,"")</x:f>
        <x:v>-1.3277147758498907e-7</x:v>
      </x:c>
      <x:c r="F270" s="15" t="n">
        <x:f>IF(ISNUMBER(C270),C270^4,"")</x:f>
        <x:v>6.773394715637438e-10</x:v>
      </x:c>
      <x:c r="G270" s="7" t="n">
        <x:f>IF(ISNUMBER(B270),ABS(B270),"")</x:f>
        <x:v>0.00514978285043289</x:v>
      </x:c>
      <x:c r="H270" s="7" t="n">
        <x:f>IF(ISNUMBER(B270),B270^2,"")</x:f>
        <x:v>0.000026520263406612704</x:v>
      </x:c>
      <x:c r="I270" s="7" t="n">
        <x:f>IF(AND(ISNUMBER(G270),'요약'!$B$19),G270-'요약'!$B$14,"")</x:f>
        <x:v>-0.002863733776969965</x:v>
      </x:c>
      <x:c r="J270" s="7" t="n">
        <x:f>IF(AND(ISNUMBER(H270),'요약'!$B$19),H270-'요약'!$B$15,"")</x:f>
        <x:v>-0.0000756894357794794</x:v>
      </x:c>
      <x:c r="K270" t="n">
        <x:f>IF(ISNUMBER(B270),IF('Hill'!$B$4=1,IF(B270&lt;0,-B270,""),IF('Hill'!$B$4=2,IF(B270&gt;0,B270,""),IF('Hill'!$B$4=3,IF(B270&lt;&gt;0,ABS(B270),""),""))),"")</x:f>
        <x:v>0.00514978285043289</x:v>
      </x:c>
    </x:row>
    <x:row r="271">
      <x:c r="A271" t="n">
        <x:f>270</x:f>
        <x:v>270</x:v>
      </x:c>
      <x:c r="B271" s="7" t="n">
        <x:f>IF('요약'!$B$4=4,IF(ISNUMBER('input'!A271),'input'!A271,""),IF(270&lt;=1000,CHOOSE('요약'!$B$4,'input'!B271,'input'!C271,'input'!D271),""))</x:f>
        <x:v>-0.004747960628400405</x:v>
      </x:c>
      <x:c r="C271" s="7" t="n">
        <x:f>IF(AND(ISNUMBER(B271),'요약'!$B$19),B271-'요약'!$B$7,"")</x:f>
        <x:v>-0.004699721301350904</x:v>
      </x:c>
      <x:c r="D271" s="7" t="n">
        <x:f>IF(ISNUMBER(C271),C271^2,"")</x:f>
        <x:v>0.000022087380310371432</x:v>
      </x:c>
      <x:c r="E271" s="15" t="n">
        <x:f>IF(ISNUMBER(C271),C271^3,"")</x:f>
        <x:v>-1.0380453173569117e-7</x:v>
      </x:c>
      <x:c r="F271" s="15" t="n">
        <x:f>IF(ISNUMBER(C271),C271^4,"")</x:f>
        <x:v>4.878523689749837e-10</x:v>
      </x:c>
      <x:c r="G271" s="7" t="n">
        <x:f>IF(ISNUMBER(B271),ABS(B271),"")</x:f>
        <x:v>0.004747960628400405</x:v>
      </x:c>
      <x:c r="H271" s="7" t="n">
        <x:f>IF(ISNUMBER(B271),B271^2,"")</x:f>
        <x:v>0.000022543130128840372</x:v>
      </x:c>
      <x:c r="I271" s="7" t="n">
        <x:f>IF(AND(ISNUMBER(G271),'요약'!$B$19),G271-'요약'!$B$14,"")</x:f>
        <x:v>-0.00326555599900245</x:v>
      </x:c>
      <x:c r="J271" s="7" t="n">
        <x:f>IF(AND(ISNUMBER(H271),'요약'!$B$19),H271-'요약'!$B$15,"")</x:f>
        <x:v>-0.00007966656905725173</x:v>
      </x:c>
      <x:c r="K271" t="n">
        <x:f>IF(ISNUMBER(B271),IF('Hill'!$B$4=1,IF(B271&lt;0,-B271,""),IF('Hill'!$B$4=2,IF(B271&gt;0,B271,""),IF('Hill'!$B$4=3,IF(B271&lt;&gt;0,ABS(B271),""),""))),"")</x:f>
        <x:v>0.004747960628400405</x:v>
      </x:c>
    </x:row>
    <x:row r="272">
      <x:c r="A272" t="n">
        <x:f>271</x:f>
        <x:v>271</x:v>
      </x:c>
      <x:c r="B272" s="7" t="n">
        <x:f>IF('요약'!$B$4=4,IF(ISNUMBER('input'!A272),'input'!A272,""),IF(271&lt;=1000,CHOOSE('요약'!$B$4,'input'!B272,'input'!C272,'input'!D272),""))</x:f>
        <x:v>0.009879680867747972</x:v>
      </x:c>
      <x:c r="C272" s="7" t="n">
        <x:f>IF(AND(ISNUMBER(B272),'요약'!$B$19),B272-'요약'!$B$7,"")</x:f>
        <x:v>0.009927920194797473</x:v>
      </x:c>
      <x:c r="D272" s="7" t="n">
        <x:f>IF(ISNUMBER(C272),C272^2,"")</x:f>
        <x:v>0.0000985635993942675</x:v>
      </x:c>
      <x:c r="E272" s="15" t="n">
        <x:f>IF(ISNUMBER(C272),C272^3,"")</x:f>
        <x:v>9.785315488982762e-7</x:v>
      </x:c>
      <x:c r="F272" s="15" t="n">
        <x:f>IF(ISNUMBER(C272),C272^4,"")</x:f>
        <x:v>9.714783125553647e-9</x:v>
      </x:c>
      <x:c r="G272" s="7" t="n">
        <x:f>IF(ISNUMBER(B272),ABS(B272),"")</x:f>
        <x:v>0.009879680867747972</x:v>
      </x:c>
      <x:c r="H272" s="7" t="n">
        <x:f>IF(ISNUMBER(B272),B272^2,"")</x:f>
        <x:v>0.00009760809404854534</x:v>
      </x:c>
      <x:c r="I272" s="7" t="n">
        <x:f>IF(AND(ISNUMBER(G272),'요약'!$B$19),G272-'요약'!$B$14,"")</x:f>
        <x:v>0.001866164240345117</x:v>
      </x:c>
      <x:c r="J272" s="7" t="n">
        <x:f>IF(AND(ISNUMBER(H272),'요약'!$B$19),H272-'요약'!$B$15,"")</x:f>
        <x:v>-0.000004601605137546767</x:v>
      </x:c>
      <x:c r="K272" t="str">
        <x:f>IF(ISNUMBER(B272),IF('Hill'!$B$4=1,IF(B272&lt;0,-B272,""),IF('Hill'!$B$4=2,IF(B272&gt;0,B272,""),IF('Hill'!$B$4=3,IF(B272&lt;&gt;0,ABS(B272),""),""))),"")</x:f>
      </x:c>
    </x:row>
    <x:row r="273">
      <x:c r="A273" t="n">
        <x:f>272</x:f>
        <x:v>272</x:v>
      </x:c>
      <x:c r="B273" s="7" t="n">
        <x:f>IF('요약'!$B$4=4,IF(ISNUMBER('input'!A273),'input'!A273,""),IF(272&lt;=1000,CHOOSE('요약'!$B$4,'input'!B273,'input'!C273,'input'!D273),""))</x:f>
        <x:v>0.007221012173334191</x:v>
      </x:c>
      <x:c r="C273" s="7" t="n">
        <x:f>IF(AND(ISNUMBER(B273),'요약'!$B$19),B273-'요약'!$B$7,"")</x:f>
        <x:v>0.007269251500383693</x:v>
      </x:c>
      <x:c r="D273" s="7" t="n">
        <x:f>IF(ISNUMBER(C273),C273^2,"")</x:f>
        <x:v>0.00005284201737583057</x:v>
      </x:c>
      <x:c r="E273" s="15" t="n">
        <x:f>IF(ISNUMBER(C273),C273^3,"")</x:f>
        <x:v>3.8412191409255755e-7</x:v>
      </x:c>
      <x:c r="F273" s="15" t="n">
        <x:f>IF(ISNUMBER(C273),C273^4,"")</x:f>
        <x:v>2.79227880034758e-9</x:v>
      </x:c>
      <x:c r="G273" s="7" t="n">
        <x:f>IF(ISNUMBER(B273),ABS(B273),"")</x:f>
        <x:v>0.007221012173334191</x:v>
      </x:c>
      <x:c r="H273" s="7" t="n">
        <x:f>IF(ISNUMBER(B273),B273^2,"")</x:f>
        <x:v>0.00005214301680744058</x:v>
      </x:c>
      <x:c r="I273" s="7" t="n">
        <x:f>IF(AND(ISNUMBER(G273),'요약'!$B$19),G273-'요약'!$B$14,"")</x:f>
        <x:v>-0.000792504454068664</x:v>
      </x:c>
      <x:c r="J273" s="7" t="n">
        <x:f>IF(AND(ISNUMBER(H273),'요약'!$B$19),H273-'요약'!$B$15,"")</x:f>
        <x:v>-0.00005006668237865152</x:v>
      </x:c>
      <x:c r="K273" t="str">
        <x:f>IF(ISNUMBER(B273),IF('Hill'!$B$4=1,IF(B273&lt;0,-B273,""),IF('Hill'!$B$4=2,IF(B273&gt;0,B273,""),IF('Hill'!$B$4=3,IF(B273&lt;&gt;0,ABS(B273),""),""))),"")</x:f>
      </x:c>
    </x:row>
    <x:row r="274">
      <x:c r="A274" t="n">
        <x:f>273</x:f>
        <x:v>273</x:v>
      </x:c>
      <x:c r="B274" s="7" t="n">
        <x:f>IF('요약'!$B$4=4,IF(ISNUMBER('input'!A274),'input'!A274,""),IF(273&lt;=1000,CHOOSE('요약'!$B$4,'input'!B274,'input'!C274,'input'!D274),""))</x:f>
        <x:v>-0.0005455115002578137</x:v>
      </x:c>
      <x:c r="C274" s="7" t="n">
        <x:f>IF(AND(ISNUMBER(B274),'요약'!$B$19),B274-'요약'!$B$7,"")</x:f>
        <x:v>-0.0004972721732083124</x:v>
      </x:c>
      <x:c r="D274" s="7" t="n">
        <x:f>IF(ISNUMBER(C274),C274^2,"")</x:f>
        <x:v>2.4727961424731785e-7</x:v>
      </x:c>
      <x:c r="E274" s="15" t="n">
        <x:f>IF(ISNUMBER(C274),C274^3,"")</x:f>
        <x:v>-1.229652711668769e-10</x:v>
      </x:c>
      <x:c r="F274" s="15" t="n">
        <x:f>IF(ISNUMBER(C274),C274^4,"")</x:f>
        <x:v>6.11472076223023e-14</x:v>
      </x:c>
      <x:c r="G274" s="7" t="n">
        <x:f>IF(ISNUMBER(B274),ABS(B274),"")</x:f>
        <x:v>0.0005455115002578137</x:v>
      </x:c>
      <x:c r="H274" s="7" t="n">
        <x:f>IF(ISNUMBER(B274),B274^2,"")</x:f>
        <x:v>2.975827969135307e-7</x:v>
      </x:c>
      <x:c r="I274" s="7" t="n">
        <x:f>IF(AND(ISNUMBER(G274),'요약'!$B$19),G274-'요약'!$B$14,"")</x:f>
        <x:v>-0.007468005127145042</x:v>
      </x:c>
      <x:c r="J274" s="7" t="n">
        <x:f>IF(AND(ISNUMBER(H274),'요약'!$B$19),H274-'요약'!$B$15,"")</x:f>
        <x:v>-0.00010191211638917858</x:v>
      </x:c>
      <x:c r="K274" t="n">
        <x:f>IF(ISNUMBER(B274),IF('Hill'!$B$4=1,IF(B274&lt;0,-B274,""),IF('Hill'!$B$4=2,IF(B274&gt;0,B274,""),IF('Hill'!$B$4=3,IF(B274&lt;&gt;0,ABS(B274),""),""))),"")</x:f>
        <x:v>0.0005455115002578137</x:v>
      </x:c>
    </x:row>
    <x:row r="275">
      <x:c r="A275" t="n">
        <x:f>274</x:f>
        <x:v>274</x:v>
      </x:c>
      <x:c r="B275" s="7" t="n">
        <x:f>IF('요약'!$B$4=4,IF(ISNUMBER('input'!A275),'input'!A275,""),IF(274&lt;=1000,CHOOSE('요약'!$B$4,'input'!B275,'input'!C275,'input'!D275),""))</x:f>
        <x:v>0.00764496522741804</x:v>
      </x:c>
      <x:c r="C275" s="7" t="n">
        <x:f>IF(AND(ISNUMBER(B275),'요약'!$B$19),B275-'요약'!$B$7,"")</x:f>
        <x:v>0.007693204554467542</x:v>
      </x:c>
      <x:c r="D275" s="7" t="n">
        <x:f>IF(ISNUMBER(C275),C275^2,"")</x:f>
        <x:v>0.00005918539631688013</x:v>
      </x:c>
      <x:c r="E275" s="15" t="n">
        <x:f>IF(ISNUMBER(C275),C275^3,"")</x:f>
        <x:v>4.5532536050298864e-7</x:v>
      </x:c>
      <x:c r="F275" s="15" t="n">
        <x:f>IF(ISNUMBER(C275),C275^4,"")</x:f>
        <x:v>3.5029111371861677e-9</x:v>
      </x:c>
      <x:c r="G275" s="7" t="n">
        <x:f>IF(ISNUMBER(B275),ABS(B275),"")</x:f>
        <x:v>0.00764496522741804</x:v>
      </x:c>
      <x:c r="H275" s="7" t="n">
        <x:f>IF(ISNUMBER(B275),B275^2,"")</x:f>
        <x:v>0.00005844549332843097</x:v>
      </x:c>
      <x:c r="I275" s="7" t="n">
        <x:f>IF(AND(ISNUMBER(G275),'요약'!$B$19),G275-'요약'!$B$14,"")</x:f>
        <x:v>-0.0003685513999848152</x:v>
      </x:c>
      <x:c r="J275" s="7" t="n">
        <x:f>IF(AND(ISNUMBER(H275),'요약'!$B$19),H275-'요약'!$B$15,"")</x:f>
        <x:v>-0.000043764205857661134</x:v>
      </x:c>
      <x:c r="K275" t="str">
        <x:f>IF(ISNUMBER(B275),IF('Hill'!$B$4=1,IF(B275&lt;0,-B275,""),IF('Hill'!$B$4=2,IF(B275&gt;0,B275,""),IF('Hill'!$B$4=3,IF(B275&lt;&gt;0,ABS(B275),""),""))),"")</x:f>
      </x:c>
    </x:row>
    <x:row r="276">
      <x:c r="A276" t="n">
        <x:f>275</x:f>
        <x:v>275</x:v>
      </x:c>
      <x:c r="B276" s="7" t="n">
        <x:f>IF('요약'!$B$4=4,IF(ISNUMBER('input'!A276),'input'!A276,""),IF(275&lt;=1000,CHOOSE('요약'!$B$4,'input'!B276,'input'!C276,'input'!D276),""))</x:f>
        <x:v>0.003469462107838199</x:v>
      </x:c>
      <x:c r="C276" s="7" t="n">
        <x:f>IF(AND(ISNUMBER(B276),'요약'!$B$19),B276-'요약'!$B$7,"")</x:f>
        <x:v>0.0035177014348877003</x:v>
      </x:c>
      <x:c r="D276" s="7" t="n">
        <x:f>IF(ISNUMBER(C276),C276^2,"")</x:f>
        <x:v>0.000012374223385010987</x:v>
      </x:c>
      <x:c r="E276" s="15" t="n">
        <x:f>IF(ISNUMBER(C276),C276^3,"")</x:f>
        <x:v>4.352882335707408e-8</x:v>
      </x:c>
      <x:c r="F276" s="15" t="n">
        <x:f>IF(ISNUMBER(C276),C276^4,"")</x:f>
        <x:v>1.5312140438215273e-10</x:v>
      </x:c>
      <x:c r="G276" s="7" t="n">
        <x:f>IF(ISNUMBER(B276),ABS(B276),"")</x:f>
        <x:v>0.003469462107838199</x:v>
      </x:c>
      <x:c r="H276" s="7" t="n">
        <x:f>IF(ISNUMBER(B276),B276^2,"")</x:f>
        <x:v>0.000012037167317725078</x:v>
      </x:c>
      <x:c r="I276" s="7" t="n">
        <x:f>IF(AND(ISNUMBER(G276),'요약'!$B$19),G276-'요약'!$B$14,"")</x:f>
        <x:v>-0.0045440545195646566</x:v>
      </x:c>
      <x:c r="J276" s="7" t="n">
        <x:f>IF(AND(ISNUMBER(H276),'요약'!$B$19),H276-'요약'!$B$15,"")</x:f>
        <x:v>-0.00009017253186836702</x:v>
      </x:c>
      <x:c r="K276" t="str">
        <x:f>IF(ISNUMBER(B276),IF('Hill'!$B$4=1,IF(B276&lt;0,-B276,""),IF('Hill'!$B$4=2,IF(B276&gt;0,B276,""),IF('Hill'!$B$4=3,IF(B276&lt;&gt;0,ABS(B276),""),""))),"")</x:f>
      </x:c>
    </x:row>
    <x:row r="277">
      <x:c r="A277" t="n">
        <x:f>276</x:f>
        <x:v>276</x:v>
      </x:c>
      <x:c r="B277" s="7" t="n">
        <x:f>IF('요약'!$B$4=4,IF(ISNUMBER('input'!A277),'input'!A277,""),IF(276&lt;=1000,CHOOSE('요약'!$B$4,'input'!B277,'input'!C277,'input'!D277),""))</x:f>
        <x:v>-0.0148341899724674</x:v>
      </x:c>
      <x:c r="C277" s="7" t="n">
        <x:f>IF(AND(ISNUMBER(B277),'요약'!$B$19),B277-'요약'!$B$7,"")</x:f>
        <x:v>-0.014785950645417899</x:v>
      </x:c>
      <x:c r="D277" s="7" t="n">
        <x:f>IF(ISNUMBER(C277),C277^2,"")</x:f>
        <x:v>0.00021862433648873398</x:v>
      </x:c>
      <x:c r="E277" s="15" t="n">
        <x:f>IF(ISNUMBER(C277),C277^3,"")</x:f>
        <x:v>-0.000003232568649209656</x:v>
      </x:c>
      <x:c r="F277" s="15" t="n">
        <x:f>IF(ISNUMBER(C277),C277^4,"")</x:f>
        <x:v>4.779660050513918e-8</x:v>
      </x:c>
      <x:c r="G277" s="7" t="n">
        <x:f>IF(ISNUMBER(B277),ABS(B277),"")</x:f>
        <x:v>0.0148341899724674</x:v>
      </x:c>
      <x:c r="H277" s="7" t="n">
        <x:f>IF(ISNUMBER(B277),B277^2,"")</x:f>
        <x:v>0.00022005319213925235</x:v>
      </x:c>
      <x:c r="I277" s="7" t="n">
        <x:f>IF(AND(ISNUMBER(G277),'요약'!$B$19),G277-'요약'!$B$14,"")</x:f>
        <x:v>0.006820673345064544</x:v>
      </x:c>
      <x:c r="J277" s="7" t="n">
        <x:f>IF(AND(ISNUMBER(H277),'요약'!$B$19),H277-'요약'!$B$15,"")</x:f>
        <x:v>0.00011784349295316024</x:v>
      </x:c>
      <x:c r="K277" t="n">
        <x:f>IF(ISNUMBER(B277),IF('Hill'!$B$4=1,IF(B277&lt;0,-B277,""),IF('Hill'!$B$4=2,IF(B277&gt;0,B277,""),IF('Hill'!$B$4=3,IF(B277&lt;&gt;0,ABS(B277),""),""))),"")</x:f>
        <x:v>0.0148341899724674</x:v>
      </x:c>
    </x:row>
    <x:row r="278">
      <x:c r="A278" t="n">
        <x:f>277</x:f>
        <x:v>277</x:v>
      </x:c>
      <x:c r="B278" s="7" t="n">
        <x:f>IF('요약'!$B$4=4,IF(ISNUMBER('input'!A278),'input'!A278,""),IF(277&lt;=1000,CHOOSE('요약'!$B$4,'input'!B278,'input'!C278,'input'!D278),""))</x:f>
        <x:v>0.011437980750964135</x:v>
      </x:c>
      <x:c r="C278" s="7" t="n">
        <x:f>IF(AND(ISNUMBER(B278),'요약'!$B$19),B278-'요약'!$B$7,"")</x:f>
        <x:v>0.011486220078013636</x:v>
      </x:c>
      <x:c r="D278" s="7" t="n">
        <x:f>IF(ISNUMBER(C278),C278^2,"")</x:f>
        <x:v>0.00013193325168056358</x:v>
      </x:c>
      <x:c r="E278" s="15" t="n">
        <x:f>IF(ISNUMBER(C278),C278^3,"")</x:f>
        <x:v>0.0000015154143644109155</x:v>
      </x:c>
      <x:c r="F278" s="15" t="n">
        <x:f>IF(ISNUMBER(C278),C278^4,"")</x:f>
        <x:v>1.740638289900693e-8</x:v>
      </x:c>
      <x:c r="G278" s="7" t="n">
        <x:f>IF(ISNUMBER(B278),ABS(B278),"")</x:f>
        <x:v>0.011437980750964135</x:v>
      </x:c>
      <x:c r="H278" s="7" t="n">
        <x:f>IF(ISNUMBER(B278),B278^2,"")</x:f>
        <x:v>0.0001308274036594261</x:v>
      </x:c>
      <x:c r="I278" s="7" t="n">
        <x:f>IF(AND(ISNUMBER(G278),'요약'!$B$19),G278-'요약'!$B$14,"")</x:f>
        <x:v>0.0034244641235612796</x:v>
      </x:c>
      <x:c r="J278" s="7" t="n">
        <x:f>IF(AND(ISNUMBER(H278),'요약'!$B$19),H278-'요약'!$B$15,"")</x:f>
        <x:v>0.000028617704473333984</x:v>
      </x:c>
      <x:c r="K278" t="str">
        <x:f>IF(ISNUMBER(B278),IF('Hill'!$B$4=1,IF(B278&lt;0,-B278,""),IF('Hill'!$B$4=2,IF(B278&gt;0,B278,""),IF('Hill'!$B$4=3,IF(B278&lt;&gt;0,ABS(B278),""),""))),"")</x:f>
      </x:c>
    </x:row>
    <x:row r="279">
      <x:c r="A279" t="n">
        <x:f>278</x:f>
        <x:v>278</x:v>
      </x:c>
      <x:c r="B279" s="7" t="n">
        <x:f>IF('요약'!$B$4=4,IF(ISNUMBER('input'!A279),'input'!A279,""),IF(278&lt;=1000,CHOOSE('요약'!$B$4,'input'!B279,'input'!C279,'input'!D279),""))</x:f>
        <x:v>-0.01731176889348308</x:v>
      </x:c>
      <x:c r="C279" s="7" t="n">
        <x:f>IF(AND(ISNUMBER(B279),'요약'!$B$19),B279-'요약'!$B$7,"")</x:f>
        <x:v>-0.01726352956643358</x:v>
      </x:c>
      <x:c r="D279" s="7" t="n">
        <x:f>IF(ISNUMBER(C279),C279^2,"")</x:f>
        <x:v>0.0002980294530911264</x:v>
      </x:c>
      <x:c r="E279" s="15" t="n">
        <x:f>IF(ISNUMBER(C279),C279^3,"")</x:f>
        <x:v>-0.00000514504027510669</x:v>
      </x:c>
      <x:c r="F279" s="15" t="n">
        <x:f>IF(ISNUMBER(C279),C279^4,"")</x:f>
        <x:v>8.882155490979591e-8</x:v>
      </x:c>
      <x:c r="G279" s="7" t="n">
        <x:f>IF(ISNUMBER(B279),ABS(B279),"")</x:f>
        <x:v>0.01731176889348308</x:v>
      </x:c>
      <x:c r="H279" s="7" t="n">
        <x:f>IF(ISNUMBER(B279),B279^2,"")</x:f>
        <x:v>0.0002996973422213684</x:v>
      </x:c>
      <x:c r="I279" s="7" t="n">
        <x:f>IF(AND(ISNUMBER(G279),'요약'!$B$19),G279-'요약'!$B$14,"")</x:f>
        <x:v>0.009298252266080225</x:v>
      </x:c>
      <x:c r="J279" s="7" t="n">
        <x:f>IF(AND(ISNUMBER(H279),'요약'!$B$19),H279-'요약'!$B$15,"")</x:f>
        <x:v>0.0001974876430352763</x:v>
      </x:c>
      <x:c r="K279" t="n">
        <x:f>IF(ISNUMBER(B279),IF('Hill'!$B$4=1,IF(B279&lt;0,-B279,""),IF('Hill'!$B$4=2,IF(B279&gt;0,B279,""),IF('Hill'!$B$4=3,IF(B279&lt;&gt;0,ABS(B279),""),""))),"")</x:f>
        <x:v>0.01731176889348308</x:v>
      </x:c>
    </x:row>
    <x:row r="280">
      <x:c r="A280" t="n">
        <x:f>279</x:f>
        <x:v>279</x:v>
      </x:c>
      <x:c r="B280" s="7" t="n">
        <x:f>IF('요약'!$B$4=4,IF(ISNUMBER('input'!A280),'input'!A280,""),IF(279&lt;=1000,CHOOSE('요약'!$B$4,'input'!B280,'input'!C280,'input'!D280),""))</x:f>
        <x:v>0.0032040316135293367</x:v>
      </x:c>
      <x:c r="C280" s="7" t="n">
        <x:f>IF(AND(ISNUMBER(B280),'요약'!$B$19),B280-'요약'!$B$7,"")</x:f>
        <x:v>0.003252270940578838</x:v>
      </x:c>
      <x:c r="D280" s="7" t="n">
        <x:f>IF(ISNUMBER(C280),C280^2,"")</x:f>
        <x:v>0.000010577266270933561</x:v>
      </x:c>
      <x:c r="E280" s="15" t="n">
        <x:f>IF(ISNUMBER(C280),C280^3,"")</x:f>
        <x:v>3.4400135723721914e-8</x:v>
      </x:c>
      <x:c r="F280" s="15" t="n">
        <x:f>IF(ISNUMBER(C280),C280^4,"")</x:f>
        <x:v>1.1187856176622874e-10</x:v>
      </x:c>
      <x:c r="G280" s="7" t="n">
        <x:f>IF(ISNUMBER(B280),ABS(B280),"")</x:f>
        <x:v>0.0032040316135293367</x:v>
      </x:c>
      <x:c r="H280" s="7" t="n">
        <x:f>IF(ISNUMBER(B280),B280^2,"")</x:f>
        <x:v>0.000010265818580495404</x:v>
      </x:c>
      <x:c r="I280" s="7" t="n">
        <x:f>IF(AND(ISNUMBER(G280),'요약'!$B$19),G280-'요약'!$B$14,"")</x:f>
        <x:v>-0.004809485013873519</x:v>
      </x:c>
      <x:c r="J280" s="7" t="n">
        <x:f>IF(AND(ISNUMBER(H280),'요약'!$B$19),H280-'요약'!$B$15,"")</x:f>
        <x:v>-0.0000919438806055967</x:v>
      </x:c>
      <x:c r="K280" t="str">
        <x:f>IF(ISNUMBER(B280),IF('Hill'!$B$4=1,IF(B280&lt;0,-B280,""),IF('Hill'!$B$4=2,IF(B280&gt;0,B280,""),IF('Hill'!$B$4=3,IF(B280&lt;&gt;0,ABS(B280),""),""))),"")</x:f>
      </x:c>
    </x:row>
    <x:row r="281">
      <x:c r="A281" t="n">
        <x:f>280</x:f>
        <x:v>280</x:v>
      </x:c>
      <x:c r="B281" s="7" t="n">
        <x:f>IF('요약'!$B$4=4,IF(ISNUMBER('input'!A281),'input'!A281,""),IF(280&lt;=1000,CHOOSE('요약'!$B$4,'input'!B281,'input'!C281,'input'!D281),""))</x:f>
        <x:v>0.0019395080779321832</x:v>
      </x:c>
      <x:c r="C281" s="7" t="n">
        <x:f>IF(AND(ISNUMBER(B281),'요약'!$B$19),B281-'요약'!$B$7,"")</x:f>
        <x:v>0.0019877474049816847</x:v>
      </x:c>
      <x:c r="D281" s="7" t="n">
        <x:f>IF(ISNUMBER(C281),C281^2,"")</x:f>
        <x:v>0.0000039511397460114215</x:v>
      </x:c>
      <x:c r="E281" s="15" t="n">
        <x:f>IF(ISNUMBER(C281),C281^3,"")</x:f>
        <x:v>7.853867776854196e-9</x:v>
      </x:c>
      <x:c r="F281" s="15" t="n">
        <x:f>IF(ISNUMBER(C281),C281^4,"")</x:f>
        <x:v>1.5611505292511202e-11</x:v>
      </x:c>
      <x:c r="G281" s="7" t="n">
        <x:f>IF(ISNUMBER(B281),ABS(B281),"")</x:f>
        <x:v>0.0019395080779321832</x:v>
      </x:c>
      <x:c r="H281" s="7" t="n">
        <x:f>IF(ISNUMBER(B281),B281^2,"")</x:f>
        <x:v>0.000003761691584364192</x:v>
      </x:c>
      <x:c r="I281" s="7" t="n">
        <x:f>IF(AND(ISNUMBER(G281),'요약'!$B$19),G281-'요약'!$B$14,"")</x:f>
        <x:v>-0.006074008549470673</x:v>
      </x:c>
      <x:c r="J281" s="7" t="n">
        <x:f>IF(AND(ISNUMBER(H281),'요약'!$B$19),H281-'요약'!$B$15,"")</x:f>
        <x:v>-0.00009844800760172791</x:v>
      </x:c>
      <x:c r="K281" t="str">
        <x:f>IF(ISNUMBER(B281),IF('Hill'!$B$4=1,IF(B281&lt;0,-B281,""),IF('Hill'!$B$4=2,IF(B281&gt;0,B281,""),IF('Hill'!$B$4=3,IF(B281&lt;&gt;0,ABS(B281),""),""))),"")</x:f>
      </x:c>
    </x:row>
    <x:row r="282">
      <x:c r="A282" t="n">
        <x:f>281</x:f>
        <x:v>281</x:v>
      </x:c>
      <x:c r="B282" s="7" t="n">
        <x:f>IF('요약'!$B$4=4,IF(ISNUMBER('input'!A282),'input'!A282,""),IF(281&lt;=1000,CHOOSE('요약'!$B$4,'input'!B282,'input'!C282,'input'!D282),""))</x:f>
        <x:v>0.0021799371336016357</x:v>
      </x:c>
      <x:c r="C282" s="7" t="n">
        <x:f>IF(AND(ISNUMBER(B282),'요약'!$B$19),B282-'요약'!$B$7,"")</x:f>
        <x:v>0.002228176460651137</x:v>
      </x:c>
      <x:c r="D282" s="7" t="n">
        <x:f>IF(ISNUMBER(C282),C282^2,"")</x:f>
        <x:v>0.000004964770339799828</x:v>
      </x:c>
      <x:c r="E282" s="15" t="n">
        <x:f>IF(ISNUMBER(C282),C282^3,"")</x:f>
        <x:v>1.1062384403680926e-8</x:v>
      </x:c>
      <x:c r="F282" s="15" t="n">
        <x:f>IF(ISNUMBER(C282),C282^4,"")</x:f>
        <x:v>2.4648944526956105e-11</x:v>
      </x:c>
      <x:c r="G282" s="7" t="n">
        <x:f>IF(ISNUMBER(B282),ABS(B282),"")</x:f>
        <x:v>0.0021799371336016357</x:v>
      </x:c>
      <x:c r="H282" s="7" t="n">
        <x:f>IF(ISNUMBER(B282),B282^2,"")</x:f>
        <x:v>0.000004752125906455315</x:v>
      </x:c>
      <x:c r="I282" s="7" t="n">
        <x:f>IF(AND(ISNUMBER(G282),'요약'!$B$19),G282-'요약'!$B$14,"")</x:f>
        <x:v>-0.00583357949380122</x:v>
      </x:c>
      <x:c r="J282" s="7" t="n">
        <x:f>IF(AND(ISNUMBER(H282),'요약'!$B$19),H282-'요약'!$B$15,"")</x:f>
        <x:v>-0.00009745757327963679</x:v>
      </x:c>
      <x:c r="K282" t="str">
        <x:f>IF(ISNUMBER(B282),IF('Hill'!$B$4=1,IF(B282&lt;0,-B282,""),IF('Hill'!$B$4=2,IF(B282&gt;0,B282,""),IF('Hill'!$B$4=3,IF(B282&lt;&gt;0,ABS(B282),""),""))),"")</x:f>
      </x:c>
    </x:row>
    <x:row r="283">
      <x:c r="A283" t="n">
        <x:f>282</x:f>
        <x:v>282</x:v>
      </x:c>
      <x:c r="B283" s="7" t="n">
        <x:f>IF('요약'!$B$4=4,IF(ISNUMBER('input'!A283),'input'!A283,""),IF(282&lt;=1000,CHOOSE('요약'!$B$4,'input'!B283,'input'!C283,'input'!D283),""))</x:f>
        <x:v>0.007694222947868969</x:v>
      </x:c>
      <x:c r="C283" s="7" t="n">
        <x:f>IF(AND(ISNUMBER(B283),'요약'!$B$19),B283-'요약'!$B$7,"")</x:f>
        <x:v>0.00774246227491847</x:v>
      </x:c>
      <x:c r="D283" s="7" t="n">
        <x:f>IF(ISNUMBER(C283),C283^2,"")</x:f>
        <x:v>0.00005994572207853569</x:v>
      </x:c>
      <x:c r="E283" s="15" t="n">
        <x:f>IF(ISNUMBER(C283),C283^3,"")</x:f>
        <x:v>4.641274917358098e-7</x:v>
      </x:c>
      <x:c r="F283" s="15" t="n">
        <x:f>IF(ISNUMBER(C283),C283^4,"")</x:f>
        <x:v>3.5934895955170418e-9</x:v>
      </x:c>
      <x:c r="G283" s="7" t="n">
        <x:f>IF(ISNUMBER(B283),ABS(B283),"")</x:f>
        <x:v>0.007694222947868969</x:v>
      </x:c>
      <x:c r="H283" s="7" t="n">
        <x:f>IF(ISNUMBER(B283),B283^2,"")</x:f>
        <x:v>0.000059201066771513446</x:v>
      </x:c>
      <x:c r="I283" s="7" t="n">
        <x:f>IF(AND(ISNUMBER(G283),'요약'!$B$19),G283-'요약'!$B$14,"")</x:f>
        <x:v>-0.00031929367953388663</x:v>
      </x:c>
      <x:c r="J283" s="7" t="n">
        <x:f>IF(AND(ISNUMBER(H283),'요약'!$B$19),H283-'요약'!$B$15,"")</x:f>
        <x:v>-0.00004300863241457866</x:v>
      </x:c>
      <x:c r="K283" t="str">
        <x:f>IF(ISNUMBER(B283),IF('Hill'!$B$4=1,IF(B283&lt;0,-B283,""),IF('Hill'!$B$4=2,IF(B283&gt;0,B283,""),IF('Hill'!$B$4=3,IF(B283&lt;&gt;0,ABS(B283),""),""))),"")</x:f>
      </x:c>
    </x:row>
    <x:row r="284">
      <x:c r="A284" t="n">
        <x:f>283</x:f>
        <x:v>283</x:v>
      </x:c>
      <x:c r="B284" s="7" t="n">
        <x:f>IF('요약'!$B$4=4,IF(ISNUMBER('input'!A284),'input'!A284,""),IF(283&lt;=1000,CHOOSE('요약'!$B$4,'input'!B284,'input'!C284,'input'!D284),""))</x:f>
        <x:v>-0.013459024522374304</x:v>
      </x:c>
      <x:c r="C284" s="7" t="n">
        <x:f>IF(AND(ISNUMBER(B284),'요약'!$B$19),B284-'요약'!$B$7,"")</x:f>
        <x:v>-0.013410785195324803</x:v>
      </x:c>
      <x:c r="D284" s="7" t="n">
        <x:f>IF(ISNUMBER(C284),C284^2,"")</x:f>
        <x:v>0.0001798491595551429</x:v>
      </x:c>
      <x:c r="E284" s="15" t="n">
        <x:f>IF(ISNUMBER(C284),C284^3,"")</x:f>
        <x:v>-0.0000024119184463537188</x:v>
      </x:c>
      <x:c r="F284" s="15" t="n">
        <x:f>IF(ISNUMBER(C284),C284^4,"")</x:f>
        <x:v>3.2345720192691255e-8</x:v>
      </x:c>
      <x:c r="G284" s="7" t="n">
        <x:f>IF(ISNUMBER(B284),ABS(B284),"")</x:f>
        <x:v>0.013459024522374304</x:v>
      </x:c>
      <x:c r="H284" s="7" t="n">
        <x:f>IF(ISNUMBER(B284),B284^2,"")</x:f>
        <x:v>0.00018114534109387286</x:v>
      </x:c>
      <x:c r="I284" s="7" t="n">
        <x:f>IF(AND(ISNUMBER(G284),'요약'!$B$19),G284-'요약'!$B$14,"")</x:f>
        <x:v>0.005445507894971448</x:v>
      </x:c>
      <x:c r="J284" s="7" t="n">
        <x:f>IF(AND(ISNUMBER(H284),'요약'!$B$19),H284-'요약'!$B$15,"")</x:f>
        <x:v>0.00007893564190778076</x:v>
      </x:c>
      <x:c r="K284" t="n">
        <x:f>IF(ISNUMBER(B284),IF('Hill'!$B$4=1,IF(B284&lt;0,-B284,""),IF('Hill'!$B$4=2,IF(B284&gt;0,B284,""),IF('Hill'!$B$4=3,IF(B284&lt;&gt;0,ABS(B284),""),""))),"")</x:f>
        <x:v>0.013459024522374304</x:v>
      </x:c>
    </x:row>
    <x:row r="285">
      <x:c r="A285" t="n">
        <x:f>284</x:f>
        <x:v>284</x:v>
      </x:c>
      <x:c r="B285" s="7" t="n">
        <x:f>IF('요약'!$B$4=4,IF(ISNUMBER('input'!A285),'input'!A285,""),IF(284&lt;=1000,CHOOSE('요약'!$B$4,'input'!B285,'input'!C285,'input'!D285),""))</x:f>
        <x:v>-0.008483570704801905</x:v>
      </x:c>
      <x:c r="C285" s="7" t="n">
        <x:f>IF(AND(ISNUMBER(B285),'요약'!$B$19),B285-'요약'!$B$7,"")</x:f>
        <x:v>-0.008435331377752405</x:v>
      </x:c>
      <x:c r="D285" s="7" t="n">
        <x:f>IF(ISNUMBER(C285),C285^2,"")</x:f>
        <x:v>0.00007115481545249428</x:v>
      </x:c>
      <x:c r="E285" s="15" t="n">
        <x:f>IF(ISNUMBER(C285),C285^3,"")</x:f>
        <x:v>-6.002144474646067e-7</x:v>
      </x:c>
      <x:c r="F285" s="15" t="n">
        <x:f>IF(ISNUMBER(C285),C285^4,"")</x:f>
        <x:v>5.063007762078519e-9</x:v>
      </x:c>
      <x:c r="G285" s="7" t="n">
        <x:f>IF(ISNUMBER(B285),ABS(B285),"")</x:f>
        <x:v>0.008483570704801905</x:v>
      </x:c>
      <x:c r="H285" s="7" t="n">
        <x:f>IF(ISNUMBER(B285),B285^2,"")</x:f>
        <x:v>0.00007197097190337309</x:v>
      </x:c>
      <x:c r="I285" s="7" t="n">
        <x:f>IF(AND(ISNUMBER(G285),'요약'!$B$19),G285-'요약'!$B$14,"")</x:f>
        <x:v>0.00047005407739905</x:v>
      </x:c>
      <x:c r="J285" s="7" t="n">
        <x:f>IF(AND(ISNUMBER(H285),'요약'!$B$19),H285-'요약'!$B$15,"")</x:f>
        <x:v>-0.00003023872728271901</x:v>
      </x:c>
      <x:c r="K285" t="n">
        <x:f>IF(ISNUMBER(B285),IF('Hill'!$B$4=1,IF(B285&lt;0,-B285,""),IF('Hill'!$B$4=2,IF(B285&gt;0,B285,""),IF('Hill'!$B$4=3,IF(B285&lt;&gt;0,ABS(B285),""),""))),"")</x:f>
        <x:v>0.008483570704801905</x:v>
      </x:c>
    </x:row>
    <x:row r="286">
      <x:c r="A286" t="n">
        <x:f>285</x:f>
        <x:v>285</x:v>
      </x:c>
      <x:c r="B286" s="7" t="n">
        <x:f>IF('요약'!$B$4=4,IF(ISNUMBER('input'!A286),'input'!A286,""),IF(285&lt;=1000,CHOOSE('요약'!$B$4,'input'!B286,'input'!C286,'input'!D286),""))</x:f>
        <x:v>0.007010837350663446</x:v>
      </x:c>
      <x:c r="C286" s="7" t="n">
        <x:f>IF(AND(ISNUMBER(B286),'요약'!$B$19),B286-'요약'!$B$7,"")</x:f>
        <x:v>0.0070590766777129475</x:v>
      </x:c>
      <x:c r="D286" s="7" t="n">
        <x:f>IF(ISNUMBER(C286),C286^2,"")</x:f>
        <x:v>0.000049830563541830865</x:v>
      </x:c>
      <x:c r="E286" s="15" t="n">
        <x:f>IF(ISNUMBER(C286),C286^3,"")</x:f>
        <x:v>3.5175776893543134e-7</x:v>
      </x:c>
      <x:c r="F286" s="15" t="n">
        <x:f>IF(ISNUMBER(C286),C286^4,"")</x:f>
        <x:v>2.483085062896443e-9</x:v>
      </x:c>
      <x:c r="G286" s="7" t="n">
        <x:f>IF(ISNUMBER(B286),ABS(B286),"")</x:f>
        <x:v>0.007010837350663446</x:v>
      </x:c>
      <x:c r="H286" s="7" t="n">
        <x:f>IF(ISNUMBER(B286),B286^2,"")</x:f>
        <x:v>0.00004915184035745764</x:v>
      </x:c>
      <x:c r="I286" s="7" t="n">
        <x:f>IF(AND(ISNUMBER(G286),'요약'!$B$19),G286-'요약'!$B$14,"")</x:f>
        <x:v>-0.0010026792767394094</x:v>
      </x:c>
      <x:c r="J286" s="7" t="n">
        <x:f>IF(AND(ISNUMBER(H286),'요약'!$B$19),H286-'요약'!$B$15,"")</x:f>
        <x:v>-0.00005305785882863446</x:v>
      </x:c>
      <x:c r="K286" t="str">
        <x:f>IF(ISNUMBER(B286),IF('Hill'!$B$4=1,IF(B286&lt;0,-B286,""),IF('Hill'!$B$4=2,IF(B286&gt;0,B286,""),IF('Hill'!$B$4=3,IF(B286&lt;&gt;0,ABS(B286),""),""))),"")</x:f>
      </x:c>
    </x:row>
    <x:row r="287">
      <x:c r="A287" t="n">
        <x:f>286</x:f>
        <x:v>286</x:v>
      </x:c>
      <x:c r="B287" s="7" t="n">
        <x:f>IF('요약'!$B$4=4,IF(ISNUMBER('input'!A287),'input'!A287,""),IF(286&lt;=1000,CHOOSE('요약'!$B$4,'input'!B287,'input'!C287,'input'!D287),""))</x:f>
        <x:v>-0.0034274023718717057</x:v>
      </x:c>
      <x:c r="C287" s="7" t="n">
        <x:f>IF(AND(ISNUMBER(B287),'요약'!$B$19),B287-'요약'!$B$7,"")</x:f>
        <x:v>-0.0033791630448222042</x:v>
      </x:c>
      <x:c r="D287" s="7" t="n">
        <x:f>IF(ISNUMBER(C287),C287^2,"")</x:f>
        <x:v>0.00001141874288349207</x:v>
      </x:c>
      <x:c r="E287" s="15" t="n">
        <x:f>IF(ISNUMBER(C287),C287^3,"")</x:f>
        <x:v>-3.858579397022294e-8</x:v>
      </x:c>
      <x:c r="F287" s="15" t="n">
        <x:f>IF(ISNUMBER(C287),C287^4,"")</x:f>
        <x:v>1.303876890393008e-10</x:v>
      </x:c>
      <x:c r="G287" s="7" t="n">
        <x:f>IF(ISNUMBER(B287),ABS(B287),"")</x:f>
        <x:v>0.0034274023718717057</x:v>
      </x:c>
      <x:c r="H287" s="7" t="n">
        <x:f>IF(ISNUMBER(B287),B287^2,"")</x:f>
        <x:v>0.000011747087018711794</x:v>
      </x:c>
      <x:c r="I287" s="7" t="n">
        <x:f>IF(AND(ISNUMBER(G287),'요약'!$B$19),G287-'요약'!$B$14,"")</x:f>
        <x:v>-0.00458611425553115</x:v>
      </x:c>
      <x:c r="J287" s="7" t="n">
        <x:f>IF(AND(ISNUMBER(H287),'요약'!$B$19),H287-'요약'!$B$15,"")</x:f>
        <x:v>-0.0000904626121673803</x:v>
      </x:c>
      <x:c r="K287" t="n">
        <x:f>IF(ISNUMBER(B287),IF('Hill'!$B$4=1,IF(B287&lt;0,-B287,""),IF('Hill'!$B$4=2,IF(B287&gt;0,B287,""),IF('Hill'!$B$4=3,IF(B287&lt;&gt;0,ABS(B287),""),""))),"")</x:f>
        <x:v>0.0034274023718717057</x:v>
      </x:c>
    </x:row>
    <x:row r="288">
      <x:c r="A288" t="n">
        <x:f>287</x:f>
        <x:v>287</x:v>
      </x:c>
      <x:c r="B288" s="7" t="n">
        <x:f>IF('요약'!$B$4=4,IF(ISNUMBER('input'!A288),'input'!A288,""),IF(287&lt;=1000,CHOOSE('요약'!$B$4,'input'!B288,'input'!C288,'input'!D288),""))</x:f>
        <x:v>0.00016187203572607268</x:v>
      </x:c>
      <x:c r="C288" s="7" t="n">
        <x:f>IF(AND(ISNUMBER(B288),'요약'!$B$19),B288-'요약'!$B$7,"")</x:f>
        <x:v>0.00021011136277557406</x:v>
      </x:c>
      <x:c r="D288" s="7" t="n">
        <x:f>IF(ISNUMBER(C288),C288^2,"")</x:f>
        <x:v>4.414678476740889e-8</x:v>
      </x:c>
      <x:c r="E288" s="15" t="n">
        <x:f>IF(ISNUMBER(C288),C288^3,"")</x:f>
        <x:v>9.275741109640236e-12</x:v>
      </x:c>
      <x:c r="F288" s="15" t="n">
        <x:f>IF(ISNUMBER(C288),C288^4,"")</x:f>
        <x:v>1.9489386052999256e-15</x:v>
      </x:c>
      <x:c r="G288" s="7" t="n">
        <x:f>IF(ISNUMBER(B288),ABS(B288),"")</x:f>
        <x:v>0.00016187203572607268</x:v>
      </x:c>
      <x:c r="H288" s="7" t="n">
        <x:f>IF(ISNUMBER(B288),B288^2,"")</x:f>
        <x:v>2.620255595010295e-8</x:v>
      </x:c>
      <x:c r="I288" s="7" t="n">
        <x:f>IF(AND(ISNUMBER(G288),'요약'!$B$19),G288-'요약'!$B$14,"")</x:f>
        <x:v>-0.007851644591676782</x:v>
      </x:c>
      <x:c r="J288" s="7" t="n">
        <x:f>IF(AND(ISNUMBER(H288),'요약'!$B$19),H288-'요약'!$B$15,"")</x:f>
        <x:v>-0.000102183496630142</x:v>
      </x:c>
      <x:c r="K288" t="str">
        <x:f>IF(ISNUMBER(B288),IF('Hill'!$B$4=1,IF(B288&lt;0,-B288,""),IF('Hill'!$B$4=2,IF(B288&gt;0,B288,""),IF('Hill'!$B$4=3,IF(B288&lt;&gt;0,ABS(B288),""),""))),"")</x:f>
      </x:c>
    </x:row>
    <x:row r="289">
      <x:c r="A289" t="n">
        <x:f>288</x:f>
        <x:v>288</x:v>
      </x:c>
      <x:c r="B289" s="7" t="n">
        <x:f>IF('요약'!$B$4=4,IF(ISNUMBER('input'!A289),'input'!A289,""),IF(288&lt;=1000,CHOOSE('요약'!$B$4,'input'!B289,'input'!C289,'input'!D289),""))</x:f>
        <x:v>-0.011999001531627779</x:v>
      </x:c>
      <x:c r="C289" s="7" t="n">
        <x:f>IF(AND(ISNUMBER(B289),'요약'!$B$19),B289-'요약'!$B$7,"")</x:f>
        <x:v>-0.011950762204578278</x:v>
      </x:c>
      <x:c r="D289" s="7" t="n">
        <x:f>IF(ISNUMBER(C289),C289^2,"")</x:f>
        <x:v>0.00014282071727037666</x:v>
      </x:c>
      <x:c r="E289" s="15" t="n">
        <x:f>IF(ISNUMBER(C289),C289^3,"")</x:f>
        <x:v>-0.0000017068164299855776</x:v>
      </x:c>
      <x:c r="F289" s="15" t="n">
        <x:f>IF(ISNUMBER(C289),C289^4,"")</x:f>
        <x:v>2.0397757281624866e-8</x:v>
      </x:c>
      <x:c r="G289" s="7" t="n">
        <x:f>IF(ISNUMBER(B289),ABS(B289),"")</x:f>
        <x:v>0.011999001531627779</x:v>
      </x:c>
      <x:c r="H289" s="7" t="n">
        <x:f>IF(ISNUMBER(B289),B289^2,"")</x:f>
        <x:v>0.0001439760377560058</x:v>
      </x:c>
      <x:c r="I289" s="7" t="n">
        <x:f>IF(AND(ISNUMBER(G289),'요약'!$B$19),G289-'요약'!$B$14,"")</x:f>
        <x:v>0.003985484904224923</x:v>
      </x:c>
      <x:c r="J289" s="7" t="n">
        <x:f>IF(AND(ISNUMBER(H289),'요약'!$B$19),H289-'요약'!$B$15,"")</x:f>
        <x:v>0.00004176633856991369</x:v>
      </x:c>
      <x:c r="K289" t="n">
        <x:f>IF(ISNUMBER(B289),IF('Hill'!$B$4=1,IF(B289&lt;0,-B289,""),IF('Hill'!$B$4=2,IF(B289&gt;0,B289,""),IF('Hill'!$B$4=3,IF(B289&lt;&gt;0,ABS(B289),""),""))),"")</x:f>
        <x:v>0.011999001531627779</x:v>
      </x:c>
    </x:row>
    <x:row r="290">
      <x:c r="A290" t="n">
        <x:f>289</x:f>
        <x:v>289</x:v>
      </x:c>
      <x:c r="B290" s="7" t="n">
        <x:f>IF('요약'!$B$4=4,IF(ISNUMBER('input'!A290),'input'!A290,""),IF(289&lt;=1000,CHOOSE('요약'!$B$4,'input'!B290,'input'!C290,'input'!D290),""))</x:f>
        <x:v>-0.003578415567973179</x:v>
      </x:c>
      <x:c r="C290" s="7" t="n">
        <x:f>IF(AND(ISNUMBER(B290),'요약'!$B$19),B290-'요약'!$B$7,"")</x:f>
        <x:v>-0.0035301762409236776</x:v>
      </x:c>
      <x:c r="D290" s="7" t="n">
        <x:f>IF(ISNUMBER(C290),C290^2,"")</x:f>
        <x:v>0.000012462144291982027</x:v>
      </x:c>
      <x:c r="E290" s="15" t="n">
        <x:f>IF(ISNUMBER(C290),C290^3,"")</x:f>
        <x:v>-4.399356569051758e-8</x:v>
      </x:c>
      <x:c r="F290" s="15" t="n">
        <x:f>IF(ISNUMBER(C290),C290^4,"")</x:f>
        <x:v>1.5530504035418021e-10</x:v>
      </x:c>
      <x:c r="G290" s="7" t="n">
        <x:f>IF(ISNUMBER(B290),ABS(B290),"")</x:f>
        <x:v>0.003578415567973179</x:v>
      </x:c>
      <x:c r="H290" s="7" t="n">
        <x:f>IF(ISNUMBER(B290),B290^2,"")</x:f>
        <x:v>0.00001280505797711281</x:v>
      </x:c>
      <x:c r="I290" s="7" t="n">
        <x:f>IF(AND(ISNUMBER(G290),'요약'!$B$19),G290-'요약'!$B$14,"")</x:f>
        <x:v>-0.004435101059429677</x:v>
      </x:c>
      <x:c r="J290" s="7" t="n">
        <x:f>IF(AND(ISNUMBER(H290),'요약'!$B$19),H290-'요약'!$B$15,"")</x:f>
        <x:v>-0.00008940464120897929</x:v>
      </x:c>
      <x:c r="K290" t="n">
        <x:f>IF(ISNUMBER(B290),IF('Hill'!$B$4=1,IF(B290&lt;0,-B290,""),IF('Hill'!$B$4=2,IF(B290&gt;0,B290,""),IF('Hill'!$B$4=3,IF(B290&lt;&gt;0,ABS(B290),""),""))),"")</x:f>
        <x:v>0.003578415567973179</x:v>
      </x:c>
    </x:row>
    <x:row r="291">
      <x:c r="A291" t="n">
        <x:f>290</x:f>
        <x:v>290</x:v>
      </x:c>
      <x:c r="B291" s="7" t="n">
        <x:f>IF('요약'!$B$4=4,IF(ISNUMBER('input'!A291),'input'!A291,""),IF(290&lt;=1000,CHOOSE('요약'!$B$4,'input'!B291,'input'!C291,'input'!D291),""))</x:f>
        <x:v>0.005537229300159673</x:v>
      </x:c>
      <x:c r="C291" s="7" t="n">
        <x:f>IF(AND(ISNUMBER(B291),'요약'!$B$19),B291-'요약'!$B$7,"")</x:f>
        <x:v>0.005585468627209174</x:v>
      </x:c>
      <x:c r="D291" s="7" t="n">
        <x:f>IF(ISNUMBER(C291),C291^2,"")</x:f>
        <x:v>0.00003119745978553794</x:v>
      </x:c>
      <x:c r="E291" s="15" t="n">
        <x:f>IF(ISNUMBER(C291),C291^3,"")</x:f>
        <x:v>1.74252432880742e-7</x:v>
      </x:c>
      <x:c r="F291" s="15" t="n">
        <x:f>IF(ISNUMBER(C291),C291^4,"")</x:f>
        <x:v>9.732814970702566e-10</x:v>
      </x:c>
      <x:c r="G291" s="7" t="n">
        <x:f>IF(ISNUMBER(B291),ABS(B291),"")</x:f>
        <x:v>0.005537229300159673</x:v>
      </x:c>
      <x:c r="H291" s="7" t="n">
        <x:f>IF(ISNUMBER(B291),B291^2,"")</x:f>
        <x:v>0.00003066090832254678</x:v>
      </x:c>
      <x:c r="I291" s="7" t="n">
        <x:f>IF(AND(ISNUMBER(G291),'요약'!$B$19),G291-'요약'!$B$14,"")</x:f>
        <x:v>-0.002476287327243183</x:v>
      </x:c>
      <x:c r="J291" s="7" t="n">
        <x:f>IF(AND(ISNUMBER(H291),'요약'!$B$19),H291-'요약'!$B$15,"")</x:f>
        <x:v>-0.00007154879086354533</x:v>
      </x:c>
      <x:c r="K291" t="str">
        <x:f>IF(ISNUMBER(B291),IF('Hill'!$B$4=1,IF(B291&lt;0,-B291,""),IF('Hill'!$B$4=2,IF(B291&gt;0,B291,""),IF('Hill'!$B$4=3,IF(B291&lt;&gt;0,ABS(B291),""),""))),"")</x:f>
      </x:c>
    </x:row>
    <x:row r="292">
      <x:c r="A292" t="n">
        <x:f>291</x:f>
        <x:v>291</x:v>
      </x:c>
      <x:c r="B292" s="7" t="n">
        <x:f>IF('요약'!$B$4=4,IF(ISNUMBER('input'!A292),'input'!A292,""),IF(291&lt;=1000,CHOOSE('요약'!$B$4,'input'!B292,'input'!C292,'input'!D292),""))</x:f>
        <x:v>0.006849703815081648</x:v>
      </x:c>
      <x:c r="C292" s="7" t="n">
        <x:f>IF(AND(ISNUMBER(B292),'요약'!$B$19),B292-'요약'!$B$7,"")</x:f>
        <x:v>0.00689794314213115</x:v>
      </x:c>
      <x:c r="D292" s="7" t="n">
        <x:f>IF(ISNUMBER(C292),C292^2,"")</x:f>
        <x:v>0.000047581619592074164</x:v>
      </x:c>
      <x:c r="E292" s="15" t="n">
        <x:f>IF(ISNUMBER(C292),C292^3,"")</x:f>
        <x:v>3.282153065566411e-7</x:v>
      </x:c>
      <x:c r="F292" s="15" t="n">
        <x:f>IF(ISNUMBER(C292),C292^4,"")</x:f>
        <x:v>2.2640105230048558e-9</x:v>
      </x:c>
      <x:c r="G292" s="7" t="n">
        <x:f>IF(ISNUMBER(B292),ABS(B292),"")</x:f>
        <x:v>0.006849703815081648</x:v>
      </x:c>
      <x:c r="H292" s="7" t="n">
        <x:f>IF(ISNUMBER(B292),B292^2,"")</x:f>
        <x:v>0.000046918442354344086</x:v>
      </x:c>
      <x:c r="I292" s="7" t="n">
        <x:f>IF(AND(ISNUMBER(G292),'요약'!$B$19),G292-'요약'!$B$14,"")</x:f>
        <x:v>-0.001163812812321207</x:v>
      </x:c>
      <x:c r="J292" s="7" t="n">
        <x:f>IF(AND(ISNUMBER(H292),'요약'!$B$19),H292-'요약'!$B$15,"")</x:f>
        <x:v>-0.00005529125683174802</x:v>
      </x:c>
      <x:c r="K292" t="str">
        <x:f>IF(ISNUMBER(B292),IF('Hill'!$B$4=1,IF(B292&lt;0,-B292,""),IF('Hill'!$B$4=2,IF(B292&gt;0,B292,""),IF('Hill'!$B$4=3,IF(B292&lt;&gt;0,ABS(B292),""),""))),"")</x:f>
      </x:c>
    </x:row>
    <x:row r="293">
      <x:c r="A293" t="n">
        <x:f>292</x:f>
        <x:v>292</x:v>
      </x:c>
      <x:c r="B293" s="7" t="n">
        <x:f>IF('요약'!$B$4=4,IF(ISNUMBER('input'!A293),'input'!A293,""),IF(292&lt;=1000,CHOOSE('요약'!$B$4,'input'!B293,'input'!C293,'input'!D293),""))</x:f>
        <x:v>-0.015282336460558238</x:v>
      </x:c>
      <x:c r="C293" s="7" t="n">
        <x:f>IF(AND(ISNUMBER(B293),'요약'!$B$19),B293-'요약'!$B$7,"")</x:f>
        <x:v>-0.015234097133508737</x:v>
      </x:c>
      <x:c r="D293" s="7" t="n">
        <x:f>IF(ISNUMBER(C293),C293^2,"")</x:f>
        <x:v>0.00023207771547317912</x:v>
      </x:c>
      <x:c r="E293" s="15" t="n">
        <x:f>IF(ISNUMBER(C293),C293^3,"")</x:f>
        <x:v>-0.0000035354944600412146</x:v>
      </x:c>
      <x:c r="F293" s="15" t="n">
        <x:f>IF(ISNUMBER(C293),C293^4,"")</x:f>
        <x:v>5.3860066019249884e-8</x:v>
      </x:c>
      <x:c r="G293" s="7" t="n">
        <x:f>IF(ISNUMBER(B293),ABS(B293),"")</x:f>
        <x:v>0.015282336460558238</x:v>
      </x:c>
      <x:c r="H293" s="7" t="n">
        <x:f>IF(ISNUMBER(B293),B293^2,"")</x:f>
        <x:v>0.0002335498076937077</x:v>
      </x:c>
      <x:c r="I293" s="7" t="n">
        <x:f>IF(AND(ISNUMBER(G293),'요약'!$B$19),G293-'요약'!$B$14,"")</x:f>
        <x:v>0.0072688198331553825</x:v>
      </x:c>
      <x:c r="J293" s="7" t="n">
        <x:f>IF(AND(ISNUMBER(H293),'요약'!$B$19),H293-'요약'!$B$15,"")</x:f>
        <x:v>0.0001313401085076156</x:v>
      </x:c>
      <x:c r="K293" t="n">
        <x:f>IF(ISNUMBER(B293),IF('Hill'!$B$4=1,IF(B293&lt;0,-B293,""),IF('Hill'!$B$4=2,IF(B293&gt;0,B293,""),IF('Hill'!$B$4=3,IF(B293&lt;&gt;0,ABS(B293),""),""))),"")</x:f>
        <x:v>0.015282336460558238</x:v>
      </x:c>
    </x:row>
    <x:row r="294">
      <x:c r="A294" t="n">
        <x:f>293</x:f>
        <x:v>293</x:v>
      </x:c>
      <x:c r="B294" s="7" t="n">
        <x:f>IF('요약'!$B$4=4,IF(ISNUMBER('input'!A294),'input'!A294,""),IF(293&lt;=1000,CHOOSE('요약'!$B$4,'input'!B294,'input'!C294,'input'!D294),""))</x:f>
        <x:v>-0.007851642431328696</x:v>
      </x:c>
      <x:c r="C294" s="7" t="n">
        <x:f>IF(AND(ISNUMBER(B294),'요약'!$B$19),B294-'요약'!$B$7,"")</x:f>
        <x:v>-0.007803403104279194</x:v>
      </x:c>
      <x:c r="D294" s="7" t="n">
        <x:f>IF(ISNUMBER(C294),C294^2,"")</x:f>
        <x:v>0.00006089310000787416</x:v>
      </x:c>
      <x:c r="E294" s="15" t="n">
        <x:f>IF(ISNUMBER(C294),C294^3,"")</x:f>
        <x:v>-4.751734056306287e-7</x:v>
      </x:c>
      <x:c r="F294" s="15" t="n">
        <x:f>IF(ISNUMBER(C294),C294^4,"")</x:f>
        <x:v>3.7079696285689645e-9</x:v>
      </x:c>
      <x:c r="G294" s="7" t="n">
        <x:f>IF(ISNUMBER(B294),ABS(B294),"")</x:f>
        <x:v>0.007851642431328696</x:v>
      </x:c>
      <x:c r="H294" s="7" t="n">
        <x:f>IF(ISNUMBER(B294),B294^2,"")</x:f>
        <x:v>0.00006164828886944119</x:v>
      </x:c>
      <x:c r="I294" s="7" t="n">
        <x:f>IF(AND(ISNUMBER(G294),'요약'!$B$19),G294-'요약'!$B$14,"")</x:f>
        <x:v>-0.00016187419607415973</x:v>
      </x:c>
      <x:c r="J294" s="7" t="n">
        <x:f>IF(AND(ISNUMBER(H294),'요약'!$B$19),H294-'요약'!$B$15,"")</x:f>
        <x:v>-0.000040561410316650916</x:v>
      </x:c>
      <x:c r="K294" t="n">
        <x:f>IF(ISNUMBER(B294),IF('Hill'!$B$4=1,IF(B294&lt;0,-B294,""),IF('Hill'!$B$4=2,IF(B294&gt;0,B294,""),IF('Hill'!$B$4=3,IF(B294&lt;&gt;0,ABS(B294),""),""))),"")</x:f>
        <x:v>0.007851642431328696</x:v>
      </x:c>
    </x:row>
    <x:row r="295">
      <x:c r="A295" t="n">
        <x:f>294</x:f>
        <x:v>294</x:v>
      </x:c>
      <x:c r="B295" s="7" t="n">
        <x:f>IF('요약'!$B$4=4,IF(ISNUMBER('input'!A295),'input'!A295,""),IF(294&lt;=1000,CHOOSE('요약'!$B$4,'input'!B295,'input'!C295,'input'!D295),""))</x:f>
        <x:v>-0.00526582240860342</x:v>
      </x:c>
      <x:c r="C295" s="7" t="n">
        <x:f>IF(AND(ISNUMBER(B295),'요약'!$B$19),B295-'요약'!$B$7,"")</x:f>
        <x:v>-0.005217583081553919</x:v>
      </x:c>
      <x:c r="D295" s="7" t="n">
        <x:f>IF(ISNUMBER(C295),C295^2,"")</x:f>
        <x:v>0.000027223173212917686</x:v>
      </x:c>
      <x:c r="E295" s="15" t="n">
        <x:f>IF(ISNUMBER(C295),C295^3,"")</x:f>
        <x:v>-1.4203916798193114e-7</x:v>
      </x:c>
      <x:c r="F295" s="15" t="n">
        <x:f>IF(ISNUMBER(C295),C295^4,"")</x:f>
        <x:v>7.41101159780519e-10</x:v>
      </x:c>
      <x:c r="G295" s="7" t="n">
        <x:f>IF(ISNUMBER(B295),ABS(B295),"")</x:f>
        <x:v>0.00526582240860342</x:v>
      </x:c>
      <x:c r="H295" s="7" t="n">
        <x:f>IF(ISNUMBER(B295),B295^2,"")</x:f>
        <x:v>0.000027728885638949926</x:v>
      </x:c>
      <x:c r="I295" s="7" t="n">
        <x:f>IF(AND(ISNUMBER(G295),'요약'!$B$19),G295-'요약'!$B$14,"")</x:f>
        <x:v>-0.0027476942187994353</x:v>
      </x:c>
      <x:c r="J295" s="7" t="n">
        <x:f>IF(AND(ISNUMBER(H295),'요약'!$B$19),H295-'요약'!$B$15,"")</x:f>
        <x:v>-0.00007448081354714217</x:v>
      </x:c>
      <x:c r="K295" t="n">
        <x:f>IF(ISNUMBER(B295),IF('Hill'!$B$4=1,IF(B295&lt;0,-B295,""),IF('Hill'!$B$4=2,IF(B295&gt;0,B295,""),IF('Hill'!$B$4=3,IF(B295&lt;&gt;0,ABS(B295),""),""))),"")</x:f>
        <x:v>0.00526582240860342</x:v>
      </x:c>
    </x:row>
    <x:row r="296">
      <x:c r="A296" t="n">
        <x:f>295</x:f>
        <x:v>295</x:v>
      </x:c>
      <x:c r="B296" s="7" t="n">
        <x:f>IF('요약'!$B$4=4,IF(ISNUMBER('input'!A296),'input'!A296,""),IF(295&lt;=1000,CHOOSE('요약'!$B$4,'input'!B296,'input'!C296,'input'!D296),""))</x:f>
        <x:v>-0.012516121880832828</x:v>
      </x:c>
      <x:c r="C296" s="7" t="n">
        <x:f>IF(AND(ISNUMBER(B296),'요약'!$B$19),B296-'요약'!$B$7,"")</x:f>
        <x:v>-0.012467882553783328</x:v>
      </x:c>
      <x:c r="D296" s="7" t="n">
        <x:f>IF(ISNUMBER(C296),C296^2,"")</x:f>
        <x:v>0.00015544809537493468</x:v>
      </x:c>
      <x:c r="E296" s="15" t="n">
        <x:f>IF(ISNUMBER(C296),C296^3,"")</x:f>
        <x:v>-0.000001938108596343995</x:v>
      </x:c>
      <x:c r="F296" s="15" t="n">
        <x:f>IF(ISNUMBER(C296),C296^4,"")</x:f>
        <x:v>2.4164110355694786e-8</x:v>
      </x:c>
      <x:c r="G296" s="7" t="n">
        <x:f>IF(ISNUMBER(B296),ABS(B296),"")</x:f>
        <x:v>0.012516121880832828</x:v>
      </x:c>
      <x:c r="H296" s="7" t="n">
        <x:f>IF(ISNUMBER(B296),B296^2,"")</x:f>
        <x:v>0.00015665330693586228</x:v>
      </x:c>
      <x:c r="I296" s="7" t="n">
        <x:f>IF(AND(ISNUMBER(G296),'요약'!$B$19),G296-'요약'!$B$14,"")</x:f>
        <x:v>0.004502605253429973</x:v>
      </x:c>
      <x:c r="J296" s="7" t="n">
        <x:f>IF(AND(ISNUMBER(H296),'요약'!$B$19),H296-'요약'!$B$15,"")</x:f>
        <x:v>0.00005444360774977018</x:v>
      </x:c>
      <x:c r="K296" t="n">
        <x:f>IF(ISNUMBER(B296),IF('Hill'!$B$4=1,IF(B296&lt;0,-B296,""),IF('Hill'!$B$4=2,IF(B296&gt;0,B296,""),IF('Hill'!$B$4=3,IF(B296&lt;&gt;0,ABS(B296),""),""))),"")</x:f>
        <x:v>0.012516121880832828</x:v>
      </x:c>
    </x:row>
    <x:row r="297">
      <x:c r="A297" t="n">
        <x:f>296</x:f>
        <x:v>296</x:v>
      </x:c>
      <x:c r="B297" s="7" t="n">
        <x:f>IF('요약'!$B$4=4,IF(ISNUMBER('input'!A297),'input'!A297,""),IF(296&lt;=1000,CHOOSE('요약'!$B$4,'input'!B297,'input'!C297,'input'!D297),""))</x:f>
        <x:v>-0.0033505754849919973</x:v>
      </x:c>
      <x:c r="C297" s="7" t="n">
        <x:f>IF(AND(ISNUMBER(B297),'요약'!$B$19),B297-'요약'!$B$7,"")</x:f>
        <x:v>-0.003302336157942496</x:v>
      </x:c>
      <x:c r="D297" s="7" t="n">
        <x:f>IF(ISNUMBER(C297),C297^2,"")</x:f>
        <x:v>0.000010905424100054404</x:v>
      </x:c>
      <x:c r="E297" s="15" t="n">
        <x:f>IF(ISNUMBER(C297),C297^3,"")</x:f>
        <x:v>-3.601337632330716e-8</x:v>
      </x:c>
      <x:c r="F297" s="15" t="n">
        <x:f>IF(ISNUMBER(C297),C297^4,"")</x:f>
        <x:v>1.1892827480204742e-10</x:v>
      </x:c>
      <x:c r="G297" s="7" t="n">
        <x:f>IF(ISNUMBER(B297),ABS(B297),"")</x:f>
        <x:v>0.0033505754849919973</x:v>
      </x:c>
      <x:c r="H297" s="7" t="n">
        <x:f>IF(ISNUMBER(B297),B297^2,"")</x:f>
        <x:v>0.000011226356080629357</x:v>
      </x:c>
      <x:c r="I297" s="7" t="n">
        <x:f>IF(AND(ISNUMBER(G297),'요약'!$B$19),G297-'요약'!$B$14,"")</x:f>
        <x:v>-0.004662941142410858</x:v>
      </x:c>
      <x:c r="J297" s="7" t="n">
        <x:f>IF(AND(ISNUMBER(H297),'요약'!$B$19),H297-'요약'!$B$15,"")</x:f>
        <x:v>-0.00009098334310546275</x:v>
      </x:c>
      <x:c r="K297" t="n">
        <x:f>IF(ISNUMBER(B297),IF('Hill'!$B$4=1,IF(B297&lt;0,-B297,""),IF('Hill'!$B$4=2,IF(B297&gt;0,B297,""),IF('Hill'!$B$4=3,IF(B297&lt;&gt;0,ABS(B297),""),""))),"")</x:f>
        <x:v>0.0033505754849919973</x:v>
      </x:c>
    </x:row>
    <x:row r="298">
      <x:c r="A298" t="n">
        <x:f>297</x:f>
        <x:v>297</x:v>
      </x:c>
      <x:c r="B298" s="7" t="n">
        <x:f>IF('요약'!$B$4=4,IF(ISNUMBER('input'!A298),'input'!A298,""),IF(297&lt;=1000,CHOOSE('요약'!$B$4,'input'!B298,'input'!C298,'input'!D298),""))</x:f>
        <x:v>-0.008406605770230294</x:v>
      </x:c>
      <x:c r="C298" s="7" t="n">
        <x:f>IF(AND(ISNUMBER(B298),'요약'!$B$19),B298-'요약'!$B$7,"")</x:f>
        <x:v>-0.008358366443180793</x:v>
      </x:c>
      <x:c r="D298" s="7" t="n">
        <x:f>IF(ISNUMBER(C298),C298^2,"")</x:f>
        <x:v>0.00006986228959849074</x:v>
      </x:c>
      <x:c r="E298" s="15" t="n">
        <x:f>IF(ISNUMBER(C298),C298^3,"")</x:f>
        <x:v>-5.839346170238036e-7</x:v>
      </x:c>
      <x:c r="F298" s="15" t="n">
        <x:f>IF(ISNUMBER(C298),C298^4,"")</x:f>
        <x:v>4.880739507943388e-9</x:v>
      </x:c>
      <x:c r="G298" s="7" t="n">
        <x:f>IF(ISNUMBER(B298),ABS(B298),"")</x:f>
        <x:v>0.008406605770230294</x:v>
      </x:c>
      <x:c r="H298" s="7" t="n">
        <x:f>IF(ISNUMBER(B298),B298^2,"")</x:f>
        <x:v>0.00007067102057606927</x:v>
      </x:c>
      <x:c r="I298" s="7" t="n">
        <x:f>IF(AND(ISNUMBER(G298),'요약'!$B$19),G298-'요약'!$B$14,"")</x:f>
        <x:v>0.00039308914282743836</x:v>
      </x:c>
      <x:c r="J298" s="7" t="n">
        <x:f>IF(AND(ISNUMBER(H298),'요약'!$B$19),H298-'요약'!$B$15,"")</x:f>
        <x:v>-0.00003153867861002284</x:v>
      </x:c>
      <x:c r="K298" t="n">
        <x:f>IF(ISNUMBER(B298),IF('Hill'!$B$4=1,IF(B298&lt;0,-B298,""),IF('Hill'!$B$4=2,IF(B298&gt;0,B298,""),IF('Hill'!$B$4=3,IF(B298&lt;&gt;0,ABS(B298),""),""))),"")</x:f>
        <x:v>0.008406605770230294</x:v>
      </x:c>
    </x:row>
    <x:row r="299">
      <x:c r="A299" t="n">
        <x:f>298</x:f>
        <x:v>298</x:v>
      </x:c>
      <x:c r="B299" s="7" t="n">
        <x:f>IF('요약'!$B$4=4,IF(ISNUMBER('input'!A299),'input'!A299,""),IF(298&lt;=1000,CHOOSE('요약'!$B$4,'input'!B299,'input'!C299,'input'!D299),""))</x:f>
        <x:v>0.0019391796655588859</x:v>
      </x:c>
      <x:c r="C299" s="7" t="n">
        <x:f>IF(AND(ISNUMBER(B299),'요약'!$B$19),B299-'요약'!$B$7,"")</x:f>
        <x:v>0.0019874189926083873</x:v>
      </x:c>
      <x:c r="D299" s="7" t="n">
        <x:f>IF(ISNUMBER(C299),C299^2,"")</x:f>
        <x:v>0.0000039498342521805375</x:v>
      </x:c>
      <x:c r="E299" s="15" t="n">
        <x:f>IF(ISNUMBER(C299),C299^3,"")</x:f>
        <x:v>7.849975610438746e-9</x:v>
      </x:c>
      <x:c r="F299" s="15" t="n">
        <x:f>IF(ISNUMBER(C299),C299^4,"")</x:f>
        <x:v>1.560119061969858e-11</x:v>
      </x:c>
      <x:c r="G299" s="7" t="n">
        <x:f>IF(ISNUMBER(B299),ABS(B299),"")</x:f>
        <x:v>0.0019391796655588859</x:v>
      </x:c>
      <x:c r="H299" s="7" t="n">
        <x:f>IF(ISNUMBER(B299),B299^2,"")</x:f>
        <x:v>0.000003760417775317072</x:v>
      </x:c>
      <x:c r="I299" s="7" t="n">
        <x:f>IF(AND(ISNUMBER(G299),'요약'!$B$19),G299-'요약'!$B$14,"")</x:f>
        <x:v>-0.0060743369618439695</x:v>
      </x:c>
      <x:c r="J299" s="7" t="n">
        <x:f>IF(AND(ISNUMBER(H299),'요약'!$B$19),H299-'요약'!$B$15,"")</x:f>
        <x:v>-0.00009844928141077503</x:v>
      </x:c>
      <x:c r="K299" t="str">
        <x:f>IF(ISNUMBER(B299),IF('Hill'!$B$4=1,IF(B299&lt;0,-B299,""),IF('Hill'!$B$4=2,IF(B299&gt;0,B299,""),IF('Hill'!$B$4=3,IF(B299&lt;&gt;0,ABS(B299),""),""))),"")</x:f>
      </x:c>
    </x:row>
    <x:row r="300">
      <x:c r="A300" t="n">
        <x:f>299</x:f>
        <x:v>299</x:v>
      </x:c>
      <x:c r="B300" s="7" t="n">
        <x:f>IF('요약'!$B$4=4,IF(ISNUMBER('input'!A300),'input'!A300,""),IF(299&lt;=1000,CHOOSE('요약'!$B$4,'input'!B300,'input'!C300,'input'!D300),""))</x:f>
        <x:v>0.0016451651844960375</x:v>
      </x:c>
      <x:c r="C300" s="7" t="n">
        <x:f>IF(AND(ISNUMBER(B300),'요약'!$B$19),B300-'요약'!$B$7,"")</x:f>
        <x:v>0.001693404511545539</x:v>
      </x:c>
      <x:c r="D300" s="7" t="n">
        <x:f>IF(ISNUMBER(C300),C300^2,"")</x:f>
        <x:v>0.000002867618839722785</x:v>
      </x:c>
      <x:c r="E300" s="15" t="n">
        <x:f>IF(ISNUMBER(C300),C300^3,"")</x:f>
        <x:v>4.856038680579548e-9</x:v>
      </x:c>
      <x:c r="F300" s="15" t="n">
        <x:f>IF(ISNUMBER(C300),C300^4,"")</x:f>
        <x:v>8.223237809933053e-12</x:v>
      </x:c>
      <x:c r="G300" s="7" t="n">
        <x:f>IF(ISNUMBER(B300),ABS(B300),"")</x:f>
        <x:v>0.0016451651844960375</x:v>
      </x:c>
      <x:c r="H300" s="7" t="n">
        <x:f>IF(ISNUMBER(B300),B300^2,"")</x:f>
        <x:v>0.000002706568484277881</x:v>
      </x:c>
      <x:c r="I300" s="7" t="n">
        <x:f>IF(AND(ISNUMBER(G300),'요약'!$B$19),G300-'요약'!$B$14,"")</x:f>
        <x:v>-0.006368351442906818</x:v>
      </x:c>
      <x:c r="J300" s="7" t="n">
        <x:f>IF(AND(ISNUMBER(H300),'요약'!$B$19),H300-'요약'!$B$15,"")</x:f>
        <x:v>-0.00009950313070181423</x:v>
      </x:c>
      <x:c r="K300" t="str">
        <x:f>IF(ISNUMBER(B300),IF('Hill'!$B$4=1,IF(B300&lt;0,-B300,""),IF('Hill'!$B$4=2,IF(B300&gt;0,B300,""),IF('Hill'!$B$4=3,IF(B300&lt;&gt;0,ABS(B300),""),""))),"")</x:f>
      </x:c>
    </x:row>
    <x:row r="301">
      <x:c r="A301" t="n">
        <x:f>300</x:f>
        <x:v>300</x:v>
      </x:c>
      <x:c r="B301" s="7" t="n">
        <x:f>IF('요약'!$B$4=4,IF(ISNUMBER('input'!A301),'input'!A301,""),IF(300&lt;=1000,CHOOSE('요약'!$B$4,'input'!B301,'input'!C301,'input'!D301),""))</x:f>
        <x:v>-0.0021339705190328013</x:v>
      </x:c>
      <x:c r="C301" s="7" t="n">
        <x:f>IF(AND(ISNUMBER(B301),'요약'!$B$19),B301-'요약'!$B$7,"")</x:f>
        <x:v>-0.0020857311919833</x:v>
      </x:c>
      <x:c r="D301" s="7" t="n">
        <x:f>IF(ISNUMBER(C301),C301^2,"")</x:f>
        <x:v>0.000004350274605212077</x:v>
      </x:c>
      <x:c r="E301" s="15" t="n">
        <x:f>IF(ISNUMBER(C301),C301^3,"")</x:f>
        <x:v>-9.073503437783664e-9</x:v>
      </x:c>
      <x:c r="F301" s="15" t="n">
        <x:f>IF(ISNUMBER(C301),C301^4,"")</x:f>
        <x:v>1.892488914075309e-11</x:v>
      </x:c>
      <x:c r="G301" s="7" t="n">
        <x:f>IF(ISNUMBER(B301),ABS(B301),"")</x:f>
        <x:v>0.0021339705190328013</x:v>
      </x:c>
      <x:c r="H301" s="7" t="n">
        <x:f>IF(ISNUMBER(B301),B301^2,"")</x:f>
        <x:v>0.0000045538301761011236</x:v>
      </x:c>
      <x:c r="I301" s="7" t="n">
        <x:f>IF(AND(ISNUMBER(G301),'요약'!$B$19),G301-'요약'!$B$14,"")</x:f>
        <x:v>-0.005879546108370054</x:v>
      </x:c>
      <x:c r="J301" s="7" t="n">
        <x:f>IF(AND(ISNUMBER(H301),'요약'!$B$19),H301-'요약'!$B$15,"")</x:f>
        <x:v>-0.00009765586900999099</x:v>
      </x:c>
      <x:c r="K301" t="n">
        <x:f>IF(ISNUMBER(B301),IF('Hill'!$B$4=1,IF(B301&lt;0,-B301,""),IF('Hill'!$B$4=2,IF(B301&gt;0,B301,""),IF('Hill'!$B$4=3,IF(B301&lt;&gt;0,ABS(B301),""),""))),"")</x:f>
        <x:v>0.0021339705190328013</x:v>
      </x:c>
    </x:row>
    <x:row r="302">
      <x:c r="A302" t="n">
        <x:f>301</x:f>
        <x:v>301</x:v>
      </x:c>
      <x:c r="B302" s="7" t="n">
        <x:f>IF('요약'!$B$4=4,IF(ISNUMBER('input'!A302),'input'!A302,""),IF(301&lt;=1000,CHOOSE('요약'!$B$4,'input'!B302,'input'!C302,'input'!D302),""))</x:f>
        <x:v>-0.009456287225166796</x:v>
      </x:c>
      <x:c r="C302" s="7" t="n">
        <x:f>IF(AND(ISNUMBER(B302),'요약'!$B$19),B302-'요약'!$B$7,"")</x:f>
        <x:v>-0.009408047898117295</x:v>
      </x:c>
      <x:c r="D302" s="7" t="n">
        <x:f>IF(ISNUMBER(C302),C302^2,"")</x:f>
        <x:v>0.00008851136525326926</x:v>
      </x:c>
      <x:c r="E302" s="15" t="n">
        <x:f>IF(ISNUMBER(C302),C302^3,"")</x:f>
        <x:v>-8.327191638305119e-7</x:v>
      </x:c>
      <x:c r="F302" s="15" t="n">
        <x:f>IF(ISNUMBER(C302),C302^4,"")</x:f>
        <x:v>7.83426177899764e-9</x:v>
      </x:c>
      <x:c r="G302" s="7" t="n">
        <x:f>IF(ISNUMBER(B302),ABS(B302),"")</x:f>
        <x:v>0.009456287225166796</x:v>
      </x:c>
      <x:c r="H302" s="7" t="n">
        <x:f>IF(ISNUMBER(B302),B302^2,"")</x:f>
        <x:v>0.00008942136808485274</x:v>
      </x:c>
      <x:c r="I302" s="7" t="n">
        <x:f>IF(AND(ISNUMBER(G302),'요약'!$B$19),G302-'요약'!$B$14,"")</x:f>
        <x:v>0.0014427705977639402</x:v>
      </x:c>
      <x:c r="J302" s="7" t="n">
        <x:f>IF(AND(ISNUMBER(H302),'요약'!$B$19),H302-'요약'!$B$15,"")</x:f>
        <x:v>-0.000012788331101239362</x:v>
      </x:c>
      <x:c r="K302" t="n">
        <x:f>IF(ISNUMBER(B302),IF('Hill'!$B$4=1,IF(B302&lt;0,-B302,""),IF('Hill'!$B$4=2,IF(B302&gt;0,B302,""),IF('Hill'!$B$4=3,IF(B302&lt;&gt;0,ABS(B302),""),""))),"")</x:f>
        <x:v>0.009456287225166796</x:v>
      </x:c>
    </x:row>
    <x:row r="303">
      <x:c r="A303" t="n">
        <x:f>302</x:f>
        <x:v>302</x:v>
      </x:c>
      <x:c r="B303" s="7" t="n">
        <x:f>IF('요약'!$B$4=4,IF(ISNUMBER('input'!A303),'input'!A303,""),IF(302&lt;=1000,CHOOSE('요약'!$B$4,'input'!B303,'input'!C303,'input'!D303),""))</x:f>
        <x:v>0.003186063224181272</x:v>
      </x:c>
      <x:c r="C303" s="7" t="n">
        <x:f>IF(AND(ISNUMBER(B303),'요약'!$B$19),B303-'요약'!$B$7,"")</x:f>
        <x:v>0.0032343025512307734</x:v>
      </x:c>
      <x:c r="D303" s="7" t="n">
        <x:f>IF(ISNUMBER(C303),C303^2,"")</x:f>
        <x:v>0.00001046071299289789</x:v>
      </x:c>
      <x:c r="E303" s="15" t="n">
        <x:f>IF(ISNUMBER(C303),C303^3,"")</x:f>
        <x:v>3.383311072062254e-8</x:v>
      </x:c>
      <x:c r="F303" s="15" t="n">
        <x:f>IF(ISNUMBER(C303),C303^4,"")</x:f>
        <x:v>1.0942651631978272e-10</x:v>
      </x:c>
      <x:c r="G303" s="7" t="n">
        <x:f>IF(ISNUMBER(B303),ABS(B303),"")</x:f>
        <x:v>0.003186063224181272</x:v>
      </x:c>
      <x:c r="H303" s="7" t="n">
        <x:f>IF(ISNUMBER(B303),B303^2,"")</x:f>
        <x:v>0.000010150998868480361</x:v>
      </x:c>
      <x:c r="I303" s="7" t="n">
        <x:f>IF(AND(ISNUMBER(G303),'요약'!$B$19),G303-'요약'!$B$14,"")</x:f>
        <x:v>-0.0048274534032215835</x:v>
      </x:c>
      <x:c r="J303" s="7" t="n">
        <x:f>IF(AND(ISNUMBER(H303),'요약'!$B$19),H303-'요약'!$B$15,"")</x:f>
        <x:v>-0.00009205870031761174</x:v>
      </x:c>
      <x:c r="K303" t="str">
        <x:f>IF(ISNUMBER(B303),IF('Hill'!$B$4=1,IF(B303&lt;0,-B303,""),IF('Hill'!$B$4=2,IF(B303&gt;0,B303,""),IF('Hill'!$B$4=3,IF(B303&lt;&gt;0,ABS(B303),""),""))),"")</x:f>
      </x:c>
    </x:row>
    <x:row r="304">
      <x:c r="A304" t="n">
        <x:f>303</x:f>
        <x:v>303</x:v>
      </x:c>
      <x:c r="B304" s="7" t="n">
        <x:f>IF('요약'!$B$4=4,IF(ISNUMBER('input'!A304),'input'!A304,""),IF(303&lt;=1000,CHOOSE('요약'!$B$4,'input'!B304,'input'!C304,'input'!D304),""))</x:f>
        <x:v>-0.005949323433995082</x:v>
      </x:c>
      <x:c r="C304" s="7" t="n">
        <x:f>IF(AND(ISNUMBER(B304),'요약'!$B$19),B304-'요약'!$B$7,"")</x:f>
        <x:v>-0.005901084106945581</x:v>
      </x:c>
      <x:c r="D304" s="7" t="n">
        <x:f>IF(ISNUMBER(C304),C304^2,"")</x:f>
        <x:v>0.000034822793637245725</x:v>
      </x:c>
      <x:c r="E304" s="15" t="n">
        <x:f>IF(ISNUMBER(C304),C304^3,"")</x:f>
        <x:v>-2.0549223409219644e-7</x:v>
      </x:c>
      <x:c r="F304" s="15" t="n">
        <x:f>IF(ISNUMBER(C304),C304^4,"")</x:f>
        <x:v>1.2126269567022012e-9</x:v>
      </x:c>
      <x:c r="G304" s="7" t="n">
        <x:f>IF(ISNUMBER(B304),ABS(B304),"")</x:f>
        <x:v>0.005949323433995082</x:v>
      </x:c>
      <x:c r="H304" s="7" t="n">
        <x:f>IF(ISNUMBER(B304),B304^2,"")</x:f>
        <x:v>0.00003539444932228304</x:v>
      </x:c>
      <x:c r="I304" s="7" t="n">
        <x:f>IF(AND(ISNUMBER(G304),'요약'!$B$19),G304-'요약'!$B$14,"")</x:f>
        <x:v>-0.002064193193407773</x:v>
      </x:c>
      <x:c r="J304" s="7" t="n">
        <x:f>IF(AND(ISNUMBER(H304),'요약'!$B$19),H304-'요약'!$B$15,"")</x:f>
        <x:v>-0.00006681524986380906</x:v>
      </x:c>
      <x:c r="K304" t="n">
        <x:f>IF(ISNUMBER(B304),IF('Hill'!$B$4=1,IF(B304&lt;0,-B304,""),IF('Hill'!$B$4=2,IF(B304&gt;0,B304,""),IF('Hill'!$B$4=3,IF(B304&lt;&gt;0,ABS(B304),""),""))),"")</x:f>
        <x:v>0.005949323433995082</x:v>
      </x:c>
    </x:row>
    <x:row r="305">
      <x:c r="A305" t="n">
        <x:f>304</x:f>
        <x:v>304</x:v>
      </x:c>
      <x:c r="B305" s="7" t="n">
        <x:f>IF('요약'!$B$4=4,IF(ISNUMBER('input'!A305),'input'!A305,""),IF(304&lt;=1000,CHOOSE('요약'!$B$4,'input'!B305,'input'!C305,'input'!D305),""))</x:f>
        <x:v>0.0032382521940974036</x:v>
      </x:c>
      <x:c r="C305" s="7" t="n">
        <x:f>IF(AND(ISNUMBER(B305),'요약'!$B$19),B305-'요약'!$B$7,"")</x:f>
        <x:v>0.003286491521146905</x:v>
      </x:c>
      <x:c r="D305" s="7" t="n">
        <x:f>IF(ISNUMBER(C305),C305^2,"")</x:f>
        <x:v>0.000010801026518570497</x:v>
      </x:c>
      <x:c r="E305" s="15" t="n">
        <x:f>IF(ISNUMBER(C305),C305^3,"")</x:f>
        <x:v>3.549748207296481e-8</x:v>
      </x:c>
      <x:c r="F305" s="15" t="n">
        <x:f>IF(ISNUMBER(C305),C305^4,"")</x:f>
        <x:v>1.1666217385486314e-10</x:v>
      </x:c>
      <x:c r="G305" s="7" t="n">
        <x:f>IF(ISNUMBER(B305),ABS(B305),"")</x:f>
        <x:v>0.0032382521940974036</x:v>
      </x:c>
      <x:c r="H305" s="7" t="n">
        <x:f>IF(ISNUMBER(B305),B305^2,"")</x:f>
        <x:v>0.000010486277272576648</x:v>
      </x:c>
      <x:c r="I305" s="7" t="n">
        <x:f>IF(AND(ISNUMBER(G305),'요약'!$B$19),G305-'요약'!$B$14,"")</x:f>
        <x:v>-0.004775264433305452</x:v>
      </x:c>
      <x:c r="J305" s="7" t="n">
        <x:f>IF(AND(ISNUMBER(H305),'요약'!$B$19),H305-'요약'!$B$15,"")</x:f>
        <x:v>-0.00009172342191351545</x:v>
      </x:c>
      <x:c r="K305" t="str">
        <x:f>IF(ISNUMBER(B305),IF('Hill'!$B$4=1,IF(B305&lt;0,-B305,""),IF('Hill'!$B$4=2,IF(B305&gt;0,B305,""),IF('Hill'!$B$4=3,IF(B305&lt;&gt;0,ABS(B305),""),""))),"")</x:f>
      </x:c>
    </x:row>
    <x:row r="306">
      <x:c r="A306" t="n">
        <x:f>305</x:f>
        <x:v>305</x:v>
      </x:c>
      <x:c r="B306" s="7" t="n">
        <x:f>IF('요약'!$B$4=4,IF(ISNUMBER('input'!A306),'input'!A306,""),IF(305&lt;=1000,CHOOSE('요약'!$B$4,'input'!B306,'input'!C306,'input'!D306),""))</x:f>
        <x:v>0.015176207498072745</x:v>
      </x:c>
      <x:c r="C306" s="7" t="n">
        <x:f>IF(AND(ISNUMBER(B306),'요약'!$B$19),B306-'요약'!$B$7,"")</x:f>
        <x:v>0.015224446825122246</x:v>
      </x:c>
      <x:c r="D306" s="7" t="n">
        <x:f>IF(ISNUMBER(C306),C306^2,"")</x:f>
        <x:v>0.00023178378113097482</x:v>
      </x:c>
      <x:c r="E306" s="15" t="n">
        <x:f>IF(ISNUMBER(C306),C306^3,"")</x:f>
        <x:v>0.0000035287798507542993</x:v>
      </x:c>
      <x:c r="F306" s="15" t="n">
        <x:f>IF(ISNUMBER(C306),C306^4,"")</x:f>
        <x:v>5.372372119537164e-8</x:v>
      </x:c>
      <x:c r="G306" s="7" t="n">
        <x:f>IF(ISNUMBER(B306),ABS(B306),"")</x:f>
        <x:v>0.015176207498072745</x:v>
      </x:c>
      <x:c r="H306" s="7" t="n">
        <x:f>IF(ISNUMBER(B306),B306^2,"")</x:f>
        <x:v>0.0002303172740245594</x:v>
      </x:c>
      <x:c r="I306" s="7" t="n">
        <x:f>IF(AND(ISNUMBER(G306),'요약'!$B$19),G306-'요약'!$B$14,"")</x:f>
        <x:v>0.00716269087066989</x:v>
      </x:c>
      <x:c r="J306" s="7" t="n">
        <x:f>IF(AND(ISNUMBER(H306),'요약'!$B$19),H306-'요약'!$B$15,"")</x:f>
        <x:v>0.0001281075748384673</x:v>
      </x:c>
      <x:c r="K306" t="str">
        <x:f>IF(ISNUMBER(B306),IF('Hill'!$B$4=1,IF(B306&lt;0,-B306,""),IF('Hill'!$B$4=2,IF(B306&gt;0,B306,""),IF('Hill'!$B$4=3,IF(B306&lt;&gt;0,ABS(B306),""),""))),"")</x:f>
      </x:c>
    </x:row>
    <x:row r="307">
      <x:c r="A307" t="n">
        <x:f>306</x:f>
        <x:v>306</x:v>
      </x:c>
      <x:c r="B307" s="7" t="n">
        <x:f>IF('요약'!$B$4=4,IF(ISNUMBER('input'!A307),'input'!A307,""),IF(306&lt;=1000,CHOOSE('요약'!$B$4,'input'!B307,'input'!C307,'input'!D307),""))</x:f>
        <x:v>-0.0002475390679883231</x:v>
      </x:c>
      <x:c r="C307" s="7" t="n">
        <x:f>IF(AND(ISNUMBER(B307),'요약'!$B$19),B307-'요약'!$B$7,"")</x:f>
        <x:v>-0.00019929974093882172</x:v>
      </x:c>
      <x:c r="D307" s="7" t="n">
        <x:f>IF(ISNUMBER(C307),C307^2,"")</x:f>
        <x:v>3.972038673828145e-8</x:v>
      </x:c>
      <x:c r="E307" s="15" t="n">
        <x:f>IF(ISNUMBER(C307),C307^3,"")</x:f>
        <x:v>-7.916262786929304e-12</x:v>
      </x:c>
      <x:c r="F307" s="15" t="n">
        <x:f>IF(ISNUMBER(C307),C307^4,"")</x:f>
        <x:v>1.577709122638645e-15</x:v>
      </x:c>
      <x:c r="G307" s="7" t="n">
        <x:f>IF(ISNUMBER(B307),ABS(B307),"")</x:f>
        <x:v>0.0002475390679883231</x:v>
      </x:c>
      <x:c r="H307" s="7" t="n">
        <x:f>IF(ISNUMBER(B307),B307^2,"")</x:f>
        <x:v>6.127559018052765e-8</x:v>
      </x:c>
      <x:c r="I307" s="7" t="n">
        <x:f>IF(AND(ISNUMBER(G307),'요약'!$B$19),G307-'요약'!$B$14,"")</x:f>
        <x:v>-0.007765977559414532</x:v>
      </x:c>
      <x:c r="J307" s="7" t="n">
        <x:f>IF(AND(ISNUMBER(H307),'요약'!$B$19),H307-'요약'!$B$15,"")</x:f>
        <x:v>-0.00010214842359591157</x:v>
      </x:c>
      <x:c r="K307" t="n">
        <x:f>IF(ISNUMBER(B307),IF('Hill'!$B$4=1,IF(B307&lt;0,-B307,""),IF('Hill'!$B$4=2,IF(B307&gt;0,B307,""),IF('Hill'!$B$4=3,IF(B307&lt;&gt;0,ABS(B307),""),""))),"")</x:f>
        <x:v>0.0002475390679883231</x:v>
      </x:c>
    </x:row>
    <x:row r="308">
      <x:c r="A308" t="n">
        <x:f>307</x:f>
        <x:v>307</x:v>
      </x:c>
      <x:c r="B308" s="7" t="n">
        <x:f>IF('요약'!$B$4=4,IF(ISNUMBER('input'!A308),'input'!A308,""),IF(307&lt;=1000,CHOOSE('요약'!$B$4,'input'!B308,'input'!C308,'input'!D308),""))</x:f>
        <x:v>0.0057062805440351114</x:v>
      </x:c>
      <x:c r="C308" s="7" t="n">
        <x:f>IF(AND(ISNUMBER(B308),'요약'!$B$19),B308-'요약'!$B$7,"")</x:f>
        <x:v>0.005754519871084613</x:v>
      </x:c>
      <x:c r="D308" s="7" t="n">
        <x:f>IF(ISNUMBER(C308),C308^2,"")</x:f>
        <x:v>0.00003311449894670767</x:v>
      </x:c>
      <x:c r="E308" s="15" t="n">
        <x:f>IF(ISNUMBER(C308),C308^3,"")</x:f>
        <x:v>1.9055804220983976e-7</x:v>
      </x:c>
      <x:c r="F308" s="15" t="n">
        <x:f>IF(ISNUMBER(C308),C308^4,"")</x:f>
        <x:v>1.0965700404915033e-9</x:v>
      </x:c>
      <x:c r="G308" s="7" t="n">
        <x:f>IF(ISNUMBER(B308),ABS(B308),"")</x:f>
        <x:v>0.0057062805440351114</x:v>
      </x:c>
      <x:c r="H308" s="7" t="n">
        <x:f>IF(ISNUMBER(B308),B308^2,"")</x:f>
        <x:v>0.00003256163764723365</x:v>
      </x:c>
      <x:c r="I308" s="7" t="n">
        <x:f>IF(AND(ISNUMBER(G308),'요약'!$B$19),G308-'요약'!$B$14,"")</x:f>
        <x:v>-0.002307236083367744</x:v>
      </x:c>
      <x:c r="J308" s="7" t="n">
        <x:f>IF(AND(ISNUMBER(H308),'요약'!$B$19),H308-'요약'!$B$15,"")</x:f>
        <x:v>-0.00006964806153885846</x:v>
      </x:c>
      <x:c r="K308" t="str">
        <x:f>IF(ISNUMBER(B308),IF('Hill'!$B$4=1,IF(B308&lt;0,-B308,""),IF('Hill'!$B$4=2,IF(B308&gt;0,B308,""),IF('Hill'!$B$4=3,IF(B308&lt;&gt;0,ABS(B308),""),""))),"")</x:f>
      </x:c>
    </x:row>
    <x:row r="309">
      <x:c r="A309" t="n">
        <x:f>308</x:f>
        <x:v>308</x:v>
      </x:c>
      <x:c r="B309" s="7" t="n">
        <x:f>IF('요약'!$B$4=4,IF(ISNUMBER('input'!A309),'input'!A309,""),IF(308&lt;=1000,CHOOSE('요약'!$B$4,'input'!B309,'input'!C309,'input'!D309),""))</x:f>
        <x:v>-0.0006687254315374864</x:v>
      </x:c>
      <x:c r="C309" s="7" t="n">
        <x:f>IF(AND(ISNUMBER(B309),'요약'!$B$19),B309-'요약'!$B$7,"")</x:f>
        <x:v>-0.0006204861044879851</x:v>
      </x:c>
      <x:c r="D309" s="7" t="n">
        <x:f>IF(ISNUMBER(C309),C309^2,"")</x:f>
        <x:v>3.850030058626747e-7</x:v>
      </x:c>
      <x:c r="E309" s="15" t="n">
        <x:f>IF(ISNUMBER(C309),C309^3,"")</x:f>
        <x:v>-2.388890153238959e-10</x:v>
      </x:c>
      <x:c r="F309" s="15" t="n">
        <x:f>IF(ISNUMBER(C309),C309^4,"")</x:f>
        <x:v>1.4822731452329474e-13</x:v>
      </x:c>
      <x:c r="G309" s="7" t="n">
        <x:f>IF(ISNUMBER(B309),ABS(B309),"")</x:f>
        <x:v>0.0006687254315374864</x:v>
      </x:c>
      <x:c r="H309" s="7" t="n">
        <x:f>IF(ISNUMBER(B309),B309^2,"")</x:f>
        <x:v>4.471937027849974e-7</x:v>
      </x:c>
      <x:c r="I309" s="7" t="n">
        <x:f>IF(AND(ISNUMBER(G309),'요약'!$B$19),G309-'요약'!$B$14,"")</x:f>
        <x:v>-0.007344791195865369</x:v>
      </x:c>
      <x:c r="J309" s="7" t="n">
        <x:f>IF(AND(ISNUMBER(H309),'요약'!$B$19),H309-'요약'!$B$15,"")</x:f>
        <x:v>-0.0001017625054833071</x:v>
      </x:c>
      <x:c r="K309" t="n">
        <x:f>IF(ISNUMBER(B309),IF('Hill'!$B$4=1,IF(B309&lt;0,-B309,""),IF('Hill'!$B$4=2,IF(B309&gt;0,B309,""),IF('Hill'!$B$4=3,IF(B309&lt;&gt;0,ABS(B309),""),""))),"")</x:f>
        <x:v>0.0006687254315374864</x:v>
      </x:c>
    </x:row>
    <x:row r="310">
      <x:c r="A310" t="n">
        <x:f>309</x:f>
        <x:v>309</x:v>
      </x:c>
      <x:c r="B310" s="7" t="n">
        <x:f>IF('요약'!$B$4=4,IF(ISNUMBER('input'!A310),'input'!A310,""),IF(309&lt;=1000,CHOOSE('요약'!$B$4,'input'!B310,'input'!C310,'input'!D310),""))</x:f>
        <x:v>0.009354790013777384</x:v>
      </x:c>
      <x:c r="C310" s="7" t="n">
        <x:f>IF(AND(ISNUMBER(B310),'요약'!$B$19),B310-'요약'!$B$7,"")</x:f>
        <x:v>0.009403029340826884</x:v>
      </x:c>
      <x:c r="D310" s="7" t="n">
        <x:f>IF(ISNUMBER(C310),C310^2,"")</x:f>
        <x:v>0.00008841696078445127</x:v>
      </x:c>
      <x:c r="E310" s="15" t="n">
        <x:f>IF(ISNUMBER(C310),C310^3,"")</x:f>
        <x:v>8.313872764829353e-7</x:v>
      </x:c>
      <x:c r="F310" s="15" t="n">
        <x:f>IF(ISNUMBER(C310),C310^4,"")</x:f>
        <x:v>7.817558954359194e-9</x:v>
      </x:c>
      <x:c r="G310" s="7" t="n">
        <x:f>IF(ISNUMBER(B310),ABS(B310),"")</x:f>
        <x:v>0.009354790013777384</x:v>
      </x:c>
      <x:c r="H310" s="7" t="n">
        <x:f>IF(ISNUMBER(B310),B310^2,"")</x:f>
        <x:v>0.00008751209620186906</x:v>
      </x:c>
      <x:c r="I310" s="7" t="n">
        <x:f>IF(AND(ISNUMBER(G310),'요약'!$B$19),G310-'요약'!$B$14,"")</x:f>
        <x:v>0.0013412733863745283</x:v>
      </x:c>
      <x:c r="J310" s="7" t="n">
        <x:f>IF(AND(ISNUMBER(H310),'요약'!$B$19),H310-'요약'!$B$15,"")</x:f>
        <x:v>-0.000014697602984223044</x:v>
      </x:c>
      <x:c r="K310" t="str">
        <x:f>IF(ISNUMBER(B310),IF('Hill'!$B$4=1,IF(B310&lt;0,-B310,""),IF('Hill'!$B$4=2,IF(B310&gt;0,B310,""),IF('Hill'!$B$4=3,IF(B310&lt;&gt;0,ABS(B310),""),""))),"")</x:f>
      </x:c>
    </x:row>
    <x:row r="311">
      <x:c r="A311" t="n">
        <x:f>310</x:f>
        <x:v>310</x:v>
      </x:c>
      <x:c r="B311" s="7" t="n">
        <x:f>IF('요약'!$B$4=4,IF(ISNUMBER('input'!A311),'input'!A311,""),IF(310&lt;=1000,CHOOSE('요약'!$B$4,'input'!B311,'input'!C311,'input'!D311),""))</x:f>
        <x:v>0.01296629703012736</x:v>
      </x:c>
      <x:c r="C311" s="7" t="n">
        <x:f>IF(AND(ISNUMBER(B311),'요약'!$B$19),B311-'요약'!$B$7,"")</x:f>
        <x:v>0.013014536357176861</x:v>
      </x:c>
      <x:c r="D311" s="7" t="n">
        <x:f>IF(ISNUMBER(C311),C311^2,"")</x:f>
        <x:v>0.00016937815659227837</x:v>
      </x:c>
      <x:c r="E311" s="15" t="n">
        <x:f>IF(ISNUMBER(C311),C311^3,"")</x:f>
        <x:v>0.0000022043781770818026</x:v>
      </x:c>
      <x:c r="F311" s="15" t="n">
        <x:f>IF(ISNUMBER(C311),C311^4,"")</x:f>
        <x:v>2.868895993059837e-8</x:v>
      </x:c>
      <x:c r="G311" s="7" t="n">
        <x:f>IF(ISNUMBER(B311),ABS(B311),"")</x:f>
        <x:v>0.01296629703012736</x:v>
      </x:c>
      <x:c r="H311" s="7" t="n">
        <x:f>IF(ISNUMBER(B311),B311^2,"")</x:f>
        <x:v>0.00016812485867348962</x:v>
      </x:c>
      <x:c r="I311" s="7" t="n">
        <x:f>IF(AND(ISNUMBER(G311),'요약'!$B$19),G311-'요약'!$B$14,"")</x:f>
        <x:v>0.004952780402724505</x:v>
      </x:c>
      <x:c r="J311" s="7" t="n">
        <x:f>IF(AND(ISNUMBER(H311),'요약'!$B$19),H311-'요약'!$B$15,"")</x:f>
        <x:v>0.00006591515948739751</x:v>
      </x:c>
      <x:c r="K311" t="str">
        <x:f>IF(ISNUMBER(B311),IF('Hill'!$B$4=1,IF(B311&lt;0,-B311,""),IF('Hill'!$B$4=2,IF(B311&gt;0,B311,""),IF('Hill'!$B$4=3,IF(B311&lt;&gt;0,ABS(B311),""),""))),"")</x:f>
      </x:c>
    </x:row>
    <x:row r="312">
      <x:c r="A312" t="n">
        <x:f>311</x:f>
        <x:v>311</x:v>
      </x:c>
      <x:c r="B312" s="7" t="n">
        <x:f>IF('요약'!$B$4=4,IF(ISNUMBER('input'!A312),'input'!A312,""),IF(311&lt;=1000,CHOOSE('요약'!$B$4,'input'!B312,'input'!C312,'input'!D312),""))</x:f>
        <x:v>-0.010288671787853945</x:v>
      </x:c>
      <x:c r="C312" s="7" t="n">
        <x:f>IF(AND(ISNUMBER(B312),'요약'!$B$19),B312-'요약'!$B$7,"")</x:f>
        <x:v>-0.010240432460804444</x:v>
      </x:c>
      <x:c r="D312" s="7" t="n">
        <x:f>IF(ISNUMBER(C312),C312^2,"")</x:f>
        <x:v>0.00010486645698429736</x:v>
      </x:c>
      <x:c r="E312" s="15" t="n">
        <x:f>IF(ISNUMBER(C312),C312^3,"")</x:f>
        <x:v>-0.0000010738778701515515</x:v>
      </x:c>
      <x:c r="F312" s="15" t="n">
        <x:f>IF(ISNUMBER(C312),C312^4,"")</x:f>
        <x:v>1.0996973800439488e-8</x:v>
      </x:c>
      <x:c r="G312" s="7" t="n">
        <x:f>IF(ISNUMBER(B312),ABS(B312),"")</x:f>
        <x:v>0.010288671787853945</x:v>
      </x:c>
      <x:c r="H312" s="7" t="n">
        <x:f>IF(ISNUMBER(B312),B312^2,"")</x:f>
        <x:v>0.00010585676715818168</x:v>
      </x:c>
      <x:c r="I312" s="7" t="n">
        <x:f>IF(AND(ISNUMBER(G312),'요약'!$B$19),G312-'요약'!$B$14,"")</x:f>
        <x:v>0.002275155160451089</x:v>
      </x:c>
      <x:c r="J312" s="7" t="n">
        <x:f>IF(AND(ISNUMBER(H312),'요약'!$B$19),H312-'요약'!$B$15,"")</x:f>
        <x:v>0.0000036470679720895734</x:v>
      </x:c>
      <x:c r="K312" t="n">
        <x:f>IF(ISNUMBER(B312),IF('Hill'!$B$4=1,IF(B312&lt;0,-B312,""),IF('Hill'!$B$4=2,IF(B312&gt;0,B312,""),IF('Hill'!$B$4=3,IF(B312&lt;&gt;0,ABS(B312),""),""))),"")</x:f>
        <x:v>0.010288671787853945</x:v>
      </x:c>
    </x:row>
    <x:row r="313">
      <x:c r="A313" t="n">
        <x:f>312</x:f>
        <x:v>312</x:v>
      </x:c>
      <x:c r="B313" s="7" t="n">
        <x:f>IF('요약'!$B$4=4,IF(ISNUMBER('input'!A313),'input'!A313,""),IF(312&lt;=1000,CHOOSE('요약'!$B$4,'input'!B313,'input'!C313,'input'!D313),""))</x:f>
        <x:v>0.012977293205082814</x:v>
      </x:c>
      <x:c r="C313" s="7" t="n">
        <x:f>IF(AND(ISNUMBER(B313),'요약'!$B$19),B313-'요약'!$B$7,"")</x:f>
        <x:v>0.013025532532132315</x:v>
      </x:c>
      <x:c r="D313" s="7" t="n">
        <x:f>IF(ISNUMBER(C313),C313^2,"")</x:f>
        <x:v>0.00016966449774563728</x:v>
      </x:c>
      <x:c r="E313" s="15" t="n">
        <x:f>IF(ISNUMBER(C313),C313^3,"")</x:f>
        <x:v>0.0000022099704349336884</x:v>
      </x:c>
      <x:c r="F313" s="15" t="n">
        <x:f>IF(ISNUMBER(C313),C313^4,"")</x:f>
        <x:v>2.8786041795279357e-8</x:v>
      </x:c>
      <x:c r="G313" s="7" t="n">
        <x:f>IF(ISNUMBER(B313),ABS(B313),"")</x:f>
        <x:v>0.012977293205082814</x:v>
      </x:c>
      <x:c r="H313" s="7" t="n">
        <x:f>IF(ISNUMBER(B313),B313^2,"")</x:f>
        <x:v>0.0001684101389306886</x:v>
      </x:c>
      <x:c r="I313" s="7" t="n">
        <x:f>IF(AND(ISNUMBER(G313),'요약'!$B$19),G313-'요약'!$B$14,"")</x:f>
        <x:v>0.004963776577679959</x:v>
      </x:c>
      <x:c r="J313" s="7" t="n">
        <x:f>IF(AND(ISNUMBER(H313),'요약'!$B$19),H313-'요약'!$B$15,"")</x:f>
        <x:v>0.00006620043974459649</x:v>
      </x:c>
      <x:c r="K313" t="str">
        <x:f>IF(ISNUMBER(B313),IF('Hill'!$B$4=1,IF(B313&lt;0,-B313,""),IF('Hill'!$B$4=2,IF(B313&gt;0,B313,""),IF('Hill'!$B$4=3,IF(B313&lt;&gt;0,ABS(B313),""),""))),"")</x:f>
      </x:c>
    </x:row>
    <x:row r="314">
      <x:c r="A314" t="n">
        <x:f>313</x:f>
        <x:v>313</x:v>
      </x:c>
      <x:c r="B314" s="7" t="n">
        <x:f>IF('요약'!$B$4=4,IF(ISNUMBER('input'!A314),'input'!A314,""),IF(313&lt;=1000,CHOOSE('요약'!$B$4,'input'!B314,'input'!C314,'input'!D314),""))</x:f>
        <x:v>0.008154907923552605</x:v>
      </x:c>
      <x:c r="C314" s="7" t="n">
        <x:f>IF(AND(ISNUMBER(B314),'요약'!$B$19),B314-'요약'!$B$7,"")</x:f>
        <x:v>0.008203147250602106</x:v>
      </x:c>
      <x:c r="D314" s="7" t="n">
        <x:f>IF(ISNUMBER(C314),C314^2,"")</x:f>
        <x:v>0.00006729162481506089</x:v>
      </x:c>
      <x:c r="E314" s="15" t="n">
        <x:f>IF(ISNUMBER(C314),C314^3,"")</x:f>
        <x:v>5.520031070902152e-7</x:v>
      </x:c>
      <x:c r="F314" s="15" t="n">
        <x:f>IF(ISNUMBER(C314),C314^4,"")</x:f>
        <x:v>4.528162770250919e-9</x:v>
      </x:c>
      <x:c r="G314" s="7" t="n">
        <x:f>IF(ISNUMBER(B314),ABS(B314),"")</x:f>
        <x:v>0.008154907923552605</x:v>
      </x:c>
      <x:c r="H314" s="7" t="n">
        <x:f>IF(ISNUMBER(B314),B314^2,"")</x:f>
        <x:v>0.00006650252324162106</x:v>
      </x:c>
      <x:c r="I314" s="7" t="n">
        <x:f>IF(AND(ISNUMBER(G314),'요약'!$B$19),G314-'요약'!$B$14,"")</x:f>
        <x:v>0.00014139129614974995</x:v>
      </x:c>
      <x:c r="J314" s="7" t="n">
        <x:f>IF(AND(ISNUMBER(H314),'요약'!$B$19),H314-'요약'!$B$15,"")</x:f>
        <x:v>-0.000035707175944471044</x:v>
      </x:c>
      <x:c r="K314" t="str">
        <x:f>IF(ISNUMBER(B314),IF('Hill'!$B$4=1,IF(B314&lt;0,-B314,""),IF('Hill'!$B$4=2,IF(B314&gt;0,B314,""),IF('Hill'!$B$4=3,IF(B314&lt;&gt;0,ABS(B314),""),""))),"")</x:f>
      </x:c>
    </x:row>
    <x:row r="315">
      <x:c r="A315" t="n">
        <x:f>314</x:f>
        <x:v>314</x:v>
      </x:c>
      <x:c r="B315" s="7" t="n">
        <x:f>IF('요약'!$B$4=4,IF(ISNUMBER('input'!A315),'input'!A315,""),IF(314&lt;=1000,CHOOSE('요약'!$B$4,'input'!B315,'input'!C315,'input'!D315),""))</x:f>
        <x:v>-0.0016347457341131385</x:v>
      </x:c>
      <x:c r="C315" s="7" t="n">
        <x:f>IF(AND(ISNUMBER(B315),'요약'!$B$19),B315-'요약'!$B$7,"")</x:f>
        <x:v>-0.001586506407063637</x:v>
      </x:c>
      <x:c r="D315" s="7" t="n">
        <x:f>IF(ISNUMBER(C315),C315^2,"")</x:f>
        <x:v>0.0000025170025796539708</x:v>
      </x:c>
      <x:c r="E315" s="15" t="n">
        <x:f>IF(ISNUMBER(C315),C315^3,"")</x:f>
        <x:v>-3.993240719216727e-9</x:v>
      </x:c>
      <x:c r="F315" s="15" t="n">
        <x:f>IF(ISNUMBER(C315),C315^4,"")</x:f>
        <x:v>6.3353019859847435e-12</x:v>
      </x:c>
      <x:c r="G315" s="7" t="n">
        <x:f>IF(ISNUMBER(B315),ABS(B315),"")</x:f>
        <x:v>0.0016347457341131385</x:v>
      </x:c>
      <x:c r="H315" s="7" t="n">
        <x:f>IF(ISNUMBER(B315),B315^2,"")</x:f>
        <x:v>0.000002672393615201104</x:v>
      </x:c>
      <x:c r="I315" s="7" t="n">
        <x:f>IF(AND(ISNUMBER(G315),'요약'!$B$19),G315-'요약'!$B$14,"")</x:f>
        <x:v>-0.006378770893289717</x:v>
      </x:c>
      <x:c r="J315" s="7" t="n">
        <x:f>IF(AND(ISNUMBER(H315),'요약'!$B$19),H315-'요약'!$B$15,"")</x:f>
        <x:v>-0.000099537305570891</x:v>
      </x:c>
      <x:c r="K315" t="n">
        <x:f>IF(ISNUMBER(B315),IF('Hill'!$B$4=1,IF(B315&lt;0,-B315,""),IF('Hill'!$B$4=2,IF(B315&gt;0,B315,""),IF('Hill'!$B$4=3,IF(B315&lt;&gt;0,ABS(B315),""),""))),"")</x:f>
        <x:v>0.0016347457341131385</x:v>
      </x:c>
    </x:row>
    <x:row r="316">
      <x:c r="A316" t="n">
        <x:f>315</x:f>
        <x:v>315</x:v>
      </x:c>
      <x:c r="B316" s="7" t="n">
        <x:f>IF('요약'!$B$4=4,IF(ISNUMBER('input'!A316),'input'!A316,""),IF(315&lt;=1000,CHOOSE('요약'!$B$4,'input'!B316,'input'!C316,'input'!D316),""))</x:f>
        <x:v>0.006263815738699013</x:v>
      </x:c>
      <x:c r="C316" s="7" t="n">
        <x:f>IF(AND(ISNUMBER(B316),'요약'!$B$19),B316-'요약'!$B$7,"")</x:f>
        <x:v>0.006312055065748515</x:v>
      </x:c>
      <x:c r="D316" s="7" t="n">
        <x:f>IF(ISNUMBER(C316),C316^2,"")</x:f>
        <x:v>0.00003984203915304149</x:v>
      </x:c>
      <x:c r="E316" s="15" t="n">
        <x:f>IF(ISNUMBER(C316),C316^3,"")</x:f>
        <x:v>2.514851450657062e-7</x:v>
      </x:c>
      <x:c r="F316" s="15" t="n">
        <x:f>IF(ISNUMBER(C316),C316^4,"")</x:f>
        <x:v>1.5873880838724907e-9</x:v>
      </x:c>
      <x:c r="G316" s="7" t="n">
        <x:f>IF(ISNUMBER(B316),ABS(B316),"")</x:f>
        <x:v>0.006263815738699013</x:v>
      </x:c>
      <x:c r="H316" s="7" t="n">
        <x:f>IF(ISNUMBER(B316),B316^2,"")</x:f>
        <x:v>0.000039235387608373464</x:v>
      </x:c>
      <x:c r="I316" s="7" t="n">
        <x:f>IF(AND(ISNUMBER(G316),'요약'!$B$19),G316-'요약'!$B$14,"")</x:f>
        <x:v>-0.0017497008887038422</x:v>
      </x:c>
      <x:c r="J316" s="7" t="n">
        <x:f>IF(AND(ISNUMBER(H316),'요약'!$B$19),H316-'요약'!$B$15,"")</x:f>
        <x:v>-0.00006297431157771863</x:v>
      </x:c>
      <x:c r="K316" t="str">
        <x:f>IF(ISNUMBER(B316),IF('Hill'!$B$4=1,IF(B316&lt;0,-B316,""),IF('Hill'!$B$4=2,IF(B316&gt;0,B316,""),IF('Hill'!$B$4=3,IF(B316&lt;&gt;0,ABS(B316),""),""))),"")</x:f>
      </x:c>
    </x:row>
    <x:row r="317">
      <x:c r="A317" t="n">
        <x:f>316</x:f>
        <x:v>316</x:v>
      </x:c>
      <x:c r="B317" s="7" t="n">
        <x:f>IF('요약'!$B$4=4,IF(ISNUMBER('input'!A317),'input'!A317,""),IF(316&lt;=1000,CHOOSE('요약'!$B$4,'input'!B317,'input'!C317,'input'!D317),""))</x:f>
        <x:v>-0.008593697066977024</x:v>
      </x:c>
      <x:c r="C317" s="7" t="n">
        <x:f>IF(AND(ISNUMBER(B317),'요약'!$B$19),B317-'요약'!$B$7,"")</x:f>
        <x:v>-0.008545457739927523</x:v>
      </x:c>
      <x:c r="D317" s="7" t="n">
        <x:f>IF(ISNUMBER(C317),C317^2,"")</x:f>
        <x:v>0.00007302484798488721</x:v>
      </x:c>
      <x:c r="E317" s="15" t="n">
        <x:f>IF(ISNUMBER(C317),C317^3,"")</x:f>
        <x:v>-6.240307524194852e-7</x:v>
      </x:c>
      <x:c r="F317" s="15" t="n">
        <x:f>IF(ISNUMBER(C317),C317^4,"")</x:f>
        <x:v>5.3326284232158855e-9</x:v>
      </x:c>
      <x:c r="G317" s="7" t="n">
        <x:f>IF(ISNUMBER(B317),ABS(B317),"")</x:f>
        <x:v>0.008593697066977024</x:v>
      </x:c>
      <x:c r="H317" s="7" t="n">
        <x:f>IF(ISNUMBER(B317),B317^2,"")</x:f>
        <x:v>0.0000738516292789695</x:v>
      </x:c>
      <x:c r="I317" s="7" t="n">
        <x:f>IF(AND(ISNUMBER(G317),'요약'!$B$19),G317-'요약'!$B$14,"")</x:f>
        <x:v>0.0005801804395741683</x:v>
      </x:c>
      <x:c r="J317" s="7" t="n">
        <x:f>IF(AND(ISNUMBER(H317),'요약'!$B$19),H317-'요약'!$B$15,"")</x:f>
        <x:v>-0.0000283580699071226</x:v>
      </x:c>
      <x:c r="K317" t="n">
        <x:f>IF(ISNUMBER(B317),IF('Hill'!$B$4=1,IF(B317&lt;0,-B317,""),IF('Hill'!$B$4=2,IF(B317&gt;0,B317,""),IF('Hill'!$B$4=3,IF(B317&lt;&gt;0,ABS(B317),""),""))),"")</x:f>
        <x:v>0.008593697066977024</x:v>
      </x:c>
    </x:row>
    <x:row r="318">
      <x:c r="A318" t="n">
        <x:f>317</x:f>
        <x:v>317</x:v>
      </x:c>
      <x:c r="B318" s="7" t="n">
        <x:f>IF('요약'!$B$4=4,IF(ISNUMBER('input'!A318),'input'!A318,""),IF(317&lt;=1000,CHOOSE('요약'!$B$4,'input'!B318,'input'!C318,'input'!D318),""))</x:f>
        <x:v>-0.004835117258516478</x:v>
      </x:c>
      <x:c r="C318" s="7" t="n">
        <x:f>IF(AND(ISNUMBER(B318),'요약'!$B$19),B318-'요약'!$B$7,"")</x:f>
        <x:v>-0.004786877931466977</x:v>
      </x:c>
      <x:c r="D318" s="7" t="n">
        <x:f>IF(ISNUMBER(C318),C318^2,"")</x:f>
        <x:v>0.00002291420033076556</x:v>
      </x:c>
      <x:c r="E318" s="15" t="n">
        <x:f>IF(ISNUMBER(C318),C318^3,"")</x:f>
        <x:v>-1.0968747988055496e-7</x:v>
      </x:c>
      <x:c r="F318" s="15" t="n">
        <x:f>IF(ISNUMBER(C318),C318^4,"")</x:f>
        <x:v>5.250605767984565e-10</x:v>
      </x:c>
      <x:c r="G318" s="7" t="n">
        <x:f>IF(ISNUMBER(B318),ABS(B318),"")</x:f>
        <x:v>0.004835117258516478</x:v>
      </x:c>
      <x:c r="H318" s="7" t="n">
        <x:f>IF(ISNUMBER(B318),B318^2,"")</x:f>
        <x:v>0.000023378358903603904</x:v>
      </x:c>
      <x:c r="I318" s="7" t="n">
        <x:f>IF(AND(ISNUMBER(G318),'요약'!$B$19),G318-'요약'!$B$14,"")</x:f>
        <x:v>-0.0031783993688863773</x:v>
      </x:c>
      <x:c r="J318" s="7" t="n">
        <x:f>IF(AND(ISNUMBER(H318),'요약'!$B$19),H318-'요약'!$B$15,"")</x:f>
        <x:v>-0.0000788313402824882</x:v>
      </x:c>
      <x:c r="K318" t="n">
        <x:f>IF(ISNUMBER(B318),IF('Hill'!$B$4=1,IF(B318&lt;0,-B318,""),IF('Hill'!$B$4=2,IF(B318&gt;0,B318,""),IF('Hill'!$B$4=3,IF(B318&lt;&gt;0,ABS(B318),""),""))),"")</x:f>
        <x:v>0.004835117258516478</x:v>
      </x:c>
    </x:row>
    <x:row r="319">
      <x:c r="A319" t="n">
        <x:f>318</x:f>
        <x:v>318</x:v>
      </x:c>
      <x:c r="B319" s="7" t="n">
        <x:f>IF('요약'!$B$4=4,IF(ISNUMBER('input'!A319),'input'!A319,""),IF(318&lt;=1000,CHOOSE('요약'!$B$4,'input'!B319,'input'!C319,'input'!D319),""))</x:f>
        <x:v>0.0047946772647251825</x:v>
      </x:c>
      <x:c r="C319" s="7" t="n">
        <x:f>IF(AND(ISNUMBER(B319),'요약'!$B$19),B319-'요약'!$B$7,"")</x:f>
        <x:v>0.004842916591774684</x:v>
      </x:c>
      <x:c r="D319" s="7" t="n">
        <x:f>IF(ISNUMBER(C319),C319^2,"")</x:f>
        <x:v>0.000023453841114886522</x:v>
      </x:c>
      <x:c r="E319" s="15" t="n">
        <x:f>IF(ISNUMBER(C319),C319^3,"")</x:f>
        <x:v>1.1358499627613119e-7</x:v>
      </x:c>
      <x:c r="F319" s="15" t="n">
        <x:f>IF(ISNUMBER(C319),C319^4,"")</x:f>
        <x:v>5.500826630423414e-10</x:v>
      </x:c>
      <x:c r="G319" s="7" t="n">
        <x:f>IF(ISNUMBER(B319),ABS(B319),"")</x:f>
        <x:v>0.0047946772647251825</x:v>
      </x:c>
      <x:c r="H319" s="7" t="n">
        <x:f>IF(ISNUMBER(B319),B319^2,"")</x:f>
        <x:v>0.000022988930072872557</x:v>
      </x:c>
      <x:c r="I319" s="7" t="n">
        <x:f>IF(AND(ISNUMBER(G319),'요약'!$B$19),G319-'요약'!$B$14,"")</x:f>
        <x:v>-0.003218839362677673</x:v>
      </x:c>
      <x:c r="J319" s="7" t="n">
        <x:f>IF(AND(ISNUMBER(H319),'요약'!$B$19),H319-'요약'!$B$15,"")</x:f>
        <x:v>-0.00007922076911321955</x:v>
      </x:c>
      <x:c r="K319" t="str">
        <x:f>IF(ISNUMBER(B319),IF('Hill'!$B$4=1,IF(B319&lt;0,-B319,""),IF('Hill'!$B$4=2,IF(B319&gt;0,B319,""),IF('Hill'!$B$4=3,IF(B319&lt;&gt;0,ABS(B319),""),""))),"")</x:f>
      </x:c>
    </x:row>
    <x:row r="320">
      <x:c r="A320" t="n">
        <x:f>319</x:f>
        <x:v>319</x:v>
      </x:c>
      <x:c r="B320" s="7" t="n">
        <x:f>IF('요약'!$B$4=4,IF(ISNUMBER('input'!A320),'input'!A320,""),IF(319&lt;=1000,CHOOSE('요약'!$B$4,'input'!B320,'input'!C320,'input'!D320),""))</x:f>
        <x:v>-0.002951657080443583</x:v>
      </x:c>
      <x:c r="C320" s="7" t="n">
        <x:f>IF(AND(ISNUMBER(B320),'요약'!$B$19),B320-'요약'!$B$7,"")</x:f>
        <x:v>-0.0029034177533940816</x:v>
      </x:c>
      <x:c r="D320" s="7" t="n">
        <x:f>IF(ISNUMBER(C320),C320^2,"")</x:f>
        <x:v>0.000008429834650723936</x:v>
      </x:c>
      <x:c r="E320" s="15" t="n">
        <x:f>IF(ISNUMBER(C320),C320^3,"")</x:f>
        <x:v>-2.4475331583088473e-8</x:v>
      </x:c>
      <x:c r="F320" s="15" t="n">
        <x:f>IF(ISNUMBER(C320),C320^4,"")</x:f>
        <x:v>7.106211223854595e-11</x:v>
      </x:c>
      <x:c r="G320" s="7" t="n">
        <x:f>IF(ISNUMBER(B320),ABS(B320),"")</x:f>
        <x:v>0.002951657080443583</x:v>
      </x:c>
      <x:c r="H320" s="7" t="n">
        <x:f>IF(ISNUMBER(B320),B320^2,"")</x:f>
        <x:v>0.000008712279520532736</x:v>
      </x:c>
      <x:c r="I320" s="7" t="n">
        <x:f>IF(AND(ISNUMBER(G320),'요약'!$B$19),G320-'요약'!$B$14,"")</x:f>
        <x:v>-0.005061859546959272</x:v>
      </x:c>
      <x:c r="J320" s="7" t="n">
        <x:f>IF(AND(ISNUMBER(H320),'요약'!$B$19),H320-'요약'!$B$15,"")</x:f>
        <x:v>-0.00009349741966555937</x:v>
      </x:c>
      <x:c r="K320" t="n">
        <x:f>IF(ISNUMBER(B320),IF('Hill'!$B$4=1,IF(B320&lt;0,-B320,""),IF('Hill'!$B$4=2,IF(B320&gt;0,B320,""),IF('Hill'!$B$4=3,IF(B320&lt;&gt;0,ABS(B320),""),""))),"")</x:f>
        <x:v>0.002951657080443583</x:v>
      </x:c>
    </x:row>
    <x:row r="321">
      <x:c r="A321" t="n">
        <x:f>320</x:f>
        <x:v>320</x:v>
      </x:c>
      <x:c r="B321" s="7" t="n">
        <x:f>IF('요약'!$B$4=4,IF(ISNUMBER('input'!A321),'input'!A321,""),IF(320&lt;=1000,CHOOSE('요약'!$B$4,'input'!B321,'input'!C321,'input'!D321),""))</x:f>
        <x:v>0.007984748303273179</x:v>
      </x:c>
      <x:c r="C321" s="7" t="n">
        <x:f>IF(AND(ISNUMBER(B321),'요약'!$B$19),B321-'요약'!$B$7,"")</x:f>
        <x:v>0.00803298763032268</x:v>
      </x:c>
      <x:c r="D321" s="7" t="n">
        <x:f>IF(ISNUMBER(C321),C321^2,"")</x:f>
        <x:v>0.00006452889026891718</x:v>
      </x:c>
      <x:c r="E321" s="15" t="n">
        <x:f>IF(ISNUMBER(C321),C321^3,"")</x:f>
        <x:v>5.183597773286613e-7</x:v>
      </x:c>
      <x:c r="F321" s="15" t="n">
        <x:f>IF(ISNUMBER(C321),C321^4,"")</x:f>
        <x:v>4.163977679337954e-9</x:v>
      </x:c>
      <x:c r="G321" s="7" t="n">
        <x:f>IF(ISNUMBER(B321),ABS(B321),"")</x:f>
        <x:v>0.007984748303273179</x:v>
      </x:c>
      <x:c r="H321" s="7" t="n">
        <x:f>IF(ISNUMBER(B321),B321^2,"")</x:f>
        <x:v>0.00006375620546662392</x:v>
      </x:c>
      <x:c r="I321" s="7" t="n">
        <x:f>IF(AND(ISNUMBER(G321),'요약'!$B$19),G321-'요약'!$B$14,"")</x:f>
        <x:v>-0.00002876832412967642</x:v>
      </x:c>
      <x:c r="J321" s="7" t="n">
        <x:f>IF(AND(ISNUMBER(H321),'요약'!$B$19),H321-'요약'!$B$15,"")</x:f>
        <x:v>-0.00003845349371946819</x:v>
      </x:c>
      <x:c r="K321" t="str">
        <x:f>IF(ISNUMBER(B321),IF('Hill'!$B$4=1,IF(B321&lt;0,-B321,""),IF('Hill'!$B$4=2,IF(B321&gt;0,B321,""),IF('Hill'!$B$4=3,IF(B321&lt;&gt;0,ABS(B321),""),""))),"")</x:f>
      </x:c>
    </x:row>
    <x:row r="322">
      <x:c r="A322" t="n">
        <x:f>321</x:f>
        <x:v>321</x:v>
      </x:c>
      <x:c r="B322" s="7" t="n">
        <x:f>IF('요약'!$B$4=4,IF(ISNUMBER('input'!A322),'input'!A322,""),IF(321&lt;=1000,CHOOSE('요약'!$B$4,'input'!B322,'input'!C322,'input'!D322),""))</x:f>
        <x:v>0.0012449170238353505</x:v>
      </x:c>
      <x:c r="C322" s="7" t="n">
        <x:f>IF(AND(ISNUMBER(B322),'요약'!$B$19),B322-'요약'!$B$7,"")</x:f>
        <x:v>0.001293156350884852</x:v>
      </x:c>
      <x:c r="D322" s="7" t="n">
        <x:f>IF(ISNUMBER(C322),C322^2,"")</x:f>
        <x:v>0.0000016722533478338264</x:v>
      </x:c>
      <x:c r="E322" s="15" t="n">
        <x:f>IF(ISNUMBER(C322),C322^3,"")</x:f>
        <x:v>2.1624850370397678e-9</x:v>
      </x:c>
      <x:c r="F322" s="15" t="n">
        <x:f>IF(ISNUMBER(C322),C322^4,"")</x:f>
        <x:v>2.7964312593414403e-12</x:v>
      </x:c>
      <x:c r="G322" s="7" t="n">
        <x:f>IF(ISNUMBER(B322),ABS(B322),"")</x:f>
        <x:v>0.0012449170238353505</x:v>
      </x:c>
      <x:c r="H322" s="7" t="n">
        <x:f>IF(ISNUMBER(B322),B322^2,"")</x:f>
        <x:v>0.0000015498183962350667</x:v>
      </x:c>
      <x:c r="I322" s="7" t="n">
        <x:f>IF(AND(ISNUMBER(G322),'요약'!$B$19),G322-'요약'!$B$14,"")</x:f>
        <x:v>-0.006768599603567505</x:v>
      </x:c>
      <x:c r="J322" s="7" t="n">
        <x:f>IF(AND(ISNUMBER(H322),'요약'!$B$19),H322-'요약'!$B$15,"")</x:f>
        <x:v>-0.00010065988078985704</x:v>
      </x:c>
      <x:c r="K322" t="str">
        <x:f>IF(ISNUMBER(B322),IF('Hill'!$B$4=1,IF(B322&lt;0,-B322,""),IF('Hill'!$B$4=2,IF(B322&gt;0,B322,""),IF('Hill'!$B$4=3,IF(B322&lt;&gt;0,ABS(B322),""),""))),"")</x:f>
      </x:c>
    </x:row>
    <x:row r="323">
      <x:c r="A323" t="n">
        <x:f>322</x:f>
        <x:v>322</x:v>
      </x:c>
      <x:c r="B323" s="7" t="n">
        <x:f>IF('요약'!$B$4=4,IF(ISNUMBER('input'!A323),'input'!A323,""),IF(322&lt;=1000,CHOOSE('요약'!$B$4,'input'!B323,'input'!C323,'input'!D323),""))</x:f>
        <x:v>-0.008072665125021732</x:v>
      </x:c>
      <x:c r="C323" s="7" t="n">
        <x:f>IF(AND(ISNUMBER(B323),'요약'!$B$19),B323-'요약'!$B$7,"")</x:f>
        <x:v>-0.008024425797972232</x:v>
      </x:c>
      <x:c r="D323" s="7" t="n">
        <x:f>IF(ISNUMBER(C323),C323^2,"")</x:f>
        <x:v>0.00006439140938716229</x:v>
      </x:c>
      <x:c r="E323" s="15" t="n">
        <x:f>IF(ISNUMBER(C323),C323^3,"")</x:f>
        <x:v>-5.167040866541364e-7</x:v>
      </x:c>
      <x:c r="F323" s="15" t="n">
        <x:f>IF(ISNUMBER(C323),C323^4,"")</x:f>
        <x:v>4.146253602865131e-9</x:v>
      </x:c>
      <x:c r="G323" s="7" t="n">
        <x:f>IF(ISNUMBER(B323),ABS(B323),"")</x:f>
        <x:v>0.008072665125021732</x:v>
      </x:c>
      <x:c r="H323" s="7" t="n">
        <x:f>IF(ISNUMBER(B323),B323^2,"")</x:f>
        <x:v>0.00006516792222074214</x:v>
      </x:c>
      <x:c r="I323" s="7" t="n">
        <x:f>IF(AND(ISNUMBER(G323),'요약'!$B$19),G323-'요약'!$B$14,"")</x:f>
        <x:v>0.00005914849761887685</x:v>
      </x:c>
      <x:c r="J323" s="7" t="n">
        <x:f>IF(AND(ISNUMBER(H323),'요약'!$B$19),H323-'요약'!$B$15,"")</x:f>
        <x:v>-0.00003704177696534997</x:v>
      </x:c>
      <x:c r="K323" t="n">
        <x:f>IF(ISNUMBER(B323),IF('Hill'!$B$4=1,IF(B323&lt;0,-B323,""),IF('Hill'!$B$4=2,IF(B323&gt;0,B323,""),IF('Hill'!$B$4=3,IF(B323&lt;&gt;0,ABS(B323),""),""))),"")</x:f>
        <x:v>0.008072665125021732</x:v>
      </x:c>
    </x:row>
    <x:row r="324">
      <x:c r="A324" t="n">
        <x:f>323</x:f>
        <x:v>323</x:v>
      </x:c>
      <x:c r="B324" s="7" t="n">
        <x:f>IF('요약'!$B$4=4,IF(ISNUMBER('input'!A324),'input'!A324,""),IF(323&lt;=1000,CHOOSE('요약'!$B$4,'input'!B324,'input'!C324,'input'!D324),""))</x:f>
        <x:v>0.02054539483227573</x:v>
      </x:c>
      <x:c r="C324" s="7" t="n">
        <x:f>IF(AND(ISNUMBER(B324),'요약'!$B$19),B324-'요약'!$B$7,"")</x:f>
        <x:v>0.02059363415932523</x:v>
      </x:c>
      <x:c r="D324" s="7" t="n">
        <x:f>IF(ISNUMBER(C324),C324^2,"")</x:f>
        <x:v>0.00042409776788812696</x:v>
      </x:c>
      <x:c r="E324" s="15" t="n">
        <x:f>IF(ISNUMBER(C324),C324^3,"")</x:f>
        <x:v>0.000008733714279674513</x:v>
      </x:c>
      <x:c r="F324" s="15" t="n">
        <x:f>IF(ISNUMBER(C324),C324^4,"")</x:f>
        <x:v>1.798589167276916e-7</x:v>
      </x:c>
      <x:c r="G324" s="7" t="n">
        <x:f>IF(ISNUMBER(B324),ABS(B324),"")</x:f>
        <x:v>0.02054539483227573</x:v>
      </x:c>
      <x:c r="H324" s="7" t="n">
        <x:f>IF(ISNUMBER(B324),B324^2,"")</x:f>
        <x:v>0.00042211324881410224</x:v>
      </x:c>
      <x:c r="I324" s="7" t="n">
        <x:f>IF(AND(ISNUMBER(G324),'요약'!$B$19),G324-'요약'!$B$14,"")</x:f>
        <x:v>0.012531878204872874</x:v>
      </x:c>
      <x:c r="J324" s="7" t="n">
        <x:f>IF(AND(ISNUMBER(H324),'요약'!$B$19),H324-'요약'!$B$15,"")</x:f>
        <x:v>0.00031990354962801017</x:v>
      </x:c>
      <x:c r="K324" t="str">
        <x:f>IF(ISNUMBER(B324),IF('Hill'!$B$4=1,IF(B324&lt;0,-B324,""),IF('Hill'!$B$4=2,IF(B324&gt;0,B324,""),IF('Hill'!$B$4=3,IF(B324&lt;&gt;0,ABS(B324),""),""))),"")</x:f>
      </x:c>
    </x:row>
    <x:row r="325">
      <x:c r="A325" t="n">
        <x:f>324</x:f>
        <x:v>324</x:v>
      </x:c>
      <x:c r="B325" s="7" t="n">
        <x:f>IF('요약'!$B$4=4,IF(ISNUMBER('input'!A325),'input'!A325,""),IF(324&lt;=1000,CHOOSE('요약'!$B$4,'input'!B325,'input'!C325,'input'!D325),""))</x:f>
        <x:v>-0.012848510328746723</x:v>
      </x:c>
      <x:c r="C325" s="7" t="n">
        <x:f>IF(AND(ISNUMBER(B325),'요약'!$B$19),B325-'요약'!$B$7,"")</x:f>
        <x:v>-0.012800271001697222</x:v>
      </x:c>
      <x:c r="D325" s="7" t="n">
        <x:f>IF(ISNUMBER(C325),C325^2,"")</x:f>
        <x:v>0.0001638469377168908</x:v>
      </x:c>
      <x:c r="E325" s="15" t="n">
        <x:f>IF(ISNUMBER(C325),C325^3,"")</x:f>
        <x:v>-0.0000020972852055744084</x:v>
      </x:c>
      <x:c r="F325" s="15" t="n">
        <x:f>IF(ISNUMBER(C325),C325^4,"")</x:f>
        <x:v>2.6845818999202697e-8</x:v>
      </x:c>
      <x:c r="G325" s="7" t="n">
        <x:f>IF(ISNUMBER(B325),ABS(B325),"")</x:f>
        <x:v>0.012848510328746723</x:v>
      </x:c>
      <x:c r="H325" s="7" t="n">
        <x:f>IF(ISNUMBER(B325),B325^2,"")</x:f>
        <x:v>0.00016508421766791122</x:v>
      </x:c>
      <x:c r="I325" s="7" t="n">
        <x:f>IF(AND(ISNUMBER(G325),'요약'!$B$19),G325-'요약'!$B$14,"")</x:f>
        <x:v>0.004834993701343868</x:v>
      </x:c>
      <x:c r="J325" s="7" t="n">
        <x:f>IF(AND(ISNUMBER(H325),'요약'!$B$19),H325-'요약'!$B$15,"")</x:f>
        <x:v>0.00006287451848181912</x:v>
      </x:c>
      <x:c r="K325" t="n">
        <x:f>IF(ISNUMBER(B325),IF('Hill'!$B$4=1,IF(B325&lt;0,-B325,""),IF('Hill'!$B$4=2,IF(B325&gt;0,B325,""),IF('Hill'!$B$4=3,IF(B325&lt;&gt;0,ABS(B325),""),""))),"")</x:f>
        <x:v>0.012848510328746723</x:v>
      </x:c>
    </x:row>
    <x:row r="326">
      <x:c r="A326" t="n">
        <x:f>325</x:f>
        <x:v>325</x:v>
      </x:c>
      <x:c r="B326" s="7" t="n">
        <x:f>IF('요약'!$B$4=4,IF(ISNUMBER('input'!A326),'input'!A326,""),IF(325&lt;=1000,CHOOSE('요약'!$B$4,'input'!B326,'input'!C326,'input'!D326),""))</x:f>
        <x:v>0.02643177836056207</x:v>
      </x:c>
      <x:c r="C326" s="7" t="n">
        <x:f>IF(AND(ISNUMBER(B326),'요약'!$B$19),B326-'요약'!$B$7,"")</x:f>
        <x:v>0.02648001768761157</x:v>
      </x:c>
      <x:c r="D326" s="7" t="n">
        <x:f>IF(ISNUMBER(C326),C326^2,"")</x:f>
        <x:v>0.0007011913367362216</x:v>
      </x:c>
      <x:c r="E326" s="15" t="n">
        <x:f>IF(ISNUMBER(C326),C326^3,"")</x:f>
        <x:v>0.00001856755899917515</x:v>
      </x:c>
      <x:c r="F326" s="15" t="n">
        <x:f>IF(ISNUMBER(C326),C326^4,"")</x:f>
        <x:v>4.916692907139293e-7</x:v>
      </x:c>
      <x:c r="G326" s="7" t="n">
        <x:f>IF(ISNUMBER(B326),ABS(B326),"")</x:f>
        <x:v>0.02643177836056207</x:v>
      </x:c>
      <x:c r="H326" s="7" t="n">
        <x:f>IF(ISNUMBER(B326),B326^2,"")</x:f>
        <x:v>0.0006986389073018773</x:v>
      </x:c>
      <x:c r="I326" s="7" t="n">
        <x:f>IF(AND(ISNUMBER(G326),'요약'!$B$19),G326-'요약'!$B$14,"")</x:f>
        <x:v>0.018418261733159212</x:v>
      </x:c>
      <x:c r="J326" s="7" t="n">
        <x:f>IF(AND(ISNUMBER(H326),'요약'!$B$19),H326-'요약'!$B$15,"")</x:f>
        <x:v>0.0005964292081157852</x:v>
      </x:c>
      <x:c r="K326" t="str">
        <x:f>IF(ISNUMBER(B326),IF('Hill'!$B$4=1,IF(B326&lt;0,-B326,""),IF('Hill'!$B$4=2,IF(B326&gt;0,B326,""),IF('Hill'!$B$4=3,IF(B326&lt;&gt;0,ABS(B326),""),""))),"")</x:f>
      </x:c>
    </x:row>
    <x:row r="327">
      <x:c r="A327" t="n">
        <x:f>326</x:f>
        <x:v>326</x:v>
      </x:c>
      <x:c r="B327" s="7" t="n">
        <x:f>IF('요약'!$B$4=4,IF(ISNUMBER('input'!A327),'input'!A327,""),IF(326&lt;=1000,CHOOSE('요약'!$B$4,'input'!B327,'input'!C327,'input'!D327),""))</x:f>
        <x:v>0.001537332640849254</x:v>
      </x:c>
      <x:c r="C327" s="7" t="n">
        <x:f>IF(AND(ISNUMBER(B327),'요약'!$B$19),B327-'요약'!$B$7,"")</x:f>
        <x:v>0.0015855719678987555</x:v>
      </x:c>
      <x:c r="D327" s="7" t="n">
        <x:f>IF(ISNUMBER(C327),C327^2,"")</x:f>
        <x:v>0.0000025140384653863322</x:v>
      </x:c>
      <x:c r="E327" s="15" t="n">
        <x:f>IF(ISNUMBER(C327),C327^3,"")</x:f>
        <x:v>3.986188916935774e-9</x:v>
      </x:c>
      <x:c r="F327" s="15" t="n">
        <x:f>IF(ISNUMBER(C327),C327^4,"")</x:f>
        <x:v>6.320389405442065e-12</x:v>
      </x:c>
      <x:c r="G327" s="7" t="n">
        <x:f>IF(ISNUMBER(B327),ABS(B327),"")</x:f>
        <x:v>0.001537332640849254</x:v>
      </x:c>
      <x:c r="H327" s="7" t="n">
        <x:f>IF(ISNUMBER(B327),B327^2,"")</x:f>
        <x:v>0.0000023633916486205417</x:v>
      </x:c>
      <x:c r="I327" s="7" t="n">
        <x:f>IF(AND(ISNUMBER(G327),'요약'!$B$19),G327-'요약'!$B$14,"")</x:f>
        <x:v>-0.006476183986553601</x:v>
      </x:c>
      <x:c r="J327" s="7" t="n">
        <x:f>IF(AND(ISNUMBER(H327),'요약'!$B$19),H327-'요약'!$B$15,"")</x:f>
        <x:v>-0.00009984630753747157</x:v>
      </x:c>
      <x:c r="K327" t="str">
        <x:f>IF(ISNUMBER(B327),IF('Hill'!$B$4=1,IF(B327&lt;0,-B327,""),IF('Hill'!$B$4=2,IF(B327&gt;0,B327,""),IF('Hill'!$B$4=3,IF(B327&lt;&gt;0,ABS(B327),""),""))),"")</x:f>
      </x:c>
    </x:row>
    <x:row r="328">
      <x:c r="A328" t="n">
        <x:f>327</x:f>
        <x:v>327</x:v>
      </x:c>
      <x:c r="B328" s="7" t="n">
        <x:f>IF('요약'!$B$4=4,IF(ISNUMBER('input'!A328),'input'!A328,""),IF(327&lt;=1000,CHOOSE('요약'!$B$4,'input'!B328,'input'!C328,'input'!D328),""))</x:f>
        <x:v>0.0013019793094953098</x:v>
      </x:c>
      <x:c r="C328" s="7" t="n">
        <x:f>IF(AND(ISNUMBER(B328),'요약'!$B$19),B328-'요약'!$B$7,"")</x:f>
        <x:v>0.0013502186365448113</x:v>
      </x:c>
      <x:c r="D328" s="7" t="n">
        <x:f>IF(ISNUMBER(C328),C328^2,"")</x:f>
        <x:v>0.0000018230903664729292</x:v>
      </x:c>
      <x:c r="E328" s="15" t="n">
        <x:f>IF(ISNUMBER(C328),C328^3,"")</x:f>
        <x:v>2.4615705889170586e-9</x:v>
      </x:c>
      <x:c r="F328" s="15" t="n">
        <x:f>IF(ISNUMBER(C328),C328^4,"")</x:f>
        <x:v>3.323658484326399e-12</x:v>
      </x:c>
      <x:c r="G328" s="7" t="n">
        <x:f>IF(ISNUMBER(B328),ABS(B328),"")</x:f>
        <x:v>0.0013019793094953098</x:v>
      </x:c>
      <x:c r="H328" s="7" t="n">
        <x:f>IF(ISNUMBER(B328),B328^2,"")</x:f>
        <x:v>0.0000016951501223538836</x:v>
      </x:c>
      <x:c r="I328" s="7" t="n">
        <x:f>IF(AND(ISNUMBER(G328),'요약'!$B$19),G328-'요약'!$B$14,"")</x:f>
        <x:v>-0.006711537317907546</x:v>
      </x:c>
      <x:c r="J328" s="7" t="n">
        <x:f>IF(AND(ISNUMBER(H328),'요약'!$B$19),H328-'요약'!$B$15,"")</x:f>
        <x:v>-0.00010051454906373822</x:v>
      </x:c>
      <x:c r="K328" t="str">
        <x:f>IF(ISNUMBER(B328),IF('Hill'!$B$4=1,IF(B328&lt;0,-B328,""),IF('Hill'!$B$4=2,IF(B328&gt;0,B328,""),IF('Hill'!$B$4=3,IF(B328&lt;&gt;0,ABS(B328),""),""))),"")</x:f>
      </x:c>
    </x:row>
    <x:row r="329">
      <x:c r="A329" t="n">
        <x:f>328</x:f>
        <x:v>328</x:v>
      </x:c>
      <x:c r="B329" s="7" t="n">
        <x:f>IF('요약'!$B$4=4,IF(ISNUMBER('input'!A329),'input'!A329,""),IF(328&lt;=1000,CHOOSE('요약'!$B$4,'input'!B329,'input'!C329,'input'!D329),""))</x:f>
        <x:v>-0.016814233828450844</x:v>
      </x:c>
      <x:c r="C329" s="7" t="n">
        <x:f>IF(AND(ISNUMBER(B329),'요약'!$B$19),B329-'요약'!$B$7,"")</x:f>
        <x:v>-0.016765994501401343</x:v>
      </x:c>
      <x:c r="D329" s="7" t="n">
        <x:f>IF(ISNUMBER(C329),C329^2,"")</x:f>
        <x:v>0.0002810985716210201</x:v>
      </x:c>
      <x:c r="E329" s="15" t="n">
        <x:f>IF(ISNUMBER(C329),C329^3,"")</x:f>
        <x:v>-0.000004712897106149794</x:v>
      </x:c>
      <x:c r="F329" s="15" t="n">
        <x:f>IF(ISNUMBER(C329),C329^4,"")</x:f>
        <x:v>7.901640696737776e-8</x:v>
      </x:c>
      <x:c r="G329" s="7" t="n">
        <x:f>IF(ISNUMBER(B329),ABS(B329),"")</x:f>
        <x:v>0.016814233828450844</x:v>
      </x:c>
      <x:c r="H329" s="7" t="n">
        <x:f>IF(ISNUMBER(B329),B329^2,"")</x:f>
        <x:v>0.00028271845923782073</x:v>
      </x:c>
      <x:c r="I329" s="7" t="n">
        <x:f>IF(AND(ISNUMBER(G329),'요약'!$B$19),G329-'요약'!$B$14,"")</x:f>
        <x:v>0.008800717201047989</x:v>
      </x:c>
      <x:c r="J329" s="7" t="n">
        <x:f>IF(AND(ISNUMBER(H329),'요약'!$B$19),H329-'요약'!$B$15,"")</x:f>
        <x:v>0.00018050876005172863</x:v>
      </x:c>
      <x:c r="K329" t="n">
        <x:f>IF(ISNUMBER(B329),IF('Hill'!$B$4=1,IF(B329&lt;0,-B329,""),IF('Hill'!$B$4=2,IF(B329&gt;0,B329,""),IF('Hill'!$B$4=3,IF(B329&lt;&gt;0,ABS(B329),""),""))),"")</x:f>
        <x:v>0.016814233828450844</x:v>
      </x:c>
    </x:row>
    <x:row r="330">
      <x:c r="A330" t="n">
        <x:f>329</x:f>
        <x:v>329</x:v>
      </x:c>
      <x:c r="B330" s="7" t="n">
        <x:f>IF('요약'!$B$4=4,IF(ISNUMBER('input'!A330),'input'!A330,""),IF(329&lt;=1000,CHOOSE('요약'!$B$4,'input'!B330,'input'!C330,'input'!D330),""))</x:f>
        <x:v>-0.005764510812255913</x:v>
      </x:c>
      <x:c r="C330" s="7" t="n">
        <x:f>IF(AND(ISNUMBER(B330),'요약'!$B$19),B330-'요약'!$B$7,"")</x:f>
        <x:v>-0.005716271485206412</x:v>
      </x:c>
      <x:c r="D330" s="7" t="n">
        <x:f>IF(ISNUMBER(C330),C330^2,"")</x:f>
        <x:v>0.000032675759692583914</x:v>
      </x:c>
      <x:c r="E330" s="15" t="n">
        <x:f>IF(ISNUMBER(C330),C330^3,"")</x:f>
        <x:v>-1.8678351338817447e-7</x:v>
      </x:c>
      <x:c r="F330" s="15" t="n">
        <x:f>IF(ISNUMBER(C330),C330^4,"")</x:f>
        <x:v>1.0677052714874916e-9</x:v>
      </x:c>
      <x:c r="G330" s="7" t="n">
        <x:f>IF(ISNUMBER(B330),ABS(B330),"")</x:f>
        <x:v>0.005764510812255913</x:v>
      </x:c>
      <x:c r="H330" s="7" t="n">
        <x:f>IF(ISNUMBER(B330),B330^2,"")</x:f>
        <x:v>0.000033229584904615325</x:v>
      </x:c>
      <x:c r="I330" s="7" t="n">
        <x:f>IF(AND(ISNUMBER(G330),'요약'!$B$19),G330-'요약'!$B$14,"")</x:f>
        <x:v>-0.0022490058151469422</x:v>
      </x:c>
      <x:c r="J330" s="7" t="n">
        <x:f>IF(AND(ISNUMBER(H330),'요약'!$B$19),H330-'요약'!$B$15,"")</x:f>
        <x:v>-0.00006898011428147679</x:v>
      </x:c>
      <x:c r="K330" t="n">
        <x:f>IF(ISNUMBER(B330),IF('Hill'!$B$4=1,IF(B330&lt;0,-B330,""),IF('Hill'!$B$4=2,IF(B330&gt;0,B330,""),IF('Hill'!$B$4=3,IF(B330&lt;&gt;0,ABS(B330),""),""))),"")</x:f>
        <x:v>0.005764510812255913</x:v>
      </x:c>
    </x:row>
    <x:row r="331">
      <x:c r="A331" t="n">
        <x:f>330</x:f>
        <x:v>330</x:v>
      </x:c>
      <x:c r="B331" s="7" t="n">
        <x:f>IF('요약'!$B$4=4,IF(ISNUMBER('input'!A331),'input'!A331,""),IF(330&lt;=1000,CHOOSE('요약'!$B$4,'input'!B331,'input'!C331,'input'!D331),""))</x:f>
        <x:v>0.00607345609057008</x:v>
      </x:c>
      <x:c r="C331" s="7" t="n">
        <x:f>IF(AND(ISNUMBER(B331),'요약'!$B$19),B331-'요약'!$B$7,"")</x:f>
        <x:v>0.006121695417619581</x:v>
      </x:c>
      <x:c r="D331" s="7" t="n">
        <x:f>IF(ISNUMBER(C331),C331^2,"")</x:f>
        <x:v>0.00003747515478610458</x:v>
      </x:c>
      <x:c r="E331" s="15" t="n">
        <x:f>IF(ISNUMBER(C331),C331^3,"")</x:f>
        <x:v>2.294114833286809e-7</x:v>
      </x:c>
      <x:c r="F331" s="15" t="n">
        <x:f>IF(ISNUMBER(C331),C331^4,"")</x:f>
        <x:v>1.404387226242497e-9</x:v>
      </x:c>
      <x:c r="G331" s="7" t="n">
        <x:f>IF(ISNUMBER(B331),ABS(B331),"")</x:f>
        <x:v>0.00607345609057008</x:v>
      </x:c>
      <x:c r="H331" s="7" t="n">
        <x:f>IF(ISNUMBER(B331),B331^2,"")</x:f>
        <x:v>0.0000368868688840828</x:v>
      </x:c>
      <x:c r="I331" s="7" t="n">
        <x:f>IF(AND(ISNUMBER(G331),'요약'!$B$19),G331-'요약'!$B$14,"")</x:f>
        <x:v>-0.0019400605368327757</x:v>
      </x:c>
      <x:c r="J331" s="7" t="n">
        <x:f>IF(AND(ISNUMBER(H331),'요약'!$B$19),H331-'요약'!$B$15,"")</x:f>
        <x:v>-0.00006532283030200931</x:v>
      </x:c>
      <x:c r="K331" t="str">
        <x:f>IF(ISNUMBER(B331),IF('Hill'!$B$4=1,IF(B331&lt;0,-B331,""),IF('Hill'!$B$4=2,IF(B331&gt;0,B331,""),IF('Hill'!$B$4=3,IF(B331&lt;&gt;0,ABS(B331),""),""))),"")</x:f>
      </x:c>
    </x:row>
    <x:row r="332">
      <x:c r="A332" t="n">
        <x:f>331</x:f>
        <x:v>331</x:v>
      </x:c>
      <x:c r="B332" s="7" t="n">
        <x:f>IF('요약'!$B$4=4,IF(ISNUMBER('input'!A332),'input'!A332,""),IF(331&lt;=1000,CHOOSE('요약'!$B$4,'input'!B332,'input'!C332,'input'!D332),""))</x:f>
        <x:v>-0.014572031106112066</x:v>
      </x:c>
      <x:c r="C332" s="7" t="n">
        <x:f>IF(AND(ISNUMBER(B332),'요약'!$B$19),B332-'요약'!$B$7,"")</x:f>
        <x:v>-0.014523791779062566</x:v>
      </x:c>
      <x:c r="D332" s="7" t="n">
        <x:f>IF(ISNUMBER(C332),C332^2,"")</x:f>
        <x:v>0.00021094052764156538</x:v>
      </x:c>
      <x:c r="E332" s="15" t="n">
        <x:f>IF(ISNUMBER(C332),C332^3,"")</x:f>
        <x:v>-0.000003063656301231687</x:v>
      </x:c>
      <x:c r="F332" s="15" t="n">
        <x:f>IF(ISNUMBER(C332),C332^4,"")</x:f>
        <x:v>4.4495906201702004e-8</x:v>
      </x:c>
      <x:c r="G332" s="7" t="n">
        <x:f>IF(ISNUMBER(B332),ABS(B332),"")</x:f>
        <x:v>0.014572031106112066</x:v>
      </x:c>
      <x:c r="H332" s="7" t="n">
        <x:f>IF(ISNUMBER(B332),B332^2,"")</x:f>
        <x:v>0.00021234409055749764</x:v>
      </x:c>
      <x:c r="I332" s="7" t="n">
        <x:f>IF(AND(ISNUMBER(G332),'요약'!$B$19),G332-'요약'!$B$14,"")</x:f>
        <x:v>0.006558514478709211</x:v>
      </x:c>
      <x:c r="J332" s="7" t="n">
        <x:f>IF(AND(ISNUMBER(H332),'요약'!$B$19),H332-'요약'!$B$15,"")</x:f>
        <x:v>0.00011013439137140554</x:v>
      </x:c>
      <x:c r="K332" t="n">
        <x:f>IF(ISNUMBER(B332),IF('Hill'!$B$4=1,IF(B332&lt;0,-B332,""),IF('Hill'!$B$4=2,IF(B332&gt;0,B332,""),IF('Hill'!$B$4=3,IF(B332&lt;&gt;0,ABS(B332),""),""))),"")</x:f>
        <x:v>0.014572031106112066</x:v>
      </x:c>
    </x:row>
    <x:row r="333">
      <x:c r="A333" t="n">
        <x:f>332</x:f>
        <x:v>332</x:v>
      </x:c>
      <x:c r="B333" s="7" t="n">
        <x:f>IF('요약'!$B$4=4,IF(ISNUMBER('input'!A333),'input'!A333,""),IF(332&lt;=1000,CHOOSE('요약'!$B$4,'input'!B333,'input'!C333,'input'!D333),""))</x:f>
        <x:v>-0.00029943779651729353</x:v>
      </x:c>
      <x:c r="C333" s="7" t="n">
        <x:f>IF(AND(ISNUMBER(B333),'요약'!$B$19),B333-'요약'!$B$7,"")</x:f>
        <x:v>-0.00025119846946779217</x:v>
      </x:c>
      <x:c r="D333" s="7" t="n">
        <x:f>IF(ISNUMBER(C333),C333^2,"")</x:f>
        <x:v>6.310067106296131e-8</x:v>
      </x:c>
      <x:c r="E333" s="15" t="n">
        <x:f>IF(ISNUMBER(C333),C333^3,"")</x:f>
        <x:v>-1.5850791993406486e-11</x:v>
      </x:c>
      <x:c r="F333" s="15" t="n">
        <x:f>IF(ISNUMBER(C333),C333^4,"")</x:f>
        <x:v>3.981694688596044e-15</x:v>
      </x:c>
      <x:c r="G333" s="7" t="n">
        <x:f>IF(ISNUMBER(B333),ABS(B333),"")</x:f>
        <x:v>0.00029943779651729353</x:v>
      </x:c>
      <x:c r="H333" s="7" t="n">
        <x:f>IF(ISNUMBER(B333),B333^2,"")</x:f>
        <x:v>8.966299398313208e-8</x:v>
      </x:c>
      <x:c r="I333" s="7" t="n">
        <x:f>IF(AND(ISNUMBER(G333),'요약'!$B$19),G333-'요약'!$B$14,"")</x:f>
        <x:v>-0.007714078830885562</x:v>
      </x:c>
      <x:c r="J333" s="7" t="n">
        <x:f>IF(AND(ISNUMBER(H333),'요약'!$B$19),H333-'요약'!$B$15,"")</x:f>
        <x:v>-0.00010212003619210897</x:v>
      </x:c>
      <x:c r="K333" t="n">
        <x:f>IF(ISNUMBER(B333),IF('Hill'!$B$4=1,IF(B333&lt;0,-B333,""),IF('Hill'!$B$4=2,IF(B333&gt;0,B333,""),IF('Hill'!$B$4=3,IF(B333&lt;&gt;0,ABS(B333),""),""))),"")</x:f>
        <x:v>0.00029943779651729353</x:v>
      </x:c>
    </x:row>
    <x:row r="334">
      <x:c r="A334" t="n">
        <x:f>333</x:f>
        <x:v>333</x:v>
      </x:c>
      <x:c r="B334" s="7" t="n">
        <x:f>IF('요약'!$B$4=4,IF(ISNUMBER('input'!A334),'input'!A334,""),IF(333&lt;=1000,CHOOSE('요약'!$B$4,'input'!B334,'input'!C334,'input'!D334),""))</x:f>
        <x:v>0.01818887277797758</x:v>
      </x:c>
      <x:c r="C334" s="7" t="n">
        <x:f>IF(AND(ISNUMBER(B334),'요약'!$B$19),B334-'요약'!$B$7,"")</x:f>
        <x:v>0.01823711210502708</x:v>
      </x:c>
      <x:c r="D334" s="7" t="n">
        <x:f>IF(ISNUMBER(C334),C334^2,"")</x:f>
        <x:v>0.00033259225793132527</x:v>
      </x:c>
      <x:c r="E334" s="15" t="n">
        <x:f>IF(ISNUMBER(C334),C334^3,"")</x:f>
        <x:v>0.000006065522293157661</x:v>
      </x:c>
      <x:c r="F334" s="15" t="n">
        <x:f>IF(ISNUMBER(C334),C334^4,"")</x:f>
        <x:v>1.106176100358572e-7</x:v>
      </x:c>
      <x:c r="G334" s="7" t="n">
        <x:f>IF(ISNUMBER(B334),ABS(B334),"")</x:f>
        <x:v>0.01818887277797758</x:v>
      </x:c>
      <x:c r="H334" s="7" t="n">
        <x:f>IF(ISNUMBER(B334),B334^2,"")</x:f>
        <x:v>0.0003308350929334539</x:v>
      </x:c>
      <x:c r="I334" s="7" t="n">
        <x:f>IF(AND(ISNUMBER(G334),'요약'!$B$19),G334-'요약'!$B$14,"")</x:f>
        <x:v>0.010175356150574725</x:v>
      </x:c>
      <x:c r="J334" s="7" t="n">
        <x:f>IF(AND(ISNUMBER(H334),'요약'!$B$19),H334-'요약'!$B$15,"")</x:f>
        <x:v>0.00022862539374736177</x:v>
      </x:c>
      <x:c r="K334" t="str">
        <x:f>IF(ISNUMBER(B334),IF('Hill'!$B$4=1,IF(B334&lt;0,-B334,""),IF('Hill'!$B$4=2,IF(B334&gt;0,B334,""),IF('Hill'!$B$4=3,IF(B334&lt;&gt;0,ABS(B334),""),""))),"")</x:f>
      </x:c>
    </x:row>
    <x:row r="335">
      <x:c r="A335" t="n">
        <x:f>334</x:f>
        <x:v>334</x:v>
      </x:c>
      <x:c r="B335" s="7" t="n">
        <x:f>IF('요약'!$B$4=4,IF(ISNUMBER('input'!A335),'input'!A335,""),IF(334&lt;=1000,CHOOSE('요약'!$B$4,'input'!B335,'input'!C335,'input'!D335),""))</x:f>
        <x:v>-0.005098827535173896</x:v>
      </x:c>
      <x:c r="C335" s="7" t="n">
        <x:f>IF(AND(ISNUMBER(B335),'요약'!$B$19),B335-'요약'!$B$7,"")</x:f>
        <x:v>-0.005050588208124394</x:v>
      </x:c>
      <x:c r="D335" s="7" t="n">
        <x:f>IF(ISNUMBER(C335),C335^2,"")</x:f>
        <x:v>0.000025508441248045183</x:v>
      </x:c>
      <x:c r="E335" s="15" t="n">
        <x:f>IF(ISNUMBER(C335),C335^3,"")</x:f>
        <x:v>-1.288326325750109e-7</x:v>
      </x:c>
      <x:c r="F335" s="15" t="n">
        <x:f>IF(ISNUMBER(C335),C335^4,"")</x:f>
        <x:v>6.506805749049728e-10</x:v>
      </x:c>
      <x:c r="G335" s="7" t="n">
        <x:f>IF(ISNUMBER(B335),ABS(B335),"")</x:f>
        <x:v>0.005098827535173896</x:v>
      </x:c>
      <x:c r="H335" s="7" t="n">
        <x:f>IF(ISNUMBER(B335),B335^2,"")</x:f>
        <x:v>0.000025998042233447507</x:v>
      </x:c>
      <x:c r="I335" s="7" t="n">
        <x:f>IF(AND(ISNUMBER(G335),'요약'!$B$19),G335-'요약'!$B$14,"")</x:f>
        <x:v>-0.0029146890922289595</x:v>
      </x:c>
      <x:c r="J335" s="7" t="n">
        <x:f>IF(AND(ISNUMBER(H335),'요약'!$B$19),H335-'요약'!$B$15,"")</x:f>
        <x:v>-0.0000762116569526446</x:v>
      </x:c>
      <x:c r="K335" t="n">
        <x:f>IF(ISNUMBER(B335),IF('Hill'!$B$4=1,IF(B335&lt;0,-B335,""),IF('Hill'!$B$4=2,IF(B335&gt;0,B335,""),IF('Hill'!$B$4=3,IF(B335&lt;&gt;0,ABS(B335),""),""))),"")</x:f>
        <x:v>0.005098827535173896</x:v>
      </x:c>
    </x:row>
    <x:row r="336">
      <x:c r="A336" t="n">
        <x:f>335</x:f>
        <x:v>335</x:v>
      </x:c>
      <x:c r="B336" s="7" t="n">
        <x:f>IF('요약'!$B$4=4,IF(ISNUMBER('input'!A336),'input'!A336,""),IF(335&lt;=1000,CHOOSE('요약'!$B$4,'input'!B336,'input'!C336,'input'!D336),""))</x:f>
        <x:v>0.0009480549779756609</x:v>
      </x:c>
      <x:c r="C336" s="7" t="n">
        <x:f>IF(AND(ISNUMBER(B336),'요약'!$B$19),B336-'요약'!$B$7,"")</x:f>
        <x:v>0.0009962943050251622</x:v>
      </x:c>
      <x:c r="D336" s="7" t="n">
        <x:f>IF(ISNUMBER(C336),C336^2,"")</x:f>
        <x:v>9.92602342225571e-7</x:v>
      </x:c>
      <x:c r="E336" s="15" t="n">
        <x:f>IF(ISNUMBER(C336),C336^3,"")</x:f>
        <x:v>9.889240607139735e-10</x:v>
      </x:c>
      <x:c r="F336" s="15" t="n">
        <x:f>IF(ISNUMBER(C336),C336^4,"")</x:f>
        <x:v>9.852594097916896e-13</x:v>
      </x:c>
      <x:c r="G336" s="7" t="n">
        <x:f>IF(ISNUMBER(B336),ABS(B336),"")</x:f>
        <x:v>0.0009480549779756609</x:v>
      </x:c>
      <x:c r="H336" s="7" t="n">
        <x:f>IF(ISNUMBER(B336),B336^2,"")</x:f>
        <x:v>8.988082412644309e-7</x:v>
      </x:c>
      <x:c r="I336" s="7" t="n">
        <x:f>IF(AND(ISNUMBER(G336),'요약'!$B$19),G336-'요약'!$B$14,"")</x:f>
        <x:v>-0.007065461649427195</x:v>
      </x:c>
      <x:c r="J336" s="7" t="n">
        <x:f>IF(AND(ISNUMBER(H336),'요약'!$B$19),H336-'요약'!$B$15,"")</x:f>
        <x:v>-0.00010131089094482767</x:v>
      </x:c>
      <x:c r="K336" t="str">
        <x:f>IF(ISNUMBER(B336),IF('Hill'!$B$4=1,IF(B336&lt;0,-B336,""),IF('Hill'!$B$4=2,IF(B336&gt;0,B336,""),IF('Hill'!$B$4=3,IF(B336&lt;&gt;0,ABS(B336),""),""))),"")</x:f>
      </x:c>
    </x:row>
    <x:row r="337">
      <x:c r="A337" t="n">
        <x:f>336</x:f>
        <x:v>336</x:v>
      </x:c>
      <x:c r="B337" s="7" t="n">
        <x:f>IF('요약'!$B$4=4,IF(ISNUMBER('input'!A337),'input'!A337,""),IF(336&lt;=1000,CHOOSE('요약'!$B$4,'input'!B337,'input'!C337,'input'!D337),""))</x:f>
        <x:v>-0.008553057330325532</x:v>
      </x:c>
      <x:c r="C337" s="7" t="n">
        <x:f>IF(AND(ISNUMBER(B337),'요약'!$B$19),B337-'요약'!$B$7,"")</x:f>
        <x:v>-0.008504818003276031</x:v>
      </x:c>
      <x:c r="D337" s="7" t="n">
        <x:f>IF(ISNUMBER(C337),C337^2,"")</x:f>
        <x:v>0.0000723319292688481</x:v>
      </x:c>
      <x:c r="E337" s="15" t="n">
        <x:f>IF(ISNUMBER(C337),C337^3,"")</x:f>
        <x:v>-6.151698942573878e-7</x:v>
      </x:c>
      <x:c r="F337" s="15" t="n">
        <x:f>IF(ISNUMBER(C337),C337^4,"")</x:f>
        <x:v>5.231907991753644e-9</x:v>
      </x:c>
      <x:c r="G337" s="7" t="n">
        <x:f>IF(ISNUMBER(B337),ABS(B337),"")</x:f>
        <x:v>0.008553057330325532</x:v>
      </x:c>
      <x:c r="H337" s="7" t="n">
        <x:f>IF(ISNUMBER(B337),B337^2,"")</x:f>
        <x:v>0.00007315478969583532</x:v>
      </x:c>
      <x:c r="I337" s="7" t="n">
        <x:f>IF(AND(ISNUMBER(G337),'요약'!$B$19),G337-'요약'!$B$14,"")</x:f>
        <x:v>0.0005395407029226765</x:v>
      </x:c>
      <x:c r="J337" s="7" t="n">
        <x:f>IF(AND(ISNUMBER(H337),'요약'!$B$19),H337-'요약'!$B$15,"")</x:f>
        <x:v>-0.000029054909490256785</x:v>
      </x:c>
      <x:c r="K337" t="n">
        <x:f>IF(ISNUMBER(B337),IF('Hill'!$B$4=1,IF(B337&lt;0,-B337,""),IF('Hill'!$B$4=2,IF(B337&gt;0,B337,""),IF('Hill'!$B$4=3,IF(B337&lt;&gt;0,ABS(B337),""),""))),"")</x:f>
        <x:v>0.008553057330325532</x:v>
      </x:c>
    </x:row>
    <x:row r="338">
      <x:c r="A338" t="n">
        <x:f>337</x:f>
        <x:v>337</x:v>
      </x:c>
      <x:c r="B338" s="7" t="n">
        <x:f>IF('요약'!$B$4=4,IF(ISNUMBER('input'!A338),'input'!A338,""),IF(337&lt;=1000,CHOOSE('요약'!$B$4,'input'!B338,'input'!C338,'input'!D338),""))</x:f>
        <x:v>0.012190388798373752</x:v>
      </x:c>
      <x:c r="C338" s="7" t="n">
        <x:f>IF(AND(ISNUMBER(B338),'요약'!$B$19),B338-'요약'!$B$7,"")</x:f>
        <x:v>0.012238628125423253</x:v>
      </x:c>
      <x:c r="D338" s="7" t="n">
        <x:f>IF(ISNUMBER(C338),C338^2,"")</x:f>
        <x:v>0.0001497840183924011</x:v>
      </x:c>
      <x:c r="E338" s="15" t="n">
        <x:f>IF(ISNUMBER(C338),C338^3,"")</x:f>
        <x:v>0.0000018331509002361537</x:v>
      </x:c>
      <x:c r="F338" s="15" t="n">
        <x:f>IF(ISNUMBER(C338),C338^4,"")</x:f>
        <x:v>2.2435252165775147e-8</x:v>
      </x:c>
      <x:c r="G338" s="7" t="n">
        <x:f>IF(ISNUMBER(B338),ABS(B338),"")</x:f>
        <x:v>0.012190388798373752</x:v>
      </x:c>
      <x:c r="H338" s="7" t="n">
        <x:f>IF(ISNUMBER(B338),B338^2,"")</x:f>
        <x:v>0.00014860557905551627</x:v>
      </x:c>
      <x:c r="I338" s="7" t="n">
        <x:f>IF(AND(ISNUMBER(G338),'요약'!$B$19),G338-'요약'!$B$14,"")</x:f>
        <x:v>0.004176872170970897</x:v>
      </x:c>
      <x:c r="J338" s="7" t="n">
        <x:f>IF(AND(ISNUMBER(H338),'요약'!$B$19),H338-'요약'!$B$15,"")</x:f>
        <x:v>0.000046395879869424165</x:v>
      </x:c>
      <x:c r="K338" t="str">
        <x:f>IF(ISNUMBER(B338),IF('Hill'!$B$4=1,IF(B338&lt;0,-B338,""),IF('Hill'!$B$4=2,IF(B338&gt;0,B338,""),IF('Hill'!$B$4=3,IF(B338&lt;&gt;0,ABS(B338),""),""))),"")</x:f>
      </x:c>
    </x:row>
    <x:row r="339">
      <x:c r="A339" t="n">
        <x:f>338</x:f>
        <x:v>338</x:v>
      </x:c>
      <x:c r="B339" s="7" t="n">
        <x:f>IF('요약'!$B$4=4,IF(ISNUMBER('input'!A339),'input'!A339,""),IF(338&lt;=1000,CHOOSE('요약'!$B$4,'input'!B339,'input'!C339,'input'!D339),""))</x:f>
        <x:v>-0.006432104934311018</x:v>
      </x:c>
      <x:c r="C339" s="7" t="n">
        <x:f>IF(AND(ISNUMBER(B339),'요약'!$B$19),B339-'요약'!$B$7,"")</x:f>
        <x:v>-0.006383865607261517</x:v>
      </x:c>
      <x:c r="D339" s="7" t="n">
        <x:f>IF(ISNUMBER(C339),C339^2,"")</x:f>
        <x:v>0.00004075374009157646</x:v>
      </x:c>
      <x:c r="E339" s="15" t="n">
        <x:f>IF(ISNUMBER(C339),C339^3,"")</x:f>
        <x:v>-2.601663997378898e-7</x:v>
      </x:c>
      <x:c r="F339" s="15" t="n">
        <x:f>IF(ISNUMBER(C339),C339^4,"")</x:f>
        <x:v>1.6608673314517663e-9</x:v>
      </x:c>
      <x:c r="G339" s="7" t="n">
        <x:f>IF(ISNUMBER(B339),ABS(B339),"")</x:f>
        <x:v>0.006432104934311018</x:v>
      </x:c>
      <x:c r="H339" s="7" t="n">
        <x:f>IF(ISNUMBER(B339),B339^2,"")</x:f>
        <x:v>0.00004137197388598815</x:v>
      </x:c>
      <x:c r="I339" s="7" t="n">
        <x:f>IF(AND(ISNUMBER(G339),'요약'!$B$19),G339-'요약'!$B$14,"")</x:f>
        <x:v>-0.001581411693091837</x:v>
      </x:c>
      <x:c r="J339" s="7" t="n">
        <x:f>IF(AND(ISNUMBER(H339),'요약'!$B$19),H339-'요약'!$B$15,"")</x:f>
        <x:v>-0.00006083772530010395</x:v>
      </x:c>
      <x:c r="K339" t="n">
        <x:f>IF(ISNUMBER(B339),IF('Hill'!$B$4=1,IF(B339&lt;0,-B339,""),IF('Hill'!$B$4=2,IF(B339&gt;0,B339,""),IF('Hill'!$B$4=3,IF(B339&lt;&gt;0,ABS(B339),""),""))),"")</x:f>
        <x:v>0.006432104934311018</x:v>
      </x:c>
    </x:row>
    <x:row r="340">
      <x:c r="A340" t="n">
        <x:f>339</x:f>
        <x:v>339</x:v>
      </x:c>
      <x:c r="B340" s="7" t="n">
        <x:f>IF('요약'!$B$4=4,IF(ISNUMBER('input'!A340),'input'!A340,""),IF(339&lt;=1000,CHOOSE('요약'!$B$4,'input'!B340,'input'!C340,'input'!D340),""))</x:f>
        <x:v>-0.002495614018162474</x:v>
      </x:c>
      <x:c r="C340" s="7" t="n">
        <x:f>IF(AND(ISNUMBER(B340),'요약'!$B$19),B340-'요약'!$B$7,"")</x:f>
        <x:v>-0.0024473746911129724</x:v>
      </x:c>
      <x:c r="D340" s="7" t="n">
        <x:f>IF(ISNUMBER(C340),C340^2,"")</x:f>
        <x:v>0.000005989642878700317</x:v>
      </x:c>
      <x:c r="E340" s="15" t="n">
        <x:f>IF(ISNUMBER(C340),C340^3,"")</x:f>
        <x:v>-1.4658900390136203e-8</x:v>
      </x:c>
      <x:c r="F340" s="15" t="n">
        <x:f>IF(ISNUMBER(C340),C340^4,"")</x:f>
        <x:v>3.587582181436542e-11</x:v>
      </x:c>
      <x:c r="G340" s="7" t="n">
        <x:f>IF(ISNUMBER(B340),ABS(B340),"")</x:f>
        <x:v>0.002495614018162474</x:v>
      </x:c>
      <x:c r="H340" s="7" t="n">
        <x:f>IF(ISNUMBER(B340),B340^2,"")</x:f>
        <x:v>0.000006228089327649049</x:v>
      </x:c>
      <x:c r="I340" s="7" t="n">
        <x:f>IF(AND(ISNUMBER(G340),'요약'!$B$19),G340-'요약'!$B$14,"")</x:f>
        <x:v>-0.005517902609240382</x:v>
      </x:c>
      <x:c r="J340" s="7" t="n">
        <x:f>IF(AND(ISNUMBER(H340),'요약'!$B$19),H340-'요약'!$B$15,"")</x:f>
        <x:v>-0.00009598160985844306</x:v>
      </x:c>
      <x:c r="K340" t="n">
        <x:f>IF(ISNUMBER(B340),IF('Hill'!$B$4=1,IF(B340&lt;0,-B340,""),IF('Hill'!$B$4=2,IF(B340&gt;0,B340,""),IF('Hill'!$B$4=3,IF(B340&lt;&gt;0,ABS(B340),""),""))),"")</x:f>
        <x:v>0.002495614018162474</x:v>
      </x:c>
    </x:row>
    <x:row r="341">
      <x:c r="A341" t="n">
        <x:f>340</x:f>
        <x:v>340</x:v>
      </x:c>
      <x:c r="B341" s="7" t="n">
        <x:f>IF('요약'!$B$4=4,IF(ISNUMBER('input'!A341),'input'!A341,""),IF(340&lt;=1000,CHOOSE('요약'!$B$4,'input'!B341,'input'!C341,'input'!D341),""))</x:f>
        <x:v>0.0032777650045310238</x:v>
      </x:c>
      <x:c r="C341" s="7" t="n">
        <x:f>IF(AND(ISNUMBER(B341),'요약'!$B$19),B341-'요약'!$B$7,"")</x:f>
        <x:v>0.003326004331580525</x:v>
      </x:c>
      <x:c r="D341" s="7" t="n">
        <x:f>IF(ISNUMBER(C341),C341^2,"")</x:f>
        <x:v>0.000011062304813692416</x:v>
      </x:c>
      <x:c r="E341" s="15" t="n">
        <x:f>IF(ISNUMBER(C341),C341^3,"")</x:f>
        <x:v>3.679327372760507e-8</x:v>
      </x:c>
      <x:c r="F341" s="15" t="n">
        <x:f>IF(ISNUMBER(C341),C341^4,"")</x:f>
        <x:v>1.2237458779104241e-10</x:v>
      </x:c>
      <x:c r="G341" s="7" t="n">
        <x:f>IF(ISNUMBER(B341),ABS(B341),"")</x:f>
        <x:v>0.0032777650045310238</x:v>
      </x:c>
      <x:c r="H341" s="7" t="n">
        <x:f>IF(ISNUMBER(B341),B341^2,"")</x:f>
        <x:v>0.000010743743424928262</x:v>
      </x:c>
      <x:c r="I341" s="7" t="n">
        <x:f>IF(AND(ISNUMBER(G341),'요약'!$B$19),G341-'요약'!$B$14,"")</x:f>
        <x:v>-0.004735751622871832</x:v>
      </x:c>
      <x:c r="J341" s="7" t="n">
        <x:f>IF(AND(ISNUMBER(H341),'요약'!$B$19),H341-'요약'!$B$15,"")</x:f>
        <x:v>-0.00009146595576116384</x:v>
      </x:c>
      <x:c r="K341" t="str">
        <x:f>IF(ISNUMBER(B341),IF('Hill'!$B$4=1,IF(B341&lt;0,-B341,""),IF('Hill'!$B$4=2,IF(B341&gt;0,B341,""),IF('Hill'!$B$4=3,IF(B341&lt;&gt;0,ABS(B341),""),""))),"")</x:f>
      </x:c>
    </x:row>
    <x:row r="342">
      <x:c r="A342" t="n">
        <x:f>341</x:f>
        <x:v>341</x:v>
      </x:c>
      <x:c r="B342" s="7" t="n">
        <x:f>IF('요약'!$B$4=4,IF(ISNUMBER('input'!A342),'input'!A342,""),IF(341&lt;=1000,CHOOSE('요약'!$B$4,'input'!B342,'input'!C342,'input'!D342),""))</x:f>
        <x:v>0.014502188406121089</x:v>
      </x:c>
      <x:c r="C342" s="7" t="n">
        <x:f>IF(AND(ISNUMBER(B342),'요약'!$B$19),B342-'요약'!$B$7,"")</x:f>
        <x:v>0.01455042773317059</x:v>
      </x:c>
      <x:c r="D342" s="7" t="n">
        <x:f>IF(ISNUMBER(C342),C342^2,"")</x:f>
        <x:v>0.00021171494721821982</x:v>
      </x:c>
      <x:c r="E342" s="15" t="n">
        <x:f>IF(ISNUMBER(C342),C342^3,"")</x:f>
        <x:v>0.0000030805430395307334</x:v>
      </x:c>
      <x:c r="F342" s="15" t="n">
        <x:f>IF(ISNUMBER(C342),C342^4,"")</x:f>
        <x:v>4.4823218875613606e-8</x:v>
      </x:c>
      <x:c r="G342" s="7" t="n">
        <x:f>IF(ISNUMBER(B342),ABS(B342),"")</x:f>
        <x:v>0.014502188406121089</x:v>
      </x:c>
      <x:c r="H342" s="7" t="n">
        <x:f>IF(ISNUMBER(B342),B342^2,"")</x:f>
        <x:v>0.00021031346856663293</x:v>
      </x:c>
      <x:c r="I342" s="7" t="n">
        <x:f>IF(AND(ISNUMBER(G342),'요약'!$B$19),G342-'요약'!$B$14,"")</x:f>
        <x:v>0.006488671778718234</x:v>
      </x:c>
      <x:c r="J342" s="7" t="n">
        <x:f>IF(AND(ISNUMBER(H342),'요약'!$B$19),H342-'요약'!$B$15,"")</x:f>
        <x:v>0.00010810376938054082</x:v>
      </x:c>
      <x:c r="K342" t="str">
        <x:f>IF(ISNUMBER(B342),IF('Hill'!$B$4=1,IF(B342&lt;0,-B342,""),IF('Hill'!$B$4=2,IF(B342&gt;0,B342,""),IF('Hill'!$B$4=3,IF(B342&lt;&gt;0,ABS(B342),""),""))),"")</x:f>
      </x:c>
    </x:row>
    <x:row r="343">
      <x:c r="A343" t="n">
        <x:f>342</x:f>
        <x:v>342</x:v>
      </x:c>
      <x:c r="B343" s="7" t="n">
        <x:f>IF('요약'!$B$4=4,IF(ISNUMBER('input'!A343),'input'!A343,""),IF(342&lt;=1000,CHOOSE('요약'!$B$4,'input'!B343,'input'!C343,'input'!D343),""))</x:f>
        <x:v>0.0042757451381133585</x:v>
      </x:c>
      <x:c r="C343" s="7" t="n">
        <x:f>IF(AND(ISNUMBER(B343),'요약'!$B$19),B343-'요약'!$B$7,"")</x:f>
        <x:v>0.00432398446516286</x:v>
      </x:c>
      <x:c r="D343" s="7" t="n">
        <x:f>IF(ISNUMBER(C343),C343^2,"")</x:f>
        <x:v>0.000018696841654969743</x:v>
      </x:c>
      <x:c r="E343" s="15" t="n">
        <x:f>IF(ISNUMBER(C343),C343^3,"")</x:f>
        <x:v>8.084485286369903e-8</x:v>
      </x:c>
      <x:c r="F343" s="15" t="n">
        <x:f>IF(ISNUMBER(C343),C343^4,"")</x:f>
        <x:v>3.4957188787101175e-10</x:v>
      </x:c>
      <x:c r="G343" s="7" t="n">
        <x:f>IF(ISNUMBER(B343),ABS(B343),"")</x:f>
        <x:v>0.0042757451381133585</x:v>
      </x:c>
      <x:c r="H343" s="7" t="n">
        <x:f>IF(ISNUMBER(B343),B343^2,"")</x:f>
        <x:v>0.000018281996486100023</x:v>
      </x:c>
      <x:c r="I343" s="7" t="n">
        <x:f>IF(AND(ISNUMBER(G343),'요약'!$B$19),G343-'요약'!$B$14,"")</x:f>
        <x:v>-0.003737771489289497</x:v>
      </x:c>
      <x:c r="J343" s="7" t="n">
        <x:f>IF(AND(ISNUMBER(H343),'요약'!$B$19),H343-'요약'!$B$15,"")</x:f>
        <x:v>-0.00008392770269999208</x:v>
      </x:c>
      <x:c r="K343" t="str">
        <x:f>IF(ISNUMBER(B343),IF('Hill'!$B$4=1,IF(B343&lt;0,-B343,""),IF('Hill'!$B$4=2,IF(B343&gt;0,B343,""),IF('Hill'!$B$4=3,IF(B343&lt;&gt;0,ABS(B343),""),""))),"")</x:f>
      </x:c>
    </x:row>
    <x:row r="344">
      <x:c r="A344" t="n">
        <x:f>343</x:f>
        <x:v>343</x:v>
      </x:c>
      <x:c r="B344" s="7" t="n">
        <x:f>IF('요약'!$B$4=4,IF(ISNUMBER('input'!A344),'input'!A344,""),IF(343&lt;=1000,CHOOSE('요약'!$B$4,'input'!B344,'input'!C344,'input'!D344),""))</x:f>
        <x:v>-0.004468691293201363</x:v>
      </x:c>
      <x:c r="C344" s="7" t="n">
        <x:f>IF(AND(ISNUMBER(B344),'요약'!$B$19),B344-'요약'!$B$7,"")</x:f>
        <x:v>-0.004420451966151861</x:v>
      </x:c>
      <x:c r="D344" s="7" t="n">
        <x:f>IF(ISNUMBER(C344),C344^2,"")</x:f>
        <x:v>0.000019540395585055858</x:v>
      </x:c>
      <x:c r="E344" s="15" t="n">
        <x:f>IF(ISNUMBER(C344),C344^3,"")</x:f>
        <x:v>-8.637738008334531e-8</x:v>
      </x:c>
      <x:c r="F344" s="15" t="n">
        <x:f>IF(ISNUMBER(C344),C344^4,"")</x:f>
        <x:v>3.818270596204704e-10</x:v>
      </x:c>
      <x:c r="G344" s="7" t="n">
        <x:f>IF(ISNUMBER(B344),ABS(B344),"")</x:f>
        <x:v>0.004468691293201363</x:v>
      </x:c>
      <x:c r="H344" s="7" t="n">
        <x:f>IF(ISNUMBER(B344),B344^2,"")</x:f>
        <x:v>0.000019969201873933668</x:v>
      </x:c>
      <x:c r="I344" s="7" t="n">
        <x:f>IF(AND(ISNUMBER(G344),'요약'!$B$19),G344-'요약'!$B$14,"")</x:f>
        <x:v>-0.0035448253342014926</x:v>
      </x:c>
      <x:c r="J344" s="7" t="n">
        <x:f>IF(AND(ISNUMBER(H344),'요약'!$B$19),H344-'요약'!$B$15,"")</x:f>
        <x:v>-0.00008224049731215844</x:v>
      </x:c>
      <x:c r="K344" t="n">
        <x:f>IF(ISNUMBER(B344),IF('Hill'!$B$4=1,IF(B344&lt;0,-B344,""),IF('Hill'!$B$4=2,IF(B344&gt;0,B344,""),IF('Hill'!$B$4=3,IF(B344&lt;&gt;0,ABS(B344),""),""))),"")</x:f>
        <x:v>0.004468691293201363</x:v>
      </x:c>
    </x:row>
    <x:row r="345">
      <x:c r="A345" t="n">
        <x:f>344</x:f>
        <x:v>344</x:v>
      </x:c>
      <x:c r="B345" s="7" t="n">
        <x:f>IF('요약'!$B$4=4,IF(ISNUMBER('input'!A345),'input'!A345,""),IF(344&lt;=1000,CHOOSE('요약'!$B$4,'input'!B345,'input'!C345,'input'!D345),""))</x:f>
        <x:v>-0.0006953210984156936</x:v>
      </x:c>
      <x:c r="C345" s="7" t="n">
        <x:f>IF(AND(ISNUMBER(B345),'요약'!$B$19),B345-'요약'!$B$7,"")</x:f>
        <x:v>-0.0006470817713661923</x:v>
      </x:c>
      <x:c r="D345" s="7" t="n">
        <x:f>IF(ISNUMBER(C345),C345^2,"")</x:f>
        <x:v>4.187148188344091e-7</x:v>
      </x:c>
      <x:c r="E345" s="15" t="n">
        <x:f>IF(ISNUMBER(C345),C345^3,"")</x:f>
        <x:v>-2.7094272666864373e-10</x:v>
      </x:c>
      <x:c r="F345" s="15" t="n">
        <x:f>IF(ISNUMBER(C345),C345^4,"")</x:f>
        <x:v>1.7532209951153203e-13</x:v>
      </x:c>
      <x:c r="G345" s="7" t="n">
        <x:f>IF(ISNUMBER(B345),ABS(B345),"")</x:f>
        <x:v>0.0006953210984156936</x:v>
      </x:c>
      <x:c r="H345" s="7" t="n">
        <x:f>IF(ISNUMBER(B345),B345^2,"")</x:f>
        <x:v>4.834714299020067e-7</x:v>
      </x:c>
      <x:c r="I345" s="7" t="n">
        <x:f>IF(AND(ISNUMBER(G345),'요약'!$B$19),G345-'요약'!$B$14,"")</x:f>
        <x:v>-0.007318195528987162</x:v>
      </x:c>
      <x:c r="J345" s="7" t="n">
        <x:f>IF(AND(ISNUMBER(H345),'요약'!$B$19),H345-'요약'!$B$15,"")</x:f>
        <x:v>-0.0001017262277561901</x:v>
      </x:c>
      <x:c r="K345" t="n">
        <x:f>IF(ISNUMBER(B345),IF('Hill'!$B$4=1,IF(B345&lt;0,-B345,""),IF('Hill'!$B$4=2,IF(B345&gt;0,B345,""),IF('Hill'!$B$4=3,IF(B345&lt;&gt;0,ABS(B345),""),""))),"")</x:f>
        <x:v>0.0006953210984156936</x:v>
      </x:c>
    </x:row>
    <x:row r="346">
      <x:c r="A346" t="n">
        <x:f>345</x:f>
        <x:v>345</x:v>
      </x:c>
      <x:c r="B346" s="7" t="n">
        <x:f>IF('요약'!$B$4=4,IF(ISNUMBER('input'!A346),'input'!A346,""),IF(345&lt;=1000,CHOOSE('요약'!$B$4,'input'!B346,'input'!C346,'input'!D346),""))</x:f>
        <x:v>0.0060432620170476825</x:v>
      </x:c>
      <x:c r="C346" s="7" t="n">
        <x:f>IF(AND(ISNUMBER(B346),'요약'!$B$19),B346-'요약'!$B$7,"")</x:f>
        <x:v>0.006091501344097184</x:v>
      </x:c>
      <x:c r="D346" s="7" t="n">
        <x:f>IF(ISNUMBER(C346),C346^2,"")</x:f>
        <x:v>0.0000371063886251378</x:v>
      </x:c>
      <x:c r="E346" s="15" t="n">
        <x:f>IF(ISNUMBER(C346),C346^3,"")</x:f>
        <x:v>2.2603361618461936e-7</x:v>
      </x:c>
      <x:c r="F346" s="15" t="n">
        <x:f>IF(ISNUMBER(C346),C346^4,"")</x:f>
        <x:v>1.3768840767997558e-9</x:v>
      </x:c>
      <x:c r="G346" s="7" t="n">
        <x:f>IF(ISNUMBER(B346),ABS(B346),"")</x:f>
        <x:v>0.0060432620170476825</x:v>
      </x:c>
      <x:c r="H346" s="7" t="n">
        <x:f>IF(ISNUMBER(B346),B346^2,"")</x:f>
        <x:v>0.00003652101580669123</x:v>
      </x:c>
      <x:c r="I346" s="7" t="n">
        <x:f>IF(AND(ISNUMBER(G346),'요약'!$B$19),G346-'요약'!$B$14,"")</x:f>
        <x:v>-0.001970254610355173</x:v>
      </x:c>
      <x:c r="J346" s="7" t="n">
        <x:f>IF(AND(ISNUMBER(H346),'요약'!$B$19),H346-'요약'!$B$15,"")</x:f>
        <x:v>-0.00006568868337940088</x:v>
      </x:c>
      <x:c r="K346" t="str">
        <x:f>IF(ISNUMBER(B346),IF('Hill'!$B$4=1,IF(B346&lt;0,-B346,""),IF('Hill'!$B$4=2,IF(B346&gt;0,B346,""),IF('Hill'!$B$4=3,IF(B346&lt;&gt;0,ABS(B346),""),""))),"")</x:f>
      </x:c>
    </x:row>
    <x:row r="347">
      <x:c r="A347" t="n">
        <x:f>346</x:f>
        <x:v>346</x:v>
      </x:c>
      <x:c r="B347" s="7" t="n">
        <x:f>IF('요약'!$B$4=4,IF(ISNUMBER('input'!A347),'input'!A347,""),IF(346&lt;=1000,CHOOSE('요약'!$B$4,'input'!B347,'input'!C347,'input'!D347),""))</x:f>
        <x:v>-0.0020963499064151816</x:v>
      </x:c>
      <x:c r="C347" s="7" t="n">
        <x:f>IF(AND(ISNUMBER(B347),'요약'!$B$19),B347-'요약'!$B$7,"")</x:f>
        <x:v>-0.00204811057936568</x:v>
      </x:c>
      <x:c r="D347" s="7" t="n">
        <x:f>IF(ISNUMBER(C347),C347^2,"")</x:f>
        <x:v>0.000004194756945309622</x:v>
      </x:c>
      <x:c r="E347" s="15" t="n">
        <x:f>IF(ISNUMBER(C347),C347^3,"")</x:f>
        <x:v>-8.5913260775563e-9</x:v>
      </x:c>
      <x:c r="F347" s="15" t="n">
        <x:f>IF(ISNUMBER(C347),C347^4,"")</x:f>
        <x:v>1.759598583022331e-11</x:v>
      </x:c>
      <x:c r="G347" s="7" t="n">
        <x:f>IF(ISNUMBER(B347),ABS(B347),"")</x:f>
        <x:v>0.0020963499064151816</x:v>
      </x:c>
      <x:c r="H347" s="7" t="n">
        <x:f>IF(ISNUMBER(B347),B347^2,"")</x:f>
        <x:v>0.000004394682930126941</x:v>
      </x:c>
      <x:c r="I347" s="7" t="n">
        <x:f>IF(AND(ISNUMBER(G347),'요약'!$B$19),G347-'요약'!$B$14,"")</x:f>
        <x:v>-0.005917166720987674</x:v>
      </x:c>
      <x:c r="J347" s="7" t="n">
        <x:f>IF(AND(ISNUMBER(H347),'요약'!$B$19),H347-'요약'!$B$15,"")</x:f>
        <x:v>-0.00009781501625596516</x:v>
      </x:c>
      <x:c r="K347" t="n">
        <x:f>IF(ISNUMBER(B347),IF('Hill'!$B$4=1,IF(B347&lt;0,-B347,""),IF('Hill'!$B$4=2,IF(B347&gt;0,B347,""),IF('Hill'!$B$4=3,IF(B347&lt;&gt;0,ABS(B347),""),""))),"")</x:f>
        <x:v>0.0020963499064151816</x:v>
      </x:c>
    </x:row>
    <x:row r="348">
      <x:c r="A348" t="n">
        <x:f>347</x:f>
        <x:v>347</x:v>
      </x:c>
      <x:c r="B348" s="7" t="n">
        <x:f>IF('요약'!$B$4=4,IF(ISNUMBER('input'!A348),'input'!A348,""),IF(347&lt;=1000,CHOOSE('요약'!$B$4,'input'!B348,'input'!C348,'input'!D348),""))</x:f>
        <x:v>0.017896187752975017</x:v>
      </x:c>
      <x:c r="C348" s="7" t="n">
        <x:f>IF(AND(ISNUMBER(B348),'요약'!$B$19),B348-'요약'!$B$7,"")</x:f>
        <x:v>0.017944427080024517</x:v>
      </x:c>
      <x:c r="D348" s="7" t="n">
        <x:f>IF(ISNUMBER(C348),C348^2,"")</x:f>
        <x:v>0.0003220024632303172</x:v>
      </x:c>
      <x:c r="E348" s="15" t="n">
        <x:f>IF(ISNUMBER(C348),C348^3,"")</x:f>
        <x:v>0.000005778149721024703</x:v>
      </x:c>
      <x:c r="F348" s="15" t="n">
        <x:f>IF(ISNUMBER(C348),C348^4,"")</x:f>
        <x:v>1.036855863263918e-7</x:v>
      </x:c>
      <x:c r="G348" s="7" t="n">
        <x:f>IF(ISNUMBER(B348),ABS(B348),"")</x:f>
        <x:v>0.017896187752975017</x:v>
      </x:c>
      <x:c r="H348" s="7" t="n">
        <x:f>IF(ISNUMBER(B348),B348^2,"")</x:f>
        <x:v>0.000320273536089733</x:v>
      </x:c>
      <x:c r="I348" s="7" t="n">
        <x:f>IF(AND(ISNUMBER(G348),'요약'!$B$19),G348-'요약'!$B$14,"")</x:f>
        <x:v>0.009882671125572161</x:v>
      </x:c>
      <x:c r="J348" s="7" t="n">
        <x:f>IF(AND(ISNUMBER(H348),'요약'!$B$19),H348-'요약'!$B$15,"")</x:f>
        <x:v>0.00021806383690364087</x:v>
      </x:c>
      <x:c r="K348" t="str">
        <x:f>IF(ISNUMBER(B348),IF('Hill'!$B$4=1,IF(B348&lt;0,-B348,""),IF('Hill'!$B$4=2,IF(B348&gt;0,B348,""),IF('Hill'!$B$4=3,IF(B348&lt;&gt;0,ABS(B348),""),""))),"")</x:f>
      </x:c>
    </x:row>
    <x:row r="349">
      <x:c r="A349" t="n">
        <x:f>348</x:f>
        <x:v>348</x:v>
      </x:c>
      <x:c r="B349" s="7" t="n">
        <x:f>IF('요약'!$B$4=4,IF(ISNUMBER('input'!A349),'input'!A349,""),IF(348&lt;=1000,CHOOSE('요약'!$B$4,'input'!B349,'input'!C349,'input'!D349),""))</x:f>
        <x:v>-0.007051861423648121</x:v>
      </x:c>
      <x:c r="C349" s="7" t="n">
        <x:f>IF(AND(ISNUMBER(B349),'요약'!$B$19),B349-'요약'!$B$7,"")</x:f>
        <x:v>-0.00700362209659862</x:v>
      </x:c>
      <x:c r="D349" s="7" t="n">
        <x:f>IF(ISNUMBER(C349),C349^2,"")</x:f>
        <x:v>0.00004905072247196445</x:v>
      </x:c>
      <x:c r="E349" s="15" t="n">
        <x:f>IF(ISNUMBER(C349),C349^3,"")</x:f>
        <x:v>-3.435327237587767e-7</x:v>
      </x:c>
      <x:c r="F349" s="15" t="n">
        <x:f>IF(ISNUMBER(C349),C349^4,"")</x:f>
        <x:v>2.4059733750216783e-9</x:v>
      </x:c>
      <x:c r="G349" s="7" t="n">
        <x:f>IF(ISNUMBER(B349),ABS(B349),"")</x:f>
        <x:v>0.007051861423648121</x:v>
      </x:c>
      <x:c r="H349" s="7" t="n">
        <x:f>IF(ISNUMBER(B349),B349^2,"")</x:f>
        <x:v>0.00004972874953833651</x:v>
      </x:c>
      <x:c r="I349" s="7" t="n">
        <x:f>IF(AND(ISNUMBER(G349),'요약'!$B$19),G349-'요약'!$B$14,"")</x:f>
        <x:v>-0.0009616552037547341</x:v>
      </x:c>
      <x:c r="J349" s="7" t="n">
        <x:f>IF(AND(ISNUMBER(H349),'요약'!$B$19),H349-'요약'!$B$15,"")</x:f>
        <x:v>-0.000052480949647755594</x:v>
      </x:c>
      <x:c r="K349" t="n">
        <x:f>IF(ISNUMBER(B349),IF('Hill'!$B$4=1,IF(B349&lt;0,-B349,""),IF('Hill'!$B$4=2,IF(B349&gt;0,B349,""),IF('Hill'!$B$4=3,IF(B349&lt;&gt;0,ABS(B349),""),""))),"")</x:f>
        <x:v>0.007051861423648121</x:v>
      </x:c>
    </x:row>
    <x:row r="350">
      <x:c r="A350" t="n">
        <x:f>349</x:f>
        <x:v>349</x:v>
      </x:c>
      <x:c r="B350" s="7" t="n">
        <x:f>IF('요약'!$B$4=4,IF(ISNUMBER('input'!A350),'input'!A350,""),IF(349&lt;=1000,CHOOSE('요약'!$B$4,'input'!B350,'input'!C350,'input'!D350),""))</x:f>
        <x:v>-0.01257834589197856</x:v>
      </x:c>
      <x:c r="C350" s="7" t="n">
        <x:f>IF(AND(ISNUMBER(B350),'요약'!$B$19),B350-'요약'!$B$7,"")</x:f>
        <x:v>-0.01253010656492906</x:v>
      </x:c>
      <x:c r="D350" s="7" t="n">
        <x:f>IF(ISNUMBER(C350),C350^2,"")</x:f>
        <x:v>0.00015700357052847832</x:v>
      </x:c>
      <x:c r="E350" s="15" t="n">
        <x:f>IF(ISNUMBER(C350),C350^3,"")</x:f>
        <x:v>-0.0000019672714697961885</x:v>
      </x:c>
      <x:c r="F350" s="15" t="n">
        <x:f>IF(ISNUMBER(C350),C350^4,"")</x:f>
        <x:v>2.4650121158690863e-8</x:v>
      </x:c>
      <x:c r="G350" s="7" t="n">
        <x:f>IF(ISNUMBER(B350),ABS(B350),"")</x:f>
        <x:v>0.01257834589197856</x:v>
      </x:c>
      <x:c r="H350" s="7" t="n">
        <x:f>IF(ISNUMBER(B350),B350^2,"")</x:f>
        <x:v>0.00015821478537825391</x:v>
      </x:c>
      <x:c r="I350" s="7" t="n">
        <x:f>IF(AND(ISNUMBER(G350),'요약'!$B$19),G350-'요약'!$B$14,"")</x:f>
        <x:v>0.0045648292645757045</x:v>
      </x:c>
      <x:c r="J350" s="7" t="n">
        <x:f>IF(AND(ISNUMBER(H350),'요약'!$B$19),H350-'요약'!$B$15,"")</x:f>
        <x:v>0.00005600508619216181</x:v>
      </x:c>
      <x:c r="K350" t="n">
        <x:f>IF(ISNUMBER(B350),IF('Hill'!$B$4=1,IF(B350&lt;0,-B350,""),IF('Hill'!$B$4=2,IF(B350&gt;0,B350,""),IF('Hill'!$B$4=3,IF(B350&lt;&gt;0,ABS(B350),""),""))),"")</x:f>
        <x:v>0.01257834589197856</x:v>
      </x:c>
    </x:row>
    <x:row r="351">
      <x:c r="A351" t="n">
        <x:f>350</x:f>
        <x:v>350</x:v>
      </x:c>
      <x:c r="B351" s="7" t="n">
        <x:f>IF('요약'!$B$4=4,IF(ISNUMBER('input'!A351),'input'!A351,""),IF(350&lt;=1000,CHOOSE('요약'!$B$4,'input'!B351,'input'!C351,'input'!D351),""))</x:f>
        <x:v>-0.005395700422384599</x:v>
      </x:c>
      <x:c r="C351" s="7" t="n">
        <x:f>IF(AND(ISNUMBER(B351),'요약'!$B$19),B351-'요약'!$B$7,"")</x:f>
        <x:v>-0.005347461095335098</x:v>
      </x:c>
      <x:c r="D351" s="7" t="n">
        <x:f>IF(ISNUMBER(C351),C351^2,"")</x:f>
        <x:v>0.000028595340166122446</x:v>
      </x:c>
      <x:c r="E351" s="15" t="n">
        <x:f>IF(ISNUMBER(C351),C351^3,"")</x:f>
        <x:v>-1.5291246904621284e-7</x:v>
      </x:c>
      <x:c r="F351" s="15" t="n">
        <x:f>IF(ISNUMBER(C351),C351^4,"")</x:f>
        <x:v>8.176934792162556e-10</x:v>
      </x:c>
      <x:c r="G351" s="7" t="n">
        <x:f>IF(ISNUMBER(B351),ABS(B351),"")</x:f>
        <x:v>0.005395700422384599</x:v>
      </x:c>
      <x:c r="H351" s="7" t="n">
        <x:f>IF(ISNUMBER(B351),B351^2,"")</x:f>
        <x:v>0.000029113583048121343</x:v>
      </x:c>
      <x:c r="I351" s="7" t="n">
        <x:f>IF(AND(ISNUMBER(G351),'요약'!$B$19),G351-'요약'!$B$14,"")</x:f>
        <x:v>-0.002617816205018256</x:v>
      </x:c>
      <x:c r="J351" s="7" t="n">
        <x:f>IF(AND(ISNUMBER(H351),'요약'!$B$19),H351-'요약'!$B$15,"")</x:f>
        <x:v>-0.00007309611613797076</x:v>
      </x:c>
      <x:c r="K351" t="n">
        <x:f>IF(ISNUMBER(B351),IF('Hill'!$B$4=1,IF(B351&lt;0,-B351,""),IF('Hill'!$B$4=2,IF(B351&gt;0,B351,""),IF('Hill'!$B$4=3,IF(B351&lt;&gt;0,ABS(B351),""),""))),"")</x:f>
        <x:v>0.005395700422384599</x:v>
      </x:c>
    </x:row>
    <x:row r="352">
      <x:c r="A352" t="n">
        <x:f>351</x:f>
        <x:v>351</x:v>
      </x:c>
      <x:c r="B352" s="7" t="n">
        <x:f>IF('요약'!$B$4=4,IF(ISNUMBER('input'!A352),'input'!A352,""),IF(351&lt;=1000,CHOOSE('요약'!$B$4,'input'!B352,'input'!C352,'input'!D352),""))</x:f>
        <x:v>0.007536836552699775</x:v>
      </x:c>
      <x:c r="C352" s="7" t="n">
        <x:f>IF(AND(ISNUMBER(B352),'요약'!$B$19),B352-'요약'!$B$7,"")</x:f>
        <x:v>0.007585075879749276</x:v>
      </x:c>
      <x:c r="D352" s="7" t="n">
        <x:f>IF(ISNUMBER(C352),C352^2,"")</x:f>
        <x:v>0.00005753337610155426</x:v>
      </x:c>
      <x:c r="E352" s="15" t="n">
        <x:f>IF(ISNUMBER(C352),C352^3,"")</x:f>
        <x:v>4.3639502334844264e-7</x:v>
      </x:c>
      <x:c r="F352" s="15" t="n">
        <x:f>IF(ISNUMBER(C352),C352^4,"")</x:f>
        <x:v>3.3100893656428943e-9</x:v>
      </x:c>
      <x:c r="G352" s="7" t="n">
        <x:f>IF(ISNUMBER(B352),ABS(B352),"")</x:f>
        <x:v>0.007536836552699775</x:v>
      </x:c>
      <x:c r="H352" s="7" t="n">
        <x:f>IF(ISNUMBER(B352),B352^2,"")</x:f>
        <x:v>0.000056803905222111426</x:v>
      </x:c>
      <x:c r="I352" s="7" t="n">
        <x:f>IF(AND(ISNUMBER(G352),'요약'!$B$19),G352-'요약'!$B$14,"")</x:f>
        <x:v>-0.0004766800747030807</x:v>
      </x:c>
      <x:c r="J352" s="7" t="n">
        <x:f>IF(AND(ISNUMBER(H352),'요약'!$B$19),H352-'요약'!$B$15,"")</x:f>
        <x:v>-0.00004540579396398068</x:v>
      </x:c>
      <x:c r="K352" t="str">
        <x:f>IF(ISNUMBER(B352),IF('Hill'!$B$4=1,IF(B352&lt;0,-B352,""),IF('Hill'!$B$4=2,IF(B352&gt;0,B352,""),IF('Hill'!$B$4=3,IF(B352&lt;&gt;0,ABS(B352),""),""))),"")</x:f>
      </x:c>
    </x:row>
    <x:row r="353">
      <x:c r="A353" t="n">
        <x:f>352</x:f>
        <x:v>352</x:v>
      </x:c>
      <x:c r="B353" s="7" t="n">
        <x:f>IF('요약'!$B$4=4,IF(ISNUMBER('input'!A353),'input'!A353,""),IF(352&lt;=1000,CHOOSE('요약'!$B$4,'input'!B353,'input'!C353,'input'!D353),""))</x:f>
        <x:v>-0.006981930250999928</x:v>
      </x:c>
      <x:c r="C353" s="7" t="n">
        <x:f>IF(AND(ISNUMBER(B353),'요약'!$B$19),B353-'요약'!$B$7,"")</x:f>
        <x:v>-0.006933690923950427</x:v>
      </x:c>
      <x:c r="D353" s="7" t="n">
        <x:f>IF(ISNUMBER(C353),C353^2,"")</x:f>
        <x:v>0.00004807606982887252</x:v>
      </x:c>
      <x:c r="E353" s="15" t="n">
        <x:f>IF(ISNUMBER(C353),C353^3,"")</x:f>
        <x:v>-3.333446090316604e-7</x:v>
      </x:c>
      <x:c r="F353" s="15" t="n">
        <x:f>IF(ISNUMBER(C353),C353^4,"")</x:f>
        <x:v>2.3113084901906267e-9</x:v>
      </x:c>
      <x:c r="G353" s="7" t="n">
        <x:f>IF(ISNUMBER(B353),ABS(B353),"")</x:f>
        <x:v>0.006981930250999928</x:v>
      </x:c>
      <x:c r="H353" s="7" t="n">
        <x:f>IF(ISNUMBER(B353),B353^2,"")</x:f>
        <x:v>0.00004874735002982792</x:v>
      </x:c>
      <x:c r="I353" s="7" t="n">
        <x:f>IF(AND(ISNUMBER(G353),'요약'!$B$19),G353-'요약'!$B$14,"")</x:f>
        <x:v>-0.0010315863764029272</x:v>
      </x:c>
      <x:c r="J353" s="7" t="n">
        <x:f>IF(AND(ISNUMBER(H353),'요약'!$B$19),H353-'요약'!$B$15,"")</x:f>
        <x:v>-0.00005346234915626418</x:v>
      </x:c>
      <x:c r="K353" t="n">
        <x:f>IF(ISNUMBER(B353),IF('Hill'!$B$4=1,IF(B353&lt;0,-B353,""),IF('Hill'!$B$4=2,IF(B353&gt;0,B353,""),IF('Hill'!$B$4=3,IF(B353&lt;&gt;0,ABS(B353),""),""))),"")</x:f>
        <x:v>0.006981930250999928</x:v>
      </x:c>
    </x:row>
    <x:row r="354">
      <x:c r="A354" t="n">
        <x:f>353</x:f>
        <x:v>353</x:v>
      </x:c>
      <x:c r="B354" s="7" t="n">
        <x:f>IF('요약'!$B$4=4,IF(ISNUMBER('input'!A354),'input'!A354,""),IF(353&lt;=1000,CHOOSE('요약'!$B$4,'input'!B354,'input'!C354,'input'!D354),""))</x:f>
        <x:v>-0.009175004662843218</x:v>
      </x:c>
      <x:c r="C354" s="7" t="n">
        <x:f>IF(AND(ISNUMBER(B354),'요약'!$B$19),B354-'요약'!$B$7,"")</x:f>
        <x:v>-0.009126765335793718</x:v>
      </x:c>
      <x:c r="D354" s="7" t="n">
        <x:f>IF(ISNUMBER(C354),C354^2,"")</x:f>
        <x:v>0.00008329784549464581</x:v>
      </x:c>
      <x:c r="E354" s="15" t="n">
        <x:f>IF(ISNUMBER(C354),C354^3,"")</x:f>
        <x:v>-7.602398888068344e-7</x:v>
      </x:c>
      <x:c r="F354" s="15" t="n">
        <x:f>IF(ISNUMBER(C354),C354^4,"")</x:f>
        <x:v>6.9385310640498856e-9</x:v>
      </x:c>
      <x:c r="G354" s="7" t="n">
        <x:f>IF(ISNUMBER(B354),ABS(B354),"")</x:f>
        <x:v>0.009175004662843218</x:v>
      </x:c>
      <x:c r="H354" s="7" t="n">
        <x:f>IF(ISNUMBER(B354),B354^2,"")</x:f>
        <x:v>0.0000841807105631948</x:v>
      </x:c>
      <x:c r="I354" s="7" t="n">
        <x:f>IF(AND(ISNUMBER(G354),'요약'!$B$19),G354-'요약'!$B$14,"")</x:f>
        <x:v>0.001161488035440363</x:v>
      </x:c>
      <x:c r="J354" s="7" t="n">
        <x:f>IF(AND(ISNUMBER(H354),'요약'!$B$19),H354-'요약'!$B$15,"")</x:f>
        <x:v>-0.000018028988622897303</x:v>
      </x:c>
      <x:c r="K354" t="n">
        <x:f>IF(ISNUMBER(B354),IF('Hill'!$B$4=1,IF(B354&lt;0,-B354,""),IF('Hill'!$B$4=2,IF(B354&gt;0,B354,""),IF('Hill'!$B$4=3,IF(B354&lt;&gt;0,ABS(B354),""),""))),"")</x:f>
        <x:v>0.009175004662843218</x:v>
      </x:c>
    </x:row>
    <x:row r="355">
      <x:c r="A355" t="n">
        <x:f>354</x:f>
        <x:v>354</x:v>
      </x:c>
      <x:c r="B355" s="7" t="n">
        <x:f>IF('요약'!$B$4=4,IF(ISNUMBER('input'!A355),'input'!A355,""),IF(354&lt;=1000,CHOOSE('요약'!$B$4,'input'!B355,'input'!C355,'input'!D355),""))</x:f>
        <x:v>0.009270621490588866</x:v>
      </x:c>
      <x:c r="C355" s="7" t="n">
        <x:f>IF(AND(ISNUMBER(B355),'요약'!$B$19),B355-'요약'!$B$7,"")</x:f>
        <x:v>0.009318860817638367</x:v>
      </x:c>
      <x:c r="D355" s="7" t="n">
        <x:f>IF(ISNUMBER(C355),C355^2,"")</x:f>
        <x:v>0.00008684116693851561</x:v>
      </x:c>
      <x:c r="E355" s="15" t="n">
        <x:f>IF(ISNUMBER(C355),C355^3,"")</x:f>
        <x:v>8.092607479413254e-7</x:v>
      </x:c>
      <x:c r="F355" s="15" t="n">
        <x:f>IF(ISNUMBER(C355),C355^4,"")</x:f>
        <x:v>7.541388275243137e-9</x:v>
      </x:c>
      <x:c r="G355" s="7" t="n">
        <x:f>IF(ISNUMBER(B355),ABS(B355),"")</x:f>
        <x:v>0.009270621490588866</x:v>
      </x:c>
      <x:c r="H355" s="7" t="n">
        <x:f>IF(ISNUMBER(B355),B355^2,"")</x:f>
        <x:v>0.00008594442282176813</x:v>
      </x:c>
      <x:c r="I355" s="7" t="n">
        <x:f>IF(AND(ISNUMBER(G355),'요약'!$B$19),G355-'요약'!$B$14,"")</x:f>
        <x:v>0.0012571048631860107</x:v>
      </x:c>
      <x:c r="J355" s="7" t="n">
        <x:f>IF(AND(ISNUMBER(H355),'요약'!$B$19),H355-'요약'!$B$15,"")</x:f>
        <x:v>-0.00001626527636432397</x:v>
      </x:c>
      <x:c r="K355" t="str">
        <x:f>IF(ISNUMBER(B355),IF('Hill'!$B$4=1,IF(B355&lt;0,-B355,""),IF('Hill'!$B$4=2,IF(B355&gt;0,B355,""),IF('Hill'!$B$4=3,IF(B355&lt;&gt;0,ABS(B355),""),""))),"")</x:f>
      </x:c>
    </x:row>
    <x:row r="356">
      <x:c r="A356" t="n">
        <x:f>355</x:f>
        <x:v>355</x:v>
      </x:c>
      <x:c r="B356" s="7" t="n">
        <x:f>IF('요약'!$B$4=4,IF(ISNUMBER('input'!A356),'input'!A356,""),IF(355&lt;=1000,CHOOSE('요약'!$B$4,'input'!B356,'input'!C356,'input'!D356),""))</x:f>
        <x:v>-0.006815139889037774</x:v>
      </x:c>
      <x:c r="C356" s="7" t="n">
        <x:f>IF(AND(ISNUMBER(B356),'요약'!$B$19),B356-'요약'!$B$7,"")</x:f>
        <x:v>-0.006766900561988273</x:v>
      </x:c>
      <x:c r="D356" s="7" t="n">
        <x:f>IF(ISNUMBER(C356),C356^2,"")</x:f>
        <x:v>0.0000457909432158372</x:v>
      </x:c>
      <x:c r="E356" s="15" t="n">
        <x:f>IF(ISNUMBER(C356),C356^3,"")</x:f>
        <x:v>-3.098627593812219e-7</x:v>
      </x:c>
      <x:c r="F356" s="15" t="n">
        <x:f>IF(ISNUMBER(C356),C356^4,"")</x:f>
        <x:v>2.0968104805960275e-9</x:v>
      </x:c>
      <x:c r="G356" s="7" t="n">
        <x:f>IF(ISNUMBER(B356),ABS(B356),"")</x:f>
        <x:v>0.006815139889037774</x:v>
      </x:c>
      <x:c r="H356" s="7" t="n">
        <x:f>IF(ISNUMBER(B356),B356^2,"")</x:f>
        <x:v>0.000046446131707153805</x:v>
      </x:c>
      <x:c r="I356" s="7" t="n">
        <x:f>IF(AND(ISNUMBER(G356),'요약'!$B$19),G356-'요약'!$B$14,"")</x:f>
        <x:v>-0.001198376738365081</x:v>
      </x:c>
      <x:c r="J356" s="7" t="n">
        <x:f>IF(AND(ISNUMBER(H356),'요약'!$B$19),H356-'요약'!$B$15,"")</x:f>
        <x:v>-0.0000557635674789383</x:v>
      </x:c>
      <x:c r="K356" t="n">
        <x:f>IF(ISNUMBER(B356),IF('Hill'!$B$4=1,IF(B356&lt;0,-B356,""),IF('Hill'!$B$4=2,IF(B356&gt;0,B356,""),IF('Hill'!$B$4=3,IF(B356&lt;&gt;0,ABS(B356),""),""))),"")</x:f>
        <x:v>0.006815139889037774</x:v>
      </x:c>
    </x:row>
    <x:row r="357">
      <x:c r="A357" t="n">
        <x:f>356</x:f>
        <x:v>356</x:v>
      </x:c>
      <x:c r="B357" s="7" t="n">
        <x:f>IF('요약'!$B$4=4,IF(ISNUMBER('input'!A357),'input'!A357,""),IF(356&lt;=1000,CHOOSE('요약'!$B$4,'input'!B357,'input'!C357,'input'!D357),""))</x:f>
        <x:v>-0.007525565654405688</x:v>
      </x:c>
      <x:c r="C357" s="7" t="n">
        <x:f>IF(AND(ISNUMBER(B357),'요약'!$B$19),B357-'요약'!$B$7,"")</x:f>
        <x:v>-0.007477326327356187</x:v>
      </x:c>
      <x:c r="D357" s="7" t="n">
        <x:f>IF(ISNUMBER(C357),C357^2,"")</x:f>
        <x:v>0.000055910409005773956</x:v>
      </x:c>
      <x:c r="E357" s="15" t="n">
        <x:f>IF(ISNUMBER(C357),C357^3,"")</x:f>
        <x:v>-4.1806037323212605e-7</x:v>
      </x:c>
      <x:c r="F357" s="15" t="n">
        <x:f>IF(ISNUMBER(C357),C357^4,"")</x:f>
        <x:v>3.12597383519293e-9</x:v>
      </x:c>
      <x:c r="G357" s="7" t="n">
        <x:f>IF(ISNUMBER(B357),ABS(B357),"")</x:f>
        <x:v>0.007525565654405688</x:v>
      </x:c>
      <x:c r="H357" s="7" t="n">
        <x:f>IF(ISNUMBER(B357),B357^2,"")</x:f>
        <x:v>0.00005663413841877051</x:v>
      </x:c>
      <x:c r="I357" s="7" t="n">
        <x:f>IF(AND(ISNUMBER(G357),'요약'!$B$19),G357-'요약'!$B$14,"")</x:f>
        <x:v>-0.00048795097299716723</x:v>
      </x:c>
      <x:c r="J357" s="7" t="n">
        <x:f>IF(AND(ISNUMBER(H357),'요약'!$B$19),H357-'요약'!$B$15,"")</x:f>
        <x:v>-0.00004557556076732159</x:v>
      </x:c>
      <x:c r="K357" t="n">
        <x:f>IF(ISNUMBER(B357),IF('Hill'!$B$4=1,IF(B357&lt;0,-B357,""),IF('Hill'!$B$4=2,IF(B357&gt;0,B357,""),IF('Hill'!$B$4=3,IF(B357&lt;&gt;0,ABS(B357),""),""))),"")</x:f>
        <x:v>0.007525565654405688</x:v>
      </x:c>
    </x:row>
    <x:row r="358">
      <x:c r="A358" t="n">
        <x:f>357</x:f>
        <x:v>357</x:v>
      </x:c>
      <x:c r="B358" s="7" t="n">
        <x:f>IF('요약'!$B$4=4,IF(ISNUMBER('input'!A358),'input'!A358,""),IF(357&lt;=1000,CHOOSE('요약'!$B$4,'input'!B358,'input'!C358,'input'!D358),""))</x:f>
        <x:v>0.01126731360117315</x:v>
      </x:c>
      <x:c r="C358" s="7" t="n">
        <x:f>IF(AND(ISNUMBER(B358),'요약'!$B$19),B358-'요약'!$B$7,"")</x:f>
        <x:v>0.011315552928222651</x:v>
      </x:c>
      <x:c r="D358" s="7" t="n">
        <x:f>IF(ISNUMBER(C358),C358^2,"")</x:f>
        <x:v>0.0001280417380714082</x:v>
      </x:c>
      <x:c r="E358" s="15" t="n">
        <x:f>IF(ISNUMBER(C358),C358^3,"")</x:f>
        <x:v>0.000001448863064168641</x:v>
      </x:c>
      <x:c r="F358" s="15" t="n">
        <x:f>IF(ISNUMBER(C358),C358^4,"")</x:f>
        <x:v>1.6394686688347106e-8</x:v>
      </x:c>
      <x:c r="G358" s="7" t="n">
        <x:f>IF(ISNUMBER(B358),ABS(B358),"")</x:f>
        <x:v>0.01126731360117315</x:v>
      </x:c>
      <x:c r="H358" s="7" t="n">
        <x:f>IF(ISNUMBER(B358),B358^2,"")</x:f>
        <x:v>0.00012695235578718148</x:v>
      </x:c>
      <x:c r="I358" s="7" t="n">
        <x:f>IF(AND(ISNUMBER(G358),'요약'!$B$19),G358-'요약'!$B$14,"")</x:f>
        <x:v>0.003253796973770295</x:v>
      </x:c>
      <x:c r="J358" s="7" t="n">
        <x:f>IF(AND(ISNUMBER(H358),'요약'!$B$19),H358-'요약'!$B$15,"")</x:f>
        <x:v>0.000024742656601089378</x:v>
      </x:c>
      <x:c r="K358" t="str">
        <x:f>IF(ISNUMBER(B358),IF('Hill'!$B$4=1,IF(B358&lt;0,-B358,""),IF('Hill'!$B$4=2,IF(B358&gt;0,B358,""),IF('Hill'!$B$4=3,IF(B358&lt;&gt;0,ABS(B358),""),""))),"")</x:f>
      </x:c>
    </x:row>
    <x:row r="359">
      <x:c r="A359" t="n">
        <x:f>358</x:f>
        <x:v>358</x:v>
      </x:c>
      <x:c r="B359" s="7" t="n">
        <x:f>IF('요약'!$B$4=4,IF(ISNUMBER('input'!A359),'input'!A359,""),IF(358&lt;=1000,CHOOSE('요약'!$B$4,'input'!B359,'input'!C359,'input'!D359),""))</x:f>
        <x:v>0.00999330439762934</x:v>
      </x:c>
      <x:c r="C359" s="7" t="n">
        <x:f>IF(AND(ISNUMBER(B359),'요약'!$B$19),B359-'요약'!$B$7,"")</x:f>
        <x:v>0.010041543724678841</x:v>
      </x:c>
      <x:c r="D359" s="7" t="n">
        <x:f>IF(ISNUMBER(C359),C359^2,"")</x:f>
        <x:v>0.00010083260037463702</x:v>
      </x:c>
      <x:c r="E359" s="15" t="n">
        <x:f>IF(ISNUMBER(C359),C359^3,"")</x:f>
        <x:v>0.0000010125149655349856</x:v>
      </x:c>
      <x:c r="F359" s="15" t="n">
        <x:f>IF(ISNUMBER(C359),C359^4,"")</x:f>
        <x:v>1.0167213298311249e-8</x:v>
      </x:c>
      <x:c r="G359" s="7" t="n">
        <x:f>IF(ISNUMBER(B359),ABS(B359),"")</x:f>
        <x:v>0.00999330439762934</x:v>
      </x:c>
      <x:c r="H359" s="7" t="n">
        <x:f>IF(ISNUMBER(B359),B359^2,"")</x:f>
        <x:v>0.00009986613278367792</x:v>
      </x:c>
      <x:c r="I359" s="7" t="n">
        <x:f>IF(AND(ISNUMBER(G359),'요약'!$B$19),G359-'요약'!$B$14,"")</x:f>
        <x:v>0.0019797877702264852</x:v>
      </x:c>
      <x:c r="J359" s="7" t="n">
        <x:f>IF(AND(ISNUMBER(H359),'요약'!$B$19),H359-'요약'!$B$15,"")</x:f>
        <x:v>-0.0000023435664024141887</x:v>
      </x:c>
      <x:c r="K359" t="str">
        <x:f>IF(ISNUMBER(B359),IF('Hill'!$B$4=1,IF(B359&lt;0,-B359,""),IF('Hill'!$B$4=2,IF(B359&gt;0,B359,""),IF('Hill'!$B$4=3,IF(B359&lt;&gt;0,ABS(B359),""),""))),"")</x:f>
      </x:c>
    </x:row>
    <x:row r="360">
      <x:c r="A360" t="n">
        <x:f>359</x:f>
        <x:v>359</x:v>
      </x:c>
      <x:c r="B360" s="7" t="n">
        <x:f>IF('요약'!$B$4=4,IF(ISNUMBER('input'!A360),'input'!A360,""),IF(359&lt;=1000,CHOOSE('요약'!$B$4,'input'!B360,'input'!C360,'input'!D360),""))</x:f>
        <x:v>-0.0018118028938827527</x:v>
      </x:c>
      <x:c r="C360" s="7" t="n">
        <x:f>IF(AND(ISNUMBER(B360),'요약'!$B$19),B360-'요약'!$B$7,"")</x:f>
        <x:v>-0.0017635635668332512</x:v>
      </x:c>
      <x:c r="D360" s="7" t="n">
        <x:f>IF(ISNUMBER(C360),C360^2,"")</x:f>
        <x:v>0.0000031101564542616194</x:v>
      </x:c>
      <x:c r="E360" s="15" t="n">
        <x:f>IF(ISNUMBER(C360),C360^3,"")</x:f>
        <x:v>-5.484958609887079e-9</x:v>
      </x:c>
      <x:c r="F360" s="15" t="n">
        <x:f>IF(ISNUMBER(C360),C360^4,"")</x:f>
        <x:v>9.67307316998521e-12</x:v>
      </x:c>
      <x:c r="G360" s="7" t="n">
        <x:f>IF(ISNUMBER(B360),ABS(B360),"")</x:f>
        <x:v>0.0018118028938827527</x:v>
      </x:c>
      <x:c r="H360" s="7" t="n">
        <x:f>IF(ISNUMBER(B360),B360^2,"")</x:f>
        <x:v>0.0000032826297262819173</x:v>
      </x:c>
      <x:c r="I360" s="7" t="n">
        <x:f>IF(AND(ISNUMBER(G360),'요약'!$B$19),G360-'요약'!$B$14,"")</x:f>
        <x:v>-0.0062017137335201025</x:v>
      </x:c>
      <x:c r="J360" s="7" t="n">
        <x:f>IF(AND(ISNUMBER(H360),'요약'!$B$19),H360-'요약'!$B$15,"")</x:f>
        <x:v>-0.00009892706945981019</x:v>
      </x:c>
      <x:c r="K360" t="n">
        <x:f>IF(ISNUMBER(B360),IF('Hill'!$B$4=1,IF(B360&lt;0,-B360,""),IF('Hill'!$B$4=2,IF(B360&gt;0,B360,""),IF('Hill'!$B$4=3,IF(B360&lt;&gt;0,ABS(B360),""),""))),"")</x:f>
        <x:v>0.0018118028938827527</x:v>
      </x:c>
    </x:row>
    <x:row r="361">
      <x:c r="A361" t="n">
        <x:f>360</x:f>
        <x:v>360</x:v>
      </x:c>
      <x:c r="B361" s="7" t="n">
        <x:f>IF('요약'!$B$4=4,IF(ISNUMBER('input'!A361),'input'!A361,""),IF(360&lt;=1000,CHOOSE('요약'!$B$4,'input'!B361,'input'!C361,'input'!D361),""))</x:f>
        <x:v>-0.012297632340849995</x:v>
      </x:c>
      <x:c r="C361" s="7" t="n">
        <x:f>IF(AND(ISNUMBER(B361),'요약'!$B$19),B361-'요약'!$B$7,"")</x:f>
        <x:v>-0.012249393013800495</x:v>
      </x:c>
      <x:c r="D361" s="7" t="n">
        <x:f>IF(ISNUMBER(C361),C361^2,"")</x:f>
        <x:v>0.00015004762920654437</x:v>
      </x:c>
      <x:c r="E361" s="15" t="n">
        <x:f>IF(ISNUMBER(C361),C361^3,"")</x:f>
        <x:v>-0.0000018379923809399716</x:v>
      </x:c>
      <x:c r="F361" s="15" t="n">
        <x:f>IF(ISNUMBER(C361),C361^4,"")</x:f>
        <x:v>2.2514291030504623e-8</x:v>
      </x:c>
      <x:c r="G361" s="7" t="n">
        <x:f>IF(ISNUMBER(B361),ABS(B361),"")</x:f>
        <x:v>0.012297632340849995</x:v>
      </x:c>
      <x:c r="H361" s="7" t="n">
        <x:f>IF(ISNUMBER(B361),B361^2,"")</x:f>
        <x:v>0.00015123176119071974</x:v>
      </x:c>
      <x:c r="I361" s="7" t="n">
        <x:f>IF(AND(ISNUMBER(G361),'요약'!$B$19),G361-'요약'!$B$14,"")</x:f>
        <x:v>0.00428411571344714</x:v>
      </x:c>
      <x:c r="J361" s="7" t="n">
        <x:f>IF(AND(ISNUMBER(H361),'요약'!$B$19),H361-'요약'!$B$15,"")</x:f>
        <x:v>0.000049022062004627635</x:v>
      </x:c>
      <x:c r="K361" t="n">
        <x:f>IF(ISNUMBER(B361),IF('Hill'!$B$4=1,IF(B361&lt;0,-B361,""),IF('Hill'!$B$4=2,IF(B361&gt;0,B361,""),IF('Hill'!$B$4=3,IF(B361&lt;&gt;0,ABS(B361),""),""))),"")</x:f>
        <x:v>0.012297632340849995</x:v>
      </x:c>
    </x:row>
    <x:row r="362">
      <x:c r="A362" t="n">
        <x:f>361</x:f>
        <x:v>361</x:v>
      </x:c>
      <x:c r="B362" s="7" t="n">
        <x:f>IF('요약'!$B$4=4,IF(ISNUMBER('input'!A362),'input'!A362,""),IF(361&lt;=1000,CHOOSE('요약'!$B$4,'input'!B362,'input'!C362,'input'!D362),""))</x:f>
        <x:v>-0.019723877251752297</x:v>
      </x:c>
      <x:c r="C362" s="7" t="n">
        <x:f>IF(AND(ISNUMBER(B362),'요약'!$B$19),B362-'요약'!$B$7,"")</x:f>
        <x:v>-0.019675637924702796</x:v>
      </x:c>
      <x:c r="D362" s="7" t="n">
        <x:f>IF(ISNUMBER(C362),C362^2,"")</x:f>
        <x:v>0.00038713072774400293</x:v>
      </x:c>
      <x:c r="E362" s="15" t="n">
        <x:f>IF(ISNUMBER(C362),C362^3,"")</x:f>
        <x:v>-0.000007617044028617697</x:v>
      </x:c>
      <x:c r="F362" s="15" t="n">
        <x:f>IF(ISNUMBER(C362),C362^4,"")</x:f>
        <x:v>1.4987020036360135e-7</x:v>
      </x:c>
      <x:c r="G362" s="7" t="n">
        <x:f>IF(ISNUMBER(B362),ABS(B362),"")</x:f>
        <x:v>0.019723877251752297</x:v>
      </x:c>
      <x:c r="H362" s="7" t="n">
        <x:f>IF(ISNUMBER(B362),B362^2,"")</x:f>
        <x:v>0.00038903133384219176</x:v>
      </x:c>
      <x:c r="I362" s="7" t="n">
        <x:f>IF(AND(ISNUMBER(G362),'요약'!$B$19),G362-'요약'!$B$14,"")</x:f>
        <x:v>0.011710360624349441</x:v>
      </x:c>
      <x:c r="J362" s="7" t="n">
        <x:f>IF(AND(ISNUMBER(H362),'요약'!$B$19),H362-'요약'!$B$15,"")</x:f>
        <x:v>0.00028682163465609963</x:v>
      </x:c>
      <x:c r="K362" t="n">
        <x:f>IF(ISNUMBER(B362),IF('Hill'!$B$4=1,IF(B362&lt;0,-B362,""),IF('Hill'!$B$4=2,IF(B362&gt;0,B362,""),IF('Hill'!$B$4=3,IF(B362&lt;&gt;0,ABS(B362),""),""))),"")</x:f>
        <x:v>0.019723877251752297</x:v>
      </x:c>
    </x:row>
    <x:row r="363">
      <x:c r="A363" t="n">
        <x:f>362</x:f>
        <x:v>362</x:v>
      </x:c>
      <x:c r="B363" s="7" t="n">
        <x:f>IF('요약'!$B$4=4,IF(ISNUMBER('input'!A363),'input'!A363,""),IF(362&lt;=1000,CHOOSE('요약'!$B$4,'input'!B363,'input'!C363,'input'!D363),""))</x:f>
        <x:v>-0.009352954384908477</x:v>
      </x:c>
      <x:c r="C363" s="7" t="n">
        <x:f>IF(AND(ISNUMBER(B363),'요약'!$B$19),B363-'요약'!$B$7,"")</x:f>
        <x:v>-0.009304715057858976</x:v>
      </x:c>
      <x:c r="D363" s="7" t="n">
        <x:f>IF(ISNUMBER(C363),C363^2,"")</x:f>
        <x:v>0.00008657772230794757</x:v>
      </x:c>
      <x:c r="E363" s="15" t="n">
        <x:f>IF(ISNUMBER(C363),C363^3,"")</x:f>
        <x:v>-8.055810364338927e-7</x:v>
      </x:c>
      <x:c r="F363" s="15" t="n">
        <x:f>IF(ISNUMBER(C363),C363^4,"")</x:f>
        <x:v>7.495702000032082e-9</x:v>
      </x:c>
      <x:c r="G363" s="7" t="n">
        <x:f>IF(ISNUMBER(B363),ABS(B363),"")</x:f>
        <x:v>0.009352954384908477</x:v>
      </x:c>
      <x:c r="H363" s="7" t="n">
        <x:f>IF(ISNUMBER(B363),B363^2,"")</x:f>
        <x:v>0.0000874777557261787</x:v>
      </x:c>
      <x:c r="I363" s="7" t="n">
        <x:f>IF(AND(ISNUMBER(G363),'요약'!$B$19),G363-'요약'!$B$14,"")</x:f>
        <x:v>0.0013394377575056213</x:v>
      </x:c>
      <x:c r="J363" s="7" t="n">
        <x:f>IF(AND(ISNUMBER(H363),'요약'!$B$19),H363-'요약'!$B$15,"")</x:f>
        <x:v>-0.000014731943459913403</x:v>
      </x:c>
      <x:c r="K363" t="n">
        <x:f>IF(ISNUMBER(B363),IF('Hill'!$B$4=1,IF(B363&lt;0,-B363,""),IF('Hill'!$B$4=2,IF(B363&gt;0,B363,""),IF('Hill'!$B$4=3,IF(B363&lt;&gt;0,ABS(B363),""),""))),"")</x:f>
        <x:v>0.009352954384908477</x:v>
      </x:c>
    </x:row>
    <x:row r="364">
      <x:c r="A364" t="n">
        <x:f>363</x:f>
        <x:v>363</x:v>
      </x:c>
      <x:c r="B364" s="7" t="n">
        <x:f>IF('요약'!$B$4=4,IF(ISNUMBER('input'!A364),'input'!A364,""),IF(363&lt;=1000,CHOOSE('요약'!$B$4,'input'!B364,'input'!C364,'input'!D364),""))</x:f>
        <x:v>-0.0013921630315477777</x:v>
      </x:c>
      <x:c r="C364" s="7" t="n">
        <x:f>IF(AND(ISNUMBER(B364),'요약'!$B$19),B364-'요약'!$B$7,"")</x:f>
        <x:v>-0.0013439237044982762</x:v>
      </x:c>
      <x:c r="D364" s="7" t="n">
        <x:f>IF(ISNUMBER(C364),C364^2,"")</x:f>
        <x:v>0.0000018061309235123702</x:v>
      </x:c>
      <x:c r="E364" s="15" t="n">
        <x:f>IF(ISNUMBER(C364),C364^3,"")</x:f>
        <x:v>-2.4273021615356374e-9</x:v>
      </x:c>
      <x:c r="F364" s="15" t="n">
        <x:f>IF(ISNUMBER(C364),C364^4,"")</x:f>
        <x:v>3.262108912867647e-12</x:v>
      </x:c>
      <x:c r="G364" s="7" t="n">
        <x:f>IF(ISNUMBER(B364),ABS(B364),"")</x:f>
        <x:v>0.0013921630315477777</x:v>
      </x:c>
      <x:c r="H364" s="7" t="n">
        <x:f>IF(ISNUMBER(B364),B364^2,"")</x:f>
        <x:v>0.0000019381179064082988</x:v>
      </x:c>
      <x:c r="I364" s="7" t="n">
        <x:f>IF(AND(ISNUMBER(G364),'요약'!$B$19),G364-'요약'!$B$14,"")</x:f>
        <x:v>-0.006621353595855078</x:v>
      </x:c>
      <x:c r="J364" s="7" t="n">
        <x:f>IF(AND(ISNUMBER(H364),'요약'!$B$19),H364-'요약'!$B$15,"")</x:f>
        <x:v>-0.0001002715812796838</x:v>
      </x:c>
      <x:c r="K364" t="n">
        <x:f>IF(ISNUMBER(B364),IF('Hill'!$B$4=1,IF(B364&lt;0,-B364,""),IF('Hill'!$B$4=2,IF(B364&gt;0,B364,""),IF('Hill'!$B$4=3,IF(B364&lt;&gt;0,ABS(B364),""),""))),"")</x:f>
        <x:v>0.0013921630315477777</x:v>
      </x:c>
    </x:row>
    <x:row r="365">
      <x:c r="A365" t="n">
        <x:f>364</x:f>
        <x:v>364</x:v>
      </x:c>
      <x:c r="B365" s="7" t="n">
        <x:f>IF('요약'!$B$4=4,IF(ISNUMBER('input'!A365),'input'!A365,""),IF(364&lt;=1000,CHOOSE('요약'!$B$4,'input'!B365,'input'!C365,'input'!D365),""))</x:f>
        <x:v>0.004112602668728459</x:v>
      </x:c>
      <x:c r="C365" s="7" t="n">
        <x:f>IF(AND(ISNUMBER(B365),'요약'!$B$19),B365-'요약'!$B$7,"")</x:f>
        <x:v>0.00416084199577796</x:v>
      </x:c>
      <x:c r="D365" s="7" t="n">
        <x:f>IF(ISNUMBER(C365),C365^2,"")</x:f>
        <x:v>0.00001731260611382952</x:v>
      </x:c>
      <x:c r="E365" s="15" t="n">
        <x:f>IF(ISNUMBER(C365),C365^3,"")</x:f>
        <x:v>7.203501857478414e-8</x:v>
      </x:c>
      <x:c r="F365" s="15" t="n">
        <x:f>IF(ISNUMBER(C365),C365^4,"")</x:f>
        <x:v>2.997263304526073e-10</x:v>
      </x:c>
      <x:c r="G365" s="7" t="n">
        <x:f>IF(ISNUMBER(B365),ABS(B365),"")</x:f>
        <x:v>0.004112602668728459</x:v>
      </x:c>
      <x:c r="H365" s="7" t="n">
        <x:f>IF(ISNUMBER(B365),B365^2,"")</x:f>
        <x:v>0.00001691350071083244</x:v>
      </x:c>
      <x:c r="I365" s="7" t="n">
        <x:f>IF(AND(ISNUMBER(G365),'요약'!$B$19),G365-'요약'!$B$14,"")</x:f>
        <x:v>-0.0039009139586743966</x:v>
      </x:c>
      <x:c r="J365" s="7" t="n">
        <x:f>IF(AND(ISNUMBER(H365),'요약'!$B$19),H365-'요약'!$B$15,"")</x:f>
        <x:v>-0.00008529619847525967</x:v>
      </x:c>
      <x:c r="K365" t="str">
        <x:f>IF(ISNUMBER(B365),IF('Hill'!$B$4=1,IF(B365&lt;0,-B365,""),IF('Hill'!$B$4=2,IF(B365&gt;0,B365,""),IF('Hill'!$B$4=3,IF(B365&lt;&gt;0,ABS(B365),""),""))),"")</x:f>
      </x:c>
    </x:row>
    <x:row r="366">
      <x:c r="A366" t="n">
        <x:f>365</x:f>
        <x:v>365</x:v>
      </x:c>
      <x:c r="B366" s="7" t="n">
        <x:f>IF('요약'!$B$4=4,IF(ISNUMBER('input'!A366),'input'!A366,""),IF(365&lt;=1000,CHOOSE('요약'!$B$4,'input'!B366,'input'!C366,'input'!D366),""))</x:f>
        <x:v>0.0029965237600823465</x:v>
      </x:c>
      <x:c r="C366" s="7" t="n">
        <x:f>IF(AND(ISNUMBER(B366),'요약'!$B$19),B366-'요약'!$B$7,"")</x:f>
        <x:v>0.003044763087131848</x:v>
      </x:c>
      <x:c r="D366" s="7" t="n">
        <x:f>IF(ISNUMBER(C366),C366^2,"")</x:f>
        <x:v>0.000009270582256760662</x:v>
      </x:c>
      <x:c r="E366" s="15" t="n">
        <x:f>IF(ISNUMBER(C366),C366^3,"")</x:f>
        <x:v>2.8226726651604325e-8</x:v>
      </x:c>
      <x:c r="F366" s="15" t="n">
        <x:f>IF(ISNUMBER(C366),C366^4,"")</x:f>
        <x:v>8.59436953793656e-11</x:v>
      </x:c>
      <x:c r="G366" s="7" t="n">
        <x:f>IF(ISNUMBER(B366),ABS(B366),"")</x:f>
        <x:v>0.0029965237600823465</x:v>
      </x:c>
      <x:c r="H366" s="7" t="n">
        <x:f>IF(ISNUMBER(B366),B366^2,"")</x:f>
        <x:v>0.000008979154644738045</x:v>
      </x:c>
      <x:c r="I366" s="7" t="n">
        <x:f>IF(AND(ISNUMBER(G366),'요약'!$B$19),G366-'요약'!$B$14,"")</x:f>
        <x:v>-0.0050169928673205084</x:v>
      </x:c>
      <x:c r="J366" s="7" t="n">
        <x:f>IF(AND(ISNUMBER(H366),'요약'!$B$19),H366-'요약'!$B$15,"")</x:f>
        <x:v>-0.00009323054454135407</x:v>
      </x:c>
      <x:c r="K366" t="str">
        <x:f>IF(ISNUMBER(B366),IF('Hill'!$B$4=1,IF(B366&lt;0,-B366,""),IF('Hill'!$B$4=2,IF(B366&gt;0,B366,""),IF('Hill'!$B$4=3,IF(B366&lt;&gt;0,ABS(B366),""),""))),"")</x:f>
      </x:c>
    </x:row>
    <x:row r="367">
      <x:c r="A367" t="n">
        <x:f>366</x:f>
        <x:v>366</x:v>
      </x:c>
      <x:c r="B367" s="7" t="n">
        <x:f>IF('요약'!$B$4=4,IF(ISNUMBER('input'!A367),'input'!A367,""),IF(366&lt;=1000,CHOOSE('요약'!$B$4,'input'!B367,'input'!C367,'input'!D367),""))</x:f>
        <x:v>-0.0022743563093937332</x:v>
      </x:c>
      <x:c r="C367" s="7" t="n">
        <x:f>IF(AND(ISNUMBER(B367),'요약'!$B$19),B367-'요약'!$B$7,"")</x:f>
        <x:v>-0.0022261169823442318</x:v>
      </x:c>
      <x:c r="D367" s="7" t="n">
        <x:f>IF(ISNUMBER(C367),C367^2,"")</x:f>
        <x:v>0.000004955596819081389</x:v>
      </x:c>
      <x:c r="E367" s="15" t="n">
        <x:f>IF(ISNUMBER(C367),C367^3,"")</x:f>
        <x:v>-1.1031738236608135e-8</x:v>
      </x:c>
      <x:c r="F367" s="15" t="n">
        <x:f>IF(ISNUMBER(C367),C367^4,"")</x:f>
        <x:v>2.4557939833289577e-11</x:v>
      </x:c>
      <x:c r="G367" s="7" t="n">
        <x:f>IF(ISNUMBER(B367),ABS(B367),"")</x:f>
        <x:v>0.0022743563093937332</x:v>
      </x:c>
      <x:c r="H367" s="7" t="n">
        <x:f>IF(ISNUMBER(B367),B367^2,"")</x:f>
        <x:v>0.000005172696622079083</x:v>
      </x:c>
      <x:c r="I367" s="7" t="n">
        <x:f>IF(AND(ISNUMBER(G367),'요약'!$B$19),G367-'요약'!$B$14,"")</x:f>
        <x:v>-0.005739160318009123</x:v>
      </x:c>
      <x:c r="J367" s="7" t="n">
        <x:f>IF(AND(ISNUMBER(H367),'요약'!$B$19),H367-'요약'!$B$15,"")</x:f>
        <x:v>-0.00009703700256401302</x:v>
      </x:c>
      <x:c r="K367" t="n">
        <x:f>IF(ISNUMBER(B367),IF('Hill'!$B$4=1,IF(B367&lt;0,-B367,""),IF('Hill'!$B$4=2,IF(B367&gt;0,B367,""),IF('Hill'!$B$4=3,IF(B367&lt;&gt;0,ABS(B367),""),""))),"")</x:f>
        <x:v>0.0022743563093937332</x:v>
      </x:c>
    </x:row>
    <x:row r="368">
      <x:c r="A368" t="n">
        <x:f>367</x:f>
        <x:v>367</x:v>
      </x:c>
      <x:c r="B368" s="7" t="n">
        <x:f>IF('요약'!$B$4=4,IF(ISNUMBER('input'!A368),'input'!A368,""),IF(367&lt;=1000,CHOOSE('요약'!$B$4,'input'!B368,'input'!C368,'input'!D368),""))</x:f>
        <x:v>0.008956023561565612</x:v>
      </x:c>
      <x:c r="C368" s="7" t="n">
        <x:f>IF(AND(ISNUMBER(B368),'요약'!$B$19),B368-'요약'!$B$7,"")</x:f>
        <x:v>0.009004262888615113</x:v>
      </x:c>
      <x:c r="D368" s="7" t="n">
        <x:f>IF(ISNUMBER(C368),C368^2,"")</x:f>
        <x:v>0.00008107675016729137</x:v>
      </x:c>
      <x:c r="E368" s="15" t="n">
        <x:f>IF(ISNUMBER(C368),C368^3,"")</x:f>
        <x:v>7.300363726608608e-7</x:v>
      </x:c>
      <x:c r="F368" s="15" t="n">
        <x:f>IF(ISNUMBER(C368),C368^4,"")</x:f>
        <x:v>6.573439417689382e-9</x:v>
      </x:c>
      <x:c r="G368" s="7" t="n">
        <x:f>IF(ISNUMBER(B368),ABS(B368),"")</x:f>
        <x:v>0.008956023561565612</x:v>
      </x:c>
      <x:c r="H368" s="7" t="n">
        <x:f>IF(ISNUMBER(B368),B368^2,"")</x:f>
        <x:v>0.00008021035803531839</x:v>
      </x:c>
      <x:c r="I368" s="7" t="n">
        <x:f>IF(AND(ISNUMBER(G368),'요약'!$B$19),G368-'요약'!$B$14,"")</x:f>
        <x:v>0.0009425069341627568</x:v>
      </x:c>
      <x:c r="J368" s="7" t="n">
        <x:f>IF(AND(ISNUMBER(H368),'요약'!$B$19),H368-'요약'!$B$15,"")</x:f>
        <x:v>-0.000021999341150773718</x:v>
      </x:c>
      <x:c r="K368" t="str">
        <x:f>IF(ISNUMBER(B368),IF('Hill'!$B$4=1,IF(B368&lt;0,-B368,""),IF('Hill'!$B$4=2,IF(B368&gt;0,B368,""),IF('Hill'!$B$4=3,IF(B368&lt;&gt;0,ABS(B368),""),""))),"")</x:f>
      </x:c>
    </x:row>
    <x:row r="369">
      <x:c r="A369" t="n">
        <x:f>368</x:f>
        <x:v>368</x:v>
      </x:c>
      <x:c r="B369" s="7" t="n">
        <x:f>IF('요약'!$B$4=4,IF(ISNUMBER('input'!A369),'input'!A369,""),IF(368&lt;=1000,CHOOSE('요약'!$B$4,'input'!B369,'input'!C369,'input'!D369),""))</x:f>
        <x:v>0.010947704810494889</x:v>
      </x:c>
      <x:c r="C369" s="7" t="n">
        <x:f>IF(AND(ISNUMBER(B369),'요약'!$B$19),B369-'요약'!$B$7,"")</x:f>
        <x:v>0.01099594413754439</x:v>
      </x:c>
      <x:c r="D369" s="7" t="n">
        <x:f>IF(ISNUMBER(C369),C369^2,"")</x:f>
        <x:v>0.00012091078747599682</x:v>
      </x:c>
      <x:c r="E369" s="15" t="n">
        <x:f>IF(ISNUMBER(C369),C369^3,"")</x:f>
        <x:v>0.000001329528264712563</x:v>
      </x:c>
      <x:c r="F369" s="15" t="n">
        <x:f>IF(ISNUMBER(C369),C369^4,"")</x:f>
        <x:v>1.4619418528065672e-8</x:v>
      </x:c>
      <x:c r="G369" s="7" t="n">
        <x:f>IF(ISNUMBER(B369),ABS(B369),"")</x:f>
        <x:v>0.010947704810494889</x:v>
      </x:c>
      <x:c r="H369" s="7" t="n">
        <x:f>IF(ISNUMBER(B369),B369^2,"")</x:f>
        <x:v>0.00011985224061773294</x:v>
      </x:c>
      <x:c r="I369" s="7" t="n">
        <x:f>IF(AND(ISNUMBER(G369),'요약'!$B$19),G369-'요약'!$B$14,"")</x:f>
        <x:v>0.0029341881830920336</x:v>
      </x:c>
      <x:c r="J369" s="7" t="n">
        <x:f>IF(AND(ISNUMBER(H369),'요약'!$B$19),H369-'요약'!$B$15,"")</x:f>
        <x:v>0.000017642541431640832</x:v>
      </x:c>
      <x:c r="K369" t="str">
        <x:f>IF(ISNUMBER(B369),IF('Hill'!$B$4=1,IF(B369&lt;0,-B369,""),IF('Hill'!$B$4=2,IF(B369&gt;0,B369,""),IF('Hill'!$B$4=3,IF(B369&lt;&gt;0,ABS(B369),""),""))),"")</x:f>
      </x:c>
    </x:row>
    <x:row r="370">
      <x:c r="A370" t="n">
        <x:f>369</x:f>
        <x:v>369</x:v>
      </x:c>
      <x:c r="B370" s="7" t="n">
        <x:f>IF('요약'!$B$4=4,IF(ISNUMBER('input'!A370),'input'!A370,""),IF(369&lt;=1000,CHOOSE('요약'!$B$4,'input'!B370,'input'!C370,'input'!D370),""))</x:f>
        <x:v>0.0042826193851645015</x:v>
      </x:c>
      <x:c r="C370" s="7" t="n">
        <x:f>IF(AND(ISNUMBER(B370),'요약'!$B$19),B370-'요약'!$B$7,"")</x:f>
        <x:v>0.004330858712214003</x:v>
      </x:c>
      <x:c r="D370" s="7" t="n">
        <x:f>IF(ISNUMBER(C370),C370^2,"")</x:f>
        <x:v>0.00001875633718515993</x:v>
      </x:c>
      <x:c r="E370" s="15" t="n">
        <x:f>IF(ISNUMBER(C370),C370^3,"")</x:f>
        <x:v>8.123104630757336e-8</x:v>
      </x:c>
      <x:c r="F370" s="15" t="n">
        <x:f>IF(ISNUMBER(C370),C370^4,"")</x:f>
        <x:v>3.5180018460341323e-10</x:v>
      </x:c>
      <x:c r="G370" s="7" t="n">
        <x:f>IF(ISNUMBER(B370),ABS(B370),"")</x:f>
        <x:v>0.0042826193851645015</x:v>
      </x:c>
      <x:c r="H370" s="7" t="n">
        <x:f>IF(ISNUMBER(B370),B370^2,"")</x:f>
        <x:v>0.000018340828798186772</x:v>
      </x:c>
      <x:c r="I370" s="7" t="n">
        <x:f>IF(AND(ISNUMBER(G370),'요약'!$B$19),G370-'요약'!$B$14,"")</x:f>
        <x:v>-0.003730897242238354</x:v>
      </x:c>
      <x:c r="J370" s="7" t="n">
        <x:f>IF(AND(ISNUMBER(H370),'요약'!$B$19),H370-'요약'!$B$15,"")</x:f>
        <x:v>-0.00008386887038790534</x:v>
      </x:c>
      <x:c r="K370" t="str">
        <x:f>IF(ISNUMBER(B370),IF('Hill'!$B$4=1,IF(B370&lt;0,-B370,""),IF('Hill'!$B$4=2,IF(B370&gt;0,B370,""),IF('Hill'!$B$4=3,IF(B370&lt;&gt;0,ABS(B370),""),""))),"")</x:f>
      </x:c>
    </x:row>
    <x:row r="371">
      <x:c r="A371" t="n">
        <x:f>370</x:f>
        <x:v>370</x:v>
      </x:c>
      <x:c r="B371" s="7" t="n">
        <x:f>IF('요약'!$B$4=4,IF(ISNUMBER('input'!A371),'input'!A371,""),IF(370&lt;=1000,CHOOSE('요약'!$B$4,'input'!B371,'input'!C371,'input'!D371),""))</x:f>
        <x:v>-0.0003472179916227781</x:v>
      </x:c>
      <x:c r="C371" s="7" t="n">
        <x:f>IF(AND(ISNUMBER(B371),'요약'!$B$19),B371-'요약'!$B$7,"")</x:f>
        <x:v>-0.00029897866457327676</x:v>
      </x:c>
      <x:c r="D371" s="7" t="n">
        <x:f>IF(ISNUMBER(C371),C371^2,"")</x:f>
        <x:v>8.938824187001993e-8</x:v>
      </x:c>
      <x:c r="E371" s="15" t="n">
        <x:f>IF(ISNUMBER(C371),C371^3,"")</x:f>
        <x:v>-2.6725177182851624e-11</x:v>
      </x:c>
      <x:c r="F371" s="15" t="n">
        <x:f>IF(ISNUMBER(C371),C371^4,"")</x:f>
        <x:v>7.990257784613186e-15</x:v>
      </x:c>
      <x:c r="G371" s="7" t="n">
        <x:f>IF(ISNUMBER(B371),ABS(B371),"")</x:f>
        <x:v>0.0003472179916227781</x:v>
      </x:c>
      <x:c r="H371" s="7" t="n">
        <x:f>IF(ISNUMBER(B371),B371^2,"")</x:f>
        <x:v>1.205603337065556e-7</x:v>
      </x:c>
      <x:c r="I371" s="7" t="n">
        <x:f>IF(AND(ISNUMBER(G371),'요약'!$B$19),G371-'요약'!$B$14,"")</x:f>
        <x:v>-0.007666298635780077</x:v>
      </x:c>
      <x:c r="J371" s="7" t="n">
        <x:f>IF(AND(ISNUMBER(H371),'요약'!$B$19),H371-'요약'!$B$15,"")</x:f>
        <x:v>-0.00010208913885238555</x:v>
      </x:c>
      <x:c r="K371" t="n">
        <x:f>IF(ISNUMBER(B371),IF('Hill'!$B$4=1,IF(B371&lt;0,-B371,""),IF('Hill'!$B$4=2,IF(B371&gt;0,B371,""),IF('Hill'!$B$4=3,IF(B371&lt;&gt;0,ABS(B371),""),""))),"")</x:f>
        <x:v>0.0003472179916227781</x:v>
      </x:c>
    </x:row>
    <x:row r="372">
      <x:c r="A372" t="n">
        <x:f>371</x:f>
        <x:v>371</x:v>
      </x:c>
      <x:c r="B372" s="7" t="n">
        <x:f>IF('요약'!$B$4=4,IF(ISNUMBER('input'!A372),'input'!A372,""),IF(371&lt;=1000,CHOOSE('요약'!$B$4,'input'!B372,'input'!C372,'input'!D372),""))</x:f>
        <x:v>0.007326194600390143</x:v>
      </x:c>
      <x:c r="C372" s="7" t="n">
        <x:f>IF(AND(ISNUMBER(B372),'요약'!$B$19),B372-'요약'!$B$7,"")</x:f>
        <x:v>0.007374433927439645</x:v>
      </x:c>
      <x:c r="D372" s="7" t="n">
        <x:f>IF(ISNUMBER(C372),C372^2,"")</x:f>
        <x:v>0.0000543822757501729</x:v>
      </x:c>
      <x:c r="E372" s="15" t="n">
        <x:f>IF(ISNUMBER(C372),C372^3,"")</x:f>
        <x:v>4.0103849934345334e-7</x:v>
      </x:c>
      <x:c r="F372" s="15" t="n">
        <x:f>IF(ISNUMBER(C372),C372^4,"")</x:f>
        <x:v>2.9574319157678438e-9</x:v>
      </x:c>
      <x:c r="G372" s="7" t="n">
        <x:f>IF(ISNUMBER(B372),ABS(B372),"")</x:f>
        <x:v>0.007326194600390143</x:v>
      </x:c>
      <x:c r="H372" s="7" t="n">
        <x:f>IF(ISNUMBER(B372),B372^2,"")</x:f>
        <x:v>0.00005367312732278569</x:v>
      </x:c>
      <x:c r="I372" s="7" t="n">
        <x:f>IF(AND(ISNUMBER(G372),'요약'!$B$19),G372-'요약'!$B$14,"")</x:f>
        <x:v>-0.0006873220270127121</x:v>
      </x:c>
      <x:c r="J372" s="7" t="n">
        <x:f>IF(AND(ISNUMBER(H372),'요약'!$B$19),H372-'요약'!$B$15,"")</x:f>
        <x:v>-0.000048536571863306415</x:v>
      </x:c>
      <x:c r="K372" t="str">
        <x:f>IF(ISNUMBER(B372),IF('Hill'!$B$4=1,IF(B372&lt;0,-B372,""),IF('Hill'!$B$4=2,IF(B372&gt;0,B372,""),IF('Hill'!$B$4=3,IF(B372&lt;&gt;0,ABS(B372),""),""))),"")</x:f>
      </x:c>
    </x:row>
    <x:row r="373">
      <x:c r="A373" t="n">
        <x:f>372</x:f>
        <x:v>372</x:v>
      </x:c>
      <x:c r="B373" s="7" t="n">
        <x:f>IF('요약'!$B$4=4,IF(ISNUMBER('input'!A373),'input'!A373,""),IF(372&lt;=1000,CHOOSE('요약'!$B$4,'input'!B373,'input'!C373,'input'!D373),""))</x:f>
        <x:v>0.019172292363179994</x:v>
      </x:c>
      <x:c r="C373" s="7" t="n">
        <x:f>IF(AND(ISNUMBER(B373),'요약'!$B$19),B373-'요약'!$B$7,"")</x:f>
        <x:v>0.019220531690229494</x:v>
      </x:c>
      <x:c r="D373" s="7" t="n">
        <x:f>IF(ISNUMBER(C373),C373^2,"")</x:f>
        <x:v>0.00036942883845511625</x:v>
      </x:c>
      <x:c r="E373" s="15" t="n">
        <x:f>IF(ISNUMBER(C373),C373^3,"")</x:f>
        <x:v>0.000007100618696811234</x:v>
      </x:c>
      <x:c r="F373" s="15" t="n">
        <x:f>IF(ISNUMBER(C373),C373^4,"")</x:f>
        <x:v>1.364776666822964e-7</x:v>
      </x:c>
      <x:c r="G373" s="7" t="n">
        <x:f>IF(ISNUMBER(B373),ABS(B373),"")</x:f>
        <x:v>0.019172292363179994</x:v>
      </x:c>
      <x:c r="H373" s="7" t="n">
        <x:f>IF(ISNUMBER(B373),B373^2,"")</x:f>
        <x:v>0.0003675767944592499</x:v>
      </x:c>
      <x:c r="I373" s="7" t="n">
        <x:f>IF(AND(ISNUMBER(G373),'요약'!$B$19),G373-'요약'!$B$14,"")</x:f>
        <x:v>0.011158775735777138</x:v>
      </x:c>
      <x:c r="J373" s="7" t="n">
        <x:f>IF(AND(ISNUMBER(H373),'요약'!$B$19),H373-'요약'!$B$15,"")</x:f>
        <x:v>0.0002653670952731578</x:v>
      </x:c>
      <x:c r="K373" t="str">
        <x:f>IF(ISNUMBER(B373),IF('Hill'!$B$4=1,IF(B373&lt;0,-B373,""),IF('Hill'!$B$4=2,IF(B373&gt;0,B373,""),IF('Hill'!$B$4=3,IF(B373&lt;&gt;0,ABS(B373),""),""))),"")</x:f>
      </x:c>
    </x:row>
    <x:row r="374">
      <x:c r="A374" t="n">
        <x:f>373</x:f>
        <x:v>373</x:v>
      </x:c>
      <x:c r="B374" s="7" t="n">
        <x:f>IF('요약'!$B$4=4,IF(ISNUMBER('input'!A374),'input'!A374,""),IF(373&lt;=1000,CHOOSE('요약'!$B$4,'input'!B374,'input'!C374,'input'!D374),""))</x:f>
        <x:v>0.0012233360061156937</x:v>
      </x:c>
      <x:c r="C374" s="7" t="n">
        <x:f>IF(AND(ISNUMBER(B374),'요약'!$B$19),B374-'요약'!$B$7,"")</x:f>
        <x:v>0.0012715753331651951</x:v>
      </x:c>
      <x:c r="D374" s="7" t="n">
        <x:f>IF(ISNUMBER(C374),C374^2,"")</x:f>
        <x:v>0.000001616903827914177</x:v>
      </x:c>
      <x:c r="E374" s="15" t="n">
        <x:f>IF(ISNUMBER(C374),C374^3,"")</x:f>
        <x:v>2.056015023676049e-9</x:v>
      </x:c>
      <x:c r="F374" s="15" t="n">
        <x:f>IF(ISNUMBER(C374),C374^4,"")</x:f>
        <x:v>2.6143779887235185e-12</x:v>
      </x:c>
      <x:c r="G374" s="7" t="n">
        <x:f>IF(ISNUMBER(B374),ABS(B374),"")</x:f>
        <x:v>0.0012233360061156937</x:v>
      </x:c>
      <x:c r="H374" s="7" t="n">
        <x:f>IF(ISNUMBER(B374),B374^2,"")</x:f>
        <x:v>0.0000014965509838590966</x:v>
      </x:c>
      <x:c r="I374" s="7" t="n">
        <x:f>IF(AND(ISNUMBER(G374),'요약'!$B$19),G374-'요약'!$B$14,"")</x:f>
        <x:v>-0.006790180621287162</x:v>
      </x:c>
      <x:c r="J374" s="7" t="n">
        <x:f>IF(AND(ISNUMBER(H374),'요약'!$B$19),H374-'요약'!$B$15,"")</x:f>
        <x:v>-0.000100713148202233</x:v>
      </x:c>
      <x:c r="K374" t="str">
        <x:f>IF(ISNUMBER(B374),IF('Hill'!$B$4=1,IF(B374&lt;0,-B374,""),IF('Hill'!$B$4=2,IF(B374&gt;0,B374,""),IF('Hill'!$B$4=3,IF(B374&lt;&gt;0,ABS(B374),""),""))),"")</x:f>
      </x:c>
    </x:row>
    <x:row r="375">
      <x:c r="A375" t="n">
        <x:f>374</x:f>
        <x:v>374</x:v>
      </x:c>
      <x:c r="B375" s="7" t="n">
        <x:f>IF('요약'!$B$4=4,IF(ISNUMBER('input'!A375),'input'!A375,""),IF(374&lt;=1000,CHOOSE('요약'!$B$4,'input'!B375,'input'!C375,'input'!D375),""))</x:f>
        <x:v>-0.003343110391344389</x:v>
      </x:c>
      <x:c r="C375" s="7" t="n">
        <x:f>IF(AND(ISNUMBER(B375),'요약'!$B$19),B375-'요약'!$B$7,"")</x:f>
        <x:v>-0.0032948710642948876</x:v>
      </x:c>
      <x:c r="D375" s="7" t="n">
        <x:f>IF(ISNUMBER(C375),C375^2,"")</x:f>
        <x:v>0.000010856175330327724</x:v>
      </x:c>
      <x:c r="E375" s="15" t="n">
        <x:f>IF(ISNUMBER(C375),C375^3,"")</x:f>
        <x:v>-3.576969796480882e-8</x:v>
      </x:c>
      <x:c r="F375" s="15" t="n">
        <x:f>IF(ISNUMBER(C375),C375^4,"")</x:f>
        <x:v>1.178565428028163e-10</x:v>
      </x:c>
      <x:c r="G375" s="7" t="n">
        <x:f>IF(ISNUMBER(B375),ABS(B375),"")</x:f>
        <x:v>0.003343110391344389</x:v>
      </x:c>
      <x:c r="H375" s="7" t="n">
        <x:f>IF(ISNUMBER(B375),B375^2,"")</x:f>
        <x:v>0.000011176387088714834</x:v>
      </x:c>
      <x:c r="I375" s="7" t="n">
        <x:f>IF(AND(ISNUMBER(G375),'요약'!$B$19),G375-'요약'!$B$14,"")</x:f>
        <x:v>-0.004670406236058466</x:v>
      </x:c>
      <x:c r="J375" s="7" t="n">
        <x:f>IF(AND(ISNUMBER(H375),'요약'!$B$19),H375-'요약'!$B$15,"")</x:f>
        <x:v>-0.00009103331209737727</x:v>
      </x:c>
      <x:c r="K375" t="n">
        <x:f>IF(ISNUMBER(B375),IF('Hill'!$B$4=1,IF(B375&lt;0,-B375,""),IF('Hill'!$B$4=2,IF(B375&gt;0,B375,""),IF('Hill'!$B$4=3,IF(B375&lt;&gt;0,ABS(B375),""),""))),"")</x:f>
        <x:v>0.003343110391344389</x:v>
      </x:c>
    </x:row>
    <x:row r="376">
      <x:c r="A376" t="n">
        <x:f>375</x:f>
        <x:v>375</x:v>
      </x:c>
      <x:c r="B376" s="7" t="n">
        <x:f>IF('요약'!$B$4=4,IF(ISNUMBER('input'!A376),'input'!A376,""),IF(375&lt;=1000,CHOOSE('요약'!$B$4,'input'!B376,'input'!C376,'input'!D376),""))</x:f>
        <x:v>-0.004686771536345569</x:v>
      </x:c>
      <x:c r="C376" s="7" t="n">
        <x:f>IF(AND(ISNUMBER(B376),'요약'!$B$19),B376-'요약'!$B$7,"")</x:f>
        <x:v>-0.004638532209296067</x:v>
      </x:c>
      <x:c r="D376" s="7" t="n">
        <x:f>IF(ISNUMBER(C376),C376^2,"")</x:f>
        <x:v>0.000021515981056677055</x:v>
      </x:c>
      <x:c r="E376" s="15" t="n">
        <x:f>IF(ISNUMBER(C376),C376^3,"")</x:f>
        <x:v>-9.980257114600056e-8</x:v>
      </x:c>
      <x:c r="F376" s="15" t="n">
        <x:f>IF(ISNUMBER(C376),C376^4,"")</x:f>
        <x:v>4.629374408312859e-10</x:v>
      </x:c>
      <x:c r="G376" s="7" t="n">
        <x:f>IF(ISNUMBER(B376),ABS(B376),"")</x:f>
        <x:v>0.004686771536345569</x:v>
      </x:c>
      <x:c r="H376" s="7" t="n">
        <x:f>IF(ISNUMBER(B376),B376^2,"")</x:f>
        <x:v>0.000021965827433899003</x:v>
      </x:c>
      <x:c r="I376" s="7" t="n">
        <x:f>IF(AND(ISNUMBER(G376),'요약'!$B$19),G376-'요약'!$B$14,"")</x:f>
        <x:v>-0.0033267450910572866</x:v>
      </x:c>
      <x:c r="J376" s="7" t="n">
        <x:f>IF(AND(ISNUMBER(H376),'요약'!$B$19),H376-'요약'!$B$15,"")</x:f>
        <x:v>-0.00008024387175219311</x:v>
      </x:c>
      <x:c r="K376" t="n">
        <x:f>IF(ISNUMBER(B376),IF('Hill'!$B$4=1,IF(B376&lt;0,-B376,""),IF('Hill'!$B$4=2,IF(B376&gt;0,B376,""),IF('Hill'!$B$4=3,IF(B376&lt;&gt;0,ABS(B376),""),""))),"")</x:f>
        <x:v>0.004686771536345569</x:v>
      </x:c>
    </x:row>
    <x:row r="377">
      <x:c r="A377" t="n">
        <x:f>376</x:f>
        <x:v>376</x:v>
      </x:c>
      <x:c r="B377" s="7" t="n">
        <x:f>IF('요약'!$B$4=4,IF(ISNUMBER('input'!A377),'input'!A377,""),IF(376&lt;=1000,CHOOSE('요약'!$B$4,'input'!B377,'input'!C377,'input'!D377),""))</x:f>
        <x:v>-0.005599517875712533</x:v>
      </x:c>
      <x:c r="C377" s="7" t="n">
        <x:f>IF(AND(ISNUMBER(B377),'요약'!$B$19),B377-'요약'!$B$7,"")</x:f>
        <x:v>-0.0055512785486630314</x:v>
      </x:c>
      <x:c r="D377" s="7" t="n">
        <x:f>IF(ISNUMBER(C377),C377^2,"")</x:f>
        <x:v>0.000030816693524846334</x:v>
      </x:c>
      <x:c r="E377" s="15" t="n">
        <x:f>IF(ISNUMBER(C377),C377^3,"")</x:f>
        <x:v>-1.710720497052024e-7</x:v>
      </x:c>
      <x:c r="F377" s="15" t="n">
        <x:f>IF(ISNUMBER(C377),C377^4,"")</x:f>
        <x:v>9.496685998043059e-10</x:v>
      </x:c>
      <x:c r="G377" s="7" t="n">
        <x:f>IF(ISNUMBER(B377),ABS(B377),"")</x:f>
        <x:v>0.005599517875712533</x:v>
      </x:c>
      <x:c r="H377" s="7" t="n">
        <x:f>IF(ISNUMBER(B377),B377^2,"")</x:f>
        <x:v>0.0000313546004404242</x:v>
      </x:c>
      <x:c r="I377" s="7" t="n">
        <x:f>IF(AND(ISNUMBER(G377),'요약'!$B$19),G377-'요약'!$B$14,"")</x:f>
        <x:v>-0.0024139987516903225</x:v>
      </x:c>
      <x:c r="J377" s="7" t="n">
        <x:f>IF(AND(ISNUMBER(H377),'요약'!$B$19),H377-'요약'!$B$15,"")</x:f>
        <x:v>-0.0000708550987456679</x:v>
      </x:c>
      <x:c r="K377" t="n">
        <x:f>IF(ISNUMBER(B377),IF('Hill'!$B$4=1,IF(B377&lt;0,-B377,""),IF('Hill'!$B$4=2,IF(B377&gt;0,B377,""),IF('Hill'!$B$4=3,IF(B377&lt;&gt;0,ABS(B377),""),""))),"")</x:f>
        <x:v>0.005599517875712533</x:v>
      </x:c>
    </x:row>
    <x:row r="378">
      <x:c r="A378" t="n">
        <x:f>377</x:f>
        <x:v>377</x:v>
      </x:c>
      <x:c r="B378" s="7" t="n">
        <x:f>IF('요약'!$B$4=4,IF(ISNUMBER('input'!A378),'input'!A378,""),IF(377&lt;=1000,CHOOSE('요약'!$B$4,'input'!B378,'input'!C378,'input'!D378),""))</x:f>
        <x:v>-0.014796993086359131</x:v>
      </x:c>
      <x:c r="C378" s="7" t="n">
        <x:f>IF(AND(ISNUMBER(B378),'요약'!$B$19),B378-'요약'!$B$7,"")</x:f>
        <x:v>-0.01474875375930963</x:v>
      </x:c>
      <x:c r="D378" s="7" t="n">
        <x:f>IF(ISNUMBER(C378),C378^2,"")</x:f>
        <x:v>0.00021752573745274995</x:v>
      </x:c>
      <x:c r="E378" s="15" t="n">
        <x:f>IF(ISNUMBER(C378),C378^3,"")</x:f>
        <x:v>-0.0000032082335380028456</x:v>
      </x:c>
      <x:c r="F378" s="15" t="n">
        <x:f>IF(ISNUMBER(C378),C378^4,"")</x:f>
        <x:v>4.731744645436271e-8</x:v>
      </x:c>
      <x:c r="G378" s="7" t="n">
        <x:f>IF(ISNUMBER(B378),ABS(B378),"")</x:f>
        <x:v>0.014796993086359131</x:v>
      </x:c>
      <x:c r="H378" s="7" t="n">
        <x:f>IF(ISNUMBER(B378),B378^2,"")</x:f>
        <x:v>0.00021895100439775993</x:v>
      </x:c>
      <x:c r="I378" s="7" t="n">
        <x:f>IF(AND(ISNUMBER(G378),'요약'!$B$19),G378-'요약'!$B$14,"")</x:f>
        <x:v>0.006783476458956276</x:v>
      </x:c>
      <x:c r="J378" s="7" t="n">
        <x:f>IF(AND(ISNUMBER(H378),'요약'!$B$19),H378-'요약'!$B$15,"")</x:f>
        <x:v>0.00011674130521166783</x:v>
      </x:c>
      <x:c r="K378" t="n">
        <x:f>IF(ISNUMBER(B378),IF('Hill'!$B$4=1,IF(B378&lt;0,-B378,""),IF('Hill'!$B$4=2,IF(B378&gt;0,B378,""),IF('Hill'!$B$4=3,IF(B378&lt;&gt;0,ABS(B378),""),""))),"")</x:f>
        <x:v>0.014796993086359131</x:v>
      </x:c>
    </x:row>
    <x:row r="379">
      <x:c r="A379" t="n">
        <x:f>378</x:f>
        <x:v>378</x:v>
      </x:c>
      <x:c r="B379" s="7" t="n">
        <x:f>IF('요약'!$B$4=4,IF(ISNUMBER('input'!A379),'input'!A379,""),IF(378&lt;=1000,CHOOSE('요약'!$B$4,'input'!B379,'input'!C379,'input'!D379),""))</x:f>
        <x:v>0.006714217548258947</x:v>
      </x:c>
      <x:c r="C379" s="7" t="n">
        <x:f>IF(AND(ISNUMBER(B379),'요약'!$B$19),B379-'요약'!$B$7,"")</x:f>
        <x:v>0.006762456875308448</x:v>
      </x:c>
      <x:c r="D379" s="7" t="n">
        <x:f>IF(ISNUMBER(C379),C379^2,"")</x:f>
        <x:v>0.0000457308229904065</x:v>
      </x:c>
      <x:c r="E379" s="15" t="n">
        <x:f>IF(ISNUMBER(C379),C379^3,"")</x:f>
        <x:v>3.092527183449881e-7</x:v>
      </x:c>
      <x:c r="F379" s="15" t="n">
        <x:f>IF(ISNUMBER(C379),C379^4,"")</x:f>
        <x:v>2.0913081713798917e-9</x:v>
      </x:c>
      <x:c r="G379" s="7" t="n">
        <x:f>IF(ISNUMBER(B379),ABS(B379),"")</x:f>
        <x:v>0.006714217548258947</x:v>
      </x:c>
      <x:c r="H379" s="7" t="n">
        <x:f>IF(ISNUMBER(B379),B379^2,"")</x:f>
        <x:v>0.00004508071728534838</x:v>
      </x:c>
      <x:c r="I379" s="7" t="n">
        <x:f>IF(AND(ISNUMBER(G379),'요약'!$B$19),G379-'요약'!$B$14,"")</x:f>
        <x:v>-0.0012992990791439087</x:v>
      </x:c>
      <x:c r="J379" s="7" t="n">
        <x:f>IF(AND(ISNUMBER(H379),'요약'!$B$19),H379-'요약'!$B$15,"")</x:f>
        <x:v>-0.00005712898190074372</x:v>
      </x:c>
      <x:c r="K379" t="str">
        <x:f>IF(ISNUMBER(B379),IF('Hill'!$B$4=1,IF(B379&lt;0,-B379,""),IF('Hill'!$B$4=2,IF(B379&gt;0,B379,""),IF('Hill'!$B$4=3,IF(B379&lt;&gt;0,ABS(B379),""),""))),"")</x:f>
      </x:c>
    </x:row>
    <x:row r="380">
      <x:c r="A380" t="n">
        <x:f>379</x:f>
        <x:v>379</x:v>
      </x:c>
      <x:c r="B380" s="7" t="n">
        <x:f>IF('요약'!$B$4=4,IF(ISNUMBER('input'!A380),'input'!A380,""),IF(379&lt;=1000,CHOOSE('요약'!$B$4,'input'!B380,'input'!C380,'input'!D380),""))</x:f>
        <x:v>0.006616886608849513</x:v>
      </x:c>
      <x:c r="C380" s="7" t="n">
        <x:f>IF(AND(ISNUMBER(B380),'요약'!$B$19),B380-'요약'!$B$7,"")</x:f>
        <x:v>0.006665125935899015</x:v>
      </x:c>
      <x:c r="D380" s="7" t="n">
        <x:f>IF(ISNUMBER(C380),C380^2,"")</x:f>
        <x:v>0.00004442390374139372</x:v>
      </x:c>
      <x:c r="E380" s="15" t="n">
        <x:f>IF(ISNUMBER(C380),C380^3,"")</x:f>
        <x:v>2.960909130006445e-7</x:v>
      </x:c>
      <x:c r="F380" s="15" t="n">
        <x:f>IF(ISNUMBER(C380),C380^4,"")</x:f>
        <x:v>1.9734832236246144e-9</x:v>
      </x:c>
      <x:c r="G380" s="7" t="n">
        <x:f>IF(ISNUMBER(B380),ABS(B380),"")</x:f>
        <x:v>0.006616886608849513</x:v>
      </x:c>
      <x:c r="H380" s="7" t="n">
        <x:f>IF(ISNUMBER(B380),B380^2,"")</x:f>
        <x:v>0.000043783188394372006</x:v>
      </x:c>
      <x:c r="I380" s="7" t="n">
        <x:f>IF(AND(ISNUMBER(G380),'요약'!$B$19),G380-'요약'!$B$14,"")</x:f>
        <x:v>-0.0013966300185533423</x:v>
      </x:c>
      <x:c r="J380" s="7" t="n">
        <x:f>IF(AND(ISNUMBER(H380),'요약'!$B$19),H380-'요약'!$B$15,"")</x:f>
        <x:v>-0.0000584265107917201</x:v>
      </x:c>
      <x:c r="K380" t="str">
        <x:f>IF(ISNUMBER(B380),IF('Hill'!$B$4=1,IF(B380&lt;0,-B380,""),IF('Hill'!$B$4=2,IF(B380&gt;0,B380,""),IF('Hill'!$B$4=3,IF(B380&lt;&gt;0,ABS(B380),""),""))),"")</x:f>
      </x:c>
    </x:row>
    <x:row r="381">
      <x:c r="A381" t="n">
        <x:f>380</x:f>
        <x:v>380</x:v>
      </x:c>
      <x:c r="B381" s="7" t="n">
        <x:f>IF('요약'!$B$4=4,IF(ISNUMBER('input'!A381),'input'!A381,""),IF(380&lt;=1000,CHOOSE('요약'!$B$4,'input'!B381,'input'!C381,'input'!D381),""))</x:f>
        <x:v>-0.021148912506557326</x:v>
      </x:c>
      <x:c r="C381" s="7" t="n">
        <x:f>IF(AND(ISNUMBER(B381),'요약'!$B$19),B381-'요약'!$B$7,"")</x:f>
        <x:v>-0.021100673179507826</x:v>
      </x:c>
      <x:c r="D381" s="7" t="n">
        <x:f>IF(ISNUMBER(C381),C381^2,"")</x:f>
        <x:v>0.0004452384086284009</x:v>
      </x:c>
      <x:c r="E381" s="15" t="n">
        <x:f>IF(ISNUMBER(C381),C381^3,"")</x:f>
        <x:v>-0.000009394830147432045</x:v>
      </x:c>
      <x:c r="F381" s="15" t="n">
        <x:f>IF(ISNUMBER(C381),C381^4,"")</x:f>
        <x:v>1.9823724051795088e-7</x:v>
      </x:c>
      <x:c r="G381" s="7" t="n">
        <x:f>IF(ISNUMBER(B381),ABS(B381),"")</x:f>
        <x:v>0.021148912506557326</x:v>
      </x:c>
      <x:c r="H381" s="7" t="n">
        <x:f>IF(ISNUMBER(B381),B381^2,"")</x:f>
        <x:v>0.0004472765002100169</x:v>
      </x:c>
      <x:c r="I381" s="7" t="n">
        <x:f>IF(AND(ISNUMBER(G381),'요약'!$B$19),G381-'요약'!$B$14,"")</x:f>
        <x:v>0.01313539587915447</x:v>
      </x:c>
      <x:c r="J381" s="7" t="n">
        <x:f>IF(AND(ISNUMBER(H381),'요약'!$B$19),H381-'요약'!$B$15,"")</x:f>
        <x:v>0.0003450668010239248</x:v>
      </x:c>
      <x:c r="K381" t="n">
        <x:f>IF(ISNUMBER(B381),IF('Hill'!$B$4=1,IF(B381&lt;0,-B381,""),IF('Hill'!$B$4=2,IF(B381&gt;0,B381,""),IF('Hill'!$B$4=3,IF(B381&lt;&gt;0,ABS(B381),""),""))),"")</x:f>
        <x:v>0.021148912506557326</x:v>
      </x:c>
    </x:row>
    <x:row r="382">
      <x:c r="A382" t="n">
        <x:f>381</x:f>
        <x:v>381</x:v>
      </x:c>
      <x:c r="B382" s="7" t="n">
        <x:f>IF('요약'!$B$4=4,IF(ISNUMBER('input'!A382),'input'!A382,""),IF(381&lt;=1000,CHOOSE('요약'!$B$4,'input'!B382,'input'!C382,'input'!D382),""))</x:f>
        <x:v>0.003929285858830593</x:v>
      </x:c>
      <x:c r="C382" s="7" t="n">
        <x:f>IF(AND(ISNUMBER(B382),'요약'!$B$19),B382-'요약'!$B$7,"")</x:f>
        <x:v>0.003977525185880094</x:v>
      </x:c>
      <x:c r="D382" s="7" t="n">
        <x:f>IF(ISNUMBER(C382),C382^2,"")</x:f>
        <x:v>0.000015820706604310478</x:v>
      </x:c>
      <x:c r="E382" s="15" t="n">
        <x:f>IF(ISNUMBER(C382),C382^3,"")</x:f>
        <x:v>6.292725897706447e-8</x:v>
      </x:c>
      <x:c r="F382" s="15" t="n">
        <x:f>IF(ISNUMBER(C382),C382^4,"")</x:f>
        <x:v>2.502947574596732e-10</x:v>
      </x:c>
      <x:c r="G382" s="7" t="n">
        <x:f>IF(ISNUMBER(B382),ABS(B382),"")</x:f>
        <x:v>0.003929285858830593</x:v>
      </x:c>
      <x:c r="H382" s="7" t="n">
        <x:f>IF(ISNUMBER(B382),B382^2,"")</x:f>
        <x:v>0.00001543928736040607</x:v>
      </x:c>
      <x:c r="I382" s="7" t="n">
        <x:f>IF(AND(ISNUMBER(G382),'요약'!$B$19),G382-'요약'!$B$14,"")</x:f>
        <x:v>-0.004084230768572263</x:v>
      </x:c>
      <x:c r="J382" s="7" t="n">
        <x:f>IF(AND(ISNUMBER(H382),'요약'!$B$19),H382-'요약'!$B$15,"")</x:f>
        <x:v>-0.00008677041182568603</x:v>
      </x:c>
      <x:c r="K382" t="str">
        <x:f>IF(ISNUMBER(B382),IF('Hill'!$B$4=1,IF(B382&lt;0,-B382,""),IF('Hill'!$B$4=2,IF(B382&gt;0,B382,""),IF('Hill'!$B$4=3,IF(B382&lt;&gt;0,ABS(B382),""),""))),"")</x:f>
      </x:c>
    </x:row>
    <x:row r="383">
      <x:c r="A383" t="n">
        <x:f>382</x:f>
        <x:v>382</x:v>
      </x:c>
      <x:c r="B383" s="7" t="n">
        <x:f>IF('요약'!$B$4=4,IF(ISNUMBER('input'!A383),'input'!A383,""),IF(382&lt;=1000,CHOOSE('요약'!$B$4,'input'!B383,'input'!C383,'input'!D383),""))</x:f>
        <x:v>0.007846531058094929</x:v>
      </x:c>
      <x:c r="C383" s="7" t="n">
        <x:f>IF(AND(ISNUMBER(B383),'요약'!$B$19),B383-'요약'!$B$7,"")</x:f>
        <x:v>0.007894770385144429</x:v>
      </x:c>
      <x:c r="D383" s="7" t="n">
        <x:f>IF(ISNUMBER(C383),C383^2,"")</x:f>
        <x:v>0.00006232739943415352</x:v>
      </x:c>
      <x:c r="E383" s="15" t="n">
        <x:f>IF(ISNUMBER(C383),C383^3,"")</x:f>
        <x:v>4.920605072358229e-7</x:v>
      </x:c>
      <x:c r="F383" s="15" t="n">
        <x:f>IF(ISNUMBER(C383),C383^4,"")</x:f>
        <x:v>3.88470472022452e-9</x:v>
      </x:c>
      <x:c r="G383" s="7" t="n">
        <x:f>IF(ISNUMBER(B383),ABS(B383),"")</x:f>
        <x:v>0.007846531058094929</x:v>
      </x:c>
      <x:c r="H383" s="7" t="n">
        <x:f>IF(ISNUMBER(B383),B383^2,"")</x:f>
        <x:v>0.00006156804964564831</x:v>
      </x:c>
      <x:c r="I383" s="7" t="n">
        <x:f>IF(AND(ISNUMBER(G383),'요약'!$B$19),G383-'요약'!$B$14,"")</x:f>
        <x:v>-0.0001669855693079269</x:v>
      </x:c>
      <x:c r="J383" s="7" t="n">
        <x:f>IF(AND(ISNUMBER(H383),'요약'!$B$19),H383-'요약'!$B$15,"")</x:f>
        <x:v>-0.00004064164954044379</x:v>
      </x:c>
      <x:c r="K383" t="str">
        <x:f>IF(ISNUMBER(B383),IF('Hill'!$B$4=1,IF(B383&lt;0,-B383,""),IF('Hill'!$B$4=2,IF(B383&gt;0,B383,""),IF('Hill'!$B$4=3,IF(B383&lt;&gt;0,ABS(B383),""),""))),"")</x:f>
      </x:c>
    </x:row>
    <x:row r="384">
      <x:c r="A384" t="n">
        <x:f>383</x:f>
        <x:v>383</x:v>
      </x:c>
      <x:c r="B384" s="7" t="n">
        <x:f>IF('요약'!$B$4=4,IF(ISNUMBER('input'!A384),'input'!A384,""),IF(383&lt;=1000,CHOOSE('요약'!$B$4,'input'!B384,'input'!C384,'input'!D384),""))</x:f>
        <x:v>0.015975320689793716</x:v>
      </x:c>
      <x:c r="C384" s="7" t="n">
        <x:f>IF(AND(ISNUMBER(B384),'요약'!$B$19),B384-'요약'!$B$7,"")</x:f>
        <x:v>0.016023560016843217</x:v>
      </x:c>
      <x:c r="D384" s="7" t="n">
        <x:f>IF(ISNUMBER(C384),C384^2,"")</x:f>
        <x:v>0.0002567544756133766</x:v>
      </x:c>
      <x:c r="E384" s="15" t="n">
        <x:f>IF(ISNUMBER(C384),C384^3,"")</x:f>
        <x:v>0.000004114120749584048</x:v>
      </x:c>
      <x:c r="F384" s="15" t="n">
        <x:f>IF(ISNUMBER(C384),C384^4,"")</x:f>
        <x:v>6.59228607475e-8</x:v>
      </x:c>
      <x:c r="G384" s="7" t="n">
        <x:f>IF(ISNUMBER(B384),ABS(B384),"")</x:f>
        <x:v>0.015975320689793716</x:v>
      </x:c>
      <x:c r="H384" s="7" t="n">
        <x:f>IF(ISNUMBER(B384),B384^2,"")</x:f>
        <x:v>0.0002552108711417512</x:v>
      </x:c>
      <x:c r="I384" s="7" t="n">
        <x:f>IF(AND(ISNUMBER(G384),'요약'!$B$19),G384-'요약'!$B$14,"")</x:f>
        <x:v>0.007961804062390861</x:v>
      </x:c>
      <x:c r="J384" s="7" t="n">
        <x:f>IF(AND(ISNUMBER(H384),'요약'!$B$19),H384-'요약'!$B$15,"")</x:f>
        <x:v>0.0001530011719556591</x:v>
      </x:c>
      <x:c r="K384" t="str">
        <x:f>IF(ISNUMBER(B384),IF('Hill'!$B$4=1,IF(B384&lt;0,-B384,""),IF('Hill'!$B$4=2,IF(B384&gt;0,B384,""),IF('Hill'!$B$4=3,IF(B384&lt;&gt;0,ABS(B384),""),""))),"")</x:f>
      </x:c>
    </x:row>
    <x:row r="385">
      <x:c r="A385" t="n">
        <x:f>384</x:f>
        <x:v>384</x:v>
      </x:c>
      <x:c r="B385" s="7" t="n">
        <x:f>IF('요약'!$B$4=4,IF(ISNUMBER('input'!A385),'input'!A385,""),IF(384&lt;=1000,CHOOSE('요약'!$B$4,'input'!B385,'input'!C385,'input'!D385),""))</x:f>
        <x:v>-0.0019724192860706437</x:v>
      </x:c>
      <x:c r="C385" s="7" t="n">
        <x:f>IF(AND(ISNUMBER(B385),'요약'!$B$19),B385-'요약'!$B$7,"")</x:f>
        <x:v>-0.0019241799590211423</x:v>
      </x:c>
      <x:c r="D385" s="7" t="n">
        <x:f>IF(ISNUMBER(C385),C385^2,"")</x:f>
        <x:v>0.000003702468514698605</x:v>
      </x:c>
      <x:c r="E385" s="15" t="n">
        <x:f>IF(ISNUMBER(C385),C385^3,"")</x:f>
        <x:v>-7.124215714889831e-9</x:v>
      </x:c>
      <x:c r="F385" s="15" t="n">
        <x:f>IF(ISNUMBER(C385),C385^4,"")</x:f>
        <x:v>1.3708273102334493e-11</x:v>
      </x:c>
      <x:c r="G385" s="7" t="n">
        <x:f>IF(ISNUMBER(B385),ABS(B385),"")</x:f>
        <x:v>0.0019724192860706437</x:v>
      </x:c>
      <x:c r="H385" s="7" t="n">
        <x:f>IF(ISNUMBER(B385),B385^2,"")</x:f>
        <x:v>0.000003890437840063428</x:v>
      </x:c>
      <x:c r="I385" s="7" t="n">
        <x:f>IF(AND(ISNUMBER(G385),'요약'!$B$19),G385-'요약'!$B$14,"")</x:f>
        <x:v>-0.006041097341332211</x:v>
      </x:c>
      <x:c r="J385" s="7" t="n">
        <x:f>IF(AND(ISNUMBER(H385),'요약'!$B$19),H385-'요약'!$B$15,"")</x:f>
        <x:v>-0.00009831926134602867</x:v>
      </x:c>
      <x:c r="K385" t="n">
        <x:f>IF(ISNUMBER(B385),IF('Hill'!$B$4=1,IF(B385&lt;0,-B385,""),IF('Hill'!$B$4=2,IF(B385&gt;0,B385,""),IF('Hill'!$B$4=3,IF(B385&lt;&gt;0,ABS(B385),""),""))),"")</x:f>
        <x:v>0.0019724192860706437</x:v>
      </x:c>
    </x:row>
    <x:row r="386">
      <x:c r="A386" t="n">
        <x:f>385</x:f>
        <x:v>385</x:v>
      </x:c>
      <x:c r="B386" s="7" t="n">
        <x:f>IF('요약'!$B$4=4,IF(ISNUMBER('input'!A386),'input'!A386,""),IF(385&lt;=1000,CHOOSE('요약'!$B$4,'input'!B386,'input'!C386,'input'!D386),""))</x:f>
        <x:v>0.016914364065556506</x:v>
      </x:c>
      <x:c r="C386" s="7" t="n">
        <x:f>IF(AND(ISNUMBER(B386),'요약'!$B$19),B386-'요약'!$B$7,"")</x:f>
        <x:v>0.016962603392606006</x:v>
      </x:c>
      <x:c r="D386" s="7" t="n">
        <x:f>IF(ISNUMBER(C386),C386^2,"")</x:f>
        <x:v>0.0002877299138548488</x:v>
      </x:c>
      <x:c r="E386" s="15" t="n">
        <x:f>IF(ISNUMBER(C386),C386^3,"")</x:f>
        <x:v>0.000004880648412908492</x:v>
      </x:c>
      <x:c r="F386" s="15" t="n">
        <x:f>IF(ISNUMBER(C386),C386^4,"")</x:f>
        <x:v>8.278850332691872e-8</x:v>
      </x:c>
      <x:c r="G386" s="7" t="n">
        <x:f>IF(ISNUMBER(B386),ABS(B386),"")</x:f>
        <x:v>0.016914364065556506</x:v>
      </x:c>
      <x:c r="H386" s="7" t="n">
        <x:f>IF(ISNUMBER(B386),B386^2,"")</x:f>
        <x:v>0.0002860957117421892</x:v>
      </x:c>
      <x:c r="I386" s="7" t="n">
        <x:f>IF(AND(ISNUMBER(G386),'요약'!$B$19),G386-'요약'!$B$14,"")</x:f>
        <x:v>0.00890084743815365</x:v>
      </x:c>
      <x:c r="J386" s="7" t="n">
        <x:f>IF(AND(ISNUMBER(H386),'요약'!$B$19),H386-'요약'!$B$15,"")</x:f>
        <x:v>0.0001838860125560971</x:v>
      </x:c>
      <x:c r="K386" t="str">
        <x:f>IF(ISNUMBER(B386),IF('Hill'!$B$4=1,IF(B386&lt;0,-B386,""),IF('Hill'!$B$4=2,IF(B386&gt;0,B386,""),IF('Hill'!$B$4=3,IF(B386&lt;&gt;0,ABS(B386),""),""))),"")</x:f>
      </x:c>
    </x:row>
    <x:row r="387">
      <x:c r="A387" t="n">
        <x:f>386</x:f>
        <x:v>386</x:v>
      </x:c>
      <x:c r="B387" s="7" t="n">
        <x:f>IF('요약'!$B$4=4,IF(ISNUMBER('input'!A387),'input'!A387,""),IF(386&lt;=1000,CHOOSE('요약'!$B$4,'input'!B387,'input'!C387,'input'!D387),""))</x:f>
        <x:v>0.008300619714449644</x:v>
      </x:c>
      <x:c r="C387" s="7" t="n">
        <x:f>IF(AND(ISNUMBER(B387),'요약'!$B$19),B387-'요약'!$B$7,"")</x:f>
        <x:v>0.008348859041499145</x:v>
      </x:c>
      <x:c r="D387" s="7" t="n">
        <x:f>IF(ISNUMBER(C387),C387^2,"")</x:f>
        <x:v>0.00006970344729482201</x:v>
      </x:c>
      <x:c r="E387" s="15" t="n">
        <x:f>IF(ISNUMBER(C387),C387^3,"")</x:f>
        <x:v>5.819442561710339e-7</x:v>
      </x:c>
      <x:c r="F387" s="15" t="n">
        <x:f>IF(ISNUMBER(C387),C387^4,"")</x:f>
        <x:v>4.8585705647820305e-9</x:v>
      </x:c>
      <x:c r="G387" s="7" t="n">
        <x:f>IF(ISNUMBER(B387),ABS(B387),"")</x:f>
        <x:v>0.008300619714449644</x:v>
      </x:c>
      <x:c r="H387" s="7" t="n">
        <x:f>IF(ISNUMBER(B387),B387^2,"")</x:f>
        <x:v>0.00006890028764391008</x:v>
      </x:c>
      <x:c r="I387" s="7" t="n">
        <x:f>IF(AND(ISNUMBER(G387),'요약'!$B$19),G387-'요약'!$B$14,"")</x:f>
        <x:v>0.00028710308704678854</x:v>
      </x:c>
      <x:c r="J387" s="7" t="n">
        <x:f>IF(AND(ISNUMBER(H387),'요약'!$B$19),H387-'요약'!$B$15,"")</x:f>
        <x:v>-0.00003330941154218202</x:v>
      </x:c>
      <x:c r="K387" t="str">
        <x:f>IF(ISNUMBER(B387),IF('Hill'!$B$4=1,IF(B387&lt;0,-B387,""),IF('Hill'!$B$4=2,IF(B387&gt;0,B387,""),IF('Hill'!$B$4=3,IF(B387&lt;&gt;0,ABS(B387),""),""))),"")</x:f>
      </x:c>
    </x:row>
    <x:row r="388">
      <x:c r="A388" t="n">
        <x:f>387</x:f>
        <x:v>387</x:v>
      </x:c>
      <x:c r="B388" s="7" t="n">
        <x:f>IF('요약'!$B$4=4,IF(ISNUMBER('input'!A388),'input'!A388,""),IF(387&lt;=1000,CHOOSE('요약'!$B$4,'input'!B388,'input'!C388,'input'!D388),""))</x:f>
        <x:v>-0.007007680495393634</x:v>
      </x:c>
      <x:c r="C388" s="7" t="n">
        <x:f>IF(AND(ISNUMBER(B388),'요약'!$B$19),B388-'요약'!$B$7,"")</x:f>
        <x:v>-0.006959441168344132</x:v>
      </x:c>
      <x:c r="D388" s="7" t="n">
        <x:f>IF(ISNUMBER(C388),C388^2,"")</x:f>
        <x:v>0.00004843382137564314</x:v>
      </x:c>
      <x:c r="E388" s="15" t="n">
        <x:f>IF(ISNUMBER(C388),C388^3,"")</x:f>
        <x:v>-3.370723304218769e-7</x:v>
      </x:c>
      <x:c r="F388" s="15" t="n">
        <x:f>IF(ISNUMBER(C388),C388^4,"")</x:f>
        <x:v>2.3458350530477063e-9</x:v>
      </x:c>
      <x:c r="G388" s="7" t="n">
        <x:f>IF(ISNUMBER(B388),ABS(B388),"")</x:f>
        <x:v>0.007007680495393634</x:v>
      </x:c>
      <x:c r="H388" s="7" t="n">
        <x:f>IF(ISNUMBER(B388),B388^2,"")</x:f>
        <x:v>0.000049107585925520365</x:v>
      </x:c>
      <x:c r="I388" s="7" t="n">
        <x:f>IF(AND(ISNUMBER(G388),'요약'!$B$19),G388-'요약'!$B$14,"")</x:f>
        <x:v>-0.0010058361320092217</x:v>
      </x:c>
      <x:c r="J388" s="7" t="n">
        <x:f>IF(AND(ISNUMBER(H388),'요약'!$B$19),H388-'요약'!$B$15,"")</x:f>
        <x:v>-0.00005310211326057174</x:v>
      </x:c>
      <x:c r="K388" t="n">
        <x:f>IF(ISNUMBER(B388),IF('Hill'!$B$4=1,IF(B388&lt;0,-B388,""),IF('Hill'!$B$4=2,IF(B388&gt;0,B388,""),IF('Hill'!$B$4=3,IF(B388&lt;&gt;0,ABS(B388),""),""))),"")</x:f>
        <x:v>0.007007680495393634</x:v>
      </x:c>
    </x:row>
    <x:row r="389">
      <x:c r="A389" t="n">
        <x:f>388</x:f>
        <x:v>388</x:v>
      </x:c>
      <x:c r="B389" s="7" t="n">
        <x:f>IF('요약'!$B$4=4,IF(ISNUMBER('input'!A389),'input'!A389,""),IF(388&lt;=1000,CHOOSE('요약'!$B$4,'input'!B389,'input'!C389,'input'!D389),""))</x:f>
        <x:v>-0.009157658504444171</x:v>
      </x:c>
      <x:c r="C389" s="7" t="n">
        <x:f>IF(AND(ISNUMBER(B389),'요약'!$B$19),B389-'요약'!$B$7,"")</x:f>
        <x:v>-0.00910941917739467</x:v>
      </x:c>
      <x:c r="D389" s="7" t="n">
        <x:f>IF(ISNUMBER(C389),C389^2,"")</x:f>
        <x:v>0.00008298151774948579</x:v>
      </x:c>
      <x:c r="E389" s="15" t="n">
        <x:f>IF(ISNUMBER(C389),C389^3,"")</x:f>
        <x:v>-7.559134291564822e-7</x:v>
      </x:c>
      <x:c r="F389" s="15" t="n">
        <x:f>IF(ISNUMBER(C389),C389^4,"")</x:f>
        <x:v>6.8859322880082265e-9</x:v>
      </x:c>
      <x:c r="G389" s="7" t="n">
        <x:f>IF(ISNUMBER(B389),ABS(B389),"")</x:f>
        <x:v>0.009157658504444171</x:v>
      </x:c>
      <x:c r="H389" s="7" t="n">
        <x:f>IF(ISNUMBER(B389),B389^2,"")</x:f>
        <x:v>0.00008386270928401866</x:v>
      </x:c>
      <x:c r="I389" s="7" t="n">
        <x:f>IF(AND(ISNUMBER(G389),'요약'!$B$19),G389-'요약'!$B$14,"")</x:f>
        <x:v>0.0011441418770413159</x:v>
      </x:c>
      <x:c r="J389" s="7" t="n">
        <x:f>IF(AND(ISNUMBER(H389),'요약'!$B$19),H389-'요약'!$B$15,"")</x:f>
        <x:v>-0.000018346989902073442</x:v>
      </x:c>
      <x:c r="K389" t="n">
        <x:f>IF(ISNUMBER(B389),IF('Hill'!$B$4=1,IF(B389&lt;0,-B389,""),IF('Hill'!$B$4=2,IF(B389&gt;0,B389,""),IF('Hill'!$B$4=3,IF(B389&lt;&gt;0,ABS(B389),""),""))),"")</x:f>
        <x:v>0.009157658504444171</x:v>
      </x:c>
    </x:row>
    <x:row r="390">
      <x:c r="A390" t="n">
        <x:f>389</x:f>
        <x:v>389</x:v>
      </x:c>
      <x:c r="B390" s="7" t="n">
        <x:f>IF('요약'!$B$4=4,IF(ISNUMBER('input'!A390),'input'!A390,""),IF(389&lt;=1000,CHOOSE('요약'!$B$4,'input'!B390,'input'!C390,'input'!D390),""))</x:f>
        <x:v>-0.00875128570897251</x:v>
      </x:c>
      <x:c r="C390" s="7" t="n">
        <x:f>IF(AND(ISNUMBER(B390),'요약'!$B$19),B390-'요약'!$B$7,"")</x:f>
        <x:v>-0.00870304638192301</x:v>
      </x:c>
      <x:c r="D390" s="7" t="n">
        <x:f>IF(ISNUMBER(C390),C390^2,"")</x:f>
        <x:v>0.00007574301632590319</x:v>
      </x:c>
      <x:c r="E390" s="15" t="n">
        <x:f>IF(ISNUMBER(C390),C390^3,"")</x:f>
        <x:v>-6.591949841910872e-7</x:v>
      </x:c>
      <x:c r="F390" s="15" t="n">
        <x:f>IF(ISNUMBER(C390),C390^4,"")</x:f>
        <x:v>5.737004522146037e-9</x:v>
      </x:c>
      <x:c r="G390" s="7" t="n">
        <x:f>IF(ISNUMBER(B390),ABS(B390),"")</x:f>
        <x:v>0.00875128570897251</x:v>
      </x:c>
      <x:c r="H390" s="7" t="n">
        <x:f>IF(ISNUMBER(B390),B390^2,"")</x:f>
        <x:v>0.00007658500156006649</x:v>
      </x:c>
      <x:c r="I390" s="7" t="n">
        <x:f>IF(AND(ISNUMBER(G390),'요약'!$B$19),G390-'요약'!$B$14,"")</x:f>
        <x:v>0.0007377690815696548</x:v>
      </x:c>
      <x:c r="J390" s="7" t="n">
        <x:f>IF(AND(ISNUMBER(H390),'요약'!$B$19),H390-'요약'!$B$15,"")</x:f>
        <x:v>-0.000025624697626025616</x:v>
      </x:c>
      <x:c r="K390" t="n">
        <x:f>IF(ISNUMBER(B390),IF('Hill'!$B$4=1,IF(B390&lt;0,-B390,""),IF('Hill'!$B$4=2,IF(B390&gt;0,B390,""),IF('Hill'!$B$4=3,IF(B390&lt;&gt;0,ABS(B390),""),""))),"")</x:f>
        <x:v>0.00875128570897251</x:v>
      </x:c>
    </x:row>
    <x:row r="391">
      <x:c r="A391" t="n">
        <x:f>390</x:f>
        <x:v>390</x:v>
      </x:c>
      <x:c r="B391" s="7" t="n">
        <x:f>IF('요약'!$B$4=4,IF(ISNUMBER('input'!A391),'input'!A391,""),IF(390&lt;=1000,CHOOSE('요약'!$B$4,'input'!B391,'input'!C391,'input'!D391),""))</x:f>
        <x:v>0.0003688224078941383</x:v>
      </x:c>
      <x:c r="C391" s="7" t="n">
        <x:f>IF(AND(ISNUMBER(B391),'요약'!$B$19),B391-'요약'!$B$7,"")</x:f>
        <x:v>0.0004170617349436397</x:v>
      </x:c>
      <x:c r="D391" s="7" t="n">
        <x:f>IF(ISNUMBER(C391),C391^2,"")</x:f>
        <x:v>1.7394049075419876e-7</x:v>
      </x:c>
      <x:c r="E391" s="15" t="n">
        <x:f>IF(ISNUMBER(C391),C391^3,"")</x:f>
        <x:v>7.254392285089424e-11</x:v>
      </x:c>
      <x:c r="F391" s="15" t="n">
        <x:f>IF(ISNUMBER(C391),C391^4,"")</x:f>
        <x:v>3.02552943238115e-14</x:v>
      </x:c>
      <x:c r="G391" s="7" t="n">
        <x:f>IF(ISNUMBER(B391),ABS(B391),"")</x:f>
        <x:v>0.0003688224078941383</x:v>
      </x:c>
      <x:c r="H391" s="7" t="n">
        <x:f>IF(ISNUMBER(B391),B391^2,"")</x:f>
        <x:v>1.3602996856483015e-7</x:v>
      </x:c>
      <x:c r="I391" s="7" t="n">
        <x:f>IF(AND(ISNUMBER(G391),'요약'!$B$19),G391-'요약'!$B$14,"")</x:f>
        <x:v>-0.007644694219508717</x:v>
      </x:c>
      <x:c r="J391" s="7" t="n">
        <x:f>IF(AND(ISNUMBER(H391),'요약'!$B$19),H391-'요약'!$B$15,"")</x:f>
        <x:v>-0.00010207366921752727</x:v>
      </x:c>
      <x:c r="K391" t="str">
        <x:f>IF(ISNUMBER(B391),IF('Hill'!$B$4=1,IF(B391&lt;0,-B391,""),IF('Hill'!$B$4=2,IF(B391&gt;0,B391,""),IF('Hill'!$B$4=3,IF(B391&lt;&gt;0,ABS(B391),""),""))),"")</x:f>
      </x:c>
    </x:row>
    <x:row r="392">
      <x:c r="A392" t="n">
        <x:f>391</x:f>
        <x:v>391</x:v>
      </x:c>
      <x:c r="B392" s="7" t="n">
        <x:f>IF('요약'!$B$4=4,IF(ISNUMBER('input'!A392),'input'!A392,""),IF(391&lt;=1000,CHOOSE('요약'!$B$4,'input'!B392,'input'!C392,'input'!D392),""))</x:f>
        <x:v>-0.000745928448531951</x:v>
      </x:c>
      <x:c r="C392" s="7" t="n">
        <x:f>IF(AND(ISNUMBER(B392),'요약'!$B$19),B392-'요약'!$B$7,"")</x:f>
        <x:v>-0.0006976891214824497</x:v>
      </x:c>
      <x:c r="D392" s="7" t="n">
        <x:f>IF(ISNUMBER(C392),C392^2,"")</x:f>
        <x:v>4.867701102349525e-7</x:v>
      </x:c>
      <x:c r="E392" s="15" t="n">
        <x:f>IF(ISNUMBER(C392),C392^3,"")</x:f>
        <x:v>-3.3961421057373916e-10</x:v>
      </x:c>
      <x:c r="F392" s="15" t="n">
        <x:f>IF(ISNUMBER(C392),C392^4,"")</x:f>
        <x:v>2.3694514021814774e-13</x:v>
      </x:c>
      <x:c r="G392" s="7" t="n">
        <x:f>IF(ISNUMBER(B392),ABS(B392),"")</x:f>
        <x:v>0.000745928448531951</x:v>
      </x:c>
      <x:c r="H392" s="7" t="n">
        <x:f>IF(ISNUMBER(B392),B392^2,"")</x:f>
        <x:v>5.564092503292835e-7</x:v>
      </x:c>
      <x:c r="I392" s="7" t="n">
        <x:f>IF(AND(ISNUMBER(G392),'요약'!$B$19),G392-'요약'!$B$14,"")</x:f>
        <x:v>-0.007267588178870904</x:v>
      </x:c>
      <x:c r="J392" s="7" t="n">
        <x:f>IF(AND(ISNUMBER(H392),'요약'!$B$19),H392-'요약'!$B$15,"")</x:f>
        <x:v>-0.00010165328993576281</x:v>
      </x:c>
      <x:c r="K392" t="n">
        <x:f>IF(ISNUMBER(B392),IF('Hill'!$B$4=1,IF(B392&lt;0,-B392,""),IF('Hill'!$B$4=2,IF(B392&gt;0,B392,""),IF('Hill'!$B$4=3,IF(B392&lt;&gt;0,ABS(B392),""),""))),"")</x:f>
        <x:v>0.000745928448531951</x:v>
      </x:c>
    </x:row>
    <x:row r="393">
      <x:c r="A393" t="n">
        <x:f>392</x:f>
        <x:v>392</x:v>
      </x:c>
      <x:c r="B393" s="7" t="n">
        <x:f>IF('요약'!$B$4=4,IF(ISNUMBER('input'!A393),'input'!A393,""),IF(392&lt;=1000,CHOOSE('요약'!$B$4,'input'!B393,'input'!C393,'input'!D393),""))</x:f>
        <x:v>0.011642224733374111</x:v>
      </x:c>
      <x:c r="C393" s="7" t="n">
        <x:f>IF(AND(ISNUMBER(B393),'요약'!$B$19),B393-'요약'!$B$7,"")</x:f>
        <x:v>0.011690464060423612</x:v>
      </x:c>
      <x:c r="D393" s="7" t="n">
        <x:f>IF(ISNUMBER(C393),C393^2,"")</x:f>
        <x:v>0.0001366669499480561</x:v>
      </x:c>
      <x:c r="E393" s="15" t="n">
        <x:f>IF(ISNUMBER(C393),C393^3,"")</x:f>
        <x:v>0.0000015977000666154626</x:v>
      </x:c>
      <x:c r="F393" s="15" t="n">
        <x:f>IF(ISNUMBER(C393),C393^4,"")</x:f>
        <x:v>1.8677855208104474e-8</x:v>
      </x:c>
      <x:c r="G393" s="7" t="n">
        <x:f>IF(ISNUMBER(B393),ABS(B393),"")</x:f>
        <x:v>0.011642224733374111</x:v>
      </x:c>
      <x:c r="H393" s="7" t="n">
        <x:f>IF(ISNUMBER(B393),B393^2,"")</x:f>
        <x:v>0.0001355413967423879</x:v>
      </x:c>
      <x:c r="I393" s="7" t="n">
        <x:f>IF(AND(ISNUMBER(G393),'요약'!$B$19),G393-'요약'!$B$14,"")</x:f>
        <x:v>0.0036287081059712557</x:v>
      </x:c>
      <x:c r="J393" s="7" t="n">
        <x:f>IF(AND(ISNUMBER(H393),'요약'!$B$19),H393-'요약'!$B$15,"")</x:f>
        <x:v>0.00003333169755629579</x:v>
      </x:c>
      <x:c r="K393" t="str">
        <x:f>IF(ISNUMBER(B393),IF('Hill'!$B$4=1,IF(B393&lt;0,-B393,""),IF('Hill'!$B$4=2,IF(B393&gt;0,B393,""),IF('Hill'!$B$4=3,IF(B393&lt;&gt;0,ABS(B393),""),""))),"")</x:f>
      </x:c>
    </x:row>
    <x:row r="394">
      <x:c r="A394" t="n">
        <x:f>393</x:f>
        <x:v>393</x:v>
      </x:c>
      <x:c r="B394" s="7" t="n">
        <x:f>IF('요약'!$B$4=4,IF(ISNUMBER('input'!A394),'input'!A394,""),IF(393&lt;=1000,CHOOSE('요약'!$B$4,'input'!B394,'input'!C394,'input'!D394),""))</x:f>
        <x:v>-0.01376198435185111</x:v>
      </x:c>
      <x:c r="C394" s="7" t="n">
        <x:f>IF(AND(ISNUMBER(B394),'요약'!$B$19),B394-'요약'!$B$7,"")</x:f>
        <x:v>-0.01371374502480161</x:v>
      </x:c>
      <x:c r="D394" s="7" t="n">
        <x:f>IF(ISNUMBER(C394),C394^2,"")</x:f>
        <x:v>0.0001880668026052709</x:v>
      </x:c>
      <x:c r="E394" s="15" t="n">
        <x:f>IF(ISNUMBER(C394),C394^3,"")</x:f>
        <x:v>-0.0000025791001785583802</x:v>
      </x:c>
      <x:c r="F394" s="15" t="n">
        <x:f>IF(ISNUMBER(C394),C394^4,"")</x:f>
        <x:v>3.536912224216993e-8</x:v>
      </x:c>
      <x:c r="G394" s="7" t="n">
        <x:f>IF(ISNUMBER(B394),ABS(B394),"")</x:f>
        <x:v>0.01376198435185111</x:v>
      </x:c>
      <x:c r="H394" s="7" t="n">
        <x:f>IF(ISNUMBER(B394),B394^2,"")</x:f>
        <x:v>0.00018939221330059483</x:v>
      </x:c>
      <x:c r="I394" s="7" t="n">
        <x:f>IF(AND(ISNUMBER(G394),'요약'!$B$19),G394-'요약'!$B$14,"")</x:f>
        <x:v>0.005748467724448255</x:v>
      </x:c>
      <x:c r="J394" s="7" t="n">
        <x:f>IF(AND(ISNUMBER(H394),'요약'!$B$19),H394-'요약'!$B$15,"")</x:f>
        <x:v>0.00008718251411450273</x:v>
      </x:c>
      <x:c r="K394" t="n">
        <x:f>IF(ISNUMBER(B394),IF('Hill'!$B$4=1,IF(B394&lt;0,-B394,""),IF('Hill'!$B$4=2,IF(B394&gt;0,B394,""),IF('Hill'!$B$4=3,IF(B394&lt;&gt;0,ABS(B394),""),""))),"")</x:f>
        <x:v>0.01376198435185111</x:v>
      </x:c>
    </x:row>
    <x:row r="395">
      <x:c r="A395" t="n">
        <x:f>394</x:f>
        <x:v>394</x:v>
      </x:c>
      <x:c r="B395" s="7" t="n">
        <x:f>IF('요약'!$B$4=4,IF(ISNUMBER('input'!A395),'input'!A395,""),IF(394&lt;=1000,CHOOSE('요약'!$B$4,'input'!B395,'input'!C395,'input'!D395),""))</x:f>
        <x:v>0.003595945300320559</x:v>
      </x:c>
      <x:c r="C395" s="7" t="n">
        <x:f>IF(AND(ISNUMBER(B395),'요약'!$B$19),B395-'요약'!$B$7,"")</x:f>
        <x:v>0.0036441846273700604</x:v>
      </x:c>
      <x:c r="D395" s="7" t="n">
        <x:f>IF(ISNUMBER(C395),C395^2,"")</x:f>
        <x:v>0.000013280081598360266</x:v>
      </x:c>
      <x:c r="E395" s="15" t="n">
        <x:f>IF(ISNUMBER(C395),C395^3,"")</x:f>
        <x:v>4.8395069210964504e-8</x:v>
      </x:c>
      <x:c r="F395" s="15" t="n">
        <x:f>IF(ISNUMBER(C395),C395^4,"")</x:f>
        <x:v>1.7636056725910696e-10</x:v>
      </x:c>
      <x:c r="G395" s="7" t="n">
        <x:f>IF(ISNUMBER(B395),ABS(B395),"")</x:f>
        <x:v>0.003595945300320559</x:v>
      </x:c>
      <x:c r="H395" s="7" t="n">
        <x:f>IF(ISNUMBER(B395),B395^2,"")</x:f>
        <x:v>0.000012930822602897515</x:v>
      </x:c>
      <x:c r="I395" s="7" t="n">
        <x:f>IF(AND(ISNUMBER(G395),'요약'!$B$19),G395-'요약'!$B$14,"")</x:f>
        <x:v>-0.0044175713270822965</x:v>
      </x:c>
      <x:c r="J395" s="7" t="n">
        <x:f>IF(AND(ISNUMBER(H395),'요약'!$B$19),H395-'요약'!$B$15,"")</x:f>
        <x:v>-0.00008927887658319459</x:v>
      </x:c>
      <x:c r="K395" t="str">
        <x:f>IF(ISNUMBER(B395),IF('Hill'!$B$4=1,IF(B395&lt;0,-B395,""),IF('Hill'!$B$4=2,IF(B395&gt;0,B395,""),IF('Hill'!$B$4=3,IF(B395&lt;&gt;0,ABS(B395),""),""))),"")</x:f>
      </x:c>
    </x:row>
    <x:row r="396">
      <x:c r="A396" t="n">
        <x:f>395</x:f>
        <x:v>395</x:v>
      </x:c>
      <x:c r="B396" s="7" t="n">
        <x:f>IF('요약'!$B$4=4,IF(ISNUMBER('input'!A396),'input'!A396,""),IF(395&lt;=1000,CHOOSE('요약'!$B$4,'input'!B396,'input'!C396,'input'!D396),""))</x:f>
        <x:v>-0.008277394858336774</x:v>
      </x:c>
      <x:c r="C396" s="7" t="n">
        <x:f>IF(AND(ISNUMBER(B396),'요약'!$B$19),B396-'요약'!$B$7,"")</x:f>
        <x:v>-0.008229155531287273</x:v>
      </x:c>
      <x:c r="D396" s="7" t="n">
        <x:f>IF(ISNUMBER(C396),C396^2,"")</x:f>
        <x:v>0.00006771900075811592</x:v>
      </x:c>
      <x:c r="E396" s="15" t="n">
        <x:f>IF(ISNUMBER(C396),C396^3,"")</x:f>
        <x:v>-5.572701896618966e-7</x:v>
      </x:c>
      <x:c r="F396" s="15" t="n">
        <x:f>IF(ISNUMBER(C396),C396^4,"")</x:f>
        <x:v>4.585863063677704e-9</x:v>
      </x:c>
      <x:c r="G396" s="7" t="n">
        <x:f>IF(ISNUMBER(B396),ABS(B396),"")</x:f>
        <x:v>0.008277394858336774</x:v>
      </x:c>
      <x:c r="H396" s="7" t="n">
        <x:f>IF(ISNUMBER(B396),B396^2,"")</x:f>
        <x:v>0.00006851526564082005</x:v>
      </x:c>
      <x:c r="I396" s="7" t="n">
        <x:f>IF(AND(ISNUMBER(G396),'요약'!$B$19),G396-'요약'!$B$14,"")</x:f>
        <x:v>0.0002638782309339182</x:v>
      </x:c>
      <x:c r="J396" s="7" t="n">
        <x:f>IF(AND(ISNUMBER(H396),'요약'!$B$19),H396-'요약'!$B$15,"")</x:f>
        <x:v>-0.00003369443354527205</x:v>
      </x:c>
      <x:c r="K396" t="n">
        <x:f>IF(ISNUMBER(B396),IF('Hill'!$B$4=1,IF(B396&lt;0,-B396,""),IF('Hill'!$B$4=2,IF(B396&gt;0,B396,""),IF('Hill'!$B$4=3,IF(B396&lt;&gt;0,ABS(B396),""),""))),"")</x:f>
        <x:v>0.008277394858336774</x:v>
      </x:c>
    </x:row>
    <x:row r="397">
      <x:c r="A397" t="n">
        <x:f>396</x:f>
        <x:v>396</x:v>
      </x:c>
      <x:c r="B397" s="7" t="n">
        <x:f>IF('요약'!$B$4=4,IF(ISNUMBER('input'!A397),'input'!A397,""),IF(396&lt;=1000,CHOOSE('요약'!$B$4,'input'!B397,'input'!C397,'input'!D397),""))</x:f>
        <x:v>-0.015170320047872457</x:v>
      </x:c>
      <x:c r="C397" s="7" t="n">
        <x:f>IF(AND(ISNUMBER(B397),'요약'!$B$19),B397-'요약'!$B$7,"")</x:f>
        <x:v>-0.015122080720822956</x:v>
      </x:c>
      <x:c r="D397" s="7" t="n">
        <x:f>IF(ISNUMBER(C397),C397^2,"")</x:f>
        <x:v>0.00022867732532708533</x:v>
      </x:c>
      <x:c r="E397" s="15" t="n">
        <x:f>IF(ISNUMBER(C397),C397^3,"")</x:f>
        <x:v>-0.0000034580769726180764</x:v>
      </x:c>
      <x:c r="F397" s="15" t="n">
        <x:f>IF(ISNUMBER(C397),C397^4,"")</x:f>
        <x:v>5.229331911874963e-8</x:v>
      </x:c>
      <x:c r="G397" s="7" t="n">
        <x:f>IF(ISNUMBER(B397),ABS(B397),"")</x:f>
        <x:v>0.015170320047872457</x:v>
      </x:c>
      <x:c r="H397" s="7" t="n">
        <x:f>IF(ISNUMBER(B397),B397^2,"")</x:f>
        <x:v>0.000230138610354881</x:v>
      </x:c>
      <x:c r="I397" s="7" t="n">
        <x:f>IF(AND(ISNUMBER(G397),'요약'!$B$19),G397-'요약'!$B$14,"")</x:f>
        <x:v>0.007156803420469602</x:v>
      </x:c>
      <x:c r="J397" s="7" t="n">
        <x:f>IF(AND(ISNUMBER(H397),'요약'!$B$19),H397-'요약'!$B$15,"")</x:f>
        <x:v>0.00012792891116878888</x:v>
      </x:c>
      <x:c r="K397" t="n">
        <x:f>IF(ISNUMBER(B397),IF('Hill'!$B$4=1,IF(B397&lt;0,-B397,""),IF('Hill'!$B$4=2,IF(B397&gt;0,B397,""),IF('Hill'!$B$4=3,IF(B397&lt;&gt;0,ABS(B397),""),""))),"")</x:f>
        <x:v>0.015170320047872457</x:v>
      </x:c>
    </x:row>
    <x:row r="398">
      <x:c r="A398" t="n">
        <x:f>397</x:f>
        <x:v>397</x:v>
      </x:c>
      <x:c r="B398" s="7" t="n">
        <x:f>IF('요약'!$B$4=4,IF(ISNUMBER('input'!A398),'input'!A398,""),IF(397&lt;=1000,CHOOSE('요약'!$B$4,'input'!B398,'input'!C398,'input'!D398),""))</x:f>
        <x:v>-0.011238440165744872</x:v>
      </x:c>
      <x:c r="C398" s="7" t="n">
        <x:f>IF(AND(ISNUMBER(B398),'요약'!$B$19),B398-'요약'!$B$7,"")</x:f>
        <x:v>-0.011190200838695371</x:v>
      </x:c>
      <x:c r="D398" s="7" t="n">
        <x:f>IF(ISNUMBER(C398),C398^2,"")</x:f>
        <x:v>0.0001252205948103386</x:v>
      </x:c>
      <x:c r="E398" s="15" t="n">
        <x:f>IF(ISNUMBER(C398),C398^3,"")</x:f>
        <x:v>-0.000001401243605068584</x:v>
      </x:c>
      <x:c r="F398" s="15" t="n">
        <x:f>IF(ISNUMBER(C398),C398^4,"")</x:f>
        <x:v>1.5680197364654995e-8</x:v>
      </x:c>
      <x:c r="G398" s="7" t="n">
        <x:f>IF(ISNUMBER(B398),ABS(B398),"")</x:f>
        <x:v>0.011238440165744872</x:v>
      </x:c>
      <x:c r="H398" s="7" t="n">
        <x:f>IF(ISNUMBER(B398),B398^2,"")</x:f>
        <x:v>0.00012630253735902762</x:v>
      </x:c>
      <x:c r="I398" s="7" t="n">
        <x:f>IF(AND(ISNUMBER(G398),'요약'!$B$19),G398-'요약'!$B$14,"")</x:f>
        <x:v>0.003224923538342016</x:v>
      </x:c>
      <x:c r="J398" s="7" t="n">
        <x:f>IF(AND(ISNUMBER(H398),'요약'!$B$19),H398-'요약'!$B$15,"")</x:f>
        <x:v>0.000024092838172935516</x:v>
      </x:c>
      <x:c r="K398" t="n">
        <x:f>IF(ISNUMBER(B398),IF('Hill'!$B$4=1,IF(B398&lt;0,-B398,""),IF('Hill'!$B$4=2,IF(B398&gt;0,B398,""),IF('Hill'!$B$4=3,IF(B398&lt;&gt;0,ABS(B398),""),""))),"")</x:f>
        <x:v>0.011238440165744872</x:v>
      </x:c>
    </x:row>
    <x:row r="399">
      <x:c r="A399" t="n">
        <x:f>398</x:f>
        <x:v>398</x:v>
      </x:c>
      <x:c r="B399" s="7" t="n">
        <x:f>IF('요약'!$B$4=4,IF(ISNUMBER('input'!A399),'input'!A399,""),IF(398&lt;=1000,CHOOSE('요약'!$B$4,'input'!B399,'input'!C399,'input'!D399),""))</x:f>
        <x:v>0.005842002926582088</x:v>
      </x:c>
      <x:c r="C399" s="7" t="n">
        <x:f>IF(AND(ISNUMBER(B399),'요약'!$B$19),B399-'요약'!$B$7,"")</x:f>
        <x:v>0.005890242253631589</x:v>
      </x:c>
      <x:c r="D399" s="7" t="n">
        <x:f>IF(ISNUMBER(C399),C399^2,"")</x:f>
        <x:v>0.000034694953806466944</x:v>
      </x:c>
      <x:c r="E399" s="15" t="n">
        <x:f>IF(ISNUMBER(C399),C399^3,"")</x:f>
        <x:v>2.0436168289864772e-7</x:v>
      </x:c>
      <x:c r="F399" s="15" t="n">
        <x:f>IF(ISNUMBER(C399),C399^4,"")</x:f>
        <x:v>1.203739819632875e-9</x:v>
      </x:c>
      <x:c r="G399" s="7" t="n">
        <x:f>IF(ISNUMBER(B399),ABS(B399),"")</x:f>
        <x:v>0.005842002926582088</x:v>
      </x:c>
      <x:c r="H399" s="7" t="n">
        <x:f>IF(ISNUMBER(B399),B399^2,"")</x:f>
        <x:v>0.00003412899819419368</x:v>
      </x:c>
      <x:c r="I399" s="7" t="n">
        <x:f>IF(AND(ISNUMBER(G399),'요약'!$B$19),G399-'요약'!$B$14,"")</x:f>
        <x:v>-0.0021715137008207677</x:v>
      </x:c>
      <x:c r="J399" s="7" t="n">
        <x:f>IF(AND(ISNUMBER(H399),'요약'!$B$19),H399-'요약'!$B$15,"")</x:f>
        <x:v>-0.00006808070099189842</x:v>
      </x:c>
      <x:c r="K399" t="str">
        <x:f>IF(ISNUMBER(B399),IF('Hill'!$B$4=1,IF(B399&lt;0,-B399,""),IF('Hill'!$B$4=2,IF(B399&gt;0,B399,""),IF('Hill'!$B$4=3,IF(B399&lt;&gt;0,ABS(B399),""),""))),"")</x:f>
      </x:c>
    </x:row>
    <x:row r="400">
      <x:c r="A400" t="n">
        <x:f>399</x:f>
        <x:v>399</x:v>
      </x:c>
      <x:c r="B400" s="7" t="n">
        <x:f>IF('요약'!$B$4=4,IF(ISNUMBER('input'!A400),'input'!A400,""),IF(399&lt;=1000,CHOOSE('요약'!$B$4,'input'!B400,'input'!C400,'input'!D400),""))</x:f>
        <x:v>-0.006177616727879947</x:v>
      </x:c>
      <x:c r="C400" s="7" t="n">
        <x:f>IF(AND(ISNUMBER(B400),'요약'!$B$19),B400-'요약'!$B$7,"")</x:f>
        <x:v>-0.006129377400830445</x:v>
      </x:c>
      <x:c r="D400" s="7" t="n">
        <x:f>IF(ISNUMBER(C400),C400^2,"")</x:f>
        <x:v>0.00003756926732181099</x:v>
      </x:c>
      <x:c r="E400" s="15" t="n">
        <x:f>IF(ISNUMBER(C400),C400^3,"")</x:f>
        <x:v>-2.30276218088066e-7</x:v>
      </x:c>
      <x:c r="F400" s="15" t="n">
        <x:f>IF(ISNUMBER(C400),C400^4,"")</x:f>
        <x:v>1.4114498470976948e-9</x:v>
      </x:c>
      <x:c r="G400" s="7" t="n">
        <x:f>IF(ISNUMBER(B400),ABS(B400),"")</x:f>
        <x:v>0.006177616727879947</x:v>
      </x:c>
      <x:c r="H400" s="7" t="n">
        <x:f>IF(ISNUMBER(B400),B400^2,"")</x:f>
        <x:v>0.00003816294843658214</x:v>
      </x:c>
      <x:c r="I400" s="7" t="n">
        <x:f>IF(AND(ISNUMBER(G400),'요약'!$B$19),G400-'요약'!$B$14,"")</x:f>
        <x:v>-0.0018358998995229086</x:v>
      </x:c>
      <x:c r="J400" s="7" t="n">
        <x:f>IF(AND(ISNUMBER(H400),'요약'!$B$19),H400-'요약'!$B$15,"")</x:f>
        <x:v>-0.00006404675074950997</x:v>
      </x:c>
      <x:c r="K400" t="n">
        <x:f>IF(ISNUMBER(B400),IF('Hill'!$B$4=1,IF(B400&lt;0,-B400,""),IF('Hill'!$B$4=2,IF(B400&gt;0,B400,""),IF('Hill'!$B$4=3,IF(B400&lt;&gt;0,ABS(B400),""),""))),"")</x:f>
        <x:v>0.006177616727879947</x:v>
      </x:c>
    </x:row>
    <x:row r="401">
      <x:c r="A401" t="n">
        <x:f>400</x:f>
        <x:v>400</x:v>
      </x:c>
      <x:c r="B401" s="7" t="n">
        <x:f>IF('요약'!$B$4=4,IF(ISNUMBER('input'!A401),'input'!A401,""),IF(400&lt;=1000,CHOOSE('요약'!$B$4,'input'!B401,'input'!C401,'input'!D401),""))</x:f>
        <x:v>-0.0113001286827499</x:v>
      </x:c>
      <x:c r="C401" s="7" t="n">
        <x:f>IF(AND(ISNUMBER(B401),'요약'!$B$19),B401-'요약'!$B$7,"")</x:f>
        <x:v>-0.011251889355700399</x:v>
      </x:c>
      <x:c r="D401" s="7" t="n">
        <x:f>IF(ISNUMBER(C401),C401^2,"")</x:f>
        <x:v>0.00012660501407292394</x:v>
      </x:c>
      <x:c r="E401" s="15" t="n">
        <x:f>IF(ISNUMBER(C401),C401^3,"")</x:f>
        <x:v>-0.000001424545610225432</x:v>
      </x:c>
      <x:c r="F401" s="15" t="n">
        <x:f>IF(ISNUMBER(C401),C401^4,"")</x:f>
        <x:v>1.602882958840527e-8</x:v>
      </x:c>
      <x:c r="G401" s="7" t="n">
        <x:f>IF(ISNUMBER(B401),ABS(B401),"")</x:f>
        <x:v>0.0113001286827499</x:v>
      </x:c>
      <x:c r="H401" s="7" t="n">
        <x:f>IF(ISNUMBER(B401),B401^2,"")</x:f>
        <x:v>0.00012769290824670698</x:v>
      </x:c>
      <x:c r="I401" s="7" t="n">
        <x:f>IF(AND(ISNUMBER(G401),'요약'!$B$19),G401-'요약'!$B$14,"")</x:f>
        <x:v>0.003286612055347044</x:v>
      </x:c>
      <x:c r="J401" s="7" t="n">
        <x:f>IF(AND(ISNUMBER(H401),'요약'!$B$19),H401-'요약'!$B$15,"")</x:f>
        <x:v>0.000025483209060614875</x:v>
      </x:c>
      <x:c r="K401" t="n">
        <x:f>IF(ISNUMBER(B401),IF('Hill'!$B$4=1,IF(B401&lt;0,-B401,""),IF('Hill'!$B$4=2,IF(B401&gt;0,B401,""),IF('Hill'!$B$4=3,IF(B401&lt;&gt;0,ABS(B401),""),""))),"")</x:f>
        <x:v>0.0113001286827499</x:v>
      </x:c>
    </x:row>
    <x:row r="402">
      <x:c r="A402" t="n">
        <x:f>401</x:f>
        <x:v>401</x:v>
      </x:c>
      <x:c r="B402" s="7" t="n">
        <x:f>IF('요약'!$B$4=4,IF(ISNUMBER('input'!A402),'input'!A402,""),IF(401&lt;=1000,CHOOSE('요약'!$B$4,'input'!B402,'input'!C402,'input'!D402),""))</x:f>
        <x:v>-0.002077633379291932</x:v>
      </x:c>
      <x:c r="C402" s="7" t="n">
        <x:f>IF(AND(ISNUMBER(B402),'요약'!$B$19),B402-'요약'!$B$7,"")</x:f>
        <x:v>-0.0020293940522424303</x:v>
      </x:c>
      <x:c r="D402" s="7" t="n">
        <x:f>IF(ISNUMBER(C402),C402^2,"")</x:f>
        <x:v>0.000004118440219276952</x:v>
      </x:c>
      <x:c r="E402" s="15" t="n">
        <x:f>IF(ISNUMBER(C402),C402^3,"")</x:f>
        <x:v>-8.357938085516658e-9</x:v>
      </x:c>
      <x:c r="F402" s="15" t="n">
        <x:f>IF(ISNUMBER(C402),C402^4,"")</x:f>
        <x:v>1.696154983975799e-11</x:v>
      </x:c>
      <x:c r="G402" s="7" t="n">
        <x:f>IF(ISNUMBER(B402),ABS(B402),"")</x:f>
        <x:v>0.002077633379291932</x:v>
      </x:c>
      <x:c r="H402" s="7" t="n">
        <x:f>IF(ISNUMBER(B402),B402^2,"")</x:f>
        <x:v>0.000004316560458748012</x:v>
      </x:c>
      <x:c r="I402" s="7" t="n">
        <x:f>IF(AND(ISNUMBER(G402),'요약'!$B$19),G402-'요약'!$B$14,"")</x:f>
        <x:v>-0.005935883248110924</x:v>
      </x:c>
      <x:c r="J402" s="7" t="n">
        <x:f>IF(AND(ISNUMBER(H402),'요약'!$B$19),H402-'요약'!$B$15,"")</x:f>
        <x:v>-0.00009789313872734409</x:v>
      </x:c>
      <x:c r="K402" t="n">
        <x:f>IF(ISNUMBER(B402),IF('Hill'!$B$4=1,IF(B402&lt;0,-B402,""),IF('Hill'!$B$4=2,IF(B402&gt;0,B402,""),IF('Hill'!$B$4=3,IF(B402&lt;&gt;0,ABS(B402),""),""))),"")</x:f>
        <x:v>0.002077633379291932</x:v>
      </x:c>
    </x:row>
    <x:row r="403">
      <x:c r="A403" t="n">
        <x:f>402</x:f>
        <x:v>402</x:v>
      </x:c>
      <x:c r="B403" s="7" t="n">
        <x:f>IF('요약'!$B$4=4,IF(ISNUMBER('input'!A403),'input'!A403,""),IF(402&lt;=1000,CHOOSE('요약'!$B$4,'input'!B403,'input'!C403,'input'!D403),""))</x:f>
        <x:v>0.001069313185772658</x:v>
      </x:c>
      <x:c r="C403" s="7" t="n">
        <x:f>IF(AND(ISNUMBER(B403),'요약'!$B$19),B403-'요약'!$B$7,"")</x:f>
        <x:v>0.0011175525128221595</x:v>
      </x:c>
      <x:c r="D403" s="7" t="n">
        <x:f>IF(ISNUMBER(C403),C403^2,"")</x:f>
        <x:v>0.0000012489236189151229</x:v>
      </x:c>
      <x:c r="E403" s="15" t="n">
        <x:f>IF(ISNUMBER(C403),C403^3,"")</x:f>
        <x:v>1.3957377286415407e-9</x:v>
      </x:c>
      <x:c r="F403" s="15" t="n">
        <x:f>IF(ISNUMBER(C403),C403^4,"")</x:f>
        <x:v>1.5598102058840472e-12</x:v>
      </x:c>
      <x:c r="G403" s="7" t="n">
        <x:f>IF(ISNUMBER(B403),ABS(B403),"")</x:f>
        <x:v>0.001069313185772658</x:v>
      </x:c>
      <x:c r="H403" s="7" t="n">
        <x:f>IF(ISNUMBER(B403),B403^2,"")</x:f>
        <x:v>0.000001143430689267271</x:v>
      </x:c>
      <x:c r="I403" s="7" t="n">
        <x:f>IF(AND(ISNUMBER(G403),'요약'!$B$19),G403-'요약'!$B$14,"")</x:f>
        <x:v>-0.006944203441630197</x:v>
      </x:c>
      <x:c r="J403" s="7" t="n">
        <x:f>IF(AND(ISNUMBER(H403),'요약'!$B$19),H403-'요약'!$B$15,"")</x:f>
        <x:v>-0.00010106626849682483</x:v>
      </x:c>
      <x:c r="K403" t="str">
        <x:f>IF(ISNUMBER(B403),IF('Hill'!$B$4=1,IF(B403&lt;0,-B403,""),IF('Hill'!$B$4=2,IF(B403&gt;0,B403,""),IF('Hill'!$B$4=3,IF(B403&lt;&gt;0,ABS(B403),""),""))),"")</x:f>
      </x:c>
    </x:row>
    <x:row r="404">
      <x:c r="A404" t="n">
        <x:f>403</x:f>
        <x:v>403</x:v>
      </x:c>
      <x:c r="B404" s="7" t="n">
        <x:f>IF('요약'!$B$4=4,IF(ISNUMBER('input'!A404),'input'!A404,""),IF(403&lt;=1000,CHOOSE('요약'!$B$4,'input'!B404,'input'!C404,'input'!D404),""))</x:f>
        <x:v>-0.004207163854700712</x:v>
      </x:c>
      <x:c r="C404" s="7" t="n">
        <x:f>IF(AND(ISNUMBER(B404),'요약'!$B$19),B404-'요약'!$B$7,"")</x:f>
        <x:v>-0.0041589245276512105</x:v>
      </x:c>
      <x:c r="D404" s="7" t="n">
        <x:f>IF(ISNUMBER(C404),C404^2,"")</x:f>
        <x:v>0.000017296653226698846</x:v>
      </x:c>
      <x:c r="E404" s="15" t="n">
        <x:f>IF(ISNUMBER(C404),C404^3,"")</x:f>
        <x:v>-7.193547535079528e-8</x:v>
      </x:c>
      <x:c r="F404" s="15" t="n">
        <x:f>IF(ISNUMBER(C404),C404^4,"")</x:f>
        <x:v>2.9917421284467154e-10</x:v>
      </x:c>
      <x:c r="G404" s="7" t="n">
        <x:f>IF(ISNUMBER(B404),ABS(B404),"")</x:f>
        <x:v>0.004207163854700712</x:v>
      </x:c>
      <x:c r="H404" s="7" t="n">
        <x:f>IF(ISNUMBER(B404),B404^2,"")</x:f>
        <x:v>0.000017700227700300153</x:v>
      </x:c>
      <x:c r="I404" s="7" t="n">
        <x:f>IF(AND(ISNUMBER(G404),'요약'!$B$19),G404-'요약'!$B$14,"")</x:f>
        <x:v>-0.0038063527727021434</x:v>
      </x:c>
      <x:c r="J404" s="7" t="n">
        <x:f>IF(AND(ISNUMBER(H404),'요약'!$B$19),H404-'요약'!$B$15,"")</x:f>
        <x:v>-0.00008450947148579195</x:v>
      </x:c>
      <x:c r="K404" t="n">
        <x:f>IF(ISNUMBER(B404),IF('Hill'!$B$4=1,IF(B404&lt;0,-B404,""),IF('Hill'!$B$4=2,IF(B404&gt;0,B404,""),IF('Hill'!$B$4=3,IF(B404&lt;&gt;0,ABS(B404),""),""))),"")</x:f>
        <x:v>0.004207163854700712</x:v>
      </x:c>
    </x:row>
    <x:row r="405">
      <x:c r="A405" t="n">
        <x:f>404</x:f>
        <x:v>404</x:v>
      </x:c>
      <x:c r="B405" s="7" t="n">
        <x:f>IF('요약'!$B$4=4,IF(ISNUMBER('input'!A405),'input'!A405,""),IF(404&lt;=1000,CHOOSE('요약'!$B$4,'input'!B405,'input'!C405,'input'!D405),""))</x:f>
        <x:v>-0.007830266356353546</x:v>
      </x:c>
      <x:c r="C405" s="7" t="n">
        <x:f>IF(AND(ISNUMBER(B405),'요약'!$B$19),B405-'요약'!$B$7,"")</x:f>
        <x:v>-0.007782027029304045</x:v>
      </x:c>
      <x:c r="D405" s="7" t="n">
        <x:f>IF(ISNUMBER(C405),C405^2,"")</x:f>
        <x:v>0.000060559944684818734</x:v>
      </x:c>
      <x:c r="E405" s="15" t="n">
        <x:f>IF(ISNUMBER(C405),C405^3,"")</x:f>
        <x:v>-4.712791264304172e-7</x:v>
      </x:c>
      <x:c r="F405" s="15" t="n">
        <x:f>IF(ISNUMBER(C405),C405^4,"")</x:f>
        <x:v>3.6675069002283053e-9</x:v>
      </x:c>
      <x:c r="G405" s="7" t="n">
        <x:f>IF(ISNUMBER(B405),ABS(B405),"")</x:f>
        <x:v>0.007830266356353546</x:v>
      </x:c>
      <x:c r="H405" s="7" t="n">
        <x:f>IF(ISNUMBER(B405),B405^2,"")</x:f>
        <x:v>0.00006131307121144225</x:v>
      </x:c>
      <x:c r="I405" s="7" t="n">
        <x:f>IF(AND(ISNUMBER(G405),'요약'!$B$19),G405-'요약'!$B$14,"")</x:f>
        <x:v>-0.00018325027104930912</x:v>
      </x:c>
      <x:c r="J405" s="7" t="n">
        <x:f>IF(AND(ISNUMBER(H405),'요약'!$B$19),H405-'요약'!$B$15,"")</x:f>
        <x:v>-0.000040896627974649856</x:v>
      </x:c>
      <x:c r="K405" t="n">
        <x:f>IF(ISNUMBER(B405),IF('Hill'!$B$4=1,IF(B405&lt;0,-B405,""),IF('Hill'!$B$4=2,IF(B405&gt;0,B405,""),IF('Hill'!$B$4=3,IF(B405&lt;&gt;0,ABS(B405),""),""))),"")</x:f>
        <x:v>0.007830266356353546</x:v>
      </x:c>
    </x:row>
    <x:row r="406">
      <x:c r="A406" t="n">
        <x:f>405</x:f>
        <x:v>405</x:v>
      </x:c>
      <x:c r="B406" s="7" t="n">
        <x:f>IF('요약'!$B$4=4,IF(ISNUMBER('input'!A406),'input'!A406,""),IF(405&lt;=1000,CHOOSE('요약'!$B$4,'input'!B406,'input'!C406,'input'!D406),""))</x:f>
        <x:v>0.002277042483324605</x:v>
      </x:c>
      <x:c r="C406" s="7" t="n">
        <x:f>IF(AND(ISNUMBER(B406),'요약'!$B$19),B406-'요약'!$B$7,"")</x:f>
        <x:v>0.0023252818103741066</x:v>
      </x:c>
      <x:c r="D406" s="7" t="n">
        <x:f>IF(ISNUMBER(C406),C406^2,"")</x:f>
        <x:v>0.000005406935497656683</x:v>
      </x:c>
      <x:c r="E406" s="15" t="n">
        <x:f>IF(ISNUMBER(C406),C406^3,"")</x:f>
        <x:v>1.2572648762567152e-8</x:v>
      </x:c>
      <x:c r="F406" s="15" t="n">
        <x:f>IF(ISNUMBER(C406),C406^4,"")</x:f>
        <x:v>2.923495147581992e-11</x:v>
      </x:c>
      <x:c r="G406" s="7" t="n">
        <x:f>IF(ISNUMBER(B406),ABS(B406),"")</x:f>
        <x:v>0.002277042483324605</x:v>
      </x:c>
      <x:c r="H406" s="7" t="n">
        <x:f>IF(ISNUMBER(B406),B406^2,"")</x:f>
        <x:v>0.000005184922470865085</x:v>
      </x:c>
      <x:c r="I406" s="7" t="n">
        <x:f>IF(AND(ISNUMBER(G406),'요약'!$B$19),G406-'요약'!$B$14,"")</x:f>
        <x:v>-0.00573647414407825</x:v>
      </x:c>
      <x:c r="J406" s="7" t="n">
        <x:f>IF(AND(ISNUMBER(H406),'요약'!$B$19),H406-'요약'!$B$15,"")</x:f>
        <x:v>-0.00009702477671522702</x:v>
      </x:c>
      <x:c r="K406" t="str">
        <x:f>IF(ISNUMBER(B406),IF('Hill'!$B$4=1,IF(B406&lt;0,-B406,""),IF('Hill'!$B$4=2,IF(B406&gt;0,B406,""),IF('Hill'!$B$4=3,IF(B406&lt;&gt;0,ABS(B406),""),""))),"")</x:f>
      </x:c>
    </x:row>
    <x:row r="407">
      <x:c r="A407" t="n">
        <x:f>406</x:f>
        <x:v>406</x:v>
      </x:c>
      <x:c r="B407" s="7" t="n">
        <x:f>IF('요약'!$B$4=4,IF(ISNUMBER('input'!A407),'input'!A407,""),IF(406&lt;=1000,CHOOSE('요약'!$B$4,'input'!B407,'input'!C407,'input'!D407),""))</x:f>
        <x:v>-0.01830698487486911</x:v>
      </x:c>
      <x:c r="C407" s="7" t="n">
        <x:f>IF(AND(ISNUMBER(B407),'요약'!$B$19),B407-'요약'!$B$7,"")</x:f>
        <x:v>-0.01825874554781961</x:v>
      </x:c>
      <x:c r="D407" s="7" t="n">
        <x:f>IF(ISNUMBER(C407),C407^2,"")</x:f>
        <x:v>0.00033338178898002237</x:v>
      </x:c>
      <x:c r="E407" s="15" t="n">
        <x:f>IF(ISNUMBER(C407),C407^3,"")</x:f>
        <x:v>-0.00000608713325526312</x:v>
      </x:c>
      <x:c r="F407" s="15" t="n">
        <x:f>IF(ISNUMBER(C407),C407^4,"")</x:f>
        <x:v>1.1114341722352018e-7</x:v>
      </x:c>
      <x:c r="G407" s="7" t="n">
        <x:f>IF(ISNUMBER(B407),ABS(B407),"")</x:f>
        <x:v>0.01830698487486911</x:v>
      </x:c>
      <x:c r="H407" s="7" t="n">
        <x:f>IF(ISNUMBER(B407),B407^2,"")</x:f>
        <x:v>0.00033514569520868637</x:v>
      </x:c>
      <x:c r="I407" s="7" t="n">
        <x:f>IF(AND(ISNUMBER(G407),'요약'!$B$19),G407-'요약'!$B$14,"")</x:f>
        <x:v>0.010293468247466254</x:v>
      </x:c>
      <x:c r="J407" s="7" t="n">
        <x:f>IF(AND(ISNUMBER(H407),'요약'!$B$19),H407-'요약'!$B$15,"")</x:f>
        <x:v>0.00023293599602259427</x:v>
      </x:c>
      <x:c r="K407" t="n">
        <x:f>IF(ISNUMBER(B407),IF('Hill'!$B$4=1,IF(B407&lt;0,-B407,""),IF('Hill'!$B$4=2,IF(B407&gt;0,B407,""),IF('Hill'!$B$4=3,IF(B407&lt;&gt;0,ABS(B407),""),""))),"")</x:f>
        <x:v>0.01830698487486911</x:v>
      </x:c>
    </x:row>
    <x:row r="408">
      <x:c r="A408" t="n">
        <x:f>407</x:f>
        <x:v>407</x:v>
      </x:c>
      <x:c r="B408" s="7" t="n">
        <x:f>IF('요약'!$B$4=4,IF(ISNUMBER('input'!A408),'input'!A408,""),IF(407&lt;=1000,CHOOSE('요약'!$B$4,'input'!B408,'input'!C408,'input'!D408),""))</x:f>
        <x:v>0.0035349857911560825</x:v>
      </x:c>
      <x:c r="C408" s="7" t="n">
        <x:f>IF(AND(ISNUMBER(B408),'요약'!$B$19),B408-'요약'!$B$7,"")</x:f>
        <x:v>0.003583225118205584</x:v>
      </x:c>
      <x:c r="D408" s="7" t="n">
        <x:f>IF(ISNUMBER(C408),C408^2,"")</x:f>
        <x:v>0.00001283950224773942</x:v>
      </x:c>
      <x:c r="E408" s="15" t="n">
        <x:f>IF(ISNUMBER(C408),C408^3,"")</x:f>
        <x:v>4.600682695935695e-8</x:v>
      </x:c>
      <x:c r="F408" s="15" t="n">
        <x:f>IF(ISNUMBER(C408),C408^4,"")</x:f>
        <x:v>1.6485281796970566e-10</x:v>
      </x:c>
      <x:c r="G408" s="7" t="n">
        <x:f>IF(ISNUMBER(B408),ABS(B408),"")</x:f>
        <x:v>0.0035349857911560825</x:v>
      </x:c>
      <x:c r="H408" s="7" t="n">
        <x:f>IF(ISNUMBER(B408),B408^2,"")</x:f>
        <x:v>0.000012496124543675395</x:v>
      </x:c>
      <x:c r="I408" s="7" t="n">
        <x:f>IF(AND(ISNUMBER(G408),'요약'!$B$19),G408-'요약'!$B$14,"")</x:f>
        <x:v>-0.004478530836246773</x:v>
      </x:c>
      <x:c r="J408" s="7" t="n">
        <x:f>IF(AND(ISNUMBER(H408),'요약'!$B$19),H408-'요약'!$B$15,"")</x:f>
        <x:v>-0.00008971357464241671</x:v>
      </x:c>
      <x:c r="K408" t="str">
        <x:f>IF(ISNUMBER(B408),IF('Hill'!$B$4=1,IF(B408&lt;0,-B408,""),IF('Hill'!$B$4=2,IF(B408&gt;0,B408,""),IF('Hill'!$B$4=3,IF(B408&lt;&gt;0,ABS(B408),""),""))),"")</x:f>
      </x:c>
    </x:row>
    <x:row r="409">
      <x:c r="A409" t="n">
        <x:f>408</x:f>
        <x:v>408</x:v>
      </x:c>
      <x:c r="B409" s="7" t="n">
        <x:f>IF('요약'!$B$4=4,IF(ISNUMBER('input'!A409),'input'!A409,""),IF(408&lt;=1000,CHOOSE('요약'!$B$4,'input'!B409,'input'!C409,'input'!D409),""))</x:f>
        <x:v>-0.011324460803793483</x:v>
      </x:c>
      <x:c r="C409" s="7" t="n">
        <x:f>IF(AND(ISNUMBER(B409),'요약'!$B$19),B409-'요약'!$B$7,"")</x:f>
        <x:v>-0.011276221476743982</x:v>
      </x:c>
      <x:c r="D409" s="7" t="n">
        <x:f>IF(ISNUMBER(C409),C409^2,"")</x:f>
        <x:v>0.00012715317079258225</x:v>
      </x:c>
      <x:c r="E409" s="15" t="n">
        <x:f>IF(ISNUMBER(C409),C409^3,"")</x:f>
        <x:v>-0.0000014338073153274114</x:v>
      </x:c>
      <x:c r="F409" s="15" t="n">
        <x:f>IF(ISNUMBER(C409),C409^4,"")</x:f>
        <x:v>1.6167928842607587e-8</x:v>
      </x:c>
      <x:c r="G409" s="7" t="n">
        <x:f>IF(ISNUMBER(B409),ABS(B409),"")</x:f>
        <x:v>0.011324460803793483</x:v>
      </x:c>
      <x:c r="H409" s="7" t="n">
        <x:f>IF(ISNUMBER(B409),B409^2,"")</x:f>
        <x:v>0.00012824341249665494</x:v>
      </x:c>
      <x:c r="I409" s="7" t="n">
        <x:f>IF(AND(ISNUMBER(G409),'요약'!$B$19),G409-'요약'!$B$14,"")</x:f>
        <x:v>0.0033109441763906275</x:v>
      </x:c>
      <x:c r="J409" s="7" t="n">
        <x:f>IF(AND(ISNUMBER(H409),'요약'!$B$19),H409-'요약'!$B$15,"")</x:f>
        <x:v>0.000026033713310562838</x:v>
      </x:c>
      <x:c r="K409" t="n">
        <x:f>IF(ISNUMBER(B409),IF('Hill'!$B$4=1,IF(B409&lt;0,-B409,""),IF('Hill'!$B$4=2,IF(B409&gt;0,B409,""),IF('Hill'!$B$4=3,IF(B409&lt;&gt;0,ABS(B409),""),""))),"")</x:f>
        <x:v>0.011324460803793483</x:v>
      </x:c>
    </x:row>
    <x:row r="410">
      <x:c r="A410" t="n">
        <x:f>409</x:f>
        <x:v>409</x:v>
      </x:c>
      <x:c r="B410" s="7" t="n">
        <x:f>IF('요약'!$B$4=4,IF(ISNUMBER('input'!A410),'input'!A410,""),IF(409&lt;=1000,CHOOSE('요약'!$B$4,'input'!B410,'input'!C410,'input'!D410),""))</x:f>
        <x:v>0.010959144354937951</x:v>
      </x:c>
      <x:c r="C410" s="7" t="n">
        <x:f>IF(AND(ISNUMBER(B410),'요약'!$B$19),B410-'요약'!$B$7,"")</x:f>
        <x:v>0.011007383681987452</x:v>
      </x:c>
      <x:c r="D410" s="7" t="n">
        <x:f>IF(ISNUMBER(C410),C410^2,"")</x:f>
        <x:v>0.00012116249552248363</x:v>
      </x:c>
      <x:c r="E410" s="15" t="n">
        <x:f>IF(ISNUMBER(C410),C410^3,"")</x:f>
        <x:v>0.0000013336820760830639</x:v>
      </x:c>
      <x:c r="F410" s="15" t="n">
        <x:f>IF(ISNUMBER(C410),C410^4,"")</x:f>
        <x:v>1.4680350321235866e-8</x:v>
      </x:c>
      <x:c r="G410" s="7" t="n">
        <x:f>IF(ISNUMBER(B410),ABS(B410),"")</x:f>
        <x:v>0.010959144354937951</x:v>
      </x:c>
      <x:c r="H410" s="7" t="n">
        <x:f>IF(ISNUMBER(B410),B410^2,"")</x:f>
        <x:v>0.00012010284499236836</x:v>
      </x:c>
      <x:c r="I410" s="7" t="n">
        <x:f>IF(AND(ISNUMBER(G410),'요약'!$B$19),G410-'요약'!$B$14,"")</x:f>
        <x:v>0.0029456277275350957</x:v>
      </x:c>
      <x:c r="J410" s="7" t="n">
        <x:f>IF(AND(ISNUMBER(H410),'요약'!$B$19),H410-'요약'!$B$15,"")</x:f>
        <x:v>0.00001789314580627626</x:v>
      </x:c>
      <x:c r="K410" t="str">
        <x:f>IF(ISNUMBER(B410),IF('Hill'!$B$4=1,IF(B410&lt;0,-B410,""),IF('Hill'!$B$4=2,IF(B410&gt;0,B410,""),IF('Hill'!$B$4=3,IF(B410&lt;&gt;0,ABS(B410),""),""))),"")</x:f>
      </x:c>
    </x:row>
    <x:row r="411">
      <x:c r="A411" t="n">
        <x:f>410</x:f>
        <x:v>410</x:v>
      </x:c>
      <x:c r="B411" s="7" t="n">
        <x:f>IF('요약'!$B$4=4,IF(ISNUMBER('input'!A411),'input'!A411,""),IF(410&lt;=1000,CHOOSE('요약'!$B$4,'input'!B411,'input'!C411,'input'!D411),""))</x:f>
        <x:v>-0.005138549724051736</x:v>
      </x:c>
      <x:c r="C411" s="7" t="n">
        <x:f>IF(AND(ISNUMBER(B411),'요약'!$B$19),B411-'요약'!$B$7,"")</x:f>
        <x:v>-0.005090310397002235</x:v>
      </x:c>
      <x:c r="D411" s="7" t="n">
        <x:f>IF(ISNUMBER(C411),C411^2,"")</x:f>
        <x:v>0.00002591125993782905</x:v>
      </x:c>
      <x:c r="E411" s="15" t="n">
        <x:f>IF(ISNUMBER(C411),C411^3,"")</x:f>
        <x:v>-1.318963558609587e-7</x:v>
      </x:c>
      <x:c r="F411" s="15" t="n">
        <x:f>IF(ISNUMBER(C411),C411^4,"")</x:f>
        <x:v>6.713933915657446e-10</x:v>
      </x:c>
      <x:c r="G411" s="7" t="n">
        <x:f>IF(ISNUMBER(B411),ABS(B411),"")</x:f>
        <x:v>0.005138549724051736</x:v>
      </x:c>
      <x:c r="H411" s="7" t="n">
        <x:f>IF(ISNUMBER(B411),B411^2,"")</x:f>
        <x:v>0.000026404693266552174</x:v>
      </x:c>
      <x:c r="I411" s="7" t="n">
        <x:f>IF(AND(ISNUMBER(G411),'요약'!$B$19),G411-'요약'!$B$14,"")</x:f>
        <x:v>-0.0028749669033511192</x:v>
      </x:c>
      <x:c r="J411" s="7" t="n">
        <x:f>IF(AND(ISNUMBER(H411),'요약'!$B$19),H411-'요약'!$B$15,"")</x:f>
        <x:v>-0.00007580500591953993</x:v>
      </x:c>
      <x:c r="K411" t="n">
        <x:f>IF(ISNUMBER(B411),IF('Hill'!$B$4=1,IF(B411&lt;0,-B411,""),IF('Hill'!$B$4=2,IF(B411&gt;0,B411,""),IF('Hill'!$B$4=3,IF(B411&lt;&gt;0,ABS(B411),""),""))),"")</x:f>
        <x:v>0.005138549724051736</x:v>
      </x:c>
    </x:row>
    <x:row r="412">
      <x:c r="A412" t="n">
        <x:f>411</x:f>
        <x:v>411</x:v>
      </x:c>
      <x:c r="B412" s="7" t="n">
        <x:f>IF('요약'!$B$4=4,IF(ISNUMBER('input'!A412),'input'!A412,""),IF(411&lt;=1000,CHOOSE('요약'!$B$4,'input'!B412,'input'!C412,'input'!D412),""))</x:f>
        <x:v>-0.008115341611531341</x:v>
      </x:c>
      <x:c r="C412" s="7" t="n">
        <x:f>IF(AND(ISNUMBER(B412),'요약'!$B$19),B412-'요약'!$B$7,"")</x:f>
        <x:v>-0.00806710228448184</x:v>
      </x:c>
      <x:c r="D412" s="7" t="n">
        <x:f>IF(ISNUMBER(C412),C412^2,"")</x:f>
        <x:v>0.00006507813926829213</x:v>
      </x:c>
      <x:c r="E412" s="15" t="n">
        <x:f>IF(ISNUMBER(C412),C412^3,"")</x:f>
        <x:v>-5.249920059610668e-7</x:v>
      </x:c>
      <x:c r="F412" s="15" t="n">
        <x:f>IF(ISNUMBER(C412),C412^4,"")</x:f>
        <x:v>4.2351642106232264e-9</x:v>
      </x:c>
      <x:c r="G412" s="7" t="n">
        <x:f>IF(ISNUMBER(B412),ABS(B412),"")</x:f>
        <x:v>0.008115341611531341</x:v>
      </x:c>
      <x:c r="H412" s="7" t="n">
        <x:f>IF(ISNUMBER(B412),B412^2,"")</x:f>
        <x:v>0.0000658587694718521</x:v>
      </x:c>
      <x:c r="I412" s="7" t="n">
        <x:f>IF(AND(ISNUMBER(G412),'요약'!$B$19),G412-'요약'!$B$14,"")</x:f>
        <x:v>0.00010182498412848566</x:v>
      </x:c>
      <x:c r="J412" s="7" t="n">
        <x:f>IF(AND(ISNUMBER(H412),'요약'!$B$19),H412-'요약'!$B$15,"")</x:f>
        <x:v>-0.000036350929714240005</x:v>
      </x:c>
      <x:c r="K412" t="n">
        <x:f>IF(ISNUMBER(B412),IF('Hill'!$B$4=1,IF(B412&lt;0,-B412,""),IF('Hill'!$B$4=2,IF(B412&gt;0,B412,""),IF('Hill'!$B$4=3,IF(B412&lt;&gt;0,ABS(B412),""),""))),"")</x:f>
        <x:v>0.008115341611531341</x:v>
      </x:c>
    </x:row>
    <x:row r="413">
      <x:c r="A413" t="n">
        <x:f>412</x:f>
        <x:v>412</x:v>
      </x:c>
      <x:c r="B413" s="7" t="n">
        <x:f>IF('요약'!$B$4=4,IF(ISNUMBER('input'!A413),'input'!A413,""),IF(412&lt;=1000,CHOOSE('요약'!$B$4,'input'!B413,'input'!C413,'input'!D413),""))</x:f>
        <x:v>-0.0026765144387034213</x:v>
      </x:c>
      <x:c r="C413" s="7" t="n">
        <x:f>IF(AND(ISNUMBER(B413),'요약'!$B$19),B413-'요약'!$B$7,"")</x:f>
        <x:v>-0.00262827511165392</x:v>
      </x:c>
      <x:c r="D413" s="7" t="n">
        <x:f>IF(ISNUMBER(C413),C413^2,"")</x:f>
        <x:v>0.000006907830062539425</x:v>
      </x:c>
      <x:c r="E413" s="15" t="n">
        <x:f>IF(ISNUMBER(C413),C413^3,"")</x:f>
        <x:v>-1.815567782890711e-8</x:v>
      </x:c>
      <x:c r="F413" s="15" t="n">
        <x:f>IF(ISNUMBER(C413),C413^4,"")</x:f>
        <x:v>4.7718116172923434e-11</x:v>
      </x:c>
      <x:c r="G413" s="7" t="n">
        <x:f>IF(ISNUMBER(B413),ABS(B413),"")</x:f>
        <x:v>0.0026765144387034213</x:v>
      </x:c>
      <x:c r="H413" s="7" t="n">
        <x:f>IF(ISNUMBER(B413),B413^2,"")</x:f>
        <x:v>0.0000071637295405878905</x:v>
      </x:c>
      <x:c r="I413" s="7" t="n">
        <x:f>IF(AND(ISNUMBER(G413),'요약'!$B$19),G413-'요약'!$B$14,"")</x:f>
        <x:v>-0.005337002188699434</x:v>
      </x:c>
      <x:c r="J413" s="7" t="n">
        <x:f>IF(AND(ISNUMBER(H413),'요약'!$B$19),H413-'요약'!$B$15,"")</x:f>
        <x:v>-0.00009504596964550421</x:v>
      </x:c>
      <x:c r="K413" t="n">
        <x:f>IF(ISNUMBER(B413),IF('Hill'!$B$4=1,IF(B413&lt;0,-B413,""),IF('Hill'!$B$4=2,IF(B413&gt;0,B413,""),IF('Hill'!$B$4=3,IF(B413&lt;&gt;0,ABS(B413),""),""))),"")</x:f>
        <x:v>0.0026765144387034213</x:v>
      </x:c>
    </x:row>
    <x:row r="414">
      <x:c r="A414" t="n">
        <x:f>413</x:f>
        <x:v>413</x:v>
      </x:c>
      <x:c r="B414" s="7" t="n">
        <x:f>IF('요약'!$B$4=4,IF(ISNUMBER('input'!A414),'input'!A414,""),IF(413&lt;=1000,CHOOSE('요약'!$B$4,'input'!B414,'input'!C414,'input'!D414),""))</x:f>
        <x:v>-0.0020023186105635605</x:v>
      </x:c>
      <x:c r="C414" s="7" t="n">
        <x:f>IF(AND(ISNUMBER(B414),'요약'!$B$19),B414-'요약'!$B$7,"")</x:f>
        <x:v>-0.001954079283514059</x:v>
      </x:c>
      <x:c r="D414" s="7" t="n">
        <x:f>IF(ISNUMBER(C414),C414^2,"")</x:f>
        <x:v>0.000003818425846258818</x:v>
      </x:c>
      <x:c r="E414" s="15" t="n">
        <x:f>IF(ISNUMBER(C414),C414^3,"")</x:f>
        <x:v>-7.461506841808996e-9</x:v>
      </x:c>
      <x:c r="F414" s="15" t="n">
        <x:f>IF(ISNUMBER(C414),C414^4,"")</x:f>
        <x:v>1.4580375943377374e-11</x:v>
      </x:c>
      <x:c r="G414" s="7" t="n">
        <x:f>IF(ISNUMBER(B414),ABS(B414),"")</x:f>
        <x:v>0.0020023186105635605</x:v>
      </x:c>
      <x:c r="H414" s="7" t="n">
        <x:f>IF(ISNUMBER(B414),B414^2,"")</x:f>
        <x:v>0.000004009279818209188</x:v>
      </x:c>
      <x:c r="I414" s="7" t="n">
        <x:f>IF(AND(ISNUMBER(G414),'요약'!$B$19),G414-'요약'!$B$14,"")</x:f>
        <x:v>-0.006011198016839294</x:v>
      </x:c>
      <x:c r="J414" s="7" t="n">
        <x:f>IF(AND(ISNUMBER(H414),'요약'!$B$19),H414-'요약'!$B$15,"")</x:f>
        <x:v>-0.00009820041936788291</x:v>
      </x:c>
      <x:c r="K414" t="n">
        <x:f>IF(ISNUMBER(B414),IF('Hill'!$B$4=1,IF(B414&lt;0,-B414,""),IF('Hill'!$B$4=2,IF(B414&gt;0,B414,""),IF('Hill'!$B$4=3,IF(B414&lt;&gt;0,ABS(B414),""),""))),"")</x:f>
        <x:v>0.0020023186105635605</x:v>
      </x:c>
    </x:row>
    <x:row r="415">
      <x:c r="A415" t="n">
        <x:f>414</x:f>
        <x:v>414</x:v>
      </x:c>
      <x:c r="B415" s="7" t="n">
        <x:f>IF('요약'!$B$4=4,IF(ISNUMBER('input'!A415),'input'!A415,""),IF(414&lt;=1000,CHOOSE('요약'!$B$4,'input'!B415,'input'!C415,'input'!D415),""))</x:f>
        <x:v>0.005242820707064666</x:v>
      </x:c>
      <x:c r="C415" s="7" t="n">
        <x:f>IF(AND(ISNUMBER(B415),'요약'!$B$19),B415-'요약'!$B$7,"")</x:f>
        <x:v>0.005291060034114167</x:v>
      </x:c>
      <x:c r="D415" s="7" t="n">
        <x:f>IF(ISNUMBER(C415),C415^2,"")</x:f>
        <x:v>0.000027995316284600214</x:v>
      </x:c>
      <x:c r="E415" s="15" t="n">
        <x:f>IF(ISNUMBER(C415),C415^3,"")</x:f>
        <x:v>1.481248991358337e-7</x:v>
      </x:c>
      <x:c r="F415" s="15" t="n">
        <x:f>IF(ISNUMBER(C415),C415^4,"")</x:f>
        <x:v>7.83737733874802e-10</x:v>
      </x:c>
      <x:c r="G415" s="7" t="n">
        <x:f>IF(ISNUMBER(B415),ABS(B415),"")</x:f>
        <x:v>0.005242820707064666</x:v>
      </x:c>
      <x:c r="H415" s="7" t="n">
        <x:f>IF(ISNUMBER(B415),B415^2,"")</x:f>
        <x:v>0.000027487168966426045</x:v>
      </x:c>
      <x:c r="I415" s="7" t="n">
        <x:f>IF(AND(ISNUMBER(G415),'요약'!$B$19),G415-'요약'!$B$14,"")</x:f>
        <x:v>-0.0027706959203381894</x:v>
      </x:c>
      <x:c r="J415" s="7" t="n">
        <x:f>IF(AND(ISNUMBER(H415),'요약'!$B$19),H415-'요약'!$B$15,"")</x:f>
        <x:v>-0.00007472253021966606</x:v>
      </x:c>
      <x:c r="K415" t="str">
        <x:f>IF(ISNUMBER(B415),IF('Hill'!$B$4=1,IF(B415&lt;0,-B415,""),IF('Hill'!$B$4=2,IF(B415&gt;0,B415,""),IF('Hill'!$B$4=3,IF(B415&lt;&gt;0,ABS(B415),""),""))),"")</x:f>
      </x:c>
    </x:row>
    <x:row r="416">
      <x:c r="A416" t="n">
        <x:f>415</x:f>
        <x:v>415</x:v>
      </x:c>
      <x:c r="B416" s="7" t="n">
        <x:f>IF('요약'!$B$4=4,IF(ISNUMBER('input'!A416),'input'!A416,""),IF(415&lt;=1000,CHOOSE('요약'!$B$4,'input'!B416,'input'!C416,'input'!D416),""))</x:f>
        <x:v>-0.005469051575921468</x:v>
      </x:c>
      <x:c r="C416" s="7" t="n">
        <x:f>IF(AND(ISNUMBER(B416),'요약'!$B$19),B416-'요약'!$B$7,"")</x:f>
        <x:v>-0.005420812248871966</x:v>
      </x:c>
      <x:c r="D416" s="7" t="n">
        <x:f>IF(ISNUMBER(C416),C416^2,"")</x:f>
        <x:v>0.000029385205437520342</x:v>
      </x:c>
      <x:c r="E416" s="15" t="n">
        <x:f>IF(ISNUMBER(C416),C416^3,"")</x:f>
        <x:v>-1.5929168157132936e-7</x:v>
      </x:c>
      <x:c r="F416" s="15" t="n">
        <x:f>IF(ISNUMBER(C416),C416^4,"")</x:f>
        <x:v>8.634902986052751e-10</x:v>
      </x:c>
      <x:c r="G416" s="7" t="n">
        <x:f>IF(ISNUMBER(B416),ABS(B416),"")</x:f>
        <x:v>0.005469051575921468</x:v>
      </x:c>
      <x:c r="H416" s="7" t="n">
        <x:f>IF(ISNUMBER(B416),B416^2,"")</x:f>
        <x:v>0.000029910525140089088</x:v>
      </x:c>
      <x:c r="I416" s="7" t="n">
        <x:f>IF(AND(ISNUMBER(G416),'요약'!$B$19),G416-'요약'!$B$14,"")</x:f>
        <x:v>-0.002544465051481388</x:v>
      </x:c>
      <x:c r="J416" s="7" t="n">
        <x:f>IF(AND(ISNUMBER(H416),'요약'!$B$19),H416-'요약'!$B$15,"")</x:f>
        <x:v>-0.00007229917404600301</x:v>
      </x:c>
      <x:c r="K416" t="n">
        <x:f>IF(ISNUMBER(B416),IF('Hill'!$B$4=1,IF(B416&lt;0,-B416,""),IF('Hill'!$B$4=2,IF(B416&gt;0,B416,""),IF('Hill'!$B$4=3,IF(B416&lt;&gt;0,ABS(B416),""),""))),"")</x:f>
        <x:v>0.005469051575921468</x:v>
      </x:c>
    </x:row>
    <x:row r="417">
      <x:c r="A417" t="n">
        <x:f>416</x:f>
        <x:v>416</x:v>
      </x:c>
      <x:c r="B417" s="7" t="n">
        <x:f>IF('요약'!$B$4=4,IF(ISNUMBER('input'!A417),'input'!A417,""),IF(416&lt;=1000,CHOOSE('요약'!$B$4,'input'!B417,'input'!C417,'input'!D417),""))</x:f>
        <x:v>0.01979543813826903</x:v>
      </x:c>
      <x:c r="C417" s="7" t="n">
        <x:f>IF(AND(ISNUMBER(B417),'요약'!$B$19),B417-'요약'!$B$7,"")</x:f>
        <x:v>0.01984367746531853</x:v>
      </x:c>
      <x:c r="D417" s="7" t="n">
        <x:f>IF(ISNUMBER(C417),C417^2,"")</x:f>
        <x:v>0.0003937715353475905</x:v>
      </x:c>
      <x:c r="E417" s="15" t="n">
        <x:f>IF(ISNUMBER(C417),C417^3,"")</x:f>
        <x:v>0.00000781387534246086</x:v>
      </x:c>
      <x:c r="F417" s="15" t="n">
        <x:f>IF(ISNUMBER(C417),C417^4,"")</x:f>
        <x:v>1.550560220499987e-7</x:v>
      </x:c>
      <x:c r="G417" s="7" t="n">
        <x:f>IF(ISNUMBER(B417),ABS(B417),"")</x:f>
        <x:v>0.01979543813826903</x:v>
      </x:c>
      <x:c r="H417" s="7" t="n">
        <x:f>IF(ISNUMBER(B417),B417^2,"")</x:f>
        <x:v>0.000391859371086036</x:v>
      </x:c>
      <x:c r="I417" s="7" t="n">
        <x:f>IF(AND(ISNUMBER(G417),'요약'!$B$19),G417-'요약'!$B$14,"")</x:f>
        <x:v>0.011781921510866175</x:v>
      </x:c>
      <x:c r="J417" s="7" t="n">
        <x:f>IF(AND(ISNUMBER(H417),'요약'!$B$19),H417-'요약'!$B$15,"")</x:f>
        <x:v>0.0002896496718999439</x:v>
      </x:c>
      <x:c r="K417" t="str">
        <x:f>IF(ISNUMBER(B417),IF('Hill'!$B$4=1,IF(B417&lt;0,-B417,""),IF('Hill'!$B$4=2,IF(B417&gt;0,B417,""),IF('Hill'!$B$4=3,IF(B417&lt;&gt;0,ABS(B417),""),""))),"")</x:f>
      </x:c>
    </x:row>
    <x:row r="418">
      <x:c r="A418" t="n">
        <x:f>417</x:f>
        <x:v>417</x:v>
      </x:c>
      <x:c r="B418" s="7" t="n">
        <x:f>IF('요약'!$B$4=4,IF(ISNUMBER('input'!A418),'input'!A418,""),IF(417&lt;=1000,CHOOSE('요약'!$B$4,'input'!B418,'input'!C418,'input'!D418),""))</x:f>
        <x:v>0.013734500499663894</x:v>
      </x:c>
      <x:c r="C418" s="7" t="n">
        <x:f>IF(AND(ISNUMBER(B418),'요약'!$B$19),B418-'요약'!$B$7,"")</x:f>
        <x:v>0.013782739826713394</x:v>
      </x:c>
      <x:c r="D418" s="7" t="n">
        <x:f>IF(ISNUMBER(C418),C418^2,"")</x:f>
        <x:v>0.00018996391713087157</x:v>
      </x:c>
      <x:c r="E418" s="15" t="n">
        <x:f>IF(ISNUMBER(C418),C418^3,"")</x:f>
        <x:v>0.0000026182232462781466</x:v>
      </x:c>
      <x:c r="F418" s="15" t="n">
        <x:f>IF(ISNUMBER(C418),C418^4,"")</x:f>
        <x:v>3.608628981170464e-8</x:v>
      </x:c>
      <x:c r="G418" s="7" t="n">
        <x:f>IF(ISNUMBER(B418),ABS(B418),"")</x:f>
        <x:v>0.013734500499663894</x:v>
      </x:c>
      <x:c r="H418" s="7" t="n">
        <x:f>IF(ISNUMBER(B418),B418^2,"")</x:f>
        <x:v>0.00018863650397526774</x:v>
      </x:c>
      <x:c r="I418" s="7" t="n">
        <x:f>IF(AND(ISNUMBER(G418),'요약'!$B$19),G418-'요약'!$B$14,"")</x:f>
        <x:v>0.005720983872261038</x:v>
      </x:c>
      <x:c r="J418" s="7" t="n">
        <x:f>IF(AND(ISNUMBER(H418),'요약'!$B$19),H418-'요약'!$B$15,"")</x:f>
        <x:v>0.00008642680478917564</x:v>
      </x:c>
      <x:c r="K418" t="str">
        <x:f>IF(ISNUMBER(B418),IF('Hill'!$B$4=1,IF(B418&lt;0,-B418,""),IF('Hill'!$B$4=2,IF(B418&gt;0,B418,""),IF('Hill'!$B$4=3,IF(B418&lt;&gt;0,ABS(B418),""),""))),"")</x:f>
      </x:c>
    </x:row>
    <x:row r="419">
      <x:c r="A419" t="n">
        <x:f>418</x:f>
        <x:v>418</x:v>
      </x:c>
      <x:c r="B419" s="7" t="n">
        <x:f>IF('요약'!$B$4=4,IF(ISNUMBER('input'!A419),'input'!A419,""),IF(418&lt;=1000,CHOOSE('요약'!$B$4,'input'!B419,'input'!C419,'input'!D419),""))</x:f>
        <x:v>0.0013525701162946438</x:v>
      </x:c>
      <x:c r="C419" s="7" t="n">
        <x:f>IF(AND(ISNUMBER(B419),'요약'!$B$19),B419-'요약'!$B$7,"")</x:f>
        <x:v>0.0014008094433441453</x:v>
      </x:c>
      <x:c r="D419" s="7" t="n">
        <x:f>IF(ISNUMBER(C419),C419^2,"")</x:f>
        <x:v>0.000001962267096562134</x:v>
      </x:c>
      <x:c r="E419" s="15" t="n">
        <x:f>IF(ISNUMBER(C419),C419^3,"")</x:f>
        <x:v>2.7487622792277352e-9</x:v>
      </x:c>
      <x:c r="F419" s="15" t="n">
        <x:f>IF(ISNUMBER(C419),C419^4,"")</x:f>
        <x:v>3.850492158250388e-12</x:v>
      </x:c>
      <x:c r="G419" s="7" t="n">
        <x:f>IF(ISNUMBER(B419),ABS(B419),"")</x:f>
        <x:v>0.0013525701162946438</x:v>
      </x:c>
      <x:c r="H419" s="7" t="n">
        <x:f>IF(ISNUMBER(B419),B419^2,"")</x:f>
        <x:v>0.0000018294459194933063</x:v>
      </x:c>
      <x:c r="I419" s="7" t="n">
        <x:f>IF(AND(ISNUMBER(G419),'요약'!$B$19),G419-'요약'!$B$14,"")</x:f>
        <x:v>-0.006660946511108211</x:v>
      </x:c>
      <x:c r="J419" s="7" t="n">
        <x:f>IF(AND(ISNUMBER(H419),'요약'!$B$19),H419-'요약'!$B$15,"")</x:f>
        <x:v>-0.0001003802532665988</x:v>
      </x:c>
      <x:c r="K419" t="str">
        <x:f>IF(ISNUMBER(B419),IF('Hill'!$B$4=1,IF(B419&lt;0,-B419,""),IF('Hill'!$B$4=2,IF(B419&gt;0,B419,""),IF('Hill'!$B$4=3,IF(B419&lt;&gt;0,ABS(B419),""),""))),"")</x:f>
      </x:c>
    </x:row>
    <x:row r="420">
      <x:c r="A420" t="n">
        <x:f>419</x:f>
        <x:v>419</x:v>
      </x:c>
      <x:c r="B420" s="7" t="n">
        <x:f>IF('요약'!$B$4=4,IF(ISNUMBER('input'!A420),'input'!A420,""),IF(419&lt;=1000,CHOOSE('요약'!$B$4,'input'!B420,'input'!C420,'input'!D420),""))</x:f>
        <x:v>-0.008831265310285604</x:v>
      </x:c>
      <x:c r="C420" s="7" t="n">
        <x:f>IF(AND(ISNUMBER(B420),'요약'!$B$19),B420-'요약'!$B$7,"")</x:f>
        <x:v>-0.008783025983236104</x:v>
      </x:c>
      <x:c r="D420" s="7" t="n">
        <x:f>IF(ISNUMBER(C420),C420^2,"")</x:f>
        <x:v>0.00007714154542220053</x:v>
      </x:c>
      <x:c r="E420" s="15" t="n">
        <x:f>IF(ISNUMBER(C420),C420^3,"")</x:f>
        <x:v>-6.775361978301753e-7</x:v>
      </x:c>
      <x:c r="F420" s="15" t="n">
        <x:f>IF(ISNUMBER(C420),C420^4,"")</x:f>
        <x:v>5.950818030125426e-9</x:v>
      </x:c>
      <x:c r="G420" s="7" t="n">
        <x:f>IF(ISNUMBER(B420),ABS(B420),"")</x:f>
        <x:v>0.008831265310285604</x:v>
      </x:c>
      <x:c r="H420" s="7" t="n">
        <x:f>IF(ISNUMBER(B420),B420^2,"")</x:f>
        <x:v>0.00007799124698065388</x:v>
      </x:c>
      <x:c r="I420" s="7" t="n">
        <x:f>IF(AND(ISNUMBER(G420),'요약'!$B$19),G420-'요약'!$B$14,"")</x:f>
        <x:v>0.0008177486828827487</x:v>
      </x:c>
      <x:c r="J420" s="7" t="n">
        <x:f>IF(AND(ISNUMBER(H420),'요약'!$B$19),H420-'요약'!$B$15,"")</x:f>
        <x:v>-0.00002421845220543822</x:v>
      </x:c>
      <x:c r="K420" t="n">
        <x:f>IF(ISNUMBER(B420),IF('Hill'!$B$4=1,IF(B420&lt;0,-B420,""),IF('Hill'!$B$4=2,IF(B420&gt;0,B420,""),IF('Hill'!$B$4=3,IF(B420&lt;&gt;0,ABS(B420),""),""))),"")</x:f>
        <x:v>0.008831265310285604</x:v>
      </x:c>
    </x:row>
    <x:row r="421">
      <x:c r="A421" t="n">
        <x:f>420</x:f>
        <x:v>420</x:v>
      </x:c>
      <x:c r="B421" s="7" t="n">
        <x:f>IF('요약'!$B$4=4,IF(ISNUMBER('input'!A421),'input'!A421,""),IF(420&lt;=1000,CHOOSE('요약'!$B$4,'input'!B421,'input'!C421,'input'!D421),""))</x:f>
        <x:v>-0.0011323722976707097</x:v>
      </x:c>
      <x:c r="C421" s="7" t="n">
        <x:f>IF(AND(ISNUMBER(B421),'요약'!$B$19),B421-'요약'!$B$7,"")</x:f>
        <x:v>-0.0010841329706212082</x:v>
      </x:c>
      <x:c r="D421" s="7" t="n">
        <x:f>IF(ISNUMBER(C421),C421^2,"")</x:f>
        <x:v>0.0000011753442979879655</x:v>
      </x:c>
      <x:c r="E421" s="15" t="n">
        <x:f>IF(ISNUMBER(C421),C421^3,"")</x:f>
        <x:v>-1.2742295052803915e-9</x:v>
      </x:c>
      <x:c r="F421" s="15" t="n">
        <x:f>IF(ISNUMBER(C421),C421^4,"")</x:f>
        <x:v>1.3814342188128234e-12</x:v>
      </x:c>
      <x:c r="G421" s="7" t="n">
        <x:f>IF(ISNUMBER(B421),ABS(B421),"")</x:f>
        <x:v>0.0011323722976707097</x:v>
      </x:c>
      <x:c r="H421" s="7" t="n">
        <x:f>IF(ISNUMBER(B421),B421^2,"")</x:f>
        <x:v>0.0000012822670205320424</x:v>
      </x:c>
      <x:c r="I421" s="7" t="n">
        <x:f>IF(AND(ISNUMBER(G421),'요약'!$B$19),G421-'요약'!$B$14,"")</x:f>
        <x:v>-0.006881144329732146</x:v>
      </x:c>
      <x:c r="J421" s="7" t="n">
        <x:f>IF(AND(ISNUMBER(H421),'요약'!$B$19),H421-'요약'!$B$15,"")</x:f>
        <x:v>-0.00010092743216556006</x:v>
      </x:c>
      <x:c r="K421" t="n">
        <x:f>IF(ISNUMBER(B421),IF('Hill'!$B$4=1,IF(B421&lt;0,-B421,""),IF('Hill'!$B$4=2,IF(B421&gt;0,B421,""),IF('Hill'!$B$4=3,IF(B421&lt;&gt;0,ABS(B421),""),""))),"")</x:f>
        <x:v>0.0011323722976707097</x:v>
      </x:c>
    </x:row>
    <x:row r="422">
      <x:c r="A422" t="n">
        <x:f>421</x:f>
        <x:v>421</x:v>
      </x:c>
      <x:c r="B422" s="7" t="n">
        <x:f>IF('요약'!$B$4=4,IF(ISNUMBER('input'!A422),'input'!A422,""),IF(421&lt;=1000,CHOOSE('요약'!$B$4,'input'!B422,'input'!C422,'input'!D422),""))</x:f>
        <x:v>-0.010856221874915431</x:v>
      </x:c>
      <x:c r="C422" s="7" t="n">
        <x:f>IF(AND(ISNUMBER(B422),'요약'!$B$19),B422-'요약'!$B$7,"")</x:f>
        <x:v>-0.01080798254786593</x:v>
      </x:c>
      <x:c r="D422" s="7" t="n">
        <x:f>IF(ISNUMBER(C422),C422^2,"")</x:f>
        <x:v>0.00011681248675497454</x:v>
      </x:c>
      <x:c r="E422" s="15" t="n">
        <x:f>IF(ISNUMBER(C422),C422^3,"")</x:f>
        <x:v>-0.0000012625073182205848</x:v>
      </x:c>
      <x:c r="F422" s="15" t="n">
        <x:f>IF(ISNUMBER(C422),C422^4,"")</x:f>
        <x:v>1.36451570618811e-8</x:v>
      </x:c>
      <x:c r="G422" s="7" t="n">
        <x:f>IF(ISNUMBER(B422),ABS(B422),"")</x:f>
        <x:v>0.010856221874915431</x:v>
      </x:c>
      <x:c r="H422" s="7" t="n">
        <x:f>IF(ISNUMBER(B422),B422^2,"")</x:f>
        <x:v>0.00011785755339739232</x:v>
      </x:c>
      <x:c r="I422" s="7" t="n">
        <x:f>IF(AND(ISNUMBER(G422),'요약'!$B$19),G422-'요약'!$B$14,"")</x:f>
        <x:v>0.0028427052475125756</x:v>
      </x:c>
      <x:c r="J422" s="7" t="n">
        <x:f>IF(AND(ISNUMBER(H422),'요약'!$B$19),H422-'요약'!$B$15,"")</x:f>
        <x:v>0.000015647854211300213</x:v>
      </x:c>
      <x:c r="K422" t="n">
        <x:f>IF(ISNUMBER(B422),IF('Hill'!$B$4=1,IF(B422&lt;0,-B422,""),IF('Hill'!$B$4=2,IF(B422&gt;0,B422,""),IF('Hill'!$B$4=3,IF(B422&lt;&gt;0,ABS(B422),""),""))),"")</x:f>
        <x:v>0.010856221874915431</x:v>
      </x:c>
    </x:row>
    <x:row r="423">
      <x:c r="A423" t="n">
        <x:f>422</x:f>
        <x:v>422</x:v>
      </x:c>
      <x:c r="B423" s="7" t="n">
        <x:f>IF('요약'!$B$4=4,IF(ISNUMBER('input'!A423),'input'!A423,""),IF(422&lt;=1000,CHOOSE('요약'!$B$4,'input'!B423,'input'!C423,'input'!D423),""))</x:f>
        <x:v>0.0004038129966004511</x:v>
      </x:c>
      <x:c r="C423" s="7" t="n">
        <x:f>IF(AND(ISNUMBER(B423),'요약'!$B$19),B423-'요약'!$B$7,"")</x:f>
        <x:v>0.0004520523236499525</x:v>
      </x:c>
      <x:c r="D423" s="7" t="n">
        <x:f>IF(ISNUMBER(C423),C423^2,"")</x:f>
        <x:v>2.0435130331732137e-7</x:v>
      </x:c>
      <x:c r="E423" s="15" t="n">
        <x:f>IF(ISNUMBER(C423),C423^3,"")</x:f>
        <x:v>9.237748150549137e-11</x:v>
      </x:c>
      <x:c r="F423" s="15" t="n">
        <x:f>IF(ISNUMBER(C423),C423^4,"")</x:f>
        <x:v>4.175945516748789e-14</x:v>
      </x:c>
      <x:c r="G423" s="7" t="n">
        <x:f>IF(ISNUMBER(B423),ABS(B423),"")</x:f>
        <x:v>0.0004038129966004511</x:v>
      </x:c>
      <x:c r="H423" s="7" t="n">
        <x:f>IF(ISNUMBER(B423),B423^2,"")</x:f>
        <x:v>1.6306493622343595e-7</x:v>
      </x:c>
      <x:c r="I423" s="7" t="n">
        <x:f>IF(AND(ISNUMBER(G423),'요약'!$B$19),G423-'요약'!$B$14,"")</x:f>
        <x:v>-0.007609703630802404</x:v>
      </x:c>
      <x:c r="J423" s="7" t="n">
        <x:f>IF(AND(ISNUMBER(H423),'요약'!$B$19),H423-'요약'!$B$15,"")</x:f>
        <x:v>-0.00010204663424986867</x:v>
      </x:c>
      <x:c r="K423" t="str">
        <x:f>IF(ISNUMBER(B423),IF('Hill'!$B$4=1,IF(B423&lt;0,-B423,""),IF('Hill'!$B$4=2,IF(B423&gt;0,B423,""),IF('Hill'!$B$4=3,IF(B423&lt;&gt;0,ABS(B423),""),""))),"")</x:f>
      </x:c>
    </x:row>
    <x:row r="424">
      <x:c r="A424" t="n">
        <x:f>423</x:f>
        <x:v>423</x:v>
      </x:c>
      <x:c r="B424" s="7" t="n">
        <x:f>IF('요약'!$B$4=4,IF(ISNUMBER('input'!A424),'input'!A424,""),IF(423&lt;=1000,CHOOSE('요약'!$B$4,'input'!B424,'input'!C424,'input'!D424),""))</x:f>
        <x:v>-0.005915572383946437</x:v>
      </x:c>
      <x:c r="C424" s="7" t="n">
        <x:f>IF(AND(ISNUMBER(B424),'요약'!$B$19),B424-'요약'!$B$7,"")</x:f>
        <x:v>-0.005867333056896936</x:v>
      </x:c>
      <x:c r="D424" s="7" t="n">
        <x:f>IF(ISNUMBER(C424),C424^2,"")</x:f>
        <x:v>0.00003442559720055554</x:v>
      </x:c>
      <x:c r="E424" s="15" t="n">
        <x:f>IF(ISNUMBER(C424),C424^3,"")</x:f>
        <x:v>-2.0198644445823812e-7</x:v>
      </x:c>
      <x:c r="F424" s="15" t="n">
        <x:f>IF(ISNUMBER(C424),C424^4,"")</x:f>
        <x:v>1.1851217426148975e-9</x:v>
      </x:c>
      <x:c r="G424" s="7" t="n">
        <x:f>IF(ISNUMBER(B424),ABS(B424),"")</x:f>
        <x:v>0.005915572383946437</x:v>
      </x:c>
      <x:c r="H424" s="7" t="n">
        <x:f>IF(ISNUMBER(B424),B424^2,"")</x:f>
        <x:v>0.00003499399662970973</x:v>
      </x:c>
      <x:c r="I424" s="7" t="n">
        <x:f>IF(AND(ISNUMBER(G424),'요약'!$B$19),G424-'요약'!$B$14,"")</x:f>
        <x:v>-0.0020979442434564182</x:v>
      </x:c>
      <x:c r="J424" s="7" t="n">
        <x:f>IF(AND(ISNUMBER(H424),'요약'!$B$19),H424-'요약'!$B$15,"")</x:f>
        <x:v>-0.00006721570255638237</x:v>
      </x:c>
      <x:c r="K424" t="n">
        <x:f>IF(ISNUMBER(B424),IF('Hill'!$B$4=1,IF(B424&lt;0,-B424,""),IF('Hill'!$B$4=2,IF(B424&gt;0,B424,""),IF('Hill'!$B$4=3,IF(B424&lt;&gt;0,ABS(B424),""),""))),"")</x:f>
        <x:v>0.005915572383946437</x:v>
      </x:c>
    </x:row>
    <x:row r="425">
      <x:c r="A425" t="n">
        <x:f>424</x:f>
        <x:v>424</x:v>
      </x:c>
      <x:c r="B425" s="7" t="n">
        <x:f>IF('요약'!$B$4=4,IF(ISNUMBER('input'!A425),'input'!A425,""),IF(424&lt;=1000,CHOOSE('요약'!$B$4,'input'!B425,'input'!C425,'input'!D425),""))</x:f>
        <x:v>0.0019135927776275793</x:v>
      </x:c>
      <x:c r="C425" s="7" t="n">
        <x:f>IF(AND(ISNUMBER(B425),'요약'!$B$19),B425-'요약'!$B$7,"")</x:f>
        <x:v>0.0019618321046770805</x:v>
      </x:c>
      <x:c r="D425" s="7" t="n">
        <x:f>IF(ISNUMBER(C425),C425^2,"")</x:f>
        <x:v>0.0000038487852069417035</x:v>
      </x:c>
      <x:c r="E425" s="15" t="n">
        <x:f>IF(ISNUMBER(C425),C425^3,"")</x:f>
        <x:v>7.550670382984455e-9</x:v>
      </x:c>
      <x:c r="F425" s="15" t="n">
        <x:f>IF(ISNUMBER(C425),C425^4,"")</x:f>
        <x:v>1.4813147569173292e-11</x:v>
      </x:c>
      <x:c r="G425" s="7" t="n">
        <x:f>IF(ISNUMBER(B425),ABS(B425),"")</x:f>
        <x:v>0.0019135927776275793</x:v>
      </x:c>
      <x:c r="H425" s="7" t="n">
        <x:f>IF(ISNUMBER(B425),B425^2,"")</x:f>
        <x:v>0.000003661837318588434</x:v>
      </x:c>
      <x:c r="I425" s="7" t="n">
        <x:f>IF(AND(ISNUMBER(G425),'요약'!$B$19),G425-'요약'!$B$14,"")</x:f>
        <x:v>-0.006099923849775276</x:v>
      </x:c>
      <x:c r="J425" s="7" t="n">
        <x:f>IF(AND(ISNUMBER(H425),'요약'!$B$19),H425-'요약'!$B$15,"")</x:f>
        <x:v>-0.00009854786186750367</x:v>
      </x:c>
      <x:c r="K425" t="str">
        <x:f>IF(ISNUMBER(B425),IF('Hill'!$B$4=1,IF(B425&lt;0,-B425,""),IF('Hill'!$B$4=2,IF(B425&gt;0,B425,""),IF('Hill'!$B$4=3,IF(B425&lt;&gt;0,ABS(B425),""),""))),"")</x:f>
      </x:c>
    </x:row>
    <x:row r="426">
      <x:c r="A426" t="n">
        <x:f>425</x:f>
        <x:v>425</x:v>
      </x:c>
      <x:c r="B426" s="7" t="n">
        <x:f>IF('요약'!$B$4=4,IF(ISNUMBER('input'!A426),'input'!A426,""),IF(425&lt;=1000,CHOOSE('요약'!$B$4,'input'!B426,'input'!C426,'input'!D426),""))</x:f>
        <x:v>-0.0036846177992957262</x:v>
      </x:c>
      <x:c r="C426" s="7" t="n">
        <x:f>IF(AND(ISNUMBER(B426),'요약'!$B$19),B426-'요약'!$B$7,"")</x:f>
        <x:v>-0.0036363784722462248</x:v>
      </x:c>
      <x:c r="D426" s="7" t="n">
        <x:f>IF(ISNUMBER(C426),C426^2,"")</x:f>
        <x:v>0.000013223248393415788</x:v>
      </x:c>
      <x:c r="E426" s="15" t="n">
        <x:f>IF(ISNUMBER(C426),C426^3,"")</x:f>
        <x:v>-4.808473579098165e-8</x:v>
      </x:c>
      <x:c r="F426" s="15" t="n">
        <x:f>IF(ISNUMBER(C426),C426^4,"")</x:f>
        <x:v>1.7485429807397322e-10</x:v>
      </x:c>
      <x:c r="G426" s="7" t="n">
        <x:f>IF(ISNUMBER(B426),ABS(B426),"")</x:f>
        <x:v>0.0036846177992957262</x:v>
      </x:c>
      <x:c r="H426" s="7" t="n">
        <x:f>IF(ISNUMBER(B426),B426^2,"")</x:f>
        <x:v>0.00001357640832688688</x:v>
      </x:c>
      <x:c r="I426" s="7" t="n">
        <x:f>IF(AND(ISNUMBER(G426),'요약'!$B$19),G426-'요약'!$B$14,"")</x:f>
        <x:v>-0.004328898828107129</x:v>
      </x:c>
      <x:c r="J426" s="7" t="n">
        <x:f>IF(AND(ISNUMBER(H426),'요약'!$B$19),H426-'요약'!$B$15,"")</x:f>
        <x:v>-0.00008863329085920523</x:v>
      </x:c>
      <x:c r="K426" t="n">
        <x:f>IF(ISNUMBER(B426),IF('Hill'!$B$4=1,IF(B426&lt;0,-B426,""),IF('Hill'!$B$4=2,IF(B426&gt;0,B426,""),IF('Hill'!$B$4=3,IF(B426&lt;&gt;0,ABS(B426),""),""))),"")</x:f>
        <x:v>0.0036846177992957262</x:v>
      </x:c>
    </x:row>
    <x:row r="427">
      <x:c r="A427" t="n">
        <x:f>426</x:f>
        <x:v>426</x:v>
      </x:c>
      <x:c r="B427" s="7" t="n">
        <x:f>IF('요약'!$B$4=4,IF(ISNUMBER('input'!A427),'input'!A427,""),IF(426&lt;=1000,CHOOSE('요약'!$B$4,'input'!B427,'input'!C427,'input'!D427),""))</x:f>
        <x:v>-0.0053118542652201214</x:v>
      </x:c>
      <x:c r="C427" s="7" t="n">
        <x:f>IF(AND(ISNUMBER(B427),'요약'!$B$19),B427-'요약'!$B$7,"")</x:f>
        <x:v>-0.00526361493817062</x:v>
      </x:c>
      <x:c r="D427" s="7" t="n">
        <x:f>IF(ISNUMBER(C427),C427^2,"")</x:f>
        <x:v>0.0000277056422173329</x:v>
      </x:c>
      <x:c r="E427" s="15" t="n">
        <x:f>IF(ISNUMBER(C427),C427^3,"")</x:f>
        <x:v>-1.4583183224676402e-7</x:v>
      </x:c>
      <x:c r="F427" s="15" t="n">
        <x:f>IF(ISNUMBER(C427),C427^4,"")</x:f>
        <x:v>7.676026106748591e-10</x:v>
      </x:c>
      <x:c r="G427" s="7" t="n">
        <x:f>IF(ISNUMBER(B427),ABS(B427),"")</x:f>
        <x:v>0.0053118542652201214</x:v>
      </x:c>
      <x:c r="H427" s="7" t="n">
        <x:f>IF(ISNUMBER(B427),B427^2,"")</x:f>
        <x:v>0.000028215795734937195</x:v>
      </x:c>
      <x:c r="I427" s="7" t="n">
        <x:f>IF(AND(ISNUMBER(G427),'요약'!$B$19),G427-'요약'!$B$14,"")</x:f>
        <x:v>-0.002701662362182734</x:v>
      </x:c>
      <x:c r="J427" s="7" t="n">
        <x:f>IF(AND(ISNUMBER(H427),'요약'!$B$19),H427-'요약'!$B$15,"")</x:f>
        <x:v>-0.0000739939034511549</x:v>
      </x:c>
      <x:c r="K427" t="n">
        <x:f>IF(ISNUMBER(B427),IF('Hill'!$B$4=1,IF(B427&lt;0,-B427,""),IF('Hill'!$B$4=2,IF(B427&gt;0,B427,""),IF('Hill'!$B$4=3,IF(B427&lt;&gt;0,ABS(B427),""),""))),"")</x:f>
        <x:v>0.0053118542652201214</x:v>
      </x:c>
    </x:row>
    <x:row r="428">
      <x:c r="A428" t="n">
        <x:f>427</x:f>
        <x:v>427</x:v>
      </x:c>
      <x:c r="B428" s="7" t="n">
        <x:f>IF('요약'!$B$4=4,IF(ISNUMBER('input'!A428),'input'!A428,""),IF(427&lt;=1000,CHOOSE('요약'!$B$4,'input'!B428,'input'!C428,'input'!D428),""))</x:f>
        <x:v>-0.00425355798594773</x:v>
      </x:c>
      <x:c r="C428" s="7" t="n">
        <x:f>IF(AND(ISNUMBER(B428),'요약'!$B$19),B428-'요약'!$B$7,"")</x:f>
        <x:v>-0.004205318658898229</x:v>
      </x:c>
      <x:c r="D428" s="7" t="n">
        <x:f>IF(ISNUMBER(C428),C428^2,"")</x:f>
        <x:v>0.000017684705022877598</x:v>
      </x:c>
      <x:c r="E428" s="15" t="n">
        <x:f>IF(ISNUMBER(C428),C428^3,"")</x:f>
        <x:v>-7.43698200098184e-8</x:v>
      </x:c>
      <x:c r="F428" s="15" t="n">
        <x:f>IF(ISNUMBER(C428),C428^4,"")</x:f>
        <x:v>3.1274879174619215e-10</x:v>
      </x:c>
      <x:c r="G428" s="7" t="n">
        <x:f>IF(ISNUMBER(B428),ABS(B428),"")</x:f>
        <x:v>0.00425355798594773</x:v>
      </x:c>
      <x:c r="H428" s="7" t="n">
        <x:f>IF(ISNUMBER(B428),B428^2,"")</x:f>
        <x:v>0.000018092755539819712</x:v>
      </x:c>
      <x:c r="I428" s="7" t="n">
        <x:f>IF(AND(ISNUMBER(G428),'요약'!$B$19),G428-'요약'!$B$14,"")</x:f>
        <x:v>-0.003759958641455125</x:v>
      </x:c>
      <x:c r="J428" s="7" t="n">
        <x:f>IF(AND(ISNUMBER(H428),'요약'!$B$19),H428-'요약'!$B$15,"")</x:f>
        <x:v>-0.00008411694364627239</x:v>
      </x:c>
      <x:c r="K428" t="n">
        <x:f>IF(ISNUMBER(B428),IF('Hill'!$B$4=1,IF(B428&lt;0,-B428,""),IF('Hill'!$B$4=2,IF(B428&gt;0,B428,""),IF('Hill'!$B$4=3,IF(B428&lt;&gt;0,ABS(B428),""),""))),"")</x:f>
        <x:v>0.00425355798594773</x:v>
      </x:c>
    </x:row>
    <x:row r="429">
      <x:c r="A429" t="n">
        <x:f>428</x:f>
        <x:v>428</x:v>
      </x:c>
      <x:c r="B429" s="7" t="n">
        <x:f>IF('요약'!$B$4=4,IF(ISNUMBER('input'!A429),'input'!A429,""),IF(428&lt;=1000,CHOOSE('요약'!$B$4,'input'!B429,'input'!C429,'input'!D429),""))</x:f>
        <x:v>0.017908213222997457</x:v>
      </x:c>
      <x:c r="C429" s="7" t="n">
        <x:f>IF(AND(ISNUMBER(B429),'요약'!$B$19),B429-'요약'!$B$7,"")</x:f>
        <x:v>0.017956452550046957</x:v>
      </x:c>
      <x:c r="D429" s="7" t="n">
        <x:f>IF(ISNUMBER(C429),C429^2,"")</x:f>
        <x:v>0.0003224341881820879</x:v>
      </x:c>
      <x:c r="E429" s="15" t="n">
        <x:f>IF(ISNUMBER(C429),C429^3,"")</x:f>
        <x:v>0.000005789774200604572</x:v>
      </x:c>
      <x:c r="F429" s="15" t="n">
        <x:f>IF(ISNUMBER(C429),C429^4,"")</x:f>
        <x:v>1.0396380570864206e-7</x:v>
      </x:c>
      <x:c r="G429" s="7" t="n">
        <x:f>IF(ISNUMBER(B429),ABS(B429),"")</x:f>
        <x:v>0.017908213222997457</x:v>
      </x:c>
      <x:c r="H429" s="7" t="n">
        <x:f>IF(ISNUMBER(B429),B429^2,"")</x:f>
        <x:v>0.00032070410084034096</x:v>
      </x:c>
      <x:c r="I429" s="7" t="n">
        <x:f>IF(AND(ISNUMBER(G429),'요약'!$B$19),G429-'요약'!$B$14,"")</x:f>
        <x:v>0.009894696595594601</x:v>
      </x:c>
      <x:c r="J429" s="7" t="n">
        <x:f>IF(AND(ISNUMBER(H429),'요약'!$B$19),H429-'요약'!$B$15,"")</x:f>
        <x:v>0.00021849440165424885</x:v>
      </x:c>
      <x:c r="K429" t="str">
        <x:f>IF(ISNUMBER(B429),IF('Hill'!$B$4=1,IF(B429&lt;0,-B429,""),IF('Hill'!$B$4=2,IF(B429&gt;0,B429,""),IF('Hill'!$B$4=3,IF(B429&lt;&gt;0,ABS(B429),""),""))),"")</x:f>
      </x:c>
    </x:row>
    <x:row r="430">
      <x:c r="A430" t="n">
        <x:f>429</x:f>
        <x:v>429</x:v>
      </x:c>
      <x:c r="B430" s="7" t="n">
        <x:f>IF('요약'!$B$4=4,IF(ISNUMBER('input'!A430),'input'!A430,""),IF(429&lt;=1000,CHOOSE('요약'!$B$4,'input'!B430,'input'!C430,'input'!D430),""))</x:f>
        <x:v>0.013517623417320242</x:v>
      </x:c>
      <x:c r="C430" s="7" t="n">
        <x:f>IF(AND(ISNUMBER(B430),'요약'!$B$19),B430-'요약'!$B$7,"")</x:f>
        <x:v>0.013565862744369743</x:v>
      </x:c>
      <x:c r="D430" s="7" t="n">
        <x:f>IF(ISNUMBER(C430),C430^2,"")</x:f>
        <x:v>0.00018403263199907895</x:v>
      </x:c>
      <x:c r="E430" s="15" t="n">
        <x:f>IF(ISNUMBER(C430),C430^3,"")</x:f>
        <x:v>0.000002496561426184612</x:v>
      </x:c>
      <x:c r="F430" s="15" t="n">
        <x:f>IF(ISNUMBER(C430),C430^4,"")</x:f>
        <x:v>3.386800964050842e-8</x:v>
      </x:c>
      <x:c r="G430" s="7" t="n">
        <x:f>IF(ISNUMBER(B430),ABS(B430),"")</x:f>
        <x:v>0.013517623417320242</x:v>
      </x:c>
      <x:c r="H430" s="7" t="n">
        <x:f>IF(ISNUMBER(B430),B430^2,"")</x:f>
        <x:v>0.0001827261428524846</x:v>
      </x:c>
      <x:c r="I430" s="7" t="n">
        <x:f>IF(AND(ISNUMBER(G430),'요약'!$B$19),G430-'요약'!$B$14,"")</x:f>
        <x:v>0.005504106789917387</x:v>
      </x:c>
      <x:c r="J430" s="7" t="n">
        <x:f>IF(AND(ISNUMBER(H430),'요약'!$B$19),H430-'요약'!$B$15,"")</x:f>
        <x:v>0.00008051644366639248</x:v>
      </x:c>
      <x:c r="K430" t="str">
        <x:f>IF(ISNUMBER(B430),IF('Hill'!$B$4=1,IF(B430&lt;0,-B430,""),IF('Hill'!$B$4=2,IF(B430&gt;0,B430,""),IF('Hill'!$B$4=3,IF(B430&lt;&gt;0,ABS(B430),""),""))),"")</x:f>
      </x:c>
    </x:row>
    <x:row r="431">
      <x:c r="A431" t="n">
        <x:f>430</x:f>
        <x:v>430</x:v>
      </x:c>
      <x:c r="B431" s="7" t="n">
        <x:f>IF('요약'!$B$4=4,IF(ISNUMBER('input'!A431),'input'!A431,""),IF(430&lt;=1000,CHOOSE('요약'!$B$4,'input'!B431,'input'!C431,'input'!D431),""))</x:f>
        <x:v>-0.006072930009955434</x:v>
      </x:c>
      <x:c r="C431" s="7" t="n">
        <x:f>IF(AND(ISNUMBER(B431),'요약'!$B$19),B431-'요약'!$B$7,"")</x:f>
        <x:v>-0.006024690682905932</x:v>
      </x:c>
      <x:c r="D431" s="7" t="n">
        <x:f>IF(ISNUMBER(C431),C431^2,"")</x:f>
        <x:v>0.00003629689782469355</x:v>
      </x:c>
      <x:c r="E431" s="15" t="n">
        <x:f>IF(ISNUMBER(C431),C431^3,"")</x:f>
        <x:v>-2.1867758214281983e-7</x:v>
      </x:c>
      <x:c r="F431" s="15" t="n">
        <x:f>IF(ISNUMBER(C431),C431^4,"")</x:f>
        <x:v>1.3174647916962434e-9</x:v>
      </x:c>
      <x:c r="G431" s="7" t="n">
        <x:f>IF(ISNUMBER(B431),ABS(B431),"")</x:f>
        <x:v>0.006072930009955434</x:v>
      </x:c>
      <x:c r="H431" s="7" t="n">
        <x:f>IF(ISNUMBER(B431),B431^2,"")</x:f>
        <x:v>0.000036880478905817305</x:v>
      </x:c>
      <x:c r="I431" s="7" t="n">
        <x:f>IF(AND(ISNUMBER(G431),'요약'!$B$19),G431-'요약'!$B$14,"")</x:f>
        <x:v>-0.0019405866174474215</x:v>
      </x:c>
      <x:c r="J431" s="7" t="n">
        <x:f>IF(AND(ISNUMBER(H431),'요약'!$B$19),H431-'요약'!$B$15,"")</x:f>
        <x:v>-0.0000653292202802748</x:v>
      </x:c>
      <x:c r="K431" t="n">
        <x:f>IF(ISNUMBER(B431),IF('Hill'!$B$4=1,IF(B431&lt;0,-B431,""),IF('Hill'!$B$4=2,IF(B431&gt;0,B431,""),IF('Hill'!$B$4=3,IF(B431&lt;&gt;0,ABS(B431),""),""))),"")</x:f>
        <x:v>0.006072930009955434</x:v>
      </x:c>
    </x:row>
    <x:row r="432">
      <x:c r="A432" t="n">
        <x:f>431</x:f>
        <x:v>431</x:v>
      </x:c>
      <x:c r="B432" s="7" t="n">
        <x:f>IF('요약'!$B$4=4,IF(ISNUMBER('input'!A432),'input'!A432,""),IF(431&lt;=1000,CHOOSE('요약'!$B$4,'input'!B432,'input'!C432,'input'!D432),""))</x:f>
        <x:v>0.003447090005822906</x:v>
      </x:c>
      <x:c r="C432" s="7" t="n">
        <x:f>IF(AND(ISNUMBER(B432),'요약'!$B$19),B432-'요약'!$B$7,"")</x:f>
        <x:v>0.0034953293328724073</x:v>
      </x:c>
      <x:c r="D432" s="7" t="n">
        <x:f>IF(ISNUMBER(C432),C432^2,"")</x:f>
        <x:v>0.000012217327145238267</x:v>
      </x:c>
      <x:c r="E432" s="15" t="n">
        <x:f>IF(ISNUMBER(C432),C432^3,"")</x:f>
        <x:v>4.2703581940049624e-8</x:v>
      </x:c>
      <x:c r="F432" s="15" t="n">
        <x:f>IF(ISNUMBER(C432),C432^4,"")</x:f>
        <x:v>1.4926308257377584e-10</x:v>
      </x:c>
      <x:c r="G432" s="7" t="n">
        <x:f>IF(ISNUMBER(B432),ABS(B432),"")</x:f>
        <x:v>0.003447090005822906</x:v>
      </x:c>
      <x:c r="H432" s="7" t="n">
        <x:f>IF(ISNUMBER(B432),B432^2,"")</x:f>
        <x:v>0.00001188242950824416</x:v>
      </x:c>
      <x:c r="I432" s="7" t="n">
        <x:f>IF(AND(ISNUMBER(G432),'요약'!$B$19),G432-'요약'!$B$14,"")</x:f>
        <x:v>-0.004566426621579949</x:v>
      </x:c>
      <x:c r="J432" s="7" t="n">
        <x:f>IF(AND(ISNUMBER(H432),'요약'!$B$19),H432-'요약'!$B$15,"")</x:f>
        <x:v>-0.00009032726967784794</x:v>
      </x:c>
      <x:c r="K432" t="str">
        <x:f>IF(ISNUMBER(B432),IF('Hill'!$B$4=1,IF(B432&lt;0,-B432,""),IF('Hill'!$B$4=2,IF(B432&gt;0,B432,""),IF('Hill'!$B$4=3,IF(B432&lt;&gt;0,ABS(B432),""),""))),"")</x:f>
      </x:c>
    </x:row>
    <x:row r="433">
      <x:c r="A433" t="n">
        <x:f>432</x:f>
        <x:v>432</x:v>
      </x:c>
      <x:c r="B433" s="7" t="n">
        <x:f>IF('요약'!$B$4=4,IF(ISNUMBER('input'!A433),'input'!A433,""),IF(432&lt;=1000,CHOOSE('요약'!$B$4,'input'!B433,'input'!C433,'input'!D433),""))</x:f>
        <x:v>0.003424603351560532</x:v>
      </x:c>
      <x:c r="C433" s="7" t="n">
        <x:f>IF(AND(ISNUMBER(B433),'요약'!$B$19),B433-'요약'!$B$7,"")</x:f>
        <x:v>0.0034728426786100335</x:v>
      </x:c>
      <x:c r="D433" s="7" t="n">
        <x:f>IF(ISNUMBER(C433),C433^2,"")</x:f>
        <x:v>0.000012060636270375312</x:v>
      </x:c>
      <x:c r="E433" s="15" t="n">
        <x:f>IF(ISNUMBER(C433),C433^3,"")</x:f>
        <x:v>4.188469237095152e-8</x:v>
      </x:c>
      <x:c r="F433" s="15" t="n">
        <x:f>IF(ISNUMBER(C433),C433^4,"")</x:f>
        <x:v>1.454589472462925e-10</x:v>
      </x:c>
      <x:c r="G433" s="7" t="n">
        <x:f>IF(ISNUMBER(B433),ABS(B433),"")</x:f>
        <x:v>0.003424603351560532</x:v>
      </x:c>
      <x:c r="H433" s="7" t="n">
        <x:f>IF(ISNUMBER(B433),B433^2,"")</x:f>
        <x:v>0.00001172790811551963</x:v>
      </x:c>
      <x:c r="I433" s="7" t="n">
        <x:f>IF(AND(ISNUMBER(G433),'요약'!$B$19),G433-'요약'!$B$14,"")</x:f>
        <x:v>-0.004588913275842323</x:v>
      </x:c>
      <x:c r="J433" s="7" t="n">
        <x:f>IF(AND(ISNUMBER(H433),'요약'!$B$19),H433-'요약'!$B$15,"")</x:f>
        <x:v>-0.00009048179107057247</x:v>
      </x:c>
      <x:c r="K433" t="str">
        <x:f>IF(ISNUMBER(B433),IF('Hill'!$B$4=1,IF(B433&lt;0,-B433,""),IF('Hill'!$B$4=2,IF(B433&gt;0,B433,""),IF('Hill'!$B$4=3,IF(B433&lt;&gt;0,ABS(B433),""),""))),"")</x:f>
      </x:c>
    </x:row>
    <x:row r="434">
      <x:c r="A434" t="n">
        <x:f>433</x:f>
        <x:v>433</x:v>
      </x:c>
      <x:c r="B434" s="7" t="n">
        <x:f>IF('요약'!$B$4=4,IF(ISNUMBER('input'!A434),'input'!A434,""),IF(433&lt;=1000,CHOOSE('요약'!$B$4,'input'!B434,'input'!C434,'input'!D434),""))</x:f>
        <x:v>0.010431435122743084</x:v>
      </x:c>
      <x:c r="C434" s="7" t="n">
        <x:f>IF(AND(ISNUMBER(B434),'요약'!$B$19),B434-'요약'!$B$7,"")</x:f>
        <x:v>0.010479674449792585</x:v>
      </x:c>
      <x:c r="D434" s="7" t="n">
        <x:f>IF(ISNUMBER(C434),C434^2,"")</x:f>
        <x:v>0.00010982357657363551</x:v>
      </x:c>
      <x:c r="E434" s="15" t="n">
        <x:f>IF(ISNUMBER(C434),C434^3,"")</x:f>
        <x:v>0.0000011509153294035675</x:v>
      </x:c>
      <x:c r="F434" s="15" t="n">
        <x:f>IF(ISNUMBER(C434),C434^4,"")</x:f>
        <x:v>1.2061217971425183e-8</x:v>
      </x:c>
      <x:c r="G434" s="7" t="n">
        <x:f>IF(ISNUMBER(B434),ABS(B434),"")</x:f>
        <x:v>0.010431435122743084</x:v>
      </x:c>
      <x:c r="H434" s="7" t="n">
        <x:f>IF(ISNUMBER(B434),B434^2,"")</x:f>
        <x:v>0.00010881483871999803</x:v>
      </x:c>
      <x:c r="I434" s="7" t="n">
        <x:f>IF(AND(ISNUMBER(G434),'요약'!$B$19),G434-'요약'!$B$14,"")</x:f>
        <x:v>0.0024179184953402287</x:v>
      </x:c>
      <x:c r="J434" s="7" t="n">
        <x:f>IF(AND(ISNUMBER(H434),'요약'!$B$19),H434-'요약'!$B$15,"")</x:f>
        <x:v>0.000006605139533905923</x:v>
      </x:c>
      <x:c r="K434" t="str">
        <x:f>IF(ISNUMBER(B434),IF('Hill'!$B$4=1,IF(B434&lt;0,-B434,""),IF('Hill'!$B$4=2,IF(B434&gt;0,B434,""),IF('Hill'!$B$4=3,IF(B434&lt;&gt;0,ABS(B434),""),""))),"")</x:f>
      </x:c>
    </x:row>
    <x:row r="435">
      <x:c r="A435" t="n">
        <x:f>434</x:f>
        <x:v>434</x:v>
      </x:c>
      <x:c r="B435" s="7" t="n">
        <x:f>IF('요약'!$B$4=4,IF(ISNUMBER('input'!A435),'input'!A435,""),IF(434&lt;=1000,CHOOSE('요약'!$B$4,'input'!B435,'input'!C435,'input'!D435),""))</x:f>
        <x:v>0.009416389673460496</x:v>
      </x:c>
      <x:c r="C435" s="7" t="n">
        <x:f>IF(AND(ISNUMBER(B435),'요약'!$B$19),B435-'요약'!$B$7,"")</x:f>
        <x:v>0.009464629000509997</x:v>
      </x:c>
      <x:c r="D435" s="7" t="n">
        <x:f>IF(ISNUMBER(C435),C435^2,"")</x:f>
        <x:v>0.00008957920211729487</x:v>
      </x:c>
      <x:c r="E435" s="15" t="n">
        <x:f>IF(ISNUMBER(C435),C435^3,"")</x:f>
        <x:v>8.478339142018955e-7</x:v>
      </x:c>
      <x:c r="F435" s="15" t="n">
        <x:f>IF(ISNUMBER(C435),C435^4,"")</x:f>
        <x:v>8.024433451971164e-9</x:v>
      </x:c>
      <x:c r="G435" s="7" t="n">
        <x:f>IF(ISNUMBER(B435),ABS(B435),"")</x:f>
        <x:v>0.009416389673460496</x:v>
      </x:c>
      <x:c r="H435" s="7" t="n">
        <x:f>IF(ISNUMBER(B435),B435^2,"")</x:f>
        <x:v>0.00008866839448245347</x:v>
      </x:c>
      <x:c r="I435" s="7" t="n">
        <x:f>IF(AND(ISNUMBER(G435),'요약'!$B$19),G435-'요약'!$B$14,"")</x:f>
        <x:v>0.001402873046057641</x:v>
      </x:c>
      <x:c r="J435" s="7" t="n">
        <x:f>IF(AND(ISNUMBER(H435),'요약'!$B$19),H435-'요약'!$B$15,"")</x:f>
        <x:v>-0.000013541304703638634</x:v>
      </x:c>
      <x:c r="K435" t="str">
        <x:f>IF(ISNUMBER(B435),IF('Hill'!$B$4=1,IF(B435&lt;0,-B435,""),IF('Hill'!$B$4=2,IF(B435&gt;0,B435,""),IF('Hill'!$B$4=3,IF(B435&lt;&gt;0,ABS(B435),""),""))),"")</x:f>
      </x:c>
    </x:row>
    <x:row r="436">
      <x:c r="A436" t="n">
        <x:f>435</x:f>
        <x:v>435</x:v>
      </x:c>
      <x:c r="B436" s="7" t="n">
        <x:f>IF('요약'!$B$4=4,IF(ISNUMBER('input'!A436),'input'!A436,""),IF(435&lt;=1000,CHOOSE('요약'!$B$4,'input'!B436,'input'!C436,'input'!D436),""))</x:f>
        <x:v>-0.0050729456075886085</x:v>
      </x:c>
      <x:c r="C436" s="7" t="n">
        <x:f>IF(AND(ISNUMBER(B436),'요약'!$B$19),B436-'요약'!$B$7,"")</x:f>
        <x:v>-0.005024706280539107</x:v>
      </x:c>
      <x:c r="D436" s="7" t="n">
        <x:f>IF(ISNUMBER(C436),C436^2,"")</x:f>
        <x:v>0.000025247673205689146</x:v>
      </x:c>
      <x:c r="E436" s="15" t="n">
        <x:f>IF(ISNUMBER(C436),C436^3,"")</x:f>
        <x:v>-1.2686214212562518e-7</x:v>
      </x:c>
      <x:c r="F436" s="15" t="n">
        <x:f>IF(ISNUMBER(C436),C436^4,"")</x:f>
        <x:v>6.374450023012737e-10</x:v>
      </x:c>
      <x:c r="G436" s="7" t="n">
        <x:f>IF(ISNUMBER(B436),ABS(B436),"")</x:f>
        <x:v>0.0050729456075886085</x:v>
      </x:c>
      <x:c r="H436" s="7" t="n">
        <x:f>IF(ISNUMBER(B436),B436^2,"")</x:f>
        <x:v>0.000025734777137552557</x:v>
      </x:c>
      <x:c r="I436" s="7" t="n">
        <x:f>IF(AND(ISNUMBER(G436),'요약'!$B$19),G436-'요약'!$B$14,"")</x:f>
        <x:v>-0.002940571019814247</x:v>
      </x:c>
      <x:c r="J436" s="7" t="n">
        <x:f>IF(AND(ISNUMBER(H436),'요약'!$B$19),H436-'요약'!$B$15,"")</x:f>
        <x:v>-0.00007647492204853954</x:v>
      </x:c>
      <x:c r="K436" t="n">
        <x:f>IF(ISNUMBER(B436),IF('Hill'!$B$4=1,IF(B436&lt;0,-B436,""),IF('Hill'!$B$4=2,IF(B436&gt;0,B436,""),IF('Hill'!$B$4=3,IF(B436&lt;&gt;0,ABS(B436),""),""))),"")</x:f>
        <x:v>0.0050729456075886085</x:v>
      </x:c>
    </x:row>
    <x:row r="437">
      <x:c r="A437" t="n">
        <x:f>436</x:f>
        <x:v>436</x:v>
      </x:c>
      <x:c r="B437" s="7" t="n">
        <x:f>IF('요약'!$B$4=4,IF(ISNUMBER('input'!A437),'input'!A437,""),IF(436&lt;=1000,CHOOSE('요약'!$B$4,'input'!B437,'input'!C437,'input'!D437),""))</x:f>
        <x:v>0.01373380421875699</x:v>
      </x:c>
      <x:c r="C437" s="7" t="n">
        <x:f>IF(AND(ISNUMBER(B437),'요약'!$B$19),B437-'요약'!$B$7,"")</x:f>
        <x:v>0.013782043545806491</x:v>
      </x:c>
      <x:c r="D437" s="7" t="n">
        <x:f>IF(ISNUMBER(C437),C437^2,"")</x:f>
        <x:v>0.00018994472429850637</x:v>
      </x:c>
      <x:c r="E437" s="15" t="n">
        <x:f>IF(ISNUMBER(C437),C437^3,"")</x:f>
        <x:v>0.0000026178264615782227</x:v>
      </x:c>
      <x:c r="F437" s="15" t="n">
        <x:f>IF(ISNUMBER(C437),C437^4,"")</x:f>
        <x:v>3.607899828883559e-8</x:v>
      </x:c>
      <x:c r="G437" s="7" t="n">
        <x:f>IF(ISNUMBER(B437),ABS(B437),"")</x:f>
        <x:v>0.01373380421875699</x:v>
      </x:c>
      <x:c r="H437" s="7" t="n">
        <x:f>IF(ISNUMBER(B437),B437^2,"")</x:f>
        <x:v>0.0001886173783191473</x:v>
      </x:c>
      <x:c r="I437" s="7" t="n">
        <x:f>IF(AND(ISNUMBER(G437),'요약'!$B$19),G437-'요약'!$B$14,"")</x:f>
        <x:v>0.005720287591354135</x:v>
      </x:c>
      <x:c r="J437" s="7" t="n">
        <x:f>IF(AND(ISNUMBER(H437),'요약'!$B$19),H437-'요약'!$B$15,"")</x:f>
        <x:v>0.0000864076791330552</x:v>
      </x:c>
      <x:c r="K437" t="str">
        <x:f>IF(ISNUMBER(B437),IF('Hill'!$B$4=1,IF(B437&lt;0,-B437,""),IF('Hill'!$B$4=2,IF(B437&gt;0,B437,""),IF('Hill'!$B$4=3,IF(B437&lt;&gt;0,ABS(B437),""),""))),"")</x:f>
      </x:c>
    </x:row>
    <x:row r="438">
      <x:c r="A438" t="n">
        <x:f>437</x:f>
        <x:v>437</x:v>
      </x:c>
      <x:c r="B438" s="7" t="n">
        <x:f>IF('요약'!$B$4=4,IF(ISNUMBER('input'!A438),'input'!A438,""),IF(437&lt;=1000,CHOOSE('요약'!$B$4,'input'!B438,'input'!C438,'input'!D438),""))</x:f>
        <x:v>-0.008451322765017855</x:v>
      </x:c>
      <x:c r="C438" s="7" t="n">
        <x:f>IF(AND(ISNUMBER(B438),'요약'!$B$19),B438-'요약'!$B$7,"")</x:f>
        <x:v>-0.008403083437968355</x:v>
      </x:c>
      <x:c r="D438" s="7" t="n">
        <x:f>IF(ISNUMBER(C438),C438^2,"")</x:f>
        <x:v>0.00007061181126545807</x:v>
      </x:c>
      <x:c r="E438" s="15" t="n">
        <x:f>IF(ISNUMBER(C438),C438^3,"")</x:f>
        <x:v>-5.93356941769718e-7</x:v>
      </x:c>
      <x:c r="F438" s="15" t="n">
        <x:f>IF(ISNUMBER(C438),C438^4,"")</x:f>
        <x:v>4.986027890188671e-9</x:v>
      </x:c>
      <x:c r="G438" s="7" t="n">
        <x:f>IF(ISNUMBER(B438),ABS(B438),"")</x:f>
        <x:v>0.008451322765017855</x:v>
      </x:c>
      <x:c r="H438" s="7" t="n">
        <x:f>IF(ISNUMBER(B438),B438^2,"")</x:f>
        <x:v>0.00007142485647850904</x:v>
      </x:c>
      <x:c r="I438" s="7" t="n">
        <x:f>IF(AND(ISNUMBER(G438),'요약'!$B$19),G438-'요약'!$B$14,"")</x:f>
        <x:v>0.0004378061376149999</x:v>
      </x:c>
      <x:c r="J438" s="7" t="n">
        <x:f>IF(AND(ISNUMBER(H438),'요약'!$B$19),H438-'요약'!$B$15,"")</x:f>
        <x:v>-0.00003078484270758306</x:v>
      </x:c>
      <x:c r="K438" t="n">
        <x:f>IF(ISNUMBER(B438),IF('Hill'!$B$4=1,IF(B438&lt;0,-B438,""),IF('Hill'!$B$4=2,IF(B438&gt;0,B438,""),IF('Hill'!$B$4=3,IF(B438&lt;&gt;0,ABS(B438),""),""))),"")</x:f>
        <x:v>0.008451322765017855</x:v>
      </x:c>
    </x:row>
    <x:row r="439">
      <x:c r="A439" t="n">
        <x:f>438</x:f>
        <x:v>438</x:v>
      </x:c>
      <x:c r="B439" s="7" t="n">
        <x:f>IF('요약'!$B$4=4,IF(ISNUMBER('input'!A439),'input'!A439,""),IF(438&lt;=1000,CHOOSE('요약'!$B$4,'input'!B439,'input'!C439,'input'!D439),""))</x:f>
        <x:v>-0.0051784821596471175</x:v>
      </x:c>
      <x:c r="C439" s="7" t="n">
        <x:f>IF(AND(ISNUMBER(B439),'요약'!$B$19),B439-'요약'!$B$7,"")</x:f>
        <x:v>-0.005130242832597616</x:v>
      </x:c>
      <x:c r="D439" s="7" t="n">
        <x:f>IF(ISNUMBER(C439),C439^2,"")</x:f>
        <x:v>0.00002631939152141921</x:v>
      </x:c>
      <x:c r="E439" s="15" t="n">
        <x:f>IF(ISNUMBER(C439),C439^3,"")</x:f>
        <x:v>-1.3502486971109137e-7</x:v>
      </x:c>
      <x:c r="F439" s="15" t="n">
        <x:f>IF(ISNUMBER(C439),C439^4,"")</x:f>
        <x:v>6.927103700577534e-10</x:v>
      </x:c>
      <x:c r="G439" s="7" t="n">
        <x:f>IF(ISNUMBER(B439),ABS(B439),"")</x:f>
        <x:v>0.0051784821596471175</x:v>
      </x:c>
      <x:c r="H439" s="7" t="n">
        <x:f>IF(ISNUMBER(B439),B439^2,"")</x:f>
        <x:v>0.000026816677477783473</x:v>
      </x:c>
      <x:c r="I439" s="7" t="n">
        <x:f>IF(AND(ISNUMBER(G439),'요약'!$B$19),G439-'요약'!$B$14,"")</x:f>
        <x:v>-0.002835034467755738</x:v>
      </x:c>
      <x:c r="J439" s="7" t="n">
        <x:f>IF(AND(ISNUMBER(H439),'요약'!$B$19),H439-'요약'!$B$15,"")</x:f>
        <x:v>-0.00007539302170830863</x:v>
      </x:c>
      <x:c r="K439" t="n">
        <x:f>IF(ISNUMBER(B439),IF('Hill'!$B$4=1,IF(B439&lt;0,-B439,""),IF('Hill'!$B$4=2,IF(B439&gt;0,B439,""),IF('Hill'!$B$4=3,IF(B439&lt;&gt;0,ABS(B439),""),""))),"")</x:f>
        <x:v>0.0051784821596471175</x:v>
      </x:c>
    </x:row>
    <x:row r="440">
      <x:c r="A440" t="n">
        <x:f>439</x:f>
        <x:v>439</x:v>
      </x:c>
      <x:c r="B440" s="7" t="n">
        <x:f>IF('요약'!$B$4=4,IF(ISNUMBER('input'!A440),'input'!A440,""),IF(439&lt;=1000,CHOOSE('요약'!$B$4,'input'!B440,'input'!C440,'input'!D440),""))</x:f>
        <x:v>0.010353108843897504</x:v>
      </x:c>
      <x:c r="C440" s="7" t="n">
        <x:f>IF(AND(ISNUMBER(B440),'요약'!$B$19),B440-'요약'!$B$7,"")</x:f>
        <x:v>0.010401348170947004</x:v>
      </x:c>
      <x:c r="D440" s="7" t="n">
        <x:f>IF(ISNUMBER(C440),C440^2,"")</x:f>
        <x:v>0.00010818804377326259</x:v>
      </x:c>
      <x:c r="E440" s="15" t="n">
        <x:f>IF(ISNUMBER(C440),C440^3,"")</x:f>
        <x:v>0.0000011253015112193592</x:v>
      </x:c>
      <x:c r="F440" s="15" t="n">
        <x:f>IF(ISNUMBER(C440),C440^4,"")</x:f>
        <x:v>1.1704652815485383e-8</x:v>
      </x:c>
      <x:c r="G440" s="7" t="n">
        <x:f>IF(ISNUMBER(B440),ABS(B440),"")</x:f>
        <x:v>0.010353108843897504</x:v>
      </x:c>
      <x:c r="H440" s="7" t="n">
        <x:f>IF(ISNUMBER(B440),B440^2,"")</x:f>
        <x:v>0.00010718686273358871</x:v>
      </x:c>
      <x:c r="I440" s="7" t="n">
        <x:f>IF(AND(ISNUMBER(G440),'요약'!$B$19),G440-'요약'!$B$14,"")</x:f>
        <x:v>0.0023395922164946483</x:v>
      </x:c>
      <x:c r="J440" s="7" t="n">
        <x:f>IF(AND(ISNUMBER(H440),'요약'!$B$19),H440-'요약'!$B$15,"")</x:f>
        <x:v>0.000004977163547496607</x:v>
      </x:c>
      <x:c r="K440" t="str">
        <x:f>IF(ISNUMBER(B440),IF('Hill'!$B$4=1,IF(B440&lt;0,-B440,""),IF('Hill'!$B$4=2,IF(B440&gt;0,B440,""),IF('Hill'!$B$4=3,IF(B440&lt;&gt;0,ABS(B440),""),""))),"")</x:f>
      </x:c>
    </x:row>
    <x:row r="441">
      <x:c r="A441" t="n">
        <x:f>440</x:f>
        <x:v>440</x:v>
      </x:c>
      <x:c r="B441" s="7" t="n">
        <x:f>IF('요약'!$B$4=4,IF(ISNUMBER('input'!A441),'input'!A441,""),IF(440&lt;=1000,CHOOSE('요약'!$B$4,'input'!B441,'input'!C441,'input'!D441),""))</x:f>
        <x:v>0.005300987672956288</x:v>
      </x:c>
      <x:c r="C441" s="7" t="n">
        <x:f>IF(AND(ISNUMBER(B441),'요약'!$B$19),B441-'요약'!$B$7,"")</x:f>
        <x:v>0.0053492270000057894</x:v>
      </x:c>
      <x:c r="D441" s="7" t="n">
        <x:f>IF(ISNUMBER(C441),C441^2,"")</x:f>
        <x:v>0.00002861422949759094</x:v>
      </x:c>
      <x:c r="E441" s="15" t="n">
        <x:f>IF(ISNUMBER(C441),C441^3,"")</x:f>
        <x:v>1.5306400901287554e-7</x:v>
      </x:c>
      <x:c r="F441" s="15" t="n">
        <x:f>IF(ISNUMBER(C441),C441^4,"")</x:f>
        <x:v>8.187741297408033e-10</x:v>
      </x:c>
      <x:c r="G441" s="7" t="n">
        <x:f>IF(ISNUMBER(B441),ABS(B441),"")</x:f>
        <x:v>0.005300987672956288</x:v>
      </x:c>
      <x:c r="H441" s="7" t="n">
        <x:f>IF(ISNUMBER(B441),B441^2,"")</x:f>
        <x:v>0.000028100470308834522</x:v>
      </x:c>
      <x:c r="I441" s="7" t="n">
        <x:f>IF(AND(ISNUMBER(G441),'요약'!$B$19),G441-'요약'!$B$14,"")</x:f>
        <x:v>-0.0027125289544465674</x:v>
      </x:c>
      <x:c r="J441" s="7" t="n">
        <x:f>IF(AND(ISNUMBER(H441),'요약'!$B$19),H441-'요약'!$B$15,"")</x:f>
        <x:v>-0.00007410922887725758</x:v>
      </x:c>
      <x:c r="K441" t="str">
        <x:f>IF(ISNUMBER(B441),IF('Hill'!$B$4=1,IF(B441&lt;0,-B441,""),IF('Hill'!$B$4=2,IF(B441&gt;0,B441,""),IF('Hill'!$B$4=3,IF(B441&lt;&gt;0,ABS(B441),""),""))),"")</x:f>
      </x:c>
    </x:row>
    <x:row r="442">
      <x:c r="A442" t="n">
        <x:f>441</x:f>
        <x:v>441</x:v>
      </x:c>
      <x:c r="B442" s="7" t="n">
        <x:f>IF('요약'!$B$4=4,IF(ISNUMBER('input'!A442),'input'!A442,""),IF(441&lt;=1000,CHOOSE('요약'!$B$4,'input'!B442,'input'!C442,'input'!D442),""))</x:f>
        <x:v>0.005715431687866751</x:v>
      </x:c>
      <x:c r="C442" s="7" t="n">
        <x:f>IF(AND(ISNUMBER(B442),'요약'!$B$19),B442-'요약'!$B$7,"")</x:f>
        <x:v>0.005763671014916253</x:v>
      </x:c>
      <x:c r="D442" s="7" t="n">
        <x:f>IF(ISNUMBER(C442),C442^2,"")</x:f>
        <x:v>0.00003321990356818575</x:v>
      </x:c>
      <x:c r="E442" s="15" t="n">
        <x:f>IF(ISNUMBER(C442),C442^3,"")</x:f>
        <x:v>1.914685953142652e-7</x:v>
      </x:c>
      <x:c r="F442" s="15" t="n">
        <x:f>IF(ISNUMBER(C442),C442^4,"")</x:f>
        <x:v>1.1035619930795602e-9</x:v>
      </x:c>
      <x:c r="G442" s="7" t="n">
        <x:f>IF(ISNUMBER(B442),ABS(B442),"")</x:f>
        <x:v>0.005715431687866751</x:v>
      </x:c>
      <x:c r="H442" s="7" t="n">
        <x:f>IF(ISNUMBER(B442),B442^2,"")</x:f>
        <x:v>0.00003266615937867138</x:v>
      </x:c>
      <x:c r="I442" s="7" t="n">
        <x:f>IF(AND(ISNUMBER(G442),'요약'!$B$19),G442-'요약'!$B$14,"")</x:f>
        <x:v>-0.002298084939536104</x:v>
      </x:c>
      <x:c r="J442" s="7" t="n">
        <x:f>IF(AND(ISNUMBER(H442),'요약'!$B$19),H442-'요약'!$B$15,"")</x:f>
        <x:v>-0.00006954353980742072</x:v>
      </x:c>
      <x:c r="K442" t="str">
        <x:f>IF(ISNUMBER(B442),IF('Hill'!$B$4=1,IF(B442&lt;0,-B442,""),IF('Hill'!$B$4=2,IF(B442&gt;0,B442,""),IF('Hill'!$B$4=3,IF(B442&lt;&gt;0,ABS(B442),""),""))),"")</x:f>
      </x:c>
    </x:row>
    <x:row r="443">
      <x:c r="A443" t="n">
        <x:f>442</x:f>
        <x:v>442</x:v>
      </x:c>
      <x:c r="B443" s="7" t="n">
        <x:f>IF('요약'!$B$4=4,IF(ISNUMBER('input'!A443),'input'!A443,""),IF(442&lt;=1000,CHOOSE('요약'!$B$4,'input'!B443,'input'!C443,'input'!D443),""))</x:f>
        <x:v>-0.0004909432801963076</x:v>
      </x:c>
      <x:c r="C443" s="7" t="n">
        <x:f>IF(AND(ISNUMBER(B443),'요약'!$B$19),B443-'요약'!$B$7,"")</x:f>
        <x:v>-0.0004427039531468063</x:v>
      </x:c>
      <x:c r="D443" s="7" t="n">
        <x:f>IF(ISNUMBER(C443),C443^2,"")</x:f>
        <x:v>1.9598679013180965e-7</x:v>
      </x:c>
      <x:c r="E443" s="15" t="n">
        <x:f>IF(ISNUMBER(C443),C443^3,"")</x:f>
        <x:v>-8.676412675590562e-11</x:v>
      </x:c>
      <x:c r="F443" s="15" t="n">
        <x:f>IF(ISNUMBER(C443),C443^4,"")</x:f>
        <x:v>3.841082190617001e-14</x:v>
      </x:c>
      <x:c r="G443" s="7" t="n">
        <x:f>IF(ISNUMBER(B443),ABS(B443),"")</x:f>
        <x:v>0.0004909432801963076</x:v>
      </x:c>
      <x:c r="H443" s="7" t="n">
        <x:f>IF(ISNUMBER(B443),B443^2,"")</x:f>
        <x:v>2.4102530436991024e-7</x:v>
      </x:c>
      <x:c r="I443" s="7" t="n">
        <x:f>IF(AND(ISNUMBER(G443),'요약'!$B$19),G443-'요약'!$B$14,"")</x:f>
        <x:v>-0.007522573347206548</x:v>
      </x:c>
      <x:c r="J443" s="7" t="n">
        <x:f>IF(AND(ISNUMBER(H443),'요약'!$B$19),H443-'요약'!$B$15,"")</x:f>
        <x:v>-0.00010196867388172219</x:v>
      </x:c>
      <x:c r="K443" t="n">
        <x:f>IF(ISNUMBER(B443),IF('Hill'!$B$4=1,IF(B443&lt;0,-B443,""),IF('Hill'!$B$4=2,IF(B443&gt;0,B443,""),IF('Hill'!$B$4=3,IF(B443&lt;&gt;0,ABS(B443),""),""))),"")</x:f>
        <x:v>0.0004909432801963076</x:v>
      </x:c>
    </x:row>
    <x:row r="444">
      <x:c r="A444" t="n">
        <x:f>443</x:f>
        <x:v>443</x:v>
      </x:c>
      <x:c r="B444" s="7" t="n">
        <x:f>IF('요약'!$B$4=4,IF(ISNUMBER('input'!A444),'input'!A444,""),IF(443&lt;=1000,CHOOSE('요약'!$B$4,'input'!B444,'input'!C444,'input'!D444),""))</x:f>
        <x:v>0.004350703591679812</x:v>
      </x:c>
      <x:c r="C444" s="7" t="n">
        <x:f>IF(AND(ISNUMBER(B444),'요약'!$B$19),B444-'요약'!$B$7,"")</x:f>
        <x:v>0.004398942918729313</x:v>
      </x:c>
      <x:c r="D444" s="7" t="n">
        <x:f>IF(ISNUMBER(C444),C444^2,"")</x:f>
        <x:v>0.00001935069880223877</x:v>
      </x:c>
      <x:c r="E444" s="15" t="n">
        <x:f>IF(ISNUMBER(C444),C444^3,"")</x:f>
        <x:v>8.512261946857204e-8</x:v>
      </x:c>
      <x:c r="F444" s="15" t="n">
        <x:f>IF(ISNUMBER(C444),C444^4,"")</x:f>
        <x:v>3.74449544134965e-10</x:v>
      </x:c>
      <x:c r="G444" s="7" t="n">
        <x:f>IF(ISNUMBER(B444),ABS(B444),"")</x:f>
        <x:v>0.004350703591679812</x:v>
      </x:c>
      <x:c r="H444" s="7" t="n">
        <x:f>IF(ISNUMBER(B444),B444^2,"")</x:f>
        <x:v>0.000018928621742655616</x:v>
      </x:c>
      <x:c r="I444" s="7" t="n">
        <x:f>IF(AND(ISNUMBER(G444),'요약'!$B$19),G444-'요약'!$B$14,"")</x:f>
        <x:v>-0.0036628130357230435</x:v>
      </x:c>
      <x:c r="J444" s="7" t="n">
        <x:f>IF(AND(ISNUMBER(H444),'요약'!$B$19),H444-'요약'!$B$15,"")</x:f>
        <x:v>-0.00008328107744343649</x:v>
      </x:c>
      <x:c r="K444" t="str">
        <x:f>IF(ISNUMBER(B444),IF('Hill'!$B$4=1,IF(B444&lt;0,-B444,""),IF('Hill'!$B$4=2,IF(B444&gt;0,B444,""),IF('Hill'!$B$4=3,IF(B444&lt;&gt;0,ABS(B444),""),""))),"")</x:f>
      </x:c>
    </x:row>
    <x:row r="445">
      <x:c r="A445" t="n">
        <x:f>444</x:f>
        <x:v>444</x:v>
      </x:c>
      <x:c r="B445" s="7" t="n">
        <x:f>IF('요약'!$B$4=4,IF(ISNUMBER('input'!A445),'input'!A445,""),IF(444&lt;=1000,CHOOSE('요약'!$B$4,'input'!B445,'input'!C445,'input'!D445),""))</x:f>
        <x:v>0.018408336725251443</x:v>
      </x:c>
      <x:c r="C445" s="7" t="n">
        <x:f>IF(AND(ISNUMBER(B445),'요약'!$B$19),B445-'요약'!$B$7,"")</x:f>
        <x:v>0.018456576052300944</x:v>
      </x:c>
      <x:c r="D445" s="7" t="n">
        <x:f>IF(ISNUMBER(C445),C445^2,"")</x:f>
        <x:v>0.0003406451995743687</x:v>
      </x:c>
      <x:c r="E445" s="15" t="n">
        <x:f>IF(ISNUMBER(C445),C445^3,"")</x:f>
        <x:v>0.000006287144032795569</x:v>
      </x:c>
      <x:c r="F445" s="15" t="n">
        <x:f>IF(ISNUMBER(C445),C445^4,"")</x:f>
        <x:v>1.1603915199306147e-7</x:v>
      </x:c>
      <x:c r="G445" s="7" t="n">
        <x:f>IF(ISNUMBER(B445),ABS(B445),"")</x:f>
        <x:v>0.018408336725251443</x:v>
      </x:c>
      <x:c r="H445" s="7" t="n">
        <x:f>IF(ISNUMBER(B445),B445^2,"")</x:f>
        <x:v>0.000338866860990241</x:v>
      </x:c>
      <x:c r="I445" s="7" t="n">
        <x:f>IF(AND(ISNUMBER(G445),'요약'!$B$19),G445-'요약'!$B$14,"")</x:f>
        <x:v>0.010394820097848588</x:v>
      </x:c>
      <x:c r="J445" s="7" t="n">
        <x:f>IF(AND(ISNUMBER(H445),'요약'!$B$19),H445-'요약'!$B$15,"")</x:f>
        <x:v>0.00023665716180414892</x:v>
      </x:c>
      <x:c r="K445" t="str">
        <x:f>IF(ISNUMBER(B445),IF('Hill'!$B$4=1,IF(B445&lt;0,-B445,""),IF('Hill'!$B$4=2,IF(B445&gt;0,B445,""),IF('Hill'!$B$4=3,IF(B445&lt;&gt;0,ABS(B445),""),""))),"")</x:f>
      </x:c>
    </x:row>
    <x:row r="446">
      <x:c r="A446" t="n">
        <x:f>445</x:f>
        <x:v>445</x:v>
      </x:c>
      <x:c r="B446" s="7" t="n">
        <x:f>IF('요약'!$B$4=4,IF(ISNUMBER('input'!A446),'input'!A446,""),IF(445&lt;=1000,CHOOSE('요약'!$B$4,'input'!B446,'input'!C446,'input'!D446),""))</x:f>
        <x:v>0.005952091250636414</x:v>
      </x:c>
      <x:c r="C446" s="7" t="n">
        <x:f>IF(AND(ISNUMBER(B446),'요약'!$B$19),B446-'요약'!$B$7,"")</x:f>
        <x:v>0.0060003305776859155</x:v>
      </x:c>
      <x:c r="D446" s="7" t="n">
        <x:f>IF(ISNUMBER(C446),C446^2,"")</x:f>
        <x:v>0.00003600396704151259</x:v>
      </x:c>
      <x:c r="E446" s="15" t="n">
        <x:f>IF(ISNUMBER(C446),C446^3,"")</x:f>
        <x:v>2.1603570435718392e-7</x:v>
      </x:c>
      <x:c r="F446" s="15" t="n">
        <x:f>IF(ISNUMBER(C446),C446^4,"")</x:f>
        <x:v>1.296285642726325e-9</x:v>
      </x:c>
      <x:c r="G446" s="7" t="n">
        <x:f>IF(ISNUMBER(B446),ABS(B446),"")</x:f>
        <x:v>0.005952091250636414</x:v>
      </x:c>
      <x:c r="H446" s="7" t="n">
        <x:f>IF(ISNUMBER(B446),B446^2,"")</x:f>
        <x:v>0.00003542739025590255</x:v>
      </x:c>
      <x:c r="I446" s="7" t="n">
        <x:f>IF(AND(ISNUMBER(G446),'요약'!$B$19),G446-'요약'!$B$14,"")</x:f>
        <x:v>-0.0020614253767664414</x:v>
      </x:c>
      <x:c r="J446" s="7" t="n">
        <x:f>IF(AND(ISNUMBER(H446),'요약'!$B$19),H446-'요약'!$B$15,"")</x:f>
        <x:v>-0.00006678230893018955</x:v>
      </x:c>
      <x:c r="K446" t="str">
        <x:f>IF(ISNUMBER(B446),IF('Hill'!$B$4=1,IF(B446&lt;0,-B446,""),IF('Hill'!$B$4=2,IF(B446&gt;0,B446,""),IF('Hill'!$B$4=3,IF(B446&lt;&gt;0,ABS(B446),""),""))),"")</x:f>
      </x:c>
    </x:row>
    <x:row r="447">
      <x:c r="A447" t="n">
        <x:f>446</x:f>
        <x:v>446</x:v>
      </x:c>
      <x:c r="B447" s="7" t="n">
        <x:f>IF('요약'!$B$4=4,IF(ISNUMBER('input'!A447),'input'!A447,""),IF(446&lt;=1000,CHOOSE('요약'!$B$4,'input'!B447,'input'!C447,'input'!D447),""))</x:f>
        <x:v>0.006850921469281902</x:v>
      </x:c>
      <x:c r="C447" s="7" t="n">
        <x:f>IF(AND(ISNUMBER(B447),'요약'!$B$19),B447-'요약'!$B$7,"")</x:f>
        <x:v>0.006899160796331403</x:v>
      </x:c>
      <x:c r="D447" s="7" t="n">
        <x:f>IF(ISNUMBER(C447),C447^2,"")</x:f>
        <x:v>0.00004759841969363616</x:v>
      </x:c>
      <x:c r="E447" s="15" t="n">
        <x:f>IF(ISNUMBER(C447),C447^3,"")</x:f>
        <x:v>3.2838915111766323e-7</x:v>
      </x:c>
      <x:c r="F447" s="15" t="n">
        <x:f>IF(ISNUMBER(C447),C447^4,"")</x:f>
        <x:v>2.2656095573315308e-9</x:v>
      </x:c>
      <x:c r="G447" s="7" t="n">
        <x:f>IF(ISNUMBER(B447),ABS(B447),"")</x:f>
        <x:v>0.006850921469281902</x:v>
      </x:c>
      <x:c r="H447" s="7" t="n">
        <x:f>IF(ISNUMBER(B447),B447^2,"")</x:f>
        <x:v>0.000046935124978267695</x:v>
      </x:c>
      <x:c r="I447" s="7" t="n">
        <x:f>IF(AND(ISNUMBER(G447),'요약'!$B$19),G447-'요약'!$B$14,"")</x:f>
        <x:v>-0.0011625951581209536</x:v>
      </x:c>
      <x:c r="J447" s="7" t="n">
        <x:f>IF(AND(ISNUMBER(H447),'요약'!$B$19),H447-'요약'!$B$15,"")</x:f>
        <x:v>-0.00005527457420782441</x:v>
      </x:c>
      <x:c r="K447" t="str">
        <x:f>IF(ISNUMBER(B447),IF('Hill'!$B$4=1,IF(B447&lt;0,-B447,""),IF('Hill'!$B$4=2,IF(B447&gt;0,B447,""),IF('Hill'!$B$4=3,IF(B447&lt;&gt;0,ABS(B447),""),""))),"")</x:f>
      </x:c>
    </x:row>
    <x:row r="448">
      <x:c r="A448" t="n">
        <x:f>447</x:f>
        <x:v>447</x:v>
      </x:c>
      <x:c r="B448" s="7" t="n">
        <x:f>IF('요약'!$B$4=4,IF(ISNUMBER('input'!A448),'input'!A448,""),IF(447&lt;=1000,CHOOSE('요약'!$B$4,'input'!B448,'input'!C448,'input'!D448),""))</x:f>
        <x:v>0.038589829702974886</x:v>
      </x:c>
      <x:c r="C448" s="7" t="n">
        <x:f>IF(AND(ISNUMBER(B448),'요약'!$B$19),B448-'요약'!$B$7,"")</x:f>
        <x:v>0.03863806903002439</x:v>
      </x:c>
      <x:c r="D448" s="7" t="n">
        <x:f>IF(ISNUMBER(C448),C448^2,"")</x:f>
        <x:v>0.0014929003783689299</x:v>
      </x:c>
      <x:c r="E448" s="15" t="n">
        <x:f>IF(ISNUMBER(C448),C448^3,"")</x:f>
        <x:v>0.000057682787874368246</x:v>
      </x:c>
      <x:c r="F448" s="15" t="n">
        <x:f>IF(ISNUMBER(C448),C448^4,"")</x:f>
        <x:v>0.000002228751539734094</x:v>
      </x:c>
      <x:c r="G448" s="7" t="n">
        <x:f>IF(ISNUMBER(B448),ABS(B448),"")</x:f>
        <x:v>0.038589829702974886</x:v>
      </x:c>
      <x:c r="H448" s="7" t="n">
        <x:f>IF(ISNUMBER(B448),B448^2,"")</x:f>
        <x:v>0.0014891749565046027</x:v>
      </x:c>
      <x:c r="I448" s="7" t="n">
        <x:f>IF(AND(ISNUMBER(G448),'요약'!$B$19),G448-'요약'!$B$14,"")</x:f>
        <x:v>0.03057631307557203</x:v>
      </x:c>
      <x:c r="J448" s="7" t="n">
        <x:f>IF(AND(ISNUMBER(H448),'요약'!$B$19),H448-'요약'!$B$15,"")</x:f>
        <x:v>0.0013869652573185107</x:v>
      </x:c>
      <x:c r="K448" t="str">
        <x:f>IF(ISNUMBER(B448),IF('Hill'!$B$4=1,IF(B448&lt;0,-B448,""),IF('Hill'!$B$4=2,IF(B448&gt;0,B448,""),IF('Hill'!$B$4=3,IF(B448&lt;&gt;0,ABS(B448),""),""))),"")</x:f>
      </x:c>
    </x:row>
    <x:row r="449">
      <x:c r="A449" t="n">
        <x:f>448</x:f>
        <x:v>448</x:v>
      </x:c>
      <x:c r="B449" s="7" t="n">
        <x:f>IF('요약'!$B$4=4,IF(ISNUMBER('input'!A449),'input'!A449,""),IF(448&lt;=1000,CHOOSE('요약'!$B$4,'input'!B449,'input'!C449,'input'!D449),""))</x:f>
        <x:v>0.004895284392986177</x:v>
      </x:c>
      <x:c r="C449" s="7" t="n">
        <x:f>IF(AND(ISNUMBER(B449),'요약'!$B$19),B449-'요약'!$B$7,"")</x:f>
        <x:v>0.004943523720035679</x:v>
      </x:c>
      <x:c r="D449" s="7" t="n">
        <x:f>IF(ISNUMBER(C449),C449^2,"")</x:f>
        <x:v>0.000024438426770555394</x:v>
      </x:c>
      <x:c r="E449" s="15" t="n">
        <x:f>IF(ISNUMBER(C449),C449^3,"")</x:f>
        <x:v>1.2081194242059552e-7</x:v>
      </x:c>
      <x:c r="F449" s="15" t="n">
        <x:f>IF(ISNUMBER(C449),C449^4,"")</x:f>
        <x:v>5.972367030197986e-10</x:v>
      </x:c>
      <x:c r="G449" s="7" t="n">
        <x:f>IF(ISNUMBER(B449),ABS(B449),"")</x:f>
        <x:v>0.004895284392986177</x:v>
      </x:c>
      <x:c r="H449" s="7" t="n">
        <x:f>IF(ISNUMBER(B449),B449^2,"")</x:f>
        <x:v>0.000023963809288214047</x:v>
      </x:c>
      <x:c r="I449" s="7" t="n">
        <x:f>IF(AND(ISNUMBER(G449),'요약'!$B$19),G449-'요약'!$B$14,"")</x:f>
        <x:v>-0.003118232234416678</x:v>
      </x:c>
      <x:c r="J449" s="7" t="n">
        <x:f>IF(AND(ISNUMBER(H449),'요약'!$B$19),H449-'요약'!$B$15,"")</x:f>
        <x:v>-0.00007824588989787805</x:v>
      </x:c>
      <x:c r="K449" t="str">
        <x:f>IF(ISNUMBER(B449),IF('Hill'!$B$4=1,IF(B449&lt;0,-B449,""),IF('Hill'!$B$4=2,IF(B449&gt;0,B449,""),IF('Hill'!$B$4=3,IF(B449&lt;&gt;0,ABS(B449),""),""))),"")</x:f>
      </x:c>
    </x:row>
    <x:row r="450">
      <x:c r="A450" t="n">
        <x:f>449</x:f>
        <x:v>449</x:v>
      </x:c>
      <x:c r="B450" s="7" t="n">
        <x:f>IF('요약'!$B$4=4,IF(ISNUMBER('input'!A450),'input'!A450,""),IF(449&lt;=1000,CHOOSE('요약'!$B$4,'input'!B450,'input'!C450,'input'!D450),""))</x:f>
        <x:v>-0.007792076239436539</x:v>
      </x:c>
      <x:c r="C450" s="7" t="n">
        <x:f>IF(AND(ISNUMBER(B450),'요약'!$B$19),B450-'요약'!$B$7,"")</x:f>
        <x:v>-0.007743836912387038</x:v>
      </x:c>
      <x:c r="D450" s="7" t="n">
        <x:f>IF(ISNUMBER(C450),C450^2,"")</x:f>
        <x:v>0.00005996701012564801</x:v>
      </x:c>
      <x:c r="E450" s="15" t="n">
        <x:f>IF(ISNUMBER(C450),C450^3,"")</x:f>
        <x:v>-4.6437474653648037e-7</x:v>
      </x:c>
      <x:c r="F450" s="15" t="n">
        <x:f>IF(ISNUMBER(C450),C450^4,"")</x:f>
        <x:v>3.5960423034095713e-9</x:v>
      </x:c>
      <x:c r="G450" s="7" t="n">
        <x:f>IF(ISNUMBER(B450),ABS(B450),"")</x:f>
        <x:v>0.007792076239436539</x:v>
      </x:c>
      <x:c r="H450" s="7" t="n">
        <x:f>IF(ISNUMBER(B450),B450^2,"")</x:f>
        <x:v>0.000060716452121191484</x:v>
      </x:c>
      <x:c r="I450" s="7" t="n">
        <x:f>IF(AND(ISNUMBER(G450),'요약'!$B$19),G450-'요약'!$B$14,"")</x:f>
        <x:v>-0.00022144038796631602</x:v>
      </x:c>
      <x:c r="J450" s="7" t="n">
        <x:f>IF(AND(ISNUMBER(H450),'요약'!$B$19),H450-'요약'!$B$15,"")</x:f>
        <x:v>-0.00004149324706490062</x:v>
      </x:c>
      <x:c r="K450" t="n">
        <x:f>IF(ISNUMBER(B450),IF('Hill'!$B$4=1,IF(B450&lt;0,-B450,""),IF('Hill'!$B$4=2,IF(B450&gt;0,B450,""),IF('Hill'!$B$4=3,IF(B450&lt;&gt;0,ABS(B450),""),""))),"")</x:f>
        <x:v>0.007792076239436539</x:v>
      </x:c>
    </x:row>
    <x:row r="451">
      <x:c r="A451" t="n">
        <x:f>450</x:f>
        <x:v>450</x:v>
      </x:c>
      <x:c r="B451" s="7" t="n">
        <x:f>IF('요약'!$B$4=4,IF(ISNUMBER('input'!A451),'input'!A451,""),IF(450&lt;=1000,CHOOSE('요약'!$B$4,'input'!B451,'input'!C451,'input'!D451),""))</x:f>
        <x:v>-0.011561577387990374</x:v>
      </x:c>
      <x:c r="C451" s="7" t="n">
        <x:f>IF(AND(ISNUMBER(B451),'요약'!$B$19),B451-'요약'!$B$7,"")</x:f>
        <x:v>-0.011513338060940874</x:v>
      </x:c>
      <x:c r="D451" s="7" t="n">
        <x:f>IF(ISNUMBER(C451),C451^2,"")</x:f>
        <x:v>0.00013255695330550976</x:v>
      </x:c>
      <x:c r="E451" s="15" t="n">
        <x:f>IF(ISNUMBER(C451),C451^3,"")</x:f>
        <x:v>-0.0000015261730157346875</x:v>
      </x:c>
      <x:c r="F451" s="15" t="n">
        <x:f>IF(ISNUMBER(C451),C451^4,"")</x:f>
        <x:v>1.7571345869639095e-8</x:v>
      </x:c>
      <x:c r="G451" s="7" t="n">
        <x:f>IF(ISNUMBER(B451),ABS(B451),"")</x:f>
        <x:v>0.011561577387990374</x:v>
      </x:c>
      <x:c r="H451" s="7" t="n">
        <x:f>IF(ISNUMBER(B451),B451^2,"")</x:f>
        <x:v>0.0001336700716984903</x:v>
      </x:c>
      <x:c r="I451" s="7" t="n">
        <x:f>IF(AND(ISNUMBER(G451),'요약'!$B$19),G451-'요약'!$B$14,"")</x:f>
        <x:v>0.0035480607605875188</x:v>
      </x:c>
      <x:c r="J451" s="7" t="n">
        <x:f>IF(AND(ISNUMBER(H451),'요약'!$B$19),H451-'요약'!$B$15,"")</x:f>
        <x:v>0.00003146037251239821</x:v>
      </x:c>
      <x:c r="K451" t="n">
        <x:f>IF(ISNUMBER(B451),IF('Hill'!$B$4=1,IF(B451&lt;0,-B451,""),IF('Hill'!$B$4=2,IF(B451&gt;0,B451,""),IF('Hill'!$B$4=3,IF(B451&lt;&gt;0,ABS(B451),""),""))),"")</x:f>
        <x:v>0.011561577387990374</x:v>
      </x:c>
    </x:row>
    <x:row r="452">
      <x:c r="A452" t="n">
        <x:f>451</x:f>
        <x:v>451</x:v>
      </x:c>
      <x:c r="B452" s="7" t="n">
        <x:f>IF('요약'!$B$4=4,IF(ISNUMBER('input'!A452),'input'!A452,""),IF(451&lt;=1000,CHOOSE('요약'!$B$4,'input'!B452,'input'!C452,'input'!D452),""))</x:f>
        <x:v>-0.0012413149079240698</x:v>
      </x:c>
      <x:c r="C452" s="7" t="n">
        <x:f>IF(AND(ISNUMBER(B452),'요약'!$B$19),B452-'요약'!$B$7,"")</x:f>
        <x:v>-0.0011930755808745683</x:v>
      </x:c>
      <x:c r="D452" s="7" t="n">
        <x:f>IF(ISNUMBER(C452),C452^2,"")</x:f>
        <x:v>0.0000014234293416791885</x:v>
      </x:c>
      <x:c r="E452" s="15" t="n">
        <x:f>IF(ISNUMBER(C452),C452^3,"")</x:f>
        <x:v>-1.6982587886578023e-9</x:v>
      </x:c>
      <x:c r="F452" s="15" t="n">
        <x:f>IF(ISNUMBER(C452),C452^4,"")</x:f>
        <x:v>2.0261510907532485e-12</x:v>
      </x:c>
      <x:c r="G452" s="7" t="n">
        <x:f>IF(ISNUMBER(B452),ABS(B452),"")</x:f>
        <x:v>0.0012413149079240698</x:v>
      </x:c>
      <x:c r="H452" s="7" t="n">
        <x:f>IF(ISNUMBER(B452),B452^2,"")</x:f>
        <x:v>0.0000015408627006345418</x:v>
      </x:c>
      <x:c r="I452" s="7" t="n">
        <x:f>IF(AND(ISNUMBER(G452),'요약'!$B$19),G452-'요약'!$B$14,"")</x:f>
        <x:v>-0.006772201719478786</x:v>
      </x:c>
      <x:c r="J452" s="7" t="n">
        <x:f>IF(AND(ISNUMBER(H452),'요약'!$B$19),H452-'요약'!$B$15,"")</x:f>
        <x:v>-0.00010066883648545757</x:v>
      </x:c>
      <x:c r="K452" t="n">
        <x:f>IF(ISNUMBER(B452),IF('Hill'!$B$4=1,IF(B452&lt;0,-B452,""),IF('Hill'!$B$4=2,IF(B452&gt;0,B452,""),IF('Hill'!$B$4=3,IF(B452&lt;&gt;0,ABS(B452),""),""))),"")</x:f>
        <x:v>0.0012413149079240698</x:v>
      </x:c>
    </x:row>
    <x:row r="453">
      <x:c r="A453" t="n">
        <x:f>452</x:f>
        <x:v>452</x:v>
      </x:c>
      <x:c r="B453" s="7" t="n">
        <x:f>IF('요약'!$B$4=4,IF(ISNUMBER('input'!A453),'input'!A453,""),IF(452&lt;=1000,CHOOSE('요약'!$B$4,'input'!B453,'input'!C453,'input'!D453),""))</x:f>
        <x:v>-0.003791382567076844</x:v>
      </x:c>
      <x:c r="C453" s="7" t="n">
        <x:f>IF(AND(ISNUMBER(B453),'요약'!$B$19),B453-'요약'!$B$7,"")</x:f>
        <x:v>-0.0037431432400273426</x:v>
      </x:c>
      <x:c r="D453" s="7" t="n">
        <x:f>IF(ISNUMBER(C453),C453^2,"")</x:f>
        <x:v>0.000014011121315362392</x:v>
      </x:c>
      <x:c r="E453" s="15" t="n">
        <x:f>IF(ISNUMBER(C453),C453^3,"")</x:f>
        <x:v>-5.244563403680175e-8</x:v>
      </x:c>
      <x:c r="F453" s="15" t="n">
        <x:f>IF(ISNUMBER(C453),C453^4,"")</x:f>
        <x:v>1.9631152051380238e-10</x:v>
      </x:c>
      <x:c r="G453" s="7" t="n">
        <x:f>IF(ISNUMBER(B453),ABS(B453),"")</x:f>
        <x:v>0.003791382567076844</x:v>
      </x:c>
      <x:c r="H453" s="7" t="n">
        <x:f>IF(ISNUMBER(B453),B453^2,"")</x:f>
        <x:v>0.0000143745817699342</x:v>
      </x:c>
      <x:c r="I453" s="7" t="n">
        <x:f>IF(AND(ISNUMBER(G453),'요약'!$B$19),G453-'요약'!$B$14,"")</x:f>
        <x:v>-0.004222134060326011</x:v>
      </x:c>
      <x:c r="J453" s="7" t="n">
        <x:f>IF(AND(ISNUMBER(H453),'요약'!$B$19),H453-'요약'!$B$15,"")</x:f>
        <x:v>-0.00008783511741615791</x:v>
      </x:c>
      <x:c r="K453" t="n">
        <x:f>IF(ISNUMBER(B453),IF('Hill'!$B$4=1,IF(B453&lt;0,-B453,""),IF('Hill'!$B$4=2,IF(B453&gt;0,B453,""),IF('Hill'!$B$4=3,IF(B453&lt;&gt;0,ABS(B453),""),""))),"")</x:f>
        <x:v>0.003791382567076844</x:v>
      </x:c>
    </x:row>
    <x:row r="454">
      <x:c r="A454" t="n">
        <x:f>453</x:f>
        <x:v>453</x:v>
      </x:c>
      <x:c r="B454" s="7" t="n">
        <x:f>IF('요약'!$B$4=4,IF(ISNUMBER('input'!A454),'input'!A454,""),IF(453&lt;=1000,CHOOSE('요약'!$B$4,'input'!B454,'input'!C454,'input'!D454),""))</x:f>
        <x:v>0.010034653515593373</x:v>
      </x:c>
      <x:c r="C454" s="7" t="n">
        <x:f>IF(AND(ISNUMBER(B454),'요약'!$B$19),B454-'요약'!$B$7,"")</x:f>
        <x:v>0.010082892842642873</x:v>
      </x:c>
      <x:c r="D454" s="7" t="n">
        <x:f>IF(ISNUMBER(C454),C454^2,"")</x:f>
        <x:v>0.00010166472807621888</x:v>
      </x:c>
      <x:c r="E454" s="15" t="n">
        <x:f>IF(ISNUMBER(C454),C454^3,"")</x:f>
        <x:v>0.0000010250745590689414</x:v>
      </x:c>
      <x:c r="F454" s="15" t="n">
        <x:f>IF(ISNUMBER(C454),C454^4,"")</x:f>
        <x:v>1.0335716934811529e-8</x:v>
      </x:c>
      <x:c r="G454" s="7" t="n">
        <x:f>IF(ISNUMBER(B454),ABS(B454),"")</x:f>
        <x:v>0.010034653515593373</x:v>
      </x:c>
      <x:c r="H454" s="7" t="n">
        <x:f>IF(ISNUMBER(B454),B454^2,"")</x:f>
        <x:v>0.00010069427117801043</x:v>
      </x:c>
      <x:c r="I454" s="7" t="n">
        <x:f>IF(AND(ISNUMBER(G454),'요약'!$B$19),G454-'요약'!$B$14,"")</x:f>
        <x:v>0.0020211368881905174</x:v>
      </x:c>
      <x:c r="J454" s="7" t="n">
        <x:f>IF(AND(ISNUMBER(H454),'요약'!$B$19),H454-'요약'!$B$15,"")</x:f>
        <x:v>-0.000001515428008081669</x:v>
      </x:c>
      <x:c r="K454" t="str">
        <x:f>IF(ISNUMBER(B454),IF('Hill'!$B$4=1,IF(B454&lt;0,-B454,""),IF('Hill'!$B$4=2,IF(B454&gt;0,B454,""),IF('Hill'!$B$4=3,IF(B454&lt;&gt;0,ABS(B454),""),""))),"")</x:f>
      </x:c>
    </x:row>
    <x:row r="455">
      <x:c r="A455" t="n">
        <x:f>454</x:f>
        <x:v>454</x:v>
      </x:c>
      <x:c r="B455" s="7" t="n">
        <x:f>IF('요약'!$B$4=4,IF(ISNUMBER('input'!A455),'input'!A455,""),IF(454&lt;=1000,CHOOSE('요약'!$B$4,'input'!B455,'input'!C455,'input'!D455),""))</x:f>
        <x:v>0.010939693946724368</x:v>
      </x:c>
      <x:c r="C455" s="7" t="n">
        <x:f>IF(AND(ISNUMBER(B455),'요약'!$B$19),B455-'요약'!$B$7,"")</x:f>
        <x:v>0.010987933273773868</x:v>
      </x:c>
      <x:c r="D455" s="7" t="n">
        <x:f>IF(ISNUMBER(C455),C455^2,"")</x:f>
        <x:v>0.00012073467762890691</x:v>
      </x:c>
      <x:c r="E455" s="15" t="n">
        <x:f>IF(ISNUMBER(C455),C455^3,"")</x:f>
        <x:v>0.0000013266245816170278</x:v>
      </x:c>
      <x:c r="F455" s="15" t="n">
        <x:f>IF(ISNUMBER(C455),C455^4,"")</x:f>
        <x:v>1.4576862382156076e-8</x:v>
      </x:c>
      <x:c r="G455" s="7" t="n">
        <x:f>IF(ISNUMBER(B455),ABS(B455),"")</x:f>
        <x:v>0.010939693946724368</x:v>
      </x:c>
      <x:c r="H455" s="7" t="n">
        <x:f>IF(ISNUMBER(B455),B455^2,"")</x:f>
        <x:v>0.00011967690364799778</x:v>
      </x:c>
      <x:c r="I455" s="7" t="n">
        <x:f>IF(AND(ISNUMBER(G455),'요약'!$B$19),G455-'요약'!$B$14,"")</x:f>
        <x:v>0.0029261773193215122</x:v>
      </x:c>
      <x:c r="J455" s="7" t="n">
        <x:f>IF(AND(ISNUMBER(H455),'요약'!$B$19),H455-'요약'!$B$15,"")</x:f>
        <x:v>0.000017467204461905672</x:v>
      </x:c>
      <x:c r="K455" t="str">
        <x:f>IF(ISNUMBER(B455),IF('Hill'!$B$4=1,IF(B455&lt;0,-B455,""),IF('Hill'!$B$4=2,IF(B455&gt;0,B455,""),IF('Hill'!$B$4=3,IF(B455&lt;&gt;0,ABS(B455),""),""))),"")</x:f>
      </x:c>
    </x:row>
    <x:row r="456">
      <x:c r="A456" t="n">
        <x:f>455</x:f>
        <x:v>455</x:v>
      </x:c>
      <x:c r="B456" s="7" t="n">
        <x:f>IF('요약'!$B$4=4,IF(ISNUMBER('input'!A456),'input'!A456,""),IF(455&lt;=1000,CHOOSE('요약'!$B$4,'input'!B456,'input'!C456,'input'!D456),""))</x:f>
        <x:v>0.004689784557342574</x:v>
      </x:c>
      <x:c r="C456" s="7" t="n">
        <x:f>IF(AND(ISNUMBER(B456),'요약'!$B$19),B456-'요약'!$B$7,"")</x:f>
        <x:v>0.004738023884392075</x:v>
      </x:c>
      <x:c r="D456" s="7" t="n">
        <x:f>IF(ISNUMBER(C456),C456^2,"")</x:f>
        <x:v>0.000022448870329069768</x:v>
      </x:c>
      <x:c r="E456" s="15" t="n">
        <x:f>IF(ISNUMBER(C456),C456^3,"")</x:f>
        <x:v>1.0636328379675316e-7</x:v>
      </x:c>
      <x:c r="F456" s="15" t="n">
        <x:f>IF(ISNUMBER(C456),C456^4,"")</x:f>
        <x:v>5.03951779051389e-10</x:v>
      </x:c>
      <x:c r="G456" s="7" t="n">
        <x:f>IF(ISNUMBER(B456),ABS(B456),"")</x:f>
        <x:v>0.004689784557342574</x:v>
      </x:c>
      <x:c r="H456" s="7" t="n">
        <x:f>IF(ISNUMBER(B456),B456^2,"")</x:f>
        <x:v>0.00002199407919428888</x:v>
      </x:c>
      <x:c r="I456" s="7" t="n">
        <x:f>IF(AND(ISNUMBER(G456),'요약'!$B$19),G456-'요약'!$B$14,"")</x:f>
        <x:v>-0.0033237320700602816</x:v>
      </x:c>
      <x:c r="J456" s="7" t="n">
        <x:f>IF(AND(ISNUMBER(H456),'요약'!$B$19),H456-'요약'!$B$15,"")</x:f>
        <x:v>-0.00008021561999180322</x:v>
      </x:c>
      <x:c r="K456" t="str">
        <x:f>IF(ISNUMBER(B456),IF('Hill'!$B$4=1,IF(B456&lt;0,-B456,""),IF('Hill'!$B$4=2,IF(B456&gt;0,B456,""),IF('Hill'!$B$4=3,IF(B456&lt;&gt;0,ABS(B456),""),""))),"")</x:f>
      </x:c>
    </x:row>
    <x:row r="457">
      <x:c r="A457" t="n">
        <x:f>456</x:f>
        <x:v>456</x:v>
      </x:c>
      <x:c r="B457" s="7" t="n">
        <x:f>IF('요약'!$B$4=4,IF(ISNUMBER('input'!A457),'input'!A457,""),IF(456&lt;=1000,CHOOSE('요약'!$B$4,'input'!B457,'input'!C457,'input'!D457),""))</x:f>
        <x:v>-0.008548816400578656</x:v>
      </x:c>
      <x:c r="C457" s="7" t="n">
        <x:f>IF(AND(ISNUMBER(B457),'요약'!$B$19),B457-'요약'!$B$7,"")</x:f>
        <x:v>-0.008500577073529155</x:v>
      </x:c>
      <x:c r="D457" s="7" t="n">
        <x:f>IF(ISNUMBER(C457),C457^2,"")</x:f>
        <x:v>0.0000722598105830095</x:v>
      </x:c>
      <x:c r="E457" s="15" t="n">
        <x:f>IF(ISNUMBER(C457),C457^3,"")</x:f>
        <x:v>-6.1425008917949e-7</x:v>
      </x:c>
      <x:c r="F457" s="15" t="n">
        <x:f>IF(ISNUMBER(C457),C457^4,"")</x:f>
        <x:v>5.221480225492412e-9</x:v>
      </x:c>
      <x:c r="G457" s="7" t="n">
        <x:f>IF(ISNUMBER(B457),ABS(B457),"")</x:f>
        <x:v>0.008548816400578656</x:v>
      </x:c>
      <x:c r="H457" s="7" t="n">
        <x:f>IF(ISNUMBER(B457),B457^2,"")</x:f>
        <x:v>0.00007308226185080261</x:v>
      </x:c>
      <x:c r="I457" s="7" t="n">
        <x:f>IF(AND(ISNUMBER(G457),'요약'!$B$19),G457-'요약'!$B$14,"")</x:f>
        <x:v>0.0005352997731758007</x:v>
      </x:c>
      <x:c r="J457" s="7" t="n">
        <x:f>IF(AND(ISNUMBER(H457),'요약'!$B$19),H457-'요약'!$B$15,"")</x:f>
        <x:v>-0.00002912743733528949</x:v>
      </x:c>
      <x:c r="K457" t="n">
        <x:f>IF(ISNUMBER(B457),IF('Hill'!$B$4=1,IF(B457&lt;0,-B457,""),IF('Hill'!$B$4=2,IF(B457&gt;0,B457,""),IF('Hill'!$B$4=3,IF(B457&lt;&gt;0,ABS(B457),""),""))),"")</x:f>
        <x:v>0.008548816400578656</x:v>
      </x:c>
    </x:row>
    <x:row r="458">
      <x:c r="A458" t="n">
        <x:f>457</x:f>
        <x:v>457</x:v>
      </x:c>
      <x:c r="B458" s="7" t="n">
        <x:f>IF('요약'!$B$4=4,IF(ISNUMBER('input'!A458),'input'!A458,""),IF(457&lt;=1000,CHOOSE('요약'!$B$4,'input'!B458,'input'!C458,'input'!D458),""))</x:f>
        <x:v>-0.005884728193739775</x:v>
      </x:c>
      <x:c r="C458" s="7" t="n">
        <x:f>IF(AND(ISNUMBER(B458),'요약'!$B$19),B458-'요약'!$B$7,"")</x:f>
        <x:v>-0.005836488866690273</x:v>
      </x:c>
      <x:c r="D458" s="7" t="n">
        <x:f>IF(ISNUMBER(C458),C458^2,"")</x:f>
        <x:v>0.00003406460229099951</x:v>
      </x:c>
      <x:c r="E458" s="15" t="n">
        <x:f>IF(ISNUMBER(C458),C458^3,"")</x:f>
        <x:v>-1.988176720196506e-7</x:v>
      </x:c>
      <x:c r="F458" s="15" t="n">
        <x:f>IF(ISNUMBER(C458),C458^4,"")</x:f>
        <x:v>1.1603971292439692e-9</x:v>
      </x:c>
      <x:c r="G458" s="7" t="n">
        <x:f>IF(ISNUMBER(B458),ABS(B458),"")</x:f>
        <x:v>0.005884728193739775</x:v>
      </x:c>
      <x:c r="H458" s="7" t="n">
        <x:f>IF(ISNUMBER(B458),B458^2,"")</x:f>
        <x:v>0.00003463002591419579</x:v>
      </x:c>
      <x:c r="I458" s="7" t="n">
        <x:f>IF(AND(ISNUMBER(G458),'요약'!$B$19),G458-'요약'!$B$14,"")</x:f>
        <x:v>-0.0021287884336630807</x:v>
      </x:c>
      <x:c r="J458" s="7" t="n">
        <x:f>IF(AND(ISNUMBER(H458),'요약'!$B$19),H458-'요약'!$B$15,"")</x:f>
        <x:v>-0.00006757967327189631</x:v>
      </x:c>
      <x:c r="K458" t="n">
        <x:f>IF(ISNUMBER(B458),IF('Hill'!$B$4=1,IF(B458&lt;0,-B458,""),IF('Hill'!$B$4=2,IF(B458&gt;0,B458,""),IF('Hill'!$B$4=3,IF(B458&lt;&gt;0,ABS(B458),""),""))),"")</x:f>
        <x:v>0.005884728193739775</x:v>
      </x:c>
    </x:row>
    <x:row r="459">
      <x:c r="A459" t="n">
        <x:f>458</x:f>
        <x:v>458</x:v>
      </x:c>
      <x:c r="B459" s="7" t="n">
        <x:f>IF('요약'!$B$4=4,IF(ISNUMBER('input'!A459),'input'!A459,""),IF(458&lt;=1000,CHOOSE('요약'!$B$4,'input'!B459,'input'!C459,'input'!D459),""))</x:f>
        <x:v>0.00028253821927236425</x:v>
      </x:c>
      <x:c r="C459" s="7" t="n">
        <x:f>IF(AND(ISNUMBER(B459),'요약'!$B$19),B459-'요약'!$B$7,"")</x:f>
        <x:v>0.0003307775463218656</x:v>
      </x:c>
      <x:c r="D459" s="7" t="n">
        <x:f>IF(ISNUMBER(C459),C459^2,"")</x:f>
        <x:v>1.0941378515071394e-7</x:v>
      </x:c>
      <x:c r="E459" s="15" t="n">
        <x:f>IF(ISNUMBER(C459),C459^3,"")</x:f>
        <x:v>3.6191623385940935e-11</x:v>
      </x:c>
      <x:c r="F459" s="15" t="n">
        <x:f>IF(ISNUMBER(C459),C459^4,"")</x:f>
        <x:v>1.1971376381006591e-14</x:v>
      </x:c>
      <x:c r="G459" s="7" t="n">
        <x:f>IF(ISNUMBER(B459),ABS(B459),"")</x:f>
        <x:v>0.00028253821927236425</x:v>
      </x:c>
      <x:c r="H459" s="7" t="n">
        <x:f>IF(ISNUMBER(B459),B459^2,"")</x:f>
        <x:v>7.982784534959858e-8</x:v>
      </x:c>
      <x:c r="I459" s="7" t="n">
        <x:f>IF(AND(ISNUMBER(G459),'요약'!$B$19),G459-'요약'!$B$14,"")</x:f>
        <x:v>-0.0077309784081304915</x:v>
      </x:c>
      <x:c r="J459" s="7" t="n">
        <x:f>IF(AND(ISNUMBER(H459),'요약'!$B$19),H459-'요약'!$B$15,"")</x:f>
        <x:v>-0.0001021298713407425</x:v>
      </x:c>
      <x:c r="K459" t="str">
        <x:f>IF(ISNUMBER(B459),IF('Hill'!$B$4=1,IF(B459&lt;0,-B459,""),IF('Hill'!$B$4=2,IF(B459&gt;0,B459,""),IF('Hill'!$B$4=3,IF(B459&lt;&gt;0,ABS(B459),""),""))),"")</x:f>
      </x:c>
    </x:row>
    <x:row r="460">
      <x:c r="A460" t="n">
        <x:f>459</x:f>
        <x:v>459</x:v>
      </x:c>
      <x:c r="B460" s="7" t="n">
        <x:f>IF('요약'!$B$4=4,IF(ISNUMBER('input'!A460),'input'!A460,""),IF(459&lt;=1000,CHOOSE('요약'!$B$4,'input'!B460,'input'!C460,'input'!D460),""))</x:f>
        <x:v>0.0018315738784172666</x:v>
      </x:c>
      <x:c r="C460" s="7" t="n">
        <x:f>IF(AND(ISNUMBER(B460),'요약'!$B$19),B460-'요약'!$B$7,"")</x:f>
        <x:v>0.001879813205466768</x:v>
      </x:c>
      <x:c r="D460" s="7" t="n">
        <x:f>IF(ISNUMBER(C460),C460^2,"")</x:f>
        <x:v>0.0000035336976874472456</x:v>
      </x:c>
      <x:c r="E460" s="15" t="n">
        <x:f>IF(ISNUMBER(C460),C460^3,"")</x:f>
        <x:v>6.642691576990713e-9</x:v>
      </x:c>
      <x:c r="F460" s="15" t="n">
        <x:f>IF(ISNUMBER(C460),C460^4,"")</x:f>
        <x:v>1.2487019346270012e-11</x:v>
      </x:c>
      <x:c r="G460" s="7" t="n">
        <x:f>IF(ISNUMBER(B460),ABS(B460),"")</x:f>
        <x:v>0.0018315738784172666</x:v>
      </x:c>
      <x:c r="H460" s="7" t="n">
        <x:f>IF(ISNUMBER(B460),B460^2,"")</x:f>
        <x:v>0.000003354662872100468</x:v>
      </x:c>
      <x:c r="I460" s="7" t="n">
        <x:f>IF(AND(ISNUMBER(G460),'요약'!$B$19),G460-'요약'!$B$14,"")</x:f>
        <x:v>-0.006181942748985589</x:v>
      </x:c>
      <x:c r="J460" s="7" t="n">
        <x:f>IF(AND(ISNUMBER(H460),'요약'!$B$19),H460-'요약'!$B$15,"")</x:f>
        <x:v>-0.00009885503631399164</x:v>
      </x:c>
      <x:c r="K460" t="str">
        <x:f>IF(ISNUMBER(B460),IF('Hill'!$B$4=1,IF(B460&lt;0,-B460,""),IF('Hill'!$B$4=2,IF(B460&gt;0,B460,""),IF('Hill'!$B$4=3,IF(B460&lt;&gt;0,ABS(B460),""),""))),"")</x:f>
      </x:c>
    </x:row>
    <x:row r="461">
      <x:c r="A461" t="n">
        <x:f>460</x:f>
        <x:v>460</x:v>
      </x:c>
      <x:c r="B461" s="7" t="n">
        <x:f>IF('요약'!$B$4=4,IF(ISNUMBER('input'!A461),'input'!A461,""),IF(460&lt;=1000,CHOOSE('요약'!$B$4,'input'!B461,'input'!C461,'input'!D461),""))</x:f>
        <x:v>-0.006921698386284776</x:v>
      </x:c>
      <x:c r="C461" s="7" t="n">
        <x:f>IF(AND(ISNUMBER(B461),'요약'!$B$19),B461-'요약'!$B$7,"")</x:f>
        <x:v>-0.006873459059235275</x:v>
      </x:c>
      <x:c r="D461" s="7" t="n">
        <x:f>IF(ISNUMBER(C461),C461^2,"")</x:f>
        <x:v>0.00004724443943898347</x:v>
      </x:c>
      <x:c r="E461" s="15" t="n">
        <x:f>IF(ISNUMBER(C461),C461^3,"")</x:f>
        <x:v>-3.2473272026037326e-7</x:v>
      </x:c>
      <x:c r="F461" s="15" t="n">
        <x:f>IF(ISNUMBER(C461),C461^4,"")</x:f>
        <x:v>2.2320370579037765e-9</x:v>
      </x:c>
      <x:c r="G461" s="7" t="n">
        <x:f>IF(ISNUMBER(B461),ABS(B461),"")</x:f>
        <x:v>0.006921698386284776</x:v>
      </x:c>
      <x:c r="H461" s="7" t="n">
        <x:f>IF(ISNUMBER(B461),B461^2,"")</x:f>
        <x:v>0.00004790990855069727</x:v>
      </x:c>
      <x:c r="I461" s="7" t="n">
        <x:f>IF(AND(ISNUMBER(G461),'요약'!$B$19),G461-'요약'!$B$14,"")</x:f>
        <x:v>-0.001091818241118079</x:v>
      </x:c>
      <x:c r="J461" s="7" t="n">
        <x:f>IF(AND(ISNUMBER(H461),'요약'!$B$19),H461-'요약'!$B$15,"")</x:f>
        <x:v>-0.00005429979063539483</x:v>
      </x:c>
      <x:c r="K461" t="n">
        <x:f>IF(ISNUMBER(B461),IF('Hill'!$B$4=1,IF(B461&lt;0,-B461,""),IF('Hill'!$B$4=2,IF(B461&gt;0,B461,""),IF('Hill'!$B$4=3,IF(B461&lt;&gt;0,ABS(B461),""),""))),"")</x:f>
        <x:v>0.006921698386284776</x:v>
      </x:c>
    </x:row>
    <x:row r="462">
      <x:c r="A462" t="n">
        <x:f>461</x:f>
        <x:v>461</x:v>
      </x:c>
      <x:c r="B462" s="7" t="n">
        <x:f>IF('요약'!$B$4=4,IF(ISNUMBER('input'!A462),'input'!A462,""),IF(461&lt;=1000,CHOOSE('요약'!$B$4,'input'!B462,'input'!C462,'input'!D462),""))</x:f>
        <x:v>0.005436940097597261</x:v>
      </x:c>
      <x:c r="C462" s="7" t="n">
        <x:f>IF(AND(ISNUMBER(B462),'요약'!$B$19),B462-'요약'!$B$7,"")</x:f>
        <x:v>0.005485179424646763</x:v>
      </x:c>
      <x:c r="D462" s="7" t="n">
        <x:f>IF(ISNUMBER(C462),C462^2,"")</x:f>
        <x:v>0.00003008719332056819</x:v>
      </x:c>
      <x:c r="E462" s="15" t="n">
        <x:f>IF(ISNUMBER(C462),C462^3,"")</x:f>
        <x:v>1.6503365374735017e-7</x:v>
      </x:c>
      <x:c r="F462" s="15" t="n">
        <x:f>IF(ISNUMBER(C462),C462^4,"")</x:f>
        <x:v>9.052392019092432e-10</x:v>
      </x:c>
      <x:c r="G462" s="7" t="n">
        <x:f>IF(ISNUMBER(B462),ABS(B462),"")</x:f>
        <x:v>0.005436940097597261</x:v>
      </x:c>
      <x:c r="H462" s="7" t="n">
        <x:f>IF(ISNUMBER(B462),B462^2,"")</x:f>
        <x:v>0.000029560317624860917</x:v>
      </x:c>
      <x:c r="I462" s="7" t="n">
        <x:f>IF(AND(ISNUMBER(G462),'요약'!$B$19),G462-'요약'!$B$14,"")</x:f>
        <x:v>-0.002576576529805594</x:v>
      </x:c>
      <x:c r="J462" s="7" t="n">
        <x:f>IF(AND(ISNUMBER(H462),'요약'!$B$19),H462-'요약'!$B$15,"")</x:f>
        <x:v>-0.0000726493815612312</x:v>
      </x:c>
      <x:c r="K462" t="str">
        <x:f>IF(ISNUMBER(B462),IF('Hill'!$B$4=1,IF(B462&lt;0,-B462,""),IF('Hill'!$B$4=2,IF(B462&gt;0,B462,""),IF('Hill'!$B$4=3,IF(B462&lt;&gt;0,ABS(B462),""),""))),"")</x:f>
      </x:c>
    </x:row>
    <x:row r="463">
      <x:c r="A463" t="n">
        <x:f>462</x:f>
        <x:v>462</x:v>
      </x:c>
      <x:c r="B463" s="7" t="n">
        <x:f>IF('요약'!$B$4=4,IF(ISNUMBER('input'!A463),'input'!A463,""),IF(462&lt;=1000,CHOOSE('요약'!$B$4,'input'!B463,'input'!C463,'input'!D463),""))</x:f>
        <x:v>-0.0009211703555071678</x:v>
      </x:c>
      <x:c r="C463" s="7" t="n">
        <x:f>IF(AND(ISNUMBER(B463),'요약'!$B$19),B463-'요약'!$B$7,"")</x:f>
        <x:v>-0.0008729310284576664</x:v>
      </x:c>
      <x:c r="D463" s="7" t="n">
        <x:f>IF(ISNUMBER(C463),C463^2,"")</x:f>
        <x:v>7.620085804441593e-7</x:v>
      </x:c>
      <x:c r="E463" s="15" t="n">
        <x:f>IF(ISNUMBER(C463),C463^3,"")</x:f>
        <x:v>-6.651809338206863e-10</x:v>
      </x:c>
      <x:c r="F463" s="15" t="n">
        <x:f>IF(ISNUMBER(C463),C463^4,"")</x:f>
        <x:v>5.806570766705226e-13</x:v>
      </x:c>
      <x:c r="G463" s="7" t="n">
        <x:f>IF(ISNUMBER(B463),ABS(B463),"")</x:f>
        <x:v>0.0009211703555071678</x:v>
      </x:c>
      <x:c r="H463" s="7" t="n">
        <x:f>IF(ISNUMBER(B463),B463^2,"")</x:f>
        <x:v>8.485548238652018e-7</x:v>
      </x:c>
      <x:c r="I463" s="7" t="n">
        <x:f>IF(AND(ISNUMBER(G463),'요약'!$B$19),G463-'요약'!$B$14,"")</x:f>
        <x:v>-0.007092346271895688</x:v>
      </x:c>
      <x:c r="J463" s="7" t="n">
        <x:f>IF(AND(ISNUMBER(H463),'요약'!$B$19),H463-'요약'!$B$15,"")</x:f>
        <x:v>-0.0001013611443622269</x:v>
      </x:c>
      <x:c r="K463" t="n">
        <x:f>IF(ISNUMBER(B463),IF('Hill'!$B$4=1,IF(B463&lt;0,-B463,""),IF('Hill'!$B$4=2,IF(B463&gt;0,B463,""),IF('Hill'!$B$4=3,IF(B463&lt;&gt;0,ABS(B463),""),""))),"")</x:f>
        <x:v>0.0009211703555071678</x:v>
      </x:c>
    </x:row>
    <x:row r="464">
      <x:c r="A464" t="n">
        <x:f>463</x:f>
        <x:v>463</x:v>
      </x:c>
      <x:c r="B464" s="7" t="n">
        <x:f>IF('요약'!$B$4=4,IF(ISNUMBER('input'!A464),'input'!A464,""),IF(463&lt;=1000,CHOOSE('요약'!$B$4,'input'!B464,'input'!C464,'input'!D464),""))</x:f>
        <x:v>-0.0038190358422596354</x:v>
      </x:c>
      <x:c r="C464" s="7" t="n">
        <x:f>IF(AND(ISNUMBER(B464),'요약'!$B$19),B464-'요약'!$B$7,"")</x:f>
        <x:v>-0.003770796515210134</x:v>
      </x:c>
      <x:c r="D464" s="7" t="n">
        <x:f>IF(ISNUMBER(C464),C464^2,"")</x:f>
        <x:v>0.00001421890635912089</x:v>
      </x:c>
      <x:c r="E464" s="15" t="n">
        <x:f>IF(ISNUMBER(C464),C464^3,"")</x:f>
        <x:v>-5.361660254907227e-8</x:v>
      </x:c>
      <x:c r="F464" s="15" t="n">
        <x:f>IF(ISNUMBER(C464),C464^4,"")</x:f>
        <x:v>2.021772980494485e-10</x:v>
      </x:c>
      <x:c r="G464" s="7" t="n">
        <x:f>IF(ISNUMBER(B464),ABS(B464),"")</x:f>
        <x:v>0.0038190358422596354</x:v>
      </x:c>
      <x:c r="H464" s="7" t="n">
        <x:f>IF(ISNUMBER(B464),B464^2,"")</x:f>
        <x:v>0.000014585034764463764</x:v>
      </x:c>
      <x:c r="I464" s="7" t="n">
        <x:f>IF(AND(ISNUMBER(G464),'요약'!$B$19),G464-'요약'!$B$14,"")</x:f>
        <x:v>-0.00419448078514322</x:v>
      </x:c>
      <x:c r="J464" s="7" t="n">
        <x:f>IF(AND(ISNUMBER(H464),'요약'!$B$19),H464-'요약'!$B$15,"")</x:f>
        <x:v>-0.00008762466442162834</x:v>
      </x:c>
      <x:c r="K464" t="n">
        <x:f>IF(ISNUMBER(B464),IF('Hill'!$B$4=1,IF(B464&lt;0,-B464,""),IF('Hill'!$B$4=2,IF(B464&gt;0,B464,""),IF('Hill'!$B$4=3,IF(B464&lt;&gt;0,ABS(B464),""),""))),"")</x:f>
        <x:v>0.0038190358422596354</x:v>
      </x:c>
    </x:row>
    <x:row r="465">
      <x:c r="A465" t="n">
        <x:f>464</x:f>
        <x:v>464</x:v>
      </x:c>
      <x:c r="B465" s="7" t="n">
        <x:f>IF('요약'!$B$4=4,IF(ISNUMBER('input'!A465),'input'!A465,""),IF(464&lt;=1000,CHOOSE('요약'!$B$4,'input'!B465,'input'!C465,'input'!D465),""))</x:f>
        <x:v>-0.01610562092279488</x:v>
      </x:c>
      <x:c r="C465" s="7" t="n">
        <x:f>IF(AND(ISNUMBER(B465),'요약'!$B$19),B465-'요약'!$B$7,"")</x:f>
        <x:v>-0.01605738159574538</x:v>
      </x:c>
      <x:c r="D465" s="7" t="n">
        <x:f>IF(ISNUMBER(C465),C465^2,"")</x:f>
        <x:v>0.00025783950371138244</x:v>
      </x:c>
      <x:c r="E465" s="15" t="n">
        <x:f>IF(ISNUMBER(C465),C465^3,"")</x:f>
        <x:v>-0.000004140227301551274</x:v>
      </x:c>
      <x:c r="F465" s="15" t="n">
        <x:f>IF(ISNUMBER(C465),C465^4,"")</x:f>
        <x:v>6.648120967413199e-8</x:v>
      </x:c>
      <x:c r="G465" s="7" t="n">
        <x:f>IF(ISNUMBER(B465),ABS(B465),"")</x:f>
        <x:v>0.01610562092279488</x:v>
      </x:c>
      <x:c r="H465" s="7" t="n">
        <x:f>IF(ISNUMBER(B465),B465^2,"")</x:f>
        <x:v>0.0002593910253087682</x:v>
      </x:c>
      <x:c r="I465" s="7" t="n">
        <x:f>IF(AND(ISNUMBER(G465),'요약'!$B$19),G465-'요약'!$B$14,"")</x:f>
        <x:v>0.008092104295392024</x:v>
      </x:c>
      <x:c r="J465" s="7" t="n">
        <x:f>IF(AND(ISNUMBER(H465),'요약'!$B$19),H465-'요약'!$B$15,"")</x:f>
        <x:v>0.0001571813261226761</x:v>
      </x:c>
      <x:c r="K465" t="n">
        <x:f>IF(ISNUMBER(B465),IF('Hill'!$B$4=1,IF(B465&lt;0,-B465,""),IF('Hill'!$B$4=2,IF(B465&gt;0,B465,""),IF('Hill'!$B$4=3,IF(B465&lt;&gt;0,ABS(B465),""),""))),"")</x:f>
        <x:v>0.01610562092279488</x:v>
      </x:c>
    </x:row>
    <x:row r="466">
      <x:c r="A466" t="n">
        <x:f>465</x:f>
        <x:v>465</x:v>
      </x:c>
      <x:c r="B466" s="7" t="n">
        <x:f>IF('요약'!$B$4=4,IF(ISNUMBER('input'!A466),'input'!A466,""),IF(465&lt;=1000,CHOOSE('요약'!$B$4,'input'!B466,'input'!C466,'input'!D466),""))</x:f>
        <x:v>-0.01310803939082209</x:v>
      </x:c>
      <x:c r="C466" s="7" t="n">
        <x:f>IF(AND(ISNUMBER(B466),'요약'!$B$19),B466-'요약'!$B$7,"")</x:f>
        <x:v>-0.01305980006377259</x:v>
      </x:c>
      <x:c r="D466" s="7" t="n">
        <x:f>IF(ISNUMBER(C466),C466^2,"")</x:f>
        <x:v>0.00017055837770571454</x:v>
      </x:c>
      <x:c r="E466" s="15" t="n">
        <x:f>IF(ISNUMBER(C466),C466^3,"")</x:f>
        <x:v>-0.00000222745831203804</x:v>
      </x:c>
      <x:c r="F466" s="15" t="n">
        <x:f>IF(ISNUMBER(C466),C466^4,"")</x:f>
        <x:v>2.909016020560518e-8</x:v>
      </x:c>
      <x:c r="G466" s="7" t="n">
        <x:f>IF(ISNUMBER(B466),ABS(B466),"")</x:f>
        <x:v>0.01310803939082209</x:v>
      </x:c>
      <x:c r="H466" s="7" t="n">
        <x:f>IF(ISNUMBER(B466),B466^2,"")</x:f>
        <x:v>0.00017182069667134354</x:v>
      </x:c>
      <x:c r="I466" s="7" t="n">
        <x:f>IF(AND(ISNUMBER(G466),'요약'!$B$19),G466-'요약'!$B$14,"")</x:f>
        <x:v>0.005094522763419235</x:v>
      </x:c>
      <x:c r="J466" s="7" t="n">
        <x:f>IF(AND(ISNUMBER(H466),'요약'!$B$19),H466-'요약'!$B$15,"")</x:f>
        <x:v>0.00006961099748525144</x:v>
      </x:c>
      <x:c r="K466" t="n">
        <x:f>IF(ISNUMBER(B466),IF('Hill'!$B$4=1,IF(B466&lt;0,-B466,""),IF('Hill'!$B$4=2,IF(B466&gt;0,B466,""),IF('Hill'!$B$4=3,IF(B466&lt;&gt;0,ABS(B466),""),""))),"")</x:f>
        <x:v>0.01310803939082209</x:v>
      </x:c>
    </x:row>
    <x:row r="467">
      <x:c r="A467" t="n">
        <x:f>466</x:f>
        <x:v>466</x:v>
      </x:c>
      <x:c r="B467" s="7" t="n">
        <x:f>IF('요약'!$B$4=4,IF(ISNUMBER('input'!A467),'input'!A467,""),IF(466&lt;=1000,CHOOSE('요약'!$B$4,'input'!B467,'input'!C467,'input'!D467),""))</x:f>
        <x:v>-0.011025338339459883</x:v>
      </x:c>
      <x:c r="C467" s="7" t="n">
        <x:f>IF(AND(ISNUMBER(B467),'요약'!$B$19),B467-'요약'!$B$7,"")</x:f>
        <x:v>-0.010977099012410382</x:v>
      </x:c>
      <x:c r="D467" s="7" t="n">
        <x:f>IF(ISNUMBER(C467),C467^2,"")</x:f>
        <x:v>0.00012049670272826099</x:v>
      </x:c>
      <x:c r="E467" s="15" t="n">
        <x:f>IF(ISNUMBER(C467),C467^3,"")</x:f>
        <x:v>-0.000001322704236517101</x:v>
      </x:c>
      <x:c r="F467" s="15" t="n">
        <x:f>IF(ISNUMBER(C467),C467^4,"")</x:f>
        <x:v>1.45194553683829e-8</x:v>
      </x:c>
      <x:c r="G467" s="7" t="n">
        <x:f>IF(ISNUMBER(B467),ABS(B467),"")</x:f>
        <x:v>0.011025338339459883</x:v>
      </x:c>
      <x:c r="H467" s="7" t="n">
        <x:f>IF(ISNUMBER(B467),B467^2,"")</x:f>
        <x:v>0.000121558085499564</x:v>
      </x:c>
      <x:c r="I467" s="7" t="n">
        <x:f>IF(AND(ISNUMBER(G467),'요약'!$B$19),G467-'요약'!$B$14,"")</x:f>
        <x:v>0.0030118217120570275</x:v>
      </x:c>
      <x:c r="J467" s="7" t="n">
        <x:f>IF(AND(ISNUMBER(H467),'요약'!$B$19),H467-'요약'!$B$15,"")</x:f>
        <x:v>0.0000193483863134719</x:v>
      </x:c>
      <x:c r="K467" t="n">
        <x:f>IF(ISNUMBER(B467),IF('Hill'!$B$4=1,IF(B467&lt;0,-B467,""),IF('Hill'!$B$4=2,IF(B467&gt;0,B467,""),IF('Hill'!$B$4=3,IF(B467&lt;&gt;0,ABS(B467),""),""))),"")</x:f>
        <x:v>0.011025338339459883</x:v>
      </x:c>
    </x:row>
    <x:row r="468">
      <x:c r="A468" t="n">
        <x:f>467</x:f>
        <x:v>467</x:v>
      </x:c>
      <x:c r="B468" s="7" t="n">
        <x:f>IF('요약'!$B$4=4,IF(ISNUMBER('input'!A468),'input'!A468,""),IF(467&lt;=1000,CHOOSE('요약'!$B$4,'input'!B468,'input'!C468,'input'!D468),""))</x:f>
        <x:v>0.015571067238582021</x:v>
      </x:c>
      <x:c r="C468" s="7" t="n">
        <x:f>IF(AND(ISNUMBER(B468),'요약'!$B$19),B468-'요약'!$B$7,"")</x:f>
        <x:v>0.015619306565631522</x:v>
      </x:c>
      <x:c r="D468" s="7" t="n">
        <x:f>IF(ISNUMBER(C468),C468^2,"")</x:f>
        <x:v>0.00024396273759117997</x:v>
      </x:c>
      <x:c r="E468" s="15" t="n">
        <x:f>IF(ISNUMBER(C468),C468^3,"")</x:f>
        <x:v>0.0000038105287890273574</x:v>
      </x:c>
      <x:c r="F468" s="15" t="n">
        <x:f>IF(ISNUMBER(C468),C468^4,"")</x:f>
        <x:v>5.9517817332982934e-8</x:v>
      </x:c>
      <x:c r="G468" s="7" t="n">
        <x:f>IF(ISNUMBER(B468),ABS(B468),"")</x:f>
        <x:v>0.015571067238582021</x:v>
      </x:c>
      <x:c r="H468" s="7" t="n">
        <x:f>IF(ISNUMBER(B468),B468^2,"")</x:f>
        <x:v>0.00024245813494844234</x:v>
      </x:c>
      <x:c r="I468" s="7" t="n">
        <x:f>IF(AND(ISNUMBER(G468),'요약'!$B$19),G468-'요약'!$B$14,"")</x:f>
        <x:v>0.007557550611179166</x:v>
      </x:c>
      <x:c r="J468" s="7" t="n">
        <x:f>IF(AND(ISNUMBER(H468),'요약'!$B$19),H468-'요약'!$B$15,"")</x:f>
        <x:v>0.00014024843576235024</x:v>
      </x:c>
      <x:c r="K468" t="str">
        <x:f>IF(ISNUMBER(B468),IF('Hill'!$B$4=1,IF(B468&lt;0,-B468,""),IF('Hill'!$B$4=2,IF(B468&gt;0,B468,""),IF('Hill'!$B$4=3,IF(B468&lt;&gt;0,ABS(B468),""),""))),"")</x:f>
      </x:c>
    </x:row>
    <x:row r="469">
      <x:c r="A469" t="n">
        <x:f>468</x:f>
        <x:v>468</x:v>
      </x:c>
      <x:c r="B469" s="7" t="n">
        <x:f>IF('요약'!$B$4=4,IF(ISNUMBER('input'!A469),'input'!A469,""),IF(468&lt;=1000,CHOOSE('요약'!$B$4,'input'!B469,'input'!C469,'input'!D469),""))</x:f>
        <x:v>0.004157697329737352</x:v>
      </x:c>
      <x:c r="C469" s="7" t="n">
        <x:f>IF(AND(ISNUMBER(B469),'요약'!$B$19),B469-'요약'!$B$7,"")</x:f>
        <x:v>0.004205936656786854</x:v>
      </x:c>
      <x:c r="D469" s="7" t="n">
        <x:f>IF(ISNUMBER(C469),C469^2,"")</x:f>
        <x:v>0.000017689903160903374</x:v>
      </x:c>
      <x:c r="E469" s="15" t="n">
        <x:f>IF(ISNUMBER(C469),C469^3,"")</x:f>
        <x:v>7.440261215945314e-8</x:v>
      </x:c>
      <x:c r="F469" s="15" t="n">
        <x:f>IF(ISNUMBER(C469),C469^4,"")</x:f>
        <x:v>3.129326738421392e-10</x:v>
      </x:c>
      <x:c r="G469" s="7" t="n">
        <x:f>IF(ISNUMBER(B469),ABS(B469),"")</x:f>
        <x:v>0.004157697329737352</x:v>
      </x:c>
      <x:c r="H469" s="7" t="n">
        <x:f>IF(ISNUMBER(B469),B469^2,"")</x:f>
        <x:v>0.000017286447085705107</x:v>
      </x:c>
      <x:c r="I469" s="7" t="n">
        <x:f>IF(AND(ISNUMBER(G469),'요약'!$B$19),G469-'요약'!$B$14,"")</x:f>
        <x:v>-0.0038558192976655033</x:v>
      </x:c>
      <x:c r="J469" s="7" t="n">
        <x:f>IF(AND(ISNUMBER(H469),'요약'!$B$19),H469-'요약'!$B$15,"")</x:f>
        <x:v>-0.000084923252100387</x:v>
      </x:c>
      <x:c r="K469" t="str">
        <x:f>IF(ISNUMBER(B469),IF('Hill'!$B$4=1,IF(B469&lt;0,-B469,""),IF('Hill'!$B$4=2,IF(B469&gt;0,B469,""),IF('Hill'!$B$4=3,IF(B469&lt;&gt;0,ABS(B469),""),""))),"")</x:f>
      </x:c>
    </x:row>
    <x:row r="470">
      <x:c r="A470" t="n">
        <x:f>469</x:f>
        <x:v>469</x:v>
      </x:c>
      <x:c r="B470" s="7" t="n">
        <x:f>IF('요약'!$B$4=4,IF(ISNUMBER('input'!A470),'input'!A470,""),IF(469&lt;=1000,CHOOSE('요약'!$B$4,'input'!B470,'input'!C470,'input'!D470),""))</x:f>
        <x:v>-0.006296486517157595</x:v>
      </x:c>
      <x:c r="C470" s="7" t="n">
        <x:f>IF(AND(ISNUMBER(B470),'요약'!$B$19),B470-'요약'!$B$7,"")</x:f>
        <x:v>-0.0062482471901080935</x:v>
      </x:c>
      <x:c r="D470" s="7" t="n">
        <x:f>IF(ISNUMBER(C470),C470^2,"")</x:f>
        <x:v>0.000039040592948693684</x:v>
      </x:c>
      <x:c r="E470" s="15" t="n">
        <x:f>IF(ISNUMBER(C470),C470^3,"")</x:f>
        <x:v>-2.4393527519182915e-7</x:v>
      </x:c>
      <x:c r="F470" s="15" t="n">
        <x:f>IF(ISNUMBER(C470),C470^4,"")</x:f>
        <x:v>1.5241678977855913e-9</x:v>
      </x:c>
      <x:c r="G470" s="7" t="n">
        <x:f>IF(ISNUMBER(B470),ABS(B470),"")</x:f>
        <x:v>0.006296486517157595</x:v>
      </x:c>
      <x:c r="H470" s="7" t="n">
        <x:f>IF(ISNUMBER(B470),B470^2,"")</x:f>
        <x:v>0.00003964574246074738</x:v>
      </x:c>
      <x:c r="I470" s="7" t="n">
        <x:f>IF(AND(ISNUMBER(G470),'요약'!$B$19),G470-'요약'!$B$14,"")</x:f>
        <x:v>-0.0017170301102452604</x:v>
      </x:c>
      <x:c r="J470" s="7" t="n">
        <x:f>IF(AND(ISNUMBER(H470),'요약'!$B$19),H470-'요약'!$B$15,"")</x:f>
        <x:v>-0.00006256395672534472</x:v>
      </x:c>
      <x:c r="K470" t="n">
        <x:f>IF(ISNUMBER(B470),IF('Hill'!$B$4=1,IF(B470&lt;0,-B470,""),IF('Hill'!$B$4=2,IF(B470&gt;0,B470,""),IF('Hill'!$B$4=3,IF(B470&lt;&gt;0,ABS(B470),""),""))),"")</x:f>
        <x:v>0.006296486517157595</x:v>
      </x:c>
    </x:row>
    <x:row r="471">
      <x:c r="A471" t="n">
        <x:f>470</x:f>
        <x:v>470</x:v>
      </x:c>
      <x:c r="B471" s="7" t="n">
        <x:f>IF('요약'!$B$4=4,IF(ISNUMBER('input'!A471),'input'!A471,""),IF(470&lt;=1000,CHOOSE('요약'!$B$4,'input'!B471,'input'!C471,'input'!D471),""))</x:f>
        <x:v>0.0001956501235352979</x:v>
      </x:c>
      <x:c r="C471" s="7" t="n">
        <x:f>IF(AND(ISNUMBER(B471),'요약'!$B$19),B471-'요약'!$B$7,"")</x:f>
        <x:v>0.00024388945058479927</x:v>
      </x:c>
      <x:c r="D471" s="7" t="n">
        <x:f>IF(ISNUMBER(C471),C471^2,"")</x:f>
        <x:v>5.9482064106555246e-8</x:v>
      </x:c>
      <x:c r="E471" s="15" t="n">
        <x:f>IF(ISNUMBER(C471),C471^3,"")</x:f>
        <x:v>1.4507047934597568e-11</x:v>
      </x:c>
      <x:c r="F471" s="15" t="n">
        <x:f>IF(ISNUMBER(C471),C471^4,"")</x:f>
        <x:v>3.5381159503763477e-15</x:v>
      </x:c>
      <x:c r="G471" s="7" t="n">
        <x:f>IF(ISNUMBER(B471),ABS(B471),"")</x:f>
        <x:v>0.0001956501235352979</x:v>
      </x:c>
      <x:c r="H471" s="7" t="n">
        <x:f>IF(ISNUMBER(B471),B471^2,"")</x:f>
        <x:v>3.827897083937732e-8</x:v>
      </x:c>
      <x:c r="I471" s="7" t="n">
        <x:f>IF(AND(ISNUMBER(G471),'요약'!$B$19),G471-'요약'!$B$14,"")</x:f>
        <x:v>-0.007817866503867557</x:v>
      </x:c>
      <x:c r="J471" s="7" t="n">
        <x:f>IF(AND(ISNUMBER(H471),'요약'!$B$19),H471-'요약'!$B$15,"")</x:f>
        <x:v>-0.00010217142021525273</x:v>
      </x:c>
      <x:c r="K471" t="str">
        <x:f>IF(ISNUMBER(B471),IF('Hill'!$B$4=1,IF(B471&lt;0,-B471,""),IF('Hill'!$B$4=2,IF(B471&gt;0,B471,""),IF('Hill'!$B$4=3,IF(B471&lt;&gt;0,ABS(B471),""),""))),"")</x:f>
      </x:c>
    </x:row>
    <x:row r="472">
      <x:c r="A472" t="n">
        <x:f>471</x:f>
        <x:v>471</x:v>
      </x:c>
      <x:c r="B472" s="7" t="n">
        <x:f>IF('요약'!$B$4=4,IF(ISNUMBER('input'!A472),'input'!A472,""),IF(471&lt;=1000,CHOOSE('요약'!$B$4,'input'!B472,'input'!C472,'input'!D472),""))</x:f>
        <x:v>0.006494841655420033</x:v>
      </x:c>
      <x:c r="C472" s="7" t="n">
        <x:f>IF(AND(ISNUMBER(B472),'요약'!$B$19),B472-'요약'!$B$7,"")</x:f>
        <x:v>0.006543080982469534</x:v>
      </x:c>
      <x:c r="D472" s="7" t="n">
        <x:f>IF(ISNUMBER(C472),C472^2,"")</x:f>
        <x:v>0.000042811908743154484</x:v>
      </x:c>
      <x:c r="E472" s="15" t="n">
        <x:f>IF(ISNUMBER(C472),C472^3,"")</x:f>
        <x:v>2.801217859205553e-7</x:v>
      </x:c>
      <x:c r="F472" s="15" t="n">
        <x:f>IF(ISNUMBER(C472),C472^4,"")</x:f>
        <x:v>1.8328595302321875e-9</x:v>
      </x:c>
      <x:c r="G472" s="7" t="n">
        <x:f>IF(ISNUMBER(B472),ABS(B472),"")</x:f>
        <x:v>0.006494841655420033</x:v>
      </x:c>
      <x:c r="H472" s="7" t="n">
        <x:f>IF(ISNUMBER(B472),B472^2,"")</x:f>
        <x:v>0.00004218296812897923</x:v>
      </x:c>
      <x:c r="I472" s="7" t="n">
        <x:f>IF(AND(ISNUMBER(G472),'요약'!$B$19),G472-'요약'!$B$14,"")</x:f>
        <x:v>-0.0015186749719828226</x:v>
      </x:c>
      <x:c r="J472" s="7" t="n">
        <x:f>IF(AND(ISNUMBER(H472),'요약'!$B$19),H472-'요약'!$B$15,"")</x:f>
        <x:v>-0.000060026731057112874</x:v>
      </x:c>
      <x:c r="K472" t="str">
        <x:f>IF(ISNUMBER(B472),IF('Hill'!$B$4=1,IF(B472&lt;0,-B472,""),IF('Hill'!$B$4=2,IF(B472&gt;0,B472,""),IF('Hill'!$B$4=3,IF(B472&lt;&gt;0,ABS(B472),""),""))),"")</x:f>
      </x:c>
    </x:row>
    <x:row r="473">
      <x:c r="A473" t="n">
        <x:f>472</x:f>
        <x:v>472</x:v>
      </x:c>
      <x:c r="B473" s="7" t="n">
        <x:f>IF('요약'!$B$4=4,IF(ISNUMBER('input'!A473),'input'!A473,""),IF(472&lt;=1000,CHOOSE('요약'!$B$4,'input'!B473,'input'!C473,'input'!D473),""))</x:f>
        <x:v>0.012799209026037688</x:v>
      </x:c>
      <x:c r="C473" s="7" t="n">
        <x:f>IF(AND(ISNUMBER(B473),'요약'!$B$19),B473-'요약'!$B$7,"")</x:f>
        <x:v>0.012847448353087189</x:v>
      </x:c>
      <x:c r="D473" s="7" t="n">
        <x:f>IF(ISNUMBER(C473),C473^2,"")</x:f>
        <x:v>0.00016505692918524273</x:v>
      </x:c>
      <x:c r="E473" s="15" t="n">
        <x:f>IF(ISNUMBER(C473),C473^3,"")</x:f>
        <x:v>0.0000021205603730265755</x:v>
      </x:c>
      <x:c r="F473" s="15" t="n">
        <x:f>IF(ISNUMBER(C473),C473^4,"")</x:f>
        <x:v>2.724378987206223e-8</x:v>
      </x:c>
      <x:c r="G473" s="7" t="n">
        <x:f>IF(ISNUMBER(B473),ABS(B473),"")</x:f>
        <x:v>0.012799209026037688</x:v>
      </x:c>
      <x:c r="H473" s="7" t="n">
        <x:f>IF(ISNUMBER(B473),B473^2,"")</x:f>
        <x:v>0.00016381975169220463</x:v>
      </x:c>
      <x:c r="I473" s="7" t="n">
        <x:f>IF(AND(ISNUMBER(G473),'요약'!$B$19),G473-'요약'!$B$14,"")</x:f>
        <x:v>0.004785692398634833</x:v>
      </x:c>
      <x:c r="J473" s="7" t="n">
        <x:f>IF(AND(ISNUMBER(H473),'요약'!$B$19),H473-'요약'!$B$15,"")</x:f>
        <x:v>0.00006161005250611252</x:v>
      </x:c>
      <x:c r="K473" t="str">
        <x:f>IF(ISNUMBER(B473),IF('Hill'!$B$4=1,IF(B473&lt;0,-B473,""),IF('Hill'!$B$4=2,IF(B473&gt;0,B473,""),IF('Hill'!$B$4=3,IF(B473&lt;&gt;0,ABS(B473),""),""))),"")</x:f>
      </x:c>
    </x:row>
    <x:row r="474">
      <x:c r="A474" t="n">
        <x:f>473</x:f>
        <x:v>473</x:v>
      </x:c>
      <x:c r="B474" s="7" t="n">
        <x:f>IF('요약'!$B$4=4,IF(ISNUMBER('input'!A474),'input'!A474,""),IF(473&lt;=1000,CHOOSE('요약'!$B$4,'input'!B474,'input'!C474,'input'!D474),""))</x:f>
        <x:v>-0.005832099312123247</x:v>
      </x:c>
      <x:c r="C474" s="7" t="n">
        <x:f>IF(AND(ISNUMBER(B474),'요약'!$B$19),B474-'요약'!$B$7,"")</x:f>
        <x:v>-0.005783859985073745</x:v>
      </x:c>
      <x:c r="D474" s="7" t="n">
        <x:f>IF(ISNUMBER(C474),C474^2,"")</x:f>
        <x:v>0.00003345303632693727</x:v>
      </x:c>
      <x:c r="E474" s="15" t="n">
        <x:f>IF(ISNUMBER(C474),C474^3,"")</x:f>
        <x:v>-1.9348767819059085e-7</x:v>
      </x:c>
      <x:c r="F474" s="15" t="n">
        <x:f>IF(ISNUMBER(C474),C474^4,"")</x:f>
        <x:v>1.1191056394913843e-9</x:v>
      </x:c>
      <x:c r="G474" s="7" t="n">
        <x:f>IF(ISNUMBER(B474),ABS(B474),"")</x:f>
        <x:v>0.005832099312123247</x:v>
      </x:c>
      <x:c r="H474" s="7" t="n">
        <x:f>IF(ISNUMBER(B474),B474^2,"")</x:f>
        <x:v>0.00003401338238646845</x:v>
      </x:c>
      <x:c r="I474" s="7" t="n">
        <x:f>IF(AND(ISNUMBER(G474),'요약'!$B$19),G474-'요약'!$B$14,"")</x:f>
        <x:v>-0.0021814173152796086</x:v>
      </x:c>
      <x:c r="J474" s="7" t="n">
        <x:f>IF(AND(ISNUMBER(H474),'요약'!$B$19),H474-'요약'!$B$15,"")</x:f>
        <x:v>-0.00006819631679962365</x:v>
      </x:c>
      <x:c r="K474" t="n">
        <x:f>IF(ISNUMBER(B474),IF('Hill'!$B$4=1,IF(B474&lt;0,-B474,""),IF('Hill'!$B$4=2,IF(B474&gt;0,B474,""),IF('Hill'!$B$4=3,IF(B474&lt;&gt;0,ABS(B474),""),""))),"")</x:f>
        <x:v>0.005832099312123247</x:v>
      </x:c>
    </x:row>
    <x:row r="475">
      <x:c r="A475" t="n">
        <x:f>474</x:f>
        <x:v>474</x:v>
      </x:c>
      <x:c r="B475" s="7" t="n">
        <x:f>IF('요약'!$B$4=4,IF(ISNUMBER('input'!A475),'input'!A475,""),IF(474&lt;=1000,CHOOSE('요약'!$B$4,'input'!B475,'input'!C475,'input'!D475),""))</x:f>
        <x:v>-0.005129297103209032</x:v>
      </x:c>
      <x:c r="C475" s="7" t="n">
        <x:f>IF(AND(ISNUMBER(B475),'요약'!$B$19),B475-'요약'!$B$7,"")</x:f>
        <x:v>-0.005081057776159531</x:v>
      </x:c>
      <x:c r="D475" s="7" t="n">
        <x:f>IF(ISNUMBER(C475),C475^2,"")</x:f>
        <x:v>0.000025817148124671234</x:v>
      </x:c>
      <x:c r="E475" s="15" t="n">
        <x:f>IF(ISNUMBER(C475),C475^3,"")</x:f>
        <x:v>-1.3117842123712322e-7</x:v>
      </x:c>
      <x:c r="F475" s="15" t="n">
        <x:f>IF(ISNUMBER(C475),C475^4,"")</x:f>
        <x:v>6.665251372912155e-10</x:v>
      </x:c>
      <x:c r="G475" s="7" t="n">
        <x:f>IF(ISNUMBER(B475),ABS(B475),"")</x:f>
        <x:v>0.005129297103209032</x:v>
      </x:c>
      <x:c r="H475" s="7" t="n">
        <x:f>IF(ISNUMBER(B475),B475^2,"")</x:f>
        <x:v>0.00002630968877298857</x:v>
      </x:c>
      <x:c r="I475" s="7" t="n">
        <x:f>IF(AND(ISNUMBER(G475),'요약'!$B$19),G475-'요약'!$B$14,"")</x:f>
        <x:v>-0.0028842195241938233</x:v>
      </x:c>
      <x:c r="J475" s="7" t="n">
        <x:f>IF(AND(ISNUMBER(H475),'요약'!$B$19),H475-'요약'!$B$15,"")</x:f>
        <x:v>-0.00007590001041310354</x:v>
      </x:c>
      <x:c r="K475" t="n">
        <x:f>IF(ISNUMBER(B475),IF('Hill'!$B$4=1,IF(B475&lt;0,-B475,""),IF('Hill'!$B$4=2,IF(B475&gt;0,B475,""),IF('Hill'!$B$4=3,IF(B475&lt;&gt;0,ABS(B475),""),""))),"")</x:f>
        <x:v>0.005129297103209032</x:v>
      </x:c>
    </x:row>
    <x:row r="476">
      <x:c r="A476" t="n">
        <x:f>475</x:f>
        <x:v>475</x:v>
      </x:c>
      <x:c r="B476" s="7" t="n">
        <x:f>IF('요약'!$B$4=4,IF(ISNUMBER('input'!A476),'input'!A476,""),IF(475&lt;=1000,CHOOSE('요약'!$B$4,'input'!B476,'input'!C476,'input'!D476),""))</x:f>
        <x:v>0.0017963245677985816</x:v>
      </x:c>
      <x:c r="C476" s="7" t="n">
        <x:f>IF(AND(ISNUMBER(B476),'요약'!$B$19),B476-'요약'!$B$7,"")</x:f>
        <x:v>0.001844563894848083</x:v>
      </x:c>
      <x:c r="D476" s="7" t="n">
        <x:f>IF(ISNUMBER(C476),C476^2,"")</x:f>
        <x:v>0.0000034024159621771297</x:v>
      </x:c>
      <x:c r="E476" s="15" t="n">
        <x:f>IF(ISNUMBER(C476),C476^3,"")</x:f>
        <x:v>6.275973639086735e-9</x:v>
      </x:c>
      <x:c r="F476" s="15" t="n">
        <x:f>IF(ISNUMBER(C476),C476^4,"")</x:f>
        <x:v>1.1576434379677725e-11</x:v>
      </x:c>
      <x:c r="G476" s="7" t="n">
        <x:f>IF(ISNUMBER(B476),ABS(B476),"")</x:f>
        <x:v>0.0017963245677985816</x:v>
      </x:c>
      <x:c r="H476" s="7" t="n">
        <x:f>IF(ISNUMBER(B476),B476^2,"")</x:f>
        <x:v>0.0000032267819528767608</x:v>
      </x:c>
      <x:c r="I476" s="7" t="n">
        <x:f>IF(AND(ISNUMBER(G476),'요약'!$B$19),G476-'요약'!$B$14,"")</x:f>
        <x:v>-0.006217192059604274</x:v>
      </x:c>
      <x:c r="J476" s="7" t="n">
        <x:f>IF(AND(ISNUMBER(H476),'요약'!$B$19),H476-'요약'!$B$15,"")</x:f>
        <x:v>-0.00009898291723321535</x:v>
      </x:c>
      <x:c r="K476" t="str">
        <x:f>IF(ISNUMBER(B476),IF('Hill'!$B$4=1,IF(B476&lt;0,-B476,""),IF('Hill'!$B$4=2,IF(B476&gt;0,B476,""),IF('Hill'!$B$4=3,IF(B476&lt;&gt;0,ABS(B476),""),""))),"")</x:f>
      </x:c>
    </x:row>
    <x:row r="477">
      <x:c r="A477" t="n">
        <x:f>476</x:f>
        <x:v>476</x:v>
      </x:c>
      <x:c r="B477" s="7" t="n">
        <x:f>IF('요약'!$B$4=4,IF(ISNUMBER('input'!A477),'input'!A477,""),IF(476&lt;=1000,CHOOSE('요약'!$B$4,'input'!B477,'input'!C477,'input'!D477),""))</x:f>
        <x:v>-0.0026992374898124638</x:v>
      </x:c>
      <x:c r="C477" s="7" t="n">
        <x:f>IF(AND(ISNUMBER(B477),'요약'!$B$19),B477-'요약'!$B$7,"")</x:f>
        <x:v>-0.0026509981627629623</x:v>
      </x:c>
      <x:c r="D477" s="7" t="n">
        <x:f>IF(ISNUMBER(C477),C477^2,"")</x:f>
        <x:v>0.0000070277912589726015</x:v>
      </x:c>
      <x:c r="E477" s="15" t="n">
        <x:f>IF(ISNUMBER(C477),C477^3,"")</x:f>
        <x:v>-1.8630661715817973e-8</x:v>
      </x:c>
      <x:c r="F477" s="15" t="n">
        <x:f>IF(ISNUMBER(C477),C477^4,"")</x:f>
        <x:v>4.93898499796917e-11</x:v>
      </x:c>
      <x:c r="G477" s="7" t="n">
        <x:f>IF(ISNUMBER(B477),ABS(B477),"")</x:f>
        <x:v>0.0026992374898124638</x:v>
      </x:c>
      <x:c r="H477" s="7" t="n">
        <x:f>IF(ISNUMBER(B477),B477^2,"")</x:f>
        <x:v>0.000007285883026409091</x:v>
      </x:c>
      <x:c r="I477" s="7" t="n">
        <x:f>IF(AND(ISNUMBER(G477),'요약'!$B$19),G477-'요약'!$B$14,"")</x:f>
        <x:v>-0.005314279137590392</x:v>
      </x:c>
      <x:c r="J477" s="7" t="n">
        <x:f>IF(AND(ISNUMBER(H477),'요약'!$B$19),H477-'요약'!$B$15,"")</x:f>
        <x:v>-0.00009492381615968301</x:v>
      </x:c>
      <x:c r="K477" t="n">
        <x:f>IF(ISNUMBER(B477),IF('Hill'!$B$4=1,IF(B477&lt;0,-B477,""),IF('Hill'!$B$4=2,IF(B477&gt;0,B477,""),IF('Hill'!$B$4=3,IF(B477&lt;&gt;0,ABS(B477),""),""))),"")</x:f>
        <x:v>0.0026992374898124638</x:v>
      </x:c>
    </x:row>
    <x:row r="478">
      <x:c r="A478" t="n">
        <x:f>477</x:f>
        <x:v>477</x:v>
      </x:c>
      <x:c r="B478" s="7" t="n">
        <x:f>IF('요약'!$B$4=4,IF(ISNUMBER('input'!A478),'input'!A478,""),IF(477&lt;=1000,CHOOSE('요약'!$B$4,'input'!B478,'input'!C478,'input'!D478),""))</x:f>
        <x:v>0.002579735981668244</x:v>
      </x:c>
      <x:c r="C478" s="7" t="n">
        <x:f>IF(AND(ISNUMBER(B478),'요약'!$B$19),B478-'요약'!$B$7,"")</x:f>
        <x:v>0.0026279753087177457</x:v>
      </x:c>
      <x:c r="D478" s="7" t="n">
        <x:f>IF(ISNUMBER(C478),C478^2,"")</x:f>
        <x:v>0.00000690625422323013</x:v>
      </x:c>
      <x:c r="E478" s="15" t="n">
        <x:f>IF(ISNUMBER(C478),C478^3,"")</x:f>
        <x:v>1.8149465574376438e-8</x:v>
      </x:c>
      <x:c r="F478" s="15" t="n">
        <x:f>IF(ISNUMBER(C478),C478^4,"")</x:f>
        <x:v>4.769634739588401e-11</x:v>
      </x:c>
      <x:c r="G478" s="7" t="n">
        <x:f>IF(ISNUMBER(B478),ABS(B478),"")</x:f>
        <x:v>0.002579735981668244</x:v>
      </x:c>
      <x:c r="H478" s="7" t="n">
        <x:f>IF(ISNUMBER(B478),B478^2,"")</x:f>
        <x:v>0.000006655037735113819</x:v>
      </x:c>
      <x:c r="I478" s="7" t="n">
        <x:f>IF(AND(ISNUMBER(G478),'요약'!$B$19),G478-'요약'!$B$14,"")</x:f>
        <x:v>-0.005433780645734611</x:v>
      </x:c>
      <x:c r="J478" s="7" t="n">
        <x:f>IF(AND(ISNUMBER(H478),'요약'!$B$19),H478-'요약'!$B$15,"")</x:f>
        <x:v>-0.00009555466145097829</x:v>
      </x:c>
      <x:c r="K478" t="str">
        <x:f>IF(ISNUMBER(B478),IF('Hill'!$B$4=1,IF(B478&lt;0,-B478,""),IF('Hill'!$B$4=2,IF(B478&gt;0,B478,""),IF('Hill'!$B$4=3,IF(B478&lt;&gt;0,ABS(B478),""),""))),"")</x:f>
      </x:c>
    </x:row>
    <x:row r="479">
      <x:c r="A479" t="n">
        <x:f>478</x:f>
        <x:v>478</x:v>
      </x:c>
      <x:c r="B479" s="7" t="n">
        <x:f>IF('요약'!$B$4=4,IF(ISNUMBER('input'!A479),'input'!A479,""),IF(478&lt;=1000,CHOOSE('요약'!$B$4,'input'!B479,'input'!C479,'input'!D479),""))</x:f>
        <x:v>0.000030140364168842644</x:v>
      </x:c>
      <x:c r="C479" s="7" t="n">
        <x:f>IF(AND(ISNUMBER(B479),'요약'!$B$19),B479-'요약'!$B$7,"")</x:f>
        <x:v>0.00007837969121834401</x:v>
      </x:c>
      <x:c r="D479" s="7" t="n">
        <x:f>IF(ISNUMBER(C479),C479^2,"")</x:f>
        <x:v>6.1433759954829535e-9</x:v>
      </x:c>
      <x:c r="E479" s="15" t="n">
        <x:f>IF(ISNUMBER(C479),C479^3,"")</x:f>
        <x:v>4.815159135641406e-13</x:v>
      </x:c>
      <x:c r="F479" s="15" t="n">
        <x:f>IF(ISNUMBER(C479),C479^4,"")</x:f>
        <x:v>3.774106862187617e-17</x:v>
      </x:c>
      <x:c r="G479" s="7" t="n">
        <x:f>IF(ISNUMBER(B479),ABS(B479),"")</x:f>
        <x:v>0.000030140364168842644</x:v>
      </x:c>
      <x:c r="H479" s="7" t="n">
        <x:f>IF(ISNUMBER(B479),B479^2,"")</x:f>
        <x:v>9.084415522304535e-10</x:v>
      </x:c>
      <x:c r="I479" s="7" t="n">
        <x:f>IF(AND(ISNUMBER(G479),'요약'!$B$19),G479-'요약'!$B$14,"")</x:f>
        <x:v>-0.007983376263234013</x:v>
      </x:c>
      <x:c r="J479" s="7" t="n">
        <x:f>IF(AND(ISNUMBER(H479),'요약'!$B$19),H479-'요약'!$B$15,"")</x:f>
        <x:v>-0.00010220879074453987</x:v>
      </x:c>
      <x:c r="K479" t="str">
        <x:f>IF(ISNUMBER(B479),IF('Hill'!$B$4=1,IF(B479&lt;0,-B479,""),IF('Hill'!$B$4=2,IF(B479&gt;0,B479,""),IF('Hill'!$B$4=3,IF(B479&lt;&gt;0,ABS(B479),""),""))),"")</x:f>
      </x:c>
    </x:row>
    <x:row r="480">
      <x:c r="A480" t="n">
        <x:f>479</x:f>
        <x:v>479</x:v>
      </x:c>
      <x:c r="B480" s="7" t="n">
        <x:f>IF('요약'!$B$4=4,IF(ISNUMBER('input'!A480),'input'!A480,""),IF(479&lt;=1000,CHOOSE('요약'!$B$4,'input'!B480,'input'!C480,'input'!D480),""))</x:f>
        <x:v>-0.0008890603035791245</x:v>
      </x:c>
      <x:c r="C480" s="7" t="n">
        <x:f>IF(AND(ISNUMBER(B480),'요약'!$B$19),B480-'요약'!$B$7,"")</x:f>
        <x:v>-0.0008408209765296232</x:v>
      </x:c>
      <x:c r="D480" s="7" t="n">
        <x:f>IF(ISNUMBER(C480),C480^2,"")</x:f>
        <x:v>7.069799145722291e-7</x:v>
      </x:c>
      <x:c r="E480" s="15" t="n">
        <x:f>IF(ISNUMBER(C480),C480^3,"")</x:f>
        <x:v>-5.944435421574513e-10</x:v>
      </x:c>
      <x:c r="F480" s="15" t="n">
        <x:f>IF(ISNUMBER(C480),C480^4,"")</x:f>
        <x:v>4.998205996085564e-13</x:v>
      </x:c>
      <x:c r="G480" s="7" t="n">
        <x:f>IF(ISNUMBER(B480),ABS(B480),"")</x:f>
        <x:v>0.0008890603035791245</x:v>
      </x:c>
      <x:c r="H480" s="7" t="n">
        <x:f>IF(ISNUMBER(B480),B480^2,"")</x:f>
        <x:v>7.90428223400205e-7</x:v>
      </x:c>
      <x:c r="I480" s="7" t="n">
        <x:f>IF(AND(ISNUMBER(G480),'요약'!$B$19),G480-'요약'!$B$14,"")</x:f>
        <x:v>-0.007124456323823731</x:v>
      </x:c>
      <x:c r="J480" s="7" t="n">
        <x:f>IF(AND(ISNUMBER(H480),'요약'!$B$19),H480-'요약'!$B$15,"")</x:f>
        <x:v>-0.0001014192709626919</x:v>
      </x:c>
      <x:c r="K480" t="n">
        <x:f>IF(ISNUMBER(B480),IF('Hill'!$B$4=1,IF(B480&lt;0,-B480,""),IF('Hill'!$B$4=2,IF(B480&gt;0,B480,""),IF('Hill'!$B$4=3,IF(B480&lt;&gt;0,ABS(B480),""),""))),"")</x:f>
        <x:v>0.0008890603035791245</x:v>
      </x:c>
    </x:row>
    <x:row r="481">
      <x:c r="A481" t="n">
        <x:f>480</x:f>
        <x:v>480</x:v>
      </x:c>
      <x:c r="B481" s="7" t="n">
        <x:f>IF('요약'!$B$4=4,IF(ISNUMBER('input'!A481),'input'!A481,""),IF(480&lt;=1000,CHOOSE('요약'!$B$4,'input'!B481,'input'!C481,'input'!D481),""))</x:f>
        <x:v>-0.008550518590530052</x:v>
      </x:c>
      <x:c r="C481" s="7" t="n">
        <x:f>IF(AND(ISNUMBER(B481),'요약'!$B$19),B481-'요약'!$B$7,"")</x:f>
        <x:v>-0.008502279263480551</x:v>
      </x:c>
      <x:c r="D481" s="7" t="n">
        <x:f>IF(ISNUMBER(C481),C481^2,"")</x:f>
        <x:v>0.00007228875267421139</x:v>
      </x:c>
      <x:c r="E481" s="15" t="n">
        <x:f>IF(ISNUMBER(C481),C481^3,"")</x:f>
        <x:v>-6.146191628448217e-7</x:v>
      </x:c>
      <x:c r="F481" s="15" t="n">
        <x:f>IF(ISNUMBER(C481),C481^4,"")</x:f>
        <x:v>5.225663763193304e-9</x:v>
      </x:c>
      <x:c r="G481" s="7" t="n">
        <x:f>IF(ISNUMBER(B481),ABS(B481),"")</x:f>
        <x:v>0.008550518590530052</x:v>
      </x:c>
      <x:c r="H481" s="7" t="n">
        <x:f>IF(ISNUMBER(B481),B481^2,"")</x:f>
        <x:v>0.00007311136816700003</x:v>
      </x:c>
      <x:c r="I481" s="7" t="n">
        <x:f>IF(AND(ISNUMBER(G481),'요약'!$B$19),G481-'요약'!$B$14,"")</x:f>
        <x:v>0.0005370019631271965</x:v>
      </x:c>
      <x:c r="J481" s="7" t="n">
        <x:f>IF(AND(ISNUMBER(H481),'요약'!$B$19),H481-'요약'!$B$15,"")</x:f>
        <x:v>-0.000029098331019092072</x:v>
      </x:c>
      <x:c r="K481" t="n">
        <x:f>IF(ISNUMBER(B481),IF('Hill'!$B$4=1,IF(B481&lt;0,-B481,""),IF('Hill'!$B$4=2,IF(B481&gt;0,B481,""),IF('Hill'!$B$4=3,IF(B481&lt;&gt;0,ABS(B481),""),""))),"")</x:f>
        <x:v>0.008550518590530052</x:v>
      </x:c>
    </x:row>
    <x:row r="482">
      <x:c r="A482" t="n">
        <x:f>481</x:f>
        <x:v>481</x:v>
      </x:c>
      <x:c r="B482" s="7" t="n">
        <x:f>IF('요약'!$B$4=4,IF(ISNUMBER('input'!A482),'input'!A482,""),IF(481&lt;=1000,CHOOSE('요약'!$B$4,'input'!B482,'input'!C482,'input'!D482),""))</x:f>
        <x:v>-0.009003455307806425</x:v>
      </x:c>
      <x:c r="C482" s="7" t="n">
        <x:f>IF(AND(ISNUMBER(B482),'요약'!$B$19),B482-'요약'!$B$7,"")</x:f>
        <x:v>-0.008955215980756924</x:v>
      </x:c>
      <x:c r="D482" s="7" t="n">
        <x:f>IF(ISNUMBER(C482),C482^2,"")</x:f>
        <x:v>0.0000801958932620042</x:v>
      </x:c>
      <x:c r="E482" s="15" t="n">
        <x:f>IF(ISNUMBER(C482),C482^3,"")</x:f>
        <x:v>-7.181715449309766e-7</x:v>
      </x:c>
      <x:c r="F482" s="15" t="n">
        <x:f>IF(ISNUMBER(C482),C482^4,"")</x:f>
        <x:v>6.431381296090771e-9</x:v>
      </x:c>
      <x:c r="G482" s="7" t="n">
        <x:f>IF(ISNUMBER(B482),ABS(B482),"")</x:f>
        <x:v>0.009003455307806425</x:v>
      </x:c>
      <x:c r="H482" s="7" t="n">
        <x:f>IF(ISNUMBER(B482),B482^2,"")</x:f>
        <x:v>0.00008106220747966769</x:v>
      </x:c>
      <x:c r="I482" s="7" t="n">
        <x:f>IF(AND(ISNUMBER(G482),'요약'!$B$19),G482-'요약'!$B$14,"")</x:f>
        <x:v>0.0009899386804035695</x:v>
      </x:c>
      <x:c r="J482" s="7" t="n">
        <x:f>IF(AND(ISNUMBER(H482),'요약'!$B$19),H482-'요약'!$B$15,"")</x:f>
        <x:v>-0.000021147491706424417</x:v>
      </x:c>
      <x:c r="K482" t="n">
        <x:f>IF(ISNUMBER(B482),IF('Hill'!$B$4=1,IF(B482&lt;0,-B482,""),IF('Hill'!$B$4=2,IF(B482&gt;0,B482,""),IF('Hill'!$B$4=3,IF(B482&lt;&gt;0,ABS(B482),""),""))),"")</x:f>
        <x:v>0.009003455307806425</x:v>
      </x:c>
    </x:row>
    <x:row r="483">
      <x:c r="A483" t="n">
        <x:f>482</x:f>
        <x:v>482</x:v>
      </x:c>
      <x:c r="B483" s="7" t="n">
        <x:f>IF('요약'!$B$4=4,IF(ISNUMBER('input'!A483),'input'!A483,""),IF(482&lt;=1000,CHOOSE('요약'!$B$4,'input'!B483,'input'!C483,'input'!D483),""))</x:f>
        <x:v>0.0065242843320094356</x:v>
      </x:c>
      <x:c r="C483" s="7" t="n">
        <x:f>IF(AND(ISNUMBER(B483),'요약'!$B$19),B483-'요약'!$B$7,"")</x:f>
        <x:v>0.006572523659058937</x:v>
      </x:c>
      <x:c r="D483" s="7" t="n">
        <x:f>IF(ISNUMBER(C483),C483^2,"")</x:f>
        <x:v>0.000043198067248889477</x:v>
      </x:c>
      <x:c r="E483" s="15" t="n">
        <x:f>IF(ISNUMBER(C483),C483^3,"")</x:f>
        <x:v>2.839203190189451e-7</x:v>
      </x:c>
      <x:c r="F483" s="15" t="n">
        <x:f>IF(ISNUMBER(C483),C483^4,"")</x:f>
        <x:v>1.866073014039578e-9</x:v>
      </x:c>
      <x:c r="G483" s="7" t="n">
        <x:f>IF(ISNUMBER(B483),ABS(B483),"")</x:f>
        <x:v>0.0065242843320094356</x:v>
      </x:c>
      <x:c r="H483" s="7" t="n">
        <x:f>IF(ISNUMBER(B483),B483^2,"")</x:f>
        <x:v>0.000042566286044903806</x:v>
      </x:c>
      <x:c r="I483" s="7" t="n">
        <x:f>IF(AND(ISNUMBER(G483),'요약'!$B$19),G483-'요약'!$B$14,"")</x:f>
        <x:v>-0.0014892322953934198</x:v>
      </x:c>
      <x:c r="J483" s="7" t="n">
        <x:f>IF(AND(ISNUMBER(H483),'요약'!$B$19),H483-'요약'!$B$15,"")</x:f>
        <x:v>-0.0000596434131411883</x:v>
      </x:c>
      <x:c r="K483" t="str">
        <x:f>IF(ISNUMBER(B483),IF('Hill'!$B$4=1,IF(B483&lt;0,-B483,""),IF('Hill'!$B$4=2,IF(B483&gt;0,B483,""),IF('Hill'!$B$4=3,IF(B483&lt;&gt;0,ABS(B483),""),""))),"")</x:f>
      </x:c>
    </x:row>
    <x:row r="484">
      <x:c r="A484" t="n">
        <x:f>483</x:f>
        <x:v>483</x:v>
      </x:c>
      <x:c r="B484" s="7" t="n">
        <x:f>IF('요약'!$B$4=4,IF(ISNUMBER('input'!A484),'input'!A484,""),IF(483&lt;=1000,CHOOSE('요약'!$B$4,'input'!B484,'input'!C484,'input'!D484),""))</x:f>
        <x:v>-0.005621518914093455</x:v>
      </x:c>
      <x:c r="C484" s="7" t="n">
        <x:f>IF(AND(ISNUMBER(B484),'요약'!$B$19),B484-'요약'!$B$7,"")</x:f>
        <x:v>-0.005573279587043954</x:v>
      </x:c>
      <x:c r="D484" s="7" t="n">
        <x:f>IF(ISNUMBER(C484),C484^2,"")</x:f>
        <x:v>0.000031061445355360825</x:v>
      </x:c>
      <x:c r="E484" s="15" t="n">
        <x:f>IF(ISNUMBER(C484),C484^3,"")</x:f>
        <x:v>-1.731141193431137e-7</x:v>
      </x:c>
      <x:c r="F484" s="15" t="n">
        <x:f>IF(ISNUMBER(C484),C484^4,"")</x:f>
        <x:v>9.648133875640665e-10</x:v>
      </x:c>
      <x:c r="G484" s="7" t="n">
        <x:f>IF(ISNUMBER(B484),ABS(B484),"")</x:f>
        <x:v>0.005621518914093455</x:v>
      </x:c>
      <x:c r="H484" s="7" t="n">
        <x:f>IF(ISNUMBER(B484),B484^2,"")</x:f>
        <x:v>0.00003160147490151046</x:v>
      </x:c>
      <x:c r="I484" s="7" t="n">
        <x:f>IF(AND(ISNUMBER(G484),'요약'!$B$19),G484-'요약'!$B$14,"")</x:f>
        <x:v>-0.0023919977133094</x:v>
      </x:c>
      <x:c r="J484" s="7" t="n">
        <x:f>IF(AND(ISNUMBER(H484),'요약'!$B$19),H484-'요약'!$B$15,"")</x:f>
        <x:v>-0.00007060822428458164</x:v>
      </x:c>
      <x:c r="K484" t="n">
        <x:f>IF(ISNUMBER(B484),IF('Hill'!$B$4=1,IF(B484&lt;0,-B484,""),IF('Hill'!$B$4=2,IF(B484&gt;0,B484,""),IF('Hill'!$B$4=3,IF(B484&lt;&gt;0,ABS(B484),""),""))),"")</x:f>
        <x:v>0.005621518914093455</x:v>
      </x:c>
    </x:row>
    <x:row r="485">
      <x:c r="A485" t="n">
        <x:f>484</x:f>
        <x:v>484</x:v>
      </x:c>
      <x:c r="B485" s="7" t="n">
        <x:f>IF('요약'!$B$4=4,IF(ISNUMBER('input'!A485),'input'!A485,""),IF(484&lt;=1000,CHOOSE('요약'!$B$4,'input'!B485,'input'!C485,'input'!D485),""))</x:f>
        <x:v>0.012451505209006137</x:v>
      </x:c>
      <x:c r="C485" s="7" t="n">
        <x:f>IF(AND(ISNUMBER(B485),'요약'!$B$19),B485-'요약'!$B$7,"")</x:f>
        <x:v>0.012499744536055638</x:v>
      </x:c>
      <x:c r="D485" s="7" t="n">
        <x:f>IF(ISNUMBER(C485),C485^2,"")</x:f>
        <x:v>0.00015624361346665278</x:v>
      </x:c>
      <x:c r="E485" s="15" t="n">
        <x:f>IF(ISNUMBER(C485),C485^3,"")</x:f>
        <x:v>0.000001953005253723382</x:v>
      </x:c>
      <x:c r="F485" s="15" t="n">
        <x:f>IF(ISNUMBER(C485),C485^4,"")</x:f>
        <x:v>2.4412066749116797e-8</x:v>
      </x:c>
      <x:c r="G485" s="7" t="n">
        <x:f>IF(ISNUMBER(B485),ABS(B485),"")</x:f>
        <x:v>0.012451505209006137</x:v>
      </x:c>
      <x:c r="H485" s="7" t="n">
        <x:f>IF(ISNUMBER(B485),B485^2,"")</x:f>
        <x:v>0.00015503998196990696</x:v>
      </x:c>
      <x:c r="I485" s="7" t="n">
        <x:f>IF(AND(ISNUMBER(G485),'요약'!$B$19),G485-'요약'!$B$14,"")</x:f>
        <x:v>0.0044379885816032815</x:v>
      </x:c>
      <x:c r="J485" s="7" t="n">
        <x:f>IF(AND(ISNUMBER(H485),'요약'!$B$19),H485-'요약'!$B$15,"")</x:f>
        <x:v>0.00005283028278381486</x:v>
      </x:c>
      <x:c r="K485" t="str">
        <x:f>IF(ISNUMBER(B485),IF('Hill'!$B$4=1,IF(B485&lt;0,-B485,""),IF('Hill'!$B$4=2,IF(B485&gt;0,B485,""),IF('Hill'!$B$4=3,IF(B485&lt;&gt;0,ABS(B485),""),""))),"")</x:f>
      </x:c>
    </x:row>
    <x:row r="486">
      <x:c r="A486" t="n">
        <x:f>485</x:f>
        <x:v>485</x:v>
      </x:c>
      <x:c r="B486" s="7" t="n">
        <x:f>IF('요약'!$B$4=4,IF(ISNUMBER('input'!A486),'input'!A486,""),IF(485&lt;=1000,CHOOSE('요약'!$B$4,'input'!B486,'input'!C486,'input'!D486),""))</x:f>
        <x:v>-0.0017049768309571698</x:v>
      </x:c>
      <x:c r="C486" s="7" t="n">
        <x:f>IF(AND(ISNUMBER(B486),'요약'!$B$19),B486-'요약'!$B$7,"")</x:f>
        <x:v>-0.0016567375039076683</x:v>
      </x:c>
      <x:c r="D486" s="7" t="n">
        <x:f>IF(ISNUMBER(C486),C486^2,"")</x:f>
        <x:v>0.0000027447791568542113</x:v>
      </x:c>
      <x:c r="E486" s="15" t="n">
        <x:f>IF(ISNUMBER(C486),C486^3,"")</x:f>
        <x:v>-4.54737856910444e-9</x:v>
      </x:c>
      <x:c r="F486" s="15" t="n">
        <x:f>IF(ISNUMBER(C486),C486^4,"")</x:f>
        <x:v>7.533812619901315e-12</x:v>
      </x:c>
      <x:c r="G486" s="7" t="n">
        <x:f>IF(ISNUMBER(B486),ABS(B486),"")</x:f>
        <x:v>0.0017049768309571698</x:v>
      </x:c>
      <x:c r="H486" s="7" t="n">
        <x:f>IF(ISNUMBER(B486),B486^2,"")</x:f>
        <x:v>0.0000029069459941007536</x:v>
      </x:c>
      <x:c r="I486" s="7" t="n">
        <x:f>IF(AND(ISNUMBER(G486),'요약'!$B$19),G486-'요약'!$B$14,"")</x:f>
        <x:v>-0.006308539796445686</x:v>
      </x:c>
      <x:c r="J486" s="7" t="n">
        <x:f>IF(AND(ISNUMBER(H486),'요약'!$B$19),H486-'요약'!$B$15,"")</x:f>
        <x:v>-0.00009930275319199135</x:v>
      </x:c>
      <x:c r="K486" t="n">
        <x:f>IF(ISNUMBER(B486),IF('Hill'!$B$4=1,IF(B486&lt;0,-B486,""),IF('Hill'!$B$4=2,IF(B486&gt;0,B486,""),IF('Hill'!$B$4=3,IF(B486&lt;&gt;0,ABS(B486),""),""))),"")</x:f>
        <x:v>0.0017049768309571698</x:v>
      </x:c>
    </x:row>
    <x:row r="487">
      <x:c r="A487" t="n">
        <x:f>486</x:f>
        <x:v>486</x:v>
      </x:c>
      <x:c r="B487" s="7" t="n">
        <x:f>IF('요약'!$B$4=4,IF(ISNUMBER('input'!A487),'input'!A487,""),IF(486&lt;=1000,CHOOSE('요약'!$B$4,'input'!B487,'input'!C487,'input'!D487),""))</x:f>
        <x:v>0.012890082702253437</x:v>
      </x:c>
      <x:c r="C487" s="7" t="n">
        <x:f>IF(AND(ISNUMBER(B487),'요약'!$B$19),B487-'요약'!$B$7,"")</x:f>
        <x:v>0.012938322029302937</x:v>
      </x:c>
      <x:c r="D487" s="7" t="n">
        <x:f>IF(ISNUMBER(C487),C487^2,"")</x:f>
        <x:v>0.00016740017693394566</x:v>
      </x:c>
      <x:c r="E487" s="15" t="n">
        <x:f>IF(ISNUMBER(C487),C487^3,"")</x:f>
        <x:v>0.0000021658773969336785</x:v>
      </x:c>
      <x:c r="F487" s="15" t="n">
        <x:f>IF(ISNUMBER(C487),C487^4,"")</x:f>
        <x:v>2.8022819237516318e-8</x:v>
      </x:c>
      <x:c r="G487" s="7" t="n">
        <x:f>IF(ISNUMBER(B487),ABS(B487),"")</x:f>
        <x:v>0.012890082702253437</x:v>
      </x:c>
      <x:c r="H487" s="7" t="n">
        <x:f>IF(ISNUMBER(B487),B487^2,"")</x:f>
        <x:v>0.00016615423207093325</x:v>
      </x:c>
      <x:c r="I487" s="7" t="n">
        <x:f>IF(AND(ISNUMBER(G487),'요약'!$B$19),G487-'요약'!$B$14,"")</x:f>
        <x:v>0.004876566074850581</x:v>
      </x:c>
      <x:c r="J487" s="7" t="n">
        <x:f>IF(AND(ISNUMBER(H487),'요약'!$B$19),H487-'요약'!$B$15,"")</x:f>
        <x:v>0.00006394453288484115</x:v>
      </x:c>
      <x:c r="K487" t="str">
        <x:f>IF(ISNUMBER(B487),IF('Hill'!$B$4=1,IF(B487&lt;0,-B487,""),IF('Hill'!$B$4=2,IF(B487&gt;0,B487,""),IF('Hill'!$B$4=3,IF(B487&lt;&gt;0,ABS(B487),""),""))),"")</x:f>
      </x:c>
    </x:row>
    <x:row r="488">
      <x:c r="A488" t="n">
        <x:f>487</x:f>
        <x:v>487</x:v>
      </x:c>
      <x:c r="B488" s="7" t="n">
        <x:f>IF('요약'!$B$4=4,IF(ISNUMBER('input'!A488),'input'!A488,""),IF(487&lt;=1000,CHOOSE('요약'!$B$4,'input'!B488,'input'!C488,'input'!D488),""))</x:f>
        <x:v>-0.0008380550078628504</x:v>
      </x:c>
      <x:c r="C488" s="7" t="n">
        <x:f>IF(AND(ISNUMBER(B488),'요약'!$B$19),B488-'요약'!$B$7,"")</x:f>
        <x:v>-0.0007898156808133491</x:v>
      </x:c>
      <x:c r="D488" s="7" t="n">
        <x:f>IF(ISNUMBER(C488),C488^2,"")</x:f>
        <x:v>6.238088096586541e-7</x:v>
      </x:c>
      <x:c r="E488" s="15" t="n">
        <x:f>IF(ISNUMBER(C488),C488^3,"")</x:f>
        <x:v>-4.926939796979148e-10</x:v>
      </x:c>
      <x:c r="F488" s="15" t="n">
        <x:f>IF(ISNUMBER(C488),C488^4,"")</x:f>
        <x:v>3.89137431007747e-13</x:v>
      </x:c>
      <x:c r="G488" s="7" t="n">
        <x:f>IF(ISNUMBER(B488),ABS(B488),"")</x:f>
        <x:v>0.0008380550078628504</x:v>
      </x:c>
      <x:c r="H488" s="7" t="n">
        <x:f>IF(ISNUMBER(B488),B488^2,"")</x:f>
        <x:v>7.023361962040023e-7</x:v>
      </x:c>
      <x:c r="I488" s="7" t="n">
        <x:f>IF(AND(ISNUMBER(G488),'요약'!$B$19),G488-'요약'!$B$14,"")</x:f>
        <x:v>-0.007175461619540005</x:v>
      </x:c>
      <x:c r="J488" s="7" t="n">
        <x:f>IF(AND(ISNUMBER(H488),'요약'!$B$19),H488-'요약'!$B$15,"")</x:f>
        <x:v>-0.0001015073629898881</x:v>
      </x:c>
      <x:c r="K488" t="n">
        <x:f>IF(ISNUMBER(B488),IF('Hill'!$B$4=1,IF(B488&lt;0,-B488,""),IF('Hill'!$B$4=2,IF(B488&gt;0,B488,""),IF('Hill'!$B$4=3,IF(B488&lt;&gt;0,ABS(B488),""),""))),"")</x:f>
        <x:v>0.0008380550078628504</x:v>
      </x:c>
    </x:row>
    <x:row r="489">
      <x:c r="A489" t="n">
        <x:f>488</x:f>
        <x:v>488</x:v>
      </x:c>
      <x:c r="B489" s="7" t="n">
        <x:f>IF('요약'!$B$4=4,IF(ISNUMBER('input'!A489),'input'!A489,""),IF(488&lt;=1000,CHOOSE('요약'!$B$4,'input'!B489,'input'!C489,'input'!D489),""))</x:f>
        <x:v>0.02389931486644305</x:v>
      </x:c>
      <x:c r="C489" s="7" t="n">
        <x:f>IF(AND(ISNUMBER(B489),'요약'!$B$19),B489-'요약'!$B$7,"")</x:f>
        <x:v>0.02394755419349255</x:v>
      </x:c>
      <x:c r="D489" s="7" t="n">
        <x:f>IF(ISNUMBER(C489),C489^2,"")</x:f>
        <x:v>0.0005734853518502627</x:v>
      </x:c>
      <x:c r="E489" s="15" t="n">
        <x:f>IF(ISNUMBER(C489),C489^3,"")</x:f>
        <x:v>0.000013733571542608309</x:v>
      </x:c>
      <x:c r="F489" s="15" t="n">
        <x:f>IF(ISNUMBER(C489),C489^4,"")</x:f>
        <x:v>3.288854487868196e-7</x:v>
      </x:c>
      <x:c r="G489" s="7" t="n">
        <x:f>IF(ISNUMBER(B489),ABS(B489),"")</x:f>
        <x:v>0.02389931486644305</x:v>
      </x:c>
      <x:c r="H489" s="7" t="n">
        <x:f>IF(ISNUMBER(B489),B489^2,"")</x:f>
        <x:v>0.0005711772510853859</x:v>
      </x:c>
      <x:c r="I489" s="7" t="n">
        <x:f>IF(AND(ISNUMBER(G489),'요약'!$B$19),G489-'요약'!$B$14,"")</x:f>
        <x:v>0.015885798239040197</x:v>
      </x:c>
      <x:c r="J489" s="7" t="n">
        <x:f>IF(AND(ISNUMBER(H489),'요약'!$B$19),H489-'요약'!$B$15,"")</x:f>
        <x:v>0.0004689675518992938</x:v>
      </x:c>
      <x:c r="K489" t="str">
        <x:f>IF(ISNUMBER(B489),IF('Hill'!$B$4=1,IF(B489&lt;0,-B489,""),IF('Hill'!$B$4=2,IF(B489&gt;0,B489,""),IF('Hill'!$B$4=3,IF(B489&lt;&gt;0,ABS(B489),""),""))),"")</x:f>
      </x:c>
    </x:row>
    <x:row r="490">
      <x:c r="A490" t="n">
        <x:f>489</x:f>
        <x:v>489</x:v>
      </x:c>
      <x:c r="B490" s="7" t="n">
        <x:f>IF('요약'!$B$4=4,IF(ISNUMBER('input'!A490),'input'!A490,""),IF(489&lt;=1000,CHOOSE('요약'!$B$4,'input'!B490,'input'!C490,'input'!D490),""))</x:f>
        <x:v>-0.008180096948342581</x:v>
      </x:c>
      <x:c r="C490" s="7" t="n">
        <x:f>IF(AND(ISNUMBER(B490),'요약'!$B$19),B490-'요약'!$B$7,"")</x:f>
        <x:v>-0.00813185762129308</x:v>
      </x:c>
      <x:c r="D490" s="7" t="n">
        <x:f>IF(ISNUMBER(C490),C490^2,"")</x:f>
        <x:v>0.00006612710837298235</x:v>
      </x:c>
      <x:c r="E490" s="15" t="n">
        <x:f>IF(ISNUMBER(C490),C490^3,"")</x:f>
        <x:v>-5.3773623019691e-7</x:v>
      </x:c>
      <x:c r="F490" s="15" t="n">
        <x:f>IF(ISNUMBER(C490),C490^4,"")</x:f>
        <x:v>4.3727944617721536e-9</x:v>
      </x:c>
      <x:c r="G490" s="7" t="n">
        <x:f>IF(ISNUMBER(B490),ABS(B490),"")</x:f>
        <x:v>0.008180096948342581</x:v>
      </x:c>
      <x:c r="H490" s="7" t="n">
        <x:f>IF(ISNUMBER(B490),B490^2,"")</x:f>
        <x:v>0.0000669139860842836</x:v>
      </x:c>
      <x:c r="I490" s="7" t="n">
        <x:f>IF(AND(ISNUMBER(G490),'요약'!$B$19),G490-'요약'!$B$14,"")</x:f>
        <x:v>0.0001665803209397257</x:v>
      </x:c>
      <x:c r="J490" s="7" t="n">
        <x:f>IF(AND(ISNUMBER(H490),'요약'!$B$19),H490-'요약'!$B$15,"")</x:f>
        <x:v>-0.0000352957131018085</x:v>
      </x:c>
      <x:c r="K490" t="n">
        <x:f>IF(ISNUMBER(B490),IF('Hill'!$B$4=1,IF(B490&lt;0,-B490,""),IF('Hill'!$B$4=2,IF(B490&gt;0,B490,""),IF('Hill'!$B$4=3,IF(B490&lt;&gt;0,ABS(B490),""),""))),"")</x:f>
        <x:v>0.008180096948342581</x:v>
      </x:c>
    </x:row>
    <x:row r="491">
      <x:c r="A491" t="n">
        <x:f>490</x:f>
        <x:v>490</x:v>
      </x:c>
      <x:c r="B491" s="7" t="n">
        <x:f>IF('요약'!$B$4=4,IF(ISNUMBER('input'!A491),'input'!A491,""),IF(490&lt;=1000,CHOOSE('요약'!$B$4,'input'!B491,'input'!C491,'input'!D491),""))</x:f>
        <x:v>0.01513805997667216</x:v>
      </x:c>
      <x:c r="C491" s="7" t="n">
        <x:f>IF(AND(ISNUMBER(B491),'요약'!$B$19),B491-'요약'!$B$7,"")</x:f>
        <x:v>0.015186299303721661</x:v>
      </x:c>
      <x:c r="D491" s="7" t="n">
        <x:f>IF(ISNUMBER(C491),C491^2,"")</x:f>
        <x:v>0.00023062368654221702</x:v>
      </x:c>
      <x:c r="E491" s="15" t="n">
        <x:f>IF(ISNUMBER(C491),C491^3,"")</x:f>
        <x:v>0.000003502320330357793</x:v>
      </x:c>
      <x:c r="F491" s="15" t="n">
        <x:f>IF(ISNUMBER(C491),C491^4,"")</x:f>
        <x:v>5.3187284794322765e-8</x:v>
      </x:c>
      <x:c r="G491" s="7" t="n">
        <x:f>IF(ISNUMBER(B491),ABS(B491),"")</x:f>
        <x:v>0.01513805997667216</x:v>
      </x:c>
      <x:c r="H491" s="7" t="n">
        <x:f>IF(ISNUMBER(B491),B491^2,"")</x:f>
        <x:v>0.00022916085985732353</x:v>
      </x:c>
      <x:c r="I491" s="7" t="n">
        <x:f>IF(AND(ISNUMBER(G491),'요약'!$B$19),G491-'요약'!$B$14,"")</x:f>
        <x:v>0.007124543349269305</x:v>
      </x:c>
      <x:c r="J491" s="7" t="n">
        <x:f>IF(AND(ISNUMBER(H491),'요약'!$B$19),H491-'요약'!$B$15,"")</x:f>
        <x:v>0.00012695116067123143</x:v>
      </x:c>
      <x:c r="K491" t="str">
        <x:f>IF(ISNUMBER(B491),IF('Hill'!$B$4=1,IF(B491&lt;0,-B491,""),IF('Hill'!$B$4=2,IF(B491&gt;0,B491,""),IF('Hill'!$B$4=3,IF(B491&lt;&gt;0,ABS(B491),""),""))),"")</x:f>
      </x:c>
    </x:row>
    <x:row r="492">
      <x:c r="A492" t="n">
        <x:f>491</x:f>
        <x:v>491</x:v>
      </x:c>
      <x:c r="B492" s="7" t="n">
        <x:f>IF('요약'!$B$4=4,IF(ISNUMBER('input'!A492),'input'!A492,""),IF(491&lt;=1000,CHOOSE('요약'!$B$4,'input'!B492,'input'!C492,'input'!D492),""))</x:f>
        <x:v>-0.010045365538607227</x:v>
      </x:c>
      <x:c r="C492" s="7" t="n">
        <x:f>IF(AND(ISNUMBER(B492),'요약'!$B$19),B492-'요약'!$B$7,"")</x:f>
        <x:v>-0.009997126211557726</x:v>
      </x:c>
      <x:c r="D492" s="7" t="n">
        <x:f>IF(ISNUMBER(C492),C492^2,"")</x:f>
        <x:v>0.00009994253248981454</x:v>
      </x:c>
      <x:c r="E492" s="15" t="n">
        <x:f>IF(ISNUMBER(C492),C492^3,"")</x:f>
        <x:v>-9.991381112033846e-7</x:v>
      </x:c>
      <x:c r="F492" s="15" t="n">
        <x:f>IF(ISNUMBER(C492),C492^4,"")</x:f>
        <x:v>9.988509800477636e-9</x:v>
      </x:c>
      <x:c r="G492" s="7" t="n">
        <x:f>IF(ISNUMBER(B492),ABS(B492),"")</x:f>
        <x:v>0.010045365538607227</x:v>
      </x:c>
      <x:c r="H492" s="7" t="n">
        <x:f>IF(ISNUMBER(B492),B492^2,"")</x:f>
        <x:v>0.00010090936880423767</x:v>
      </x:c>
      <x:c r="I492" s="7" t="n">
        <x:f>IF(AND(ISNUMBER(G492),'요약'!$B$19),G492-'요약'!$B$14,"")</x:f>
        <x:v>0.0020318489112043717</x:v>
      </x:c>
      <x:c r="J492" s="7" t="n">
        <x:f>IF(AND(ISNUMBER(H492),'요약'!$B$19),H492-'요약'!$B$15,"")</x:f>
        <x:v>-0.0000013003303818544335</x:v>
      </x:c>
      <x:c r="K492" t="n">
        <x:f>IF(ISNUMBER(B492),IF('Hill'!$B$4=1,IF(B492&lt;0,-B492,""),IF('Hill'!$B$4=2,IF(B492&gt;0,B492,""),IF('Hill'!$B$4=3,IF(B492&lt;&gt;0,ABS(B492),""),""))),"")</x:f>
        <x:v>0.010045365538607227</x:v>
      </x:c>
    </x:row>
    <x:row r="493">
      <x:c r="A493" t="n">
        <x:f>492</x:f>
        <x:v>492</x:v>
      </x:c>
      <x:c r="B493" s="7" t="n">
        <x:f>IF('요약'!$B$4=4,IF(ISNUMBER('input'!A493),'input'!A493,""),IF(492&lt;=1000,CHOOSE('요약'!$B$4,'input'!B493,'input'!C493,'input'!D493),""))</x:f>
        <x:v>0.0073782428059706645</x:v>
      </x:c>
      <x:c r="C493" s="7" t="n">
        <x:f>IF(AND(ISNUMBER(B493),'요약'!$B$19),B493-'요약'!$B$7,"")</x:f>
        <x:v>0.007426482133020166</x:v>
      </x:c>
      <x:c r="D493" s="7" t="n">
        <x:f>IF(ISNUMBER(C493),C493^2,"")</x:f>
        <x:v>0.000055152636872067754</x:v>
      </x:c>
      <x:c r="E493" s="15" t="n">
        <x:f>IF(ISNUMBER(C493),C493^3,"")</x:f>
        <x:v>4.095900723193604e-7</x:v>
      </x:c>
      <x:c r="F493" s="15" t="n">
        <x:f>IF(ISNUMBER(C493),C493^4,"")</x:f>
        <x:v>3.0418133539421675e-9</x:v>
      </x:c>
      <x:c r="G493" s="7" t="n">
        <x:f>IF(ISNUMBER(B493),ABS(B493),"")</x:f>
        <x:v>0.0073782428059706645</x:v>
      </x:c>
      <x:c r="H493" s="7" t="n">
        <x:f>IF(ISNUMBER(B493),B493^2,"")</x:f>
        <x:v>0.000054438466903857865</x:v>
      </x:c>
      <x:c r="I493" s="7" t="n">
        <x:f>IF(AND(ISNUMBER(G493),'요약'!$B$19),G493-'요약'!$B$14,"")</x:f>
        <x:v>-0.0006352738214321909</x:v>
      </x:c>
      <x:c r="J493" s="7" t="n">
        <x:f>IF(AND(ISNUMBER(H493),'요약'!$B$19),H493-'요약'!$B$15,"")</x:f>
        <x:v>-0.00004777123228223424</x:v>
      </x:c>
      <x:c r="K493" t="str">
        <x:f>IF(ISNUMBER(B493),IF('Hill'!$B$4=1,IF(B493&lt;0,-B493,""),IF('Hill'!$B$4=2,IF(B493&gt;0,B493,""),IF('Hill'!$B$4=3,IF(B493&lt;&gt;0,ABS(B493),""),""))),"")</x:f>
      </x:c>
    </x:row>
    <x:row r="494">
      <x:c r="A494" t="n">
        <x:f>493</x:f>
        <x:v>493</x:v>
      </x:c>
      <x:c r="B494" s="7" t="n">
        <x:f>IF('요약'!$B$4=4,IF(ISNUMBER('input'!A494),'input'!A494,""),IF(493&lt;=1000,CHOOSE('요약'!$B$4,'input'!B494,'input'!C494,'input'!D494),""))</x:f>
        <x:v>-0.020936895692796983</x:v>
      </x:c>
      <x:c r="C494" s="7" t="n">
        <x:f>IF(AND(ISNUMBER(B494),'요약'!$B$19),B494-'요약'!$B$7,"")</x:f>
        <x:v>-0.020888656365747483</x:v>
      </x:c>
      <x:c r="D494" s="7" t="n">
        <x:f>IF(ISNUMBER(C494),C494^2,"")</x:f>
        <x:v>0.00043633596476628286</x:v>
      </x:c>
      <x:c r="E494" s="15" t="n">
        <x:f>IF(ISNUMBER(C494),C494^3,"")</x:f>
        <x:v>-0.000009114472028019783</x:v>
      </x:c>
      <x:c r="F494" s="15" t="n">
        <x:f>IF(ISNUMBER(C494),C494^4,"")</x:f>
        <x:v>1.903890741485228e-7</x:v>
      </x:c>
      <x:c r="G494" s="7" t="n">
        <x:f>IF(ISNUMBER(B494),ABS(B494),"")</x:f>
        <x:v>0.020936895692796983</x:v>
      </x:c>
      <x:c r="H494" s="7" t="n">
        <x:f>IF(ISNUMBER(B494),B494^2,"")</x:f>
        <x:v>0.00043835360125106087</x:v>
      </x:c>
      <x:c r="I494" s="7" t="n">
        <x:f>IF(AND(ISNUMBER(G494),'요약'!$B$19),G494-'요약'!$B$14,"")</x:f>
        <x:v>0.012923379065394128</x:v>
      </x:c>
      <x:c r="J494" s="7" t="n">
        <x:f>IF(AND(ISNUMBER(H494),'요약'!$B$19),H494-'요약'!$B$15,"")</x:f>
        <x:v>0.00033614390206496874</x:v>
      </x:c>
      <x:c r="K494" t="n">
        <x:f>IF(ISNUMBER(B494),IF('Hill'!$B$4=1,IF(B494&lt;0,-B494,""),IF('Hill'!$B$4=2,IF(B494&gt;0,B494,""),IF('Hill'!$B$4=3,IF(B494&lt;&gt;0,ABS(B494),""),""))),"")</x:f>
        <x:v>0.020936895692796983</x:v>
      </x:c>
    </x:row>
    <x:row r="495">
      <x:c r="A495" t="n">
        <x:f>494</x:f>
        <x:v>494</x:v>
      </x:c>
      <x:c r="B495" s="7" t="n">
        <x:f>IF('요약'!$B$4=4,IF(ISNUMBER('input'!A495),'input'!A495,""),IF(494&lt;=1000,CHOOSE('요약'!$B$4,'input'!B495,'input'!C495,'input'!D495),""))</x:f>
        <x:v>0.004155760573138742</x:v>
      </x:c>
      <x:c r="C495" s="7" t="n">
        <x:f>IF(AND(ISNUMBER(B495),'요약'!$B$19),B495-'요약'!$B$7,"")</x:f>
        <x:v>0.004203999900188243</x:v>
      </x:c>
      <x:c r="D495" s="7" t="n">
        <x:f>IF(ISNUMBER(C495),C495^2,"")</x:f>
        <x:v>0.00001767361516078276</x:v>
      </x:c>
      <x:c r="E495" s="15" t="n">
        <x:f>IF(ISNUMBER(C495),C495^3,"")</x:f>
        <x:v>7.429987637189615e-8</x:v>
      </x:c>
      <x:c r="F495" s="15" t="n">
        <x:f>IF(ISNUMBER(C495),C495^4,"")</x:f>
        <x:v>3.1235667285145023e-10</x:v>
      </x:c>
      <x:c r="G495" s="7" t="n">
        <x:f>IF(ISNUMBER(B495),ABS(B495),"")</x:f>
        <x:v>0.004155760573138742</x:v>
      </x:c>
      <x:c r="H495" s="7" t="n">
        <x:f>IF(ISNUMBER(B495),B495^2,"")</x:f>
        <x:v>0.000017270345941254445</x:v>
      </x:c>
      <x:c r="I495" s="7" t="n">
        <x:f>IF(AND(ISNUMBER(G495),'요약'!$B$19),G495-'요약'!$B$14,"")</x:f>
        <x:v>-0.0038577560542641135</x:v>
      </x:c>
      <x:c r="J495" s="7" t="n">
        <x:f>IF(AND(ISNUMBER(H495),'요약'!$B$19),H495-'요약'!$B$15,"")</x:f>
        <x:v>-0.00008493935324483766</x:v>
      </x:c>
      <x:c r="K495" t="str">
        <x:f>IF(ISNUMBER(B495),IF('Hill'!$B$4=1,IF(B495&lt;0,-B495,""),IF('Hill'!$B$4=2,IF(B495&gt;0,B495,""),IF('Hill'!$B$4=3,IF(B495&lt;&gt;0,ABS(B495),""),""))),"")</x:f>
      </x:c>
    </x:row>
    <x:row r="496">
      <x:c r="A496" t="n">
        <x:f>495</x:f>
        <x:v>495</x:v>
      </x:c>
      <x:c r="B496" s="7" t="n">
        <x:f>IF('요약'!$B$4=4,IF(ISNUMBER('input'!A496),'input'!A496,""),IF(495&lt;=1000,CHOOSE('요약'!$B$4,'input'!B496,'input'!C496,'input'!D496),""))</x:f>
        <x:v>-0.0008043804578739281</x:v>
      </x:c>
      <x:c r="C496" s="7" t="n">
        <x:f>IF(AND(ISNUMBER(B496),'요약'!$B$19),B496-'요약'!$B$7,"")</x:f>
        <x:v>-0.0007561411308244267</x:v>
      </x:c>
      <x:c r="D496" s="7" t="n">
        <x:f>IF(ISNUMBER(C496),C496^2,"")</x:f>
        <x:v>5.717494097244428e-7</x:v>
      </x:c>
      <x:c r="E496" s="15" t="n">
        <x:f>IF(ISNUMBER(C496),C496^3,"")</x:f>
        <x:v>-4.323232452172386e-10</x:v>
      </x:c>
      <x:c r="F496" s="15" t="n">
        <x:f>IF(ISNUMBER(C496),C496^4,"")</x:f>
        <x:v>3.268973875202487e-13</x:v>
      </x:c>
      <x:c r="G496" s="7" t="n">
        <x:f>IF(ISNUMBER(B496),ABS(B496),"")</x:f>
        <x:v>0.0008043804578739281</x:v>
      </x:c>
      <x:c r="H496" s="7" t="n">
        <x:f>IF(ISNUMBER(B496),B496^2,"")</x:f>
        <x:v>6.470279210094701e-7</x:v>
      </x:c>
      <x:c r="I496" s="7" t="n">
        <x:f>IF(AND(ISNUMBER(G496),'요약'!$B$19),G496-'요약'!$B$14,"")</x:f>
        <x:v>-0.007209136169528927</x:v>
      </x:c>
      <x:c r="J496" s="7" t="n">
        <x:f>IF(AND(ISNUMBER(H496),'요약'!$B$19),H496-'요약'!$B$15,"")</x:f>
        <x:v>-0.00010156267126508264</x:v>
      </x:c>
      <x:c r="K496" t="n">
        <x:f>IF(ISNUMBER(B496),IF('Hill'!$B$4=1,IF(B496&lt;0,-B496,""),IF('Hill'!$B$4=2,IF(B496&gt;0,B496,""),IF('Hill'!$B$4=3,IF(B496&lt;&gt;0,ABS(B496),""),""))),"")</x:f>
        <x:v>0.0008043804578739281</x:v>
      </x:c>
    </x:row>
    <x:row r="497">
      <x:c r="A497" t="n">
        <x:f>496</x:f>
        <x:v>496</x:v>
      </x:c>
      <x:c r="B497" s="7" t="n">
        <x:f>IF('요약'!$B$4=4,IF(ISNUMBER('input'!A497),'input'!A497,""),IF(496&lt;=1000,CHOOSE('요약'!$B$4,'input'!B497,'input'!C497,'input'!D497),""))</x:f>
        <x:v>-0.00967205062806602</x:v>
      </x:c>
      <x:c r="C497" s="7" t="n">
        <x:f>IF(AND(ISNUMBER(B497),'요약'!$B$19),B497-'요약'!$B$7,"")</x:f>
        <x:v>-0.00962381130101652</x:v>
      </x:c>
      <x:c r="D497" s="7" t="n">
        <x:f>IF(ISNUMBER(C497),C497^2,"")</x:f>
        <x:v>0.00009261774395757329</x:v>
      </x:c>
      <x:c r="E497" s="15" t="n">
        <x:f>IF(ISNUMBER(C497),C497^3,"")</x:f>
        <x:v>-8.913356909735484e-7</x:v>
      </x:c>
      <x:c r="F497" s="15" t="n">
        <x:f>IF(ISNUMBER(C497),C497^4,"")</x:f>
        <x:v>8.578046495790603e-9</x:v>
      </x:c>
      <x:c r="G497" s="7" t="n">
        <x:f>IF(ISNUMBER(B497),ABS(B497),"")</x:f>
        <x:v>0.00967205062806602</x:v>
      </x:c>
      <x:c r="H497" s="7" t="n">
        <x:f>IF(ISNUMBER(B497),B497^2,"")</x:f>
        <x:v>0.0000935485633518723</x:v>
      </x:c>
      <x:c r="I497" s="7" t="n">
        <x:f>IF(AND(ISNUMBER(G497),'요약'!$B$19),G497-'요약'!$B$14,"")</x:f>
        <x:v>0.0016585340006631654</x:v>
      </x:c>
      <x:c r="J497" s="7" t="n">
        <x:f>IF(AND(ISNUMBER(H497),'요약'!$B$19),H497-'요약'!$B$15,"")</x:f>
        <x:v>-0.000008661135834219798</x:v>
      </x:c>
      <x:c r="K497" t="n">
        <x:f>IF(ISNUMBER(B497),IF('Hill'!$B$4=1,IF(B497&lt;0,-B497,""),IF('Hill'!$B$4=2,IF(B497&gt;0,B497,""),IF('Hill'!$B$4=3,IF(B497&lt;&gt;0,ABS(B497),""),""))),"")</x:f>
        <x:v>0.00967205062806602</x:v>
      </x:c>
    </x:row>
    <x:row r="498">
      <x:c r="A498" t="n">
        <x:f>497</x:f>
        <x:v>497</x:v>
      </x:c>
      <x:c r="B498" s="7" t="n">
        <x:f>IF('요약'!$B$4=4,IF(ISNUMBER('input'!A498),'input'!A498,""),IF(497&lt;=1000,CHOOSE('요약'!$B$4,'input'!B498,'input'!C498,'input'!D498),""))</x:f>
        <x:v>-0.00020311167132989485</x:v>
      </x:c>
      <x:c r="C498" s="7" t="n">
        <x:f>IF(AND(ISNUMBER(B498),'요약'!$B$19),B498-'요약'!$B$7,"")</x:f>
        <x:v>-0.00015487234428039346</x:v>
      </x:c>
      <x:c r="D498" s="7" t="n">
        <x:f>IF(ISNUMBER(C498),C498^2,"")</x:f>
        <x:v>2.3985443022904722e-8</x:v>
      </x:c>
      <x:c r="E498" s="15" t="n">
        <x:f>IF(ISNUMBER(C498),C498^3,"")</x:f>
        <x:v>-3.714681789561061e-12</x:v>
      </x:c>
      <x:c r="F498" s="15" t="n">
        <x:f>IF(ISNUMBER(C498),C498^4,"")</x:f>
        <x:v>5.753014770050088e-16</x:v>
      </x:c>
      <x:c r="G498" s="7" t="n">
        <x:f>IF(ISNUMBER(B498),ABS(B498),"")</x:f>
        <x:v>0.00020311167132989485</x:v>
      </x:c>
      <x:c r="H498" s="7" t="n">
        <x:f>IF(ISNUMBER(B498),B498^2,"")</x:f>
        <x:v>4.125435103042323e-8</x:v>
      </x:c>
      <x:c r="I498" s="7" t="n">
        <x:f>IF(AND(ISNUMBER(G498),'요약'!$B$19),G498-'요약'!$B$14,"")</x:f>
        <x:v>-0.00781040495607296</x:v>
      </x:c>
      <x:c r="J498" s="7" t="n">
        <x:f>IF(AND(ISNUMBER(H498),'요약'!$B$19),H498-'요약'!$B$15,"")</x:f>
        <x:v>-0.00010216844483506168</x:v>
      </x:c>
      <x:c r="K498" t="n">
        <x:f>IF(ISNUMBER(B498),IF('Hill'!$B$4=1,IF(B498&lt;0,-B498,""),IF('Hill'!$B$4=2,IF(B498&gt;0,B498,""),IF('Hill'!$B$4=3,IF(B498&lt;&gt;0,ABS(B498),""),""))),"")</x:f>
        <x:v>0.00020311167132989485</x:v>
      </x:c>
    </x:row>
    <x:row r="499">
      <x:c r="A499" t="n">
        <x:f>498</x:f>
        <x:v>498</x:v>
      </x:c>
      <x:c r="B499" s="7" t="n">
        <x:f>IF('요약'!$B$4=4,IF(ISNUMBER('input'!A499),'input'!A499,""),IF(498&lt;=1000,CHOOSE('요약'!$B$4,'input'!B499,'input'!C499,'input'!D499),""))</x:f>
        <x:v>-0.01224791606337454</x:v>
      </x:c>
      <x:c r="C499" s="7" t="n">
        <x:f>IF(AND(ISNUMBER(B499),'요약'!$B$19),B499-'요약'!$B$7,"")</x:f>
        <x:v>-0.012199676736325039</x:v>
      </x:c>
      <x:c r="D499" s="7" t="n">
        <x:f>IF(ISNUMBER(C499),C499^2,"")</x:f>
        <x:v>0.00014883211247083034</x:v>
      </x:c>
      <x:c r="E499" s="15" t="n">
        <x:f>IF(ISNUMBER(C499),C499^3,"")</x:f>
        <x:v>-0.0000018157036601285006</x:v>
      </x:c>
      <x:c r="F499" s="15" t="n">
        <x:f>IF(ISNUMBER(C499),C499^4,"")</x:f>
        <x:v>2.2150997702529894e-8</x:v>
      </x:c>
      <x:c r="G499" s="7" t="n">
        <x:f>IF(ISNUMBER(B499),ABS(B499),"")</x:f>
        <x:v>0.01224791606337454</x:v>
      </x:c>
      <x:c r="H499" s="7" t="n">
        <x:f>IF(ISNUMBER(B499),B499^2,"")</x:f>
        <x:v>0.00015001144789546808</x:v>
      </x:c>
      <x:c r="I499" s="7" t="n">
        <x:f>IF(AND(ISNUMBER(G499),'요약'!$B$19),G499-'요약'!$B$14,"")</x:f>
        <x:v>0.004234399435971684</x:v>
      </x:c>
      <x:c r="J499" s="7" t="n">
        <x:f>IF(AND(ISNUMBER(H499),'요약'!$B$19),H499-'요약'!$B$15,"")</x:f>
        <x:v>0.000047801748709375976</x:v>
      </x:c>
      <x:c r="K499" t="n">
        <x:f>IF(ISNUMBER(B499),IF('Hill'!$B$4=1,IF(B499&lt;0,-B499,""),IF('Hill'!$B$4=2,IF(B499&gt;0,B499,""),IF('Hill'!$B$4=3,IF(B499&lt;&gt;0,ABS(B499),""),""))),"")</x:f>
        <x:v>0.01224791606337454</x:v>
      </x:c>
    </x:row>
    <x:row r="500">
      <x:c r="A500" t="n">
        <x:f>499</x:f>
        <x:v>499</x:v>
      </x:c>
      <x:c r="B500" s="7" t="n">
        <x:f>IF('요약'!$B$4=4,IF(ISNUMBER('input'!A500),'input'!A500,""),IF(499&lt;=1000,CHOOSE('요약'!$B$4,'input'!B500,'input'!C500,'input'!D500),""))</x:f>
        <x:v>0.00030674877543245986</x:v>
      </x:c>
      <x:c r="C500" s="7" t="n">
        <x:f>IF(AND(ISNUMBER(B500),'요약'!$B$19),B500-'요약'!$B$7,"")</x:f>
        <x:v>0.0003549881024819612</x:v>
      </x:c>
      <x:c r="D500" s="7" t="n">
        <x:f>IF(ISNUMBER(C500),C500^2,"")</x:f>
        <x:v>1.260165529037434e-7</x:v>
      </x:c>
      <x:c r="E500" s="15" t="n">
        <x:f>IF(ISNUMBER(C500),C500^3,"")</x:f>
        <x:v>4.4734376996617546e-11</x:v>
      </x:c>
      <x:c r="F500" s="15" t="n">
        <x:f>IF(ISNUMBER(C500),C500^4,"")</x:f>
        <x:v>1.588017160574196e-14</x:v>
      </x:c>
      <x:c r="G500" s="7" t="n">
        <x:f>IF(ISNUMBER(B500),ABS(B500),"")</x:f>
        <x:v>0.00030674877543245986</x:v>
      </x:c>
      <x:c r="H500" s="7" t="n">
        <x:f>IF(ISNUMBER(B500),B500^2,"")</x:f>
        <x:v>9.40948112293137e-8</x:v>
      </x:c>
      <x:c r="I500" s="7" t="n">
        <x:f>IF(AND(ISNUMBER(G500),'요약'!$B$19),G500-'요약'!$B$14,"")</x:f>
        <x:v>-0.007706767851970396</x:v>
      </x:c>
      <x:c r="J500" s="7" t="n">
        <x:f>IF(AND(ISNUMBER(H500),'요약'!$B$19),H500-'요약'!$B$15,"")</x:f>
        <x:v>-0.00010211560437486279</x:v>
      </x:c>
      <x:c r="K500" t="str">
        <x:f>IF(ISNUMBER(B500),IF('Hill'!$B$4=1,IF(B500&lt;0,-B500,""),IF('Hill'!$B$4=2,IF(B500&gt;0,B500,""),IF('Hill'!$B$4=3,IF(B500&lt;&gt;0,ABS(B500),""),""))),"")</x:f>
      </x:c>
    </x:row>
    <x:row r="501">
      <x:c r="A501" t="n">
        <x:f>500</x:f>
        <x:v>500</x:v>
      </x:c>
      <x:c r="B501" s="7" t="n">
        <x:f>IF('요약'!$B$4=4,IF(ISNUMBER('input'!A501),'input'!A501,""),IF(500&lt;=1000,CHOOSE('요약'!$B$4,'input'!B501,'input'!C501,'input'!D501),""))</x:f>
        <x:v>0.005120945069663045</x:v>
      </x:c>
      <x:c r="C501" s="7" t="n">
        <x:f>IF(AND(ISNUMBER(B501),'요약'!$B$19),B501-'요약'!$B$7,"")</x:f>
        <x:v>0.005169184396712547</x:v>
      </x:c>
      <x:c r="D501" s="7" t="n">
        <x:f>IF(ISNUMBER(C501),C501^2,"")</x:f>
        <x:v>0.000026720467327216457</x:v>
      </x:c>
      <x:c r="E501" s="15" t="n">
        <x:f>IF(ISNUMBER(C501),C501^3,"")</x:f>
        <x:v>1.3812302278071471e-7</x:v>
      </x:c>
      <x:c r="F501" s="15" t="n">
        <x:f>IF(ISNUMBER(C501),C501^4,"")</x:f>
        <x:v>7.139833741848421e-10</x:v>
      </x:c>
      <x:c r="G501" s="7" t="n">
        <x:f>IF(ISNUMBER(B501),ABS(B501),"")</x:f>
        <x:v>0.005120945069663045</x:v>
      </x:c>
      <x:c r="H501" s="7" t="n">
        <x:f>IF(ISNUMBER(B501),B501^2,"")</x:f>
        <x:v>0.00002622407840650625</x:v>
      </x:c>
      <x:c r="I501" s="7" t="n">
        <x:f>IF(AND(ISNUMBER(G501),'요약'!$B$19),G501-'요약'!$B$14,"")</x:f>
        <x:v>-0.00289257155773981</x:v>
      </x:c>
      <x:c r="J501" s="7" t="n">
        <x:f>IF(AND(ISNUMBER(H501),'요약'!$B$19),H501-'요약'!$B$15,"")</x:f>
        <x:v>-0.00007598562077958586</x:v>
      </x:c>
      <x:c r="K501" t="str">
        <x:f>IF(ISNUMBER(B501),IF('Hill'!$B$4=1,IF(B501&lt;0,-B501,""),IF('Hill'!$B$4=2,IF(B501&gt;0,B501,""),IF('Hill'!$B$4=3,IF(B501&lt;&gt;0,ABS(B501),""),""))),"")</x:f>
      </x:c>
    </x:row>
    <x:row r="502">
      <x:c r="A502" t="n">
        <x:f>501</x:f>
        <x:v>501</x:v>
      </x:c>
      <x:c r="B502" s="7" t="n">
        <x:f>IF('요약'!$B$4=4,IF(ISNUMBER('input'!A502),'input'!A502,""),IF(501&lt;=1000,CHOOSE('요약'!$B$4,'input'!B502,'input'!C502,'input'!D502),""))</x:f>
        <x:v>0.005552410284024001</x:v>
      </x:c>
      <x:c r="C502" s="7" t="n">
        <x:f>IF(AND(ISNUMBER(B502),'요약'!$B$19),B502-'요약'!$B$7,"")</x:f>
        <x:v>0.005600649611073503</x:v>
      </x:c>
      <x:c r="D502" s="7" t="n">
        <x:f>IF(ISNUMBER(C502),C502^2,"")</x:f>
        <x:v>0.000031367276066017776</x:v>
      </x:c>
      <x:c r="E502" s="15" t="n">
        <x:f>IF(ISNUMBER(C502),C502^3,"")</x:f>
        <x:v>1.7567712249957763e-7</x:v>
      </x:c>
      <x:c r="F502" s="15" t="n">
        <x:f>IF(ISNUMBER(C502),C502^4,"")</x:f>
        <x:v>9.839060078017716e-10</x:v>
      </x:c>
      <x:c r="G502" s="7" t="n">
        <x:f>IF(ISNUMBER(B502),ABS(B502),"")</x:f>
        <x:v>0.005552410284024001</x:v>
      </x:c>
      <x:c r="H502" s="7" t="n">
        <x:f>IF(ISNUMBER(B502),B502^2,"")</x:f>
        <x:v>0.00003082925996213549</x:v>
      </x:c>
      <x:c r="I502" s="7" t="n">
        <x:f>IF(AND(ISNUMBER(G502),'요약'!$B$19),G502-'요약'!$B$14,"")</x:f>
        <x:v>-0.0024611063433788542</x:v>
      </x:c>
      <x:c r="J502" s="7" t="n">
        <x:f>IF(AND(ISNUMBER(H502),'요약'!$B$19),H502-'요약'!$B$15,"")</x:f>
        <x:v>-0.00007138043922395661</x:v>
      </x:c>
      <x:c r="K502" t="str">
        <x:f>IF(ISNUMBER(B502),IF('Hill'!$B$4=1,IF(B502&lt;0,-B502,""),IF('Hill'!$B$4=2,IF(B502&gt;0,B502,""),IF('Hill'!$B$4=3,IF(B502&lt;&gt;0,ABS(B502),""),""))),"")</x:f>
      </x:c>
    </x:row>
    <x:row r="503">
      <x:c r="A503" t="n">
        <x:f>502</x:f>
        <x:v>502</x:v>
      </x:c>
      <x:c r="B503" s="7" t="n">
        <x:f>IF('요약'!$B$4=4,IF(ISNUMBER('input'!A503),'input'!A503,""),IF(502&lt;=1000,CHOOSE('요약'!$B$4,'input'!B503,'input'!C503,'input'!D503),""))</x:f>
        <x:v>-0.016807757532085934</x:v>
      </x:c>
      <x:c r="C503" s="7" t="n">
        <x:f>IF(AND(ISNUMBER(B503),'요약'!$B$19),B503-'요약'!$B$7,"")</x:f>
        <x:v>-0.016759518205036433</x:v>
      </x:c>
      <x:c r="D503" s="7" t="n">
        <x:f>IF(ISNUMBER(C503),C503^2,"")</x:f>
        <x:v>0.00028088145046494765</x:v>
      </x:c>
      <x:c r="E503" s="15" t="n">
        <x:f>IF(ISNUMBER(C503),C503^3,"")</x:f>
        <x:v>-0.000004707437782524329</x:v>
      </x:c>
      <x:c r="F503" s="15" t="n">
        <x:f>IF(ISNUMBER(C503),C503^4,"")</x:f>
        <x:v>7.889438921529283e-8</x:v>
      </x:c>
      <x:c r="G503" s="7" t="n">
        <x:f>IF(ISNUMBER(B503),ABS(B503),"")</x:f>
        <x:v>0.016807757532085934</x:v>
      </x:c>
      <x:c r="H503" s="7" t="n">
        <x:f>IF(ISNUMBER(B503),B503^2,"")</x:f>
        <x:v>0.00028250071325739145</x:v>
      </x:c>
      <x:c r="I503" s="7" t="n">
        <x:f>IF(AND(ISNUMBER(G503),'요약'!$B$19),G503-'요약'!$B$14,"")</x:f>
        <x:v>0.008794240904683078</x:v>
      </x:c>
      <x:c r="J503" s="7" t="n">
        <x:f>IF(AND(ISNUMBER(H503),'요약'!$B$19),H503-'요약'!$B$15,"")</x:f>
        <x:v>0.00018029101407129934</x:v>
      </x:c>
      <x:c r="K503" t="n">
        <x:f>IF(ISNUMBER(B503),IF('Hill'!$B$4=1,IF(B503&lt;0,-B503,""),IF('Hill'!$B$4=2,IF(B503&gt;0,B503,""),IF('Hill'!$B$4=3,IF(B503&lt;&gt;0,ABS(B503),""),""))),"")</x:f>
        <x:v>0.016807757532085934</x:v>
      </x:c>
    </x:row>
    <x:row r="504">
      <x:c r="A504" t="n">
        <x:f>503</x:f>
        <x:v>503</x:v>
      </x:c>
      <x:c r="B504" s="7" t="n">
        <x:f>IF('요약'!$B$4=4,IF(ISNUMBER('input'!A504),'input'!A504,""),IF(503&lt;=1000,CHOOSE('요약'!$B$4,'input'!B504,'input'!C504,'input'!D504),""))</x:f>
        <x:v>-0.019781655856033704</x:v>
      </x:c>
      <x:c r="C504" s="7" t="n">
        <x:f>IF(AND(ISNUMBER(B504),'요약'!$B$19),B504-'요약'!$B$7,"")</x:f>
        <x:v>-0.019733416528984204</x:v>
      </x:c>
      <x:c r="D504" s="7" t="n">
        <x:f>IF(ISNUMBER(C504),C504^2,"")</x:f>
        <x:v>0.000389407727906387</x:v>
      </x:c>
      <x:c r="E504" s="15" t="n">
        <x:f>IF(ISNUMBER(C504),C504^3,"")</x:f>
        <x:v>-0.00000768434489438208</x:v>
      </x:c>
      <x:c r="F504" s="15" t="n">
        <x:f>IF(ISNUMBER(C504),C504^4,"")</x:f>
        <x:v>1.516383785532147e-7</x:v>
      </x:c>
      <x:c r="G504" s="7" t="n">
        <x:f>IF(ISNUMBER(B504),ABS(B504),"")</x:f>
        <x:v>0.019781655856033704</x:v>
      </x:c>
      <x:c r="H504" s="7" t="n">
        <x:f>IF(ISNUMBER(B504),B504^2,"")</x:f>
        <x:v>0.0003913139084065526</x:v>
      </x:c>
      <x:c r="I504" s="7" t="n">
        <x:f>IF(AND(ISNUMBER(G504),'요약'!$B$19),G504-'요약'!$B$14,"")</x:f>
        <x:v>0.011768139228630849</x:v>
      </x:c>
      <x:c r="J504" s="7" t="n">
        <x:f>IF(AND(ISNUMBER(H504),'요약'!$B$19),H504-'요약'!$B$15,"")</x:f>
        <x:v>0.0002891042092204605</x:v>
      </x:c>
      <x:c r="K504" t="n">
        <x:f>IF(ISNUMBER(B504),IF('Hill'!$B$4=1,IF(B504&lt;0,-B504,""),IF('Hill'!$B$4=2,IF(B504&gt;0,B504,""),IF('Hill'!$B$4=3,IF(B504&lt;&gt;0,ABS(B504),""),""))),"")</x:f>
        <x:v>0.019781655856033704</x:v>
      </x:c>
    </x:row>
    <x:row r="505">
      <x:c r="A505" t="n">
        <x:f>504</x:f>
        <x:v>504</x:v>
      </x:c>
      <x:c r="B505" s="7" t="n">
        <x:f>IF('요약'!$B$4=4,IF(ISNUMBER('input'!A505),'input'!A505,""),IF(504&lt;=1000,CHOOSE('요약'!$B$4,'input'!B505,'input'!C505,'input'!D505),""))</x:f>
        <x:v>0.005886003059464483</x:v>
      </x:c>
      <x:c r="C505" s="7" t="n">
        <x:f>IF(AND(ISNUMBER(B505),'요약'!$B$19),B505-'요약'!$B$7,"")</x:f>
        <x:v>0.005934242386513984</x:v>
      </x:c>
      <x:c r="D505" s="7" t="n">
        <x:f>IF(ISNUMBER(C505),C505^2,"")</x:f>
        <x:v>0.00003521523270189919</x:v>
      </x:c>
      <x:c r="E505" s="15" t="n">
        <x:f>IF(ISNUMBER(C505),C505^3,"")</x:f>
        <x:v>2.0897572655056352e-7</x:v>
      </x:c>
      <x:c r="F505" s="15" t="n">
        <x:f>IF(ISNUMBER(C505),C505^4,"")</x:f>
        <x:v>1.2401126142489098e-9</x:v>
      </x:c>
      <x:c r="G505" s="7" t="n">
        <x:f>IF(ISNUMBER(B505),ABS(B505),"")</x:f>
        <x:v>0.005886003059464483</x:v>
      </x:c>
      <x:c r="H505" s="7" t="n">
        <x:f>IF(ISNUMBER(B505),B505^2,"")</x:f>
        <x:v>0.00003464503201602525</x:v>
      </x:c>
      <x:c r="I505" s="7" t="n">
        <x:f>IF(AND(ISNUMBER(G505),'요약'!$B$19),G505-'요약'!$B$14,"")</x:f>
        <x:v>-0.0021275135679383727</x:v>
      </x:c>
      <x:c r="J505" s="7" t="n">
        <x:f>IF(AND(ISNUMBER(H505),'요약'!$B$19),H505-'요약'!$B$15,"")</x:f>
        <x:v>-0.00006756466717006685</x:v>
      </x:c>
      <x:c r="K505" t="str">
        <x:f>IF(ISNUMBER(B505),IF('Hill'!$B$4=1,IF(B505&lt;0,-B505,""),IF('Hill'!$B$4=2,IF(B505&gt;0,B505,""),IF('Hill'!$B$4=3,IF(B505&lt;&gt;0,ABS(B505),""),""))),"")</x:f>
      </x:c>
    </x:row>
    <x:row r="506">
      <x:c r="A506" t="n">
        <x:f>505</x:f>
        <x:v>505</x:v>
      </x:c>
      <x:c r="B506" s="7" t="n">
        <x:f>IF('요약'!$B$4=4,IF(ISNUMBER('input'!A506),'input'!A506,""),IF(505&lt;=1000,CHOOSE('요약'!$B$4,'input'!B506,'input'!C506,'input'!D506),""))</x:f>
        <x:v>-0.007990078699675756</x:v>
      </x:c>
      <x:c r="C506" s="7" t="n">
        <x:f>IF(AND(ISNUMBER(B506),'요약'!$B$19),B506-'요약'!$B$7,"")</x:f>
        <x:v>-0.007941839372626255</x:v>
      </x:c>
      <x:c r="D506" s="7" t="n">
        <x:f>IF(ISNUMBER(C506),C506^2,"")</x:f>
        <x:v>0.0000630728126205966</x:v>
      </x:c>
      <x:c r="E506" s="15" t="n">
        <x:f>IF(ISNUMBER(C506),C506^3,"")</x:f>
        <x:v>-5.009141466125322e-7</x:v>
      </x:c>
      <x:c r="F506" s="15" t="n">
        <x:f>IF(ISNUMBER(C506),C506^4,"")</x:f>
        <x:v>3.978179691872889e-9</x:v>
      </x:c>
      <x:c r="G506" s="7" t="n">
        <x:f>IF(ISNUMBER(B506),ABS(B506),"")</x:f>
        <x:v>0.007990078699675756</x:v>
      </x:c>
      <x:c r="H506" s="7" t="n">
        <x:f>IF(ISNUMBER(B506),B506^2,"")</x:f>
        <x:v>0.00006384135762701222</x:v>
      </x:c>
      <x:c r="I506" s="7" t="n">
        <x:f>IF(AND(ISNUMBER(G506),'요약'!$B$19),G506-'요약'!$B$14,"")</x:f>
        <x:v>-0.00002343792772709942</x:v>
      </x:c>
      <x:c r="J506" s="7" t="n">
        <x:f>IF(AND(ISNUMBER(H506),'요약'!$B$19),H506-'요약'!$B$15,"")</x:f>
        <x:v>-0.000038368341559079884</x:v>
      </x:c>
      <x:c r="K506" t="n">
        <x:f>IF(ISNUMBER(B506),IF('Hill'!$B$4=1,IF(B506&lt;0,-B506,""),IF('Hill'!$B$4=2,IF(B506&gt;0,B506,""),IF('Hill'!$B$4=3,IF(B506&lt;&gt;0,ABS(B506),""),""))),"")</x:f>
        <x:v>0.007990078699675756</x:v>
      </x:c>
    </x:row>
    <x:row r="507">
      <x:c r="A507" t="n">
        <x:f>506</x:f>
        <x:v>506</x:v>
      </x:c>
      <x:c r="B507" s="7" t="n">
        <x:f>IF('요약'!$B$4=4,IF(ISNUMBER('input'!A507),'input'!A507,""),IF(506&lt;=1000,CHOOSE('요약'!$B$4,'input'!B507,'input'!C507,'input'!D507),""))</x:f>
        <x:v>0.007894560831499213</x:v>
      </x:c>
      <x:c r="C507" s="7" t="n">
        <x:f>IF(AND(ISNUMBER(B507),'요약'!$B$19),B507-'요약'!$B$7,"")</x:f>
        <x:v>0.007942800158548714</x:v>
      </x:c>
      <x:c r="D507" s="7" t="n">
        <x:f>IF(ISNUMBER(C507),C507^2,"")</x:f>
        <x:v>0.00006308807435864148</x:v>
      </x:c>
      <x:c r="E507" s="15" t="n">
        <x:f>IF(ISNUMBER(C507),C507^3,"")</x:f>
        <x:v>5.010959670183506e-7</x:v>
      </x:c>
      <x:c r="F507" s="15" t="n">
        <x:f>IF(ISNUMBER(C507),C507^4,"")</x:f>
        <x:v>3.980105126281476e-9</x:v>
      </x:c>
      <x:c r="G507" s="7" t="n">
        <x:f>IF(ISNUMBER(B507),ABS(B507),"")</x:f>
        <x:v>0.007894560831499213</x:v>
      </x:c>
      <x:c r="H507" s="7" t="n">
        <x:f>IF(ISNUMBER(B507),B507^2,"")</x:f>
        <x:v>0.00006232409072224155</x:v>
      </x:c>
      <x:c r="I507" s="7" t="n">
        <x:f>IF(AND(ISNUMBER(G507),'요약'!$B$19),G507-'요약'!$B$14,"")</x:f>
        <x:v>-0.00011895579590364205</x:v>
      </x:c>
      <x:c r="J507" s="7" t="n">
        <x:f>IF(AND(ISNUMBER(H507),'요약'!$B$19),H507-'요약'!$B$15,"")</x:f>
        <x:v>-0.000039885608463850555</x:v>
      </x:c>
      <x:c r="K507" t="str">
        <x:f>IF(ISNUMBER(B507),IF('Hill'!$B$4=1,IF(B507&lt;0,-B507,""),IF('Hill'!$B$4=2,IF(B507&gt;0,B507,""),IF('Hill'!$B$4=3,IF(B507&lt;&gt;0,ABS(B507),""),""))),"")</x:f>
      </x:c>
    </x:row>
    <x:row r="508">
      <x:c r="A508" t="n">
        <x:f>507</x:f>
        <x:v>507</x:v>
      </x:c>
      <x:c r="B508" s="7" t="n">
        <x:f>IF('요약'!$B$4=4,IF(ISNUMBER('input'!A508),'input'!A508,""),IF(507&lt;=1000,CHOOSE('요약'!$B$4,'input'!B508,'input'!C508,'input'!D508),""))</x:f>
        <x:v>0.005406505362409038</x:v>
      </x:c>
      <x:c r="C508" s="7" t="n">
        <x:f>IF(AND(ISNUMBER(B508),'요약'!$B$19),B508-'요약'!$B$7,"")</x:f>
        <x:v>0.00545474468945854</x:v>
      </x:c>
      <x:c r="D508" s="7" t="n">
        <x:f>IF(ISNUMBER(C508),C508^2,"")</x:f>
        <x:v>0.00002975423962717614</x:v>
      </x:c>
      <x:c r="E508" s="15" t="n">
        <x:f>IF(ISNUMBER(C508),C508^3,"")</x:f>
        <x:v>1.6230178059521592e-7</x:v>
      </x:c>
      <x:c r="F508" s="15" t="n">
        <x:f>IF(ISNUMBER(C508),C508^4,"")</x:f>
        <x:v>8.85314775791419e-10</x:v>
      </x:c>
      <x:c r="G508" s="7" t="n">
        <x:f>IF(ISNUMBER(B508),ABS(B508),"")</x:f>
        <x:v>0.005406505362409038</x:v>
      </x:c>
      <x:c r="H508" s="7" t="n">
        <x:f>IF(ISNUMBER(B508),B508^2,"")</x:f>
        <x:v>0.00002923030023375769</x:v>
      </x:c>
      <x:c r="I508" s="7" t="n">
        <x:f>IF(AND(ISNUMBER(G508),'요약'!$B$19),G508-'요약'!$B$14,"")</x:f>
        <x:v>-0.002607011264993817</x:v>
      </x:c>
      <x:c r="J508" s="7" t="n">
        <x:f>IF(AND(ISNUMBER(H508),'요약'!$B$19),H508-'요약'!$B$15,"")</x:f>
        <x:v>-0.00007297939895233442</x:v>
      </x:c>
      <x:c r="K508" t="str">
        <x:f>IF(ISNUMBER(B508),IF('Hill'!$B$4=1,IF(B508&lt;0,-B508,""),IF('Hill'!$B$4=2,IF(B508&gt;0,B508,""),IF('Hill'!$B$4=3,IF(B508&lt;&gt;0,ABS(B508),""),""))),"")</x:f>
      </x:c>
    </x:row>
    <x:row r="509">
      <x:c r="A509" t="n">
        <x:f>508</x:f>
        <x:v>508</x:v>
      </x:c>
      <x:c r="B509" s="7" t="n">
        <x:f>IF('요약'!$B$4=4,IF(ISNUMBER('input'!A509),'input'!A509,""),IF(508&lt;=1000,CHOOSE('요약'!$B$4,'input'!B509,'input'!C509,'input'!D509),""))</x:f>
        <x:v>-0.017162044428578667</x:v>
      </x:c>
      <x:c r="C509" s="7" t="n">
        <x:f>IF(AND(ISNUMBER(B509),'요약'!$B$19),B509-'요약'!$B$7,"")</x:f>
        <x:v>-0.017113805101529166</x:v>
      </x:c>
      <x:c r="D509" s="7" t="n">
        <x:f>IF(ISNUMBER(C509),C509^2,"")</x:f>
        <x:v>0.0002928823250531257</x:v>
      </x:c>
      <x:c r="E509" s="15" t="n">
        <x:f>IF(ISNUMBER(C509),C509^3,"")</x:f>
        <x:v>-0.000005012331028641907</x:v>
      </x:c>
      <x:c r="F509" s="15" t="n">
        <x:f>IF(ISNUMBER(C509),C509^4,"")</x:f>
        <x:v>8.57800563285248e-8</x:v>
      </x:c>
      <x:c r="G509" s="7" t="n">
        <x:f>IF(ISNUMBER(B509),ABS(B509),"")</x:f>
        <x:v>0.017162044428578667</x:v>
      </x:c>
      <x:c r="H509" s="7" t="n">
        <x:f>IF(ISNUMBER(B509),B509^2,"")</x:f>
        <x:v>0.0002945357689685081</x:v>
      </x:c>
      <x:c r="I509" s="7" t="n">
        <x:f>IF(AND(ISNUMBER(G509),'요약'!$B$19),G509-'요약'!$B$14,"")</x:f>
        <x:v>0.009148527801175812</x:v>
      </x:c>
      <x:c r="J509" s="7" t="n">
        <x:f>IF(AND(ISNUMBER(H509),'요약'!$B$19),H509-'요약'!$B$15,"")</x:f>
        <x:v>0.00019232606978241597</x:v>
      </x:c>
      <x:c r="K509" t="n">
        <x:f>IF(ISNUMBER(B509),IF('Hill'!$B$4=1,IF(B509&lt;0,-B509,""),IF('Hill'!$B$4=2,IF(B509&gt;0,B509,""),IF('Hill'!$B$4=3,IF(B509&lt;&gt;0,ABS(B509),""),""))),"")</x:f>
        <x:v>0.017162044428578667</x:v>
      </x:c>
    </x:row>
    <x:row r="510">
      <x:c r="A510" t="n">
        <x:f>509</x:f>
        <x:v>509</x:v>
      </x:c>
      <x:c r="B510" s="7" t="n">
        <x:f>IF('요약'!$B$4=4,IF(ISNUMBER('input'!A510),'input'!A510,""),IF(509&lt;=1000,CHOOSE('요약'!$B$4,'input'!B510,'input'!C510,'input'!D510),""))</x:f>
        <x:v>-0.001978478682771429</x:v>
      </x:c>
      <x:c r="C510" s="7" t="n">
        <x:f>IF(AND(ISNUMBER(B510),'요약'!$B$19),B510-'요약'!$B$7,"")</x:f>
        <x:v>-0.0019302393557219274</x:v>
      </x:c>
      <x:c r="D510" s="7" t="n">
        <x:f>IF(ISNUMBER(C510),C510^2,"")</x:f>
        <x:v>0.0000037258239703778016</x:v>
      </x:c>
      <x:c r="E510" s="15" t="n">
        <x:f>IF(ISNUMBER(C510),C510^3,"")</x:f>
        <x:v>-7.1917320601153615e-9</x:v>
      </x:c>
      <x:c r="F510" s="15" t="n">
        <x:f>IF(ISNUMBER(C510),C510^4,"")</x:f>
        <x:v>1.3881764258241805e-11</x:v>
      </x:c>
      <x:c r="G510" s="7" t="n">
        <x:f>IF(ISNUMBER(B510),ABS(B510),"")</x:f>
        <x:v>0.001978478682771429</x:v>
      </x:c>
      <x:c r="H510" s="7" t="n">
        <x:f>IF(ISNUMBER(B510),B510^2,"")</x:f>
        <x:v>0.000003914377898180968</x:v>
      </x:c>
      <x:c r="I510" s="7" t="n">
        <x:f>IF(AND(ISNUMBER(G510),'요약'!$B$19),G510-'요약'!$B$14,"")</x:f>
        <x:v>-0.006035037944631427</x:v>
      </x:c>
      <x:c r="J510" s="7" t="n">
        <x:f>IF(AND(ISNUMBER(H510),'요약'!$B$19),H510-'요약'!$B$15,"")</x:f>
        <x:v>-0.00009829532128791113</x:v>
      </x:c>
      <x:c r="K510" t="n">
        <x:f>IF(ISNUMBER(B510),IF('Hill'!$B$4=1,IF(B510&lt;0,-B510,""),IF('Hill'!$B$4=2,IF(B510&gt;0,B510,""),IF('Hill'!$B$4=3,IF(B510&lt;&gt;0,ABS(B510),""),""))),"")</x:f>
        <x:v>0.001978478682771429</x:v>
      </x:c>
    </x:row>
    <x:row r="511">
      <x:c r="A511" t="n">
        <x:f>510</x:f>
        <x:v>510</x:v>
      </x:c>
      <x:c r="B511" s="7" t="n">
        <x:f>IF('요약'!$B$4=4,IF(ISNUMBER('input'!A511),'input'!A511,""),IF(510&lt;=1000,CHOOSE('요약'!$B$4,'input'!B511,'input'!C511,'input'!D511),""))</x:f>
        <x:v>0.004194648215058249</x:v>
      </x:c>
      <x:c r="C511" s="7" t="n">
        <x:f>IF(AND(ISNUMBER(B511),'요약'!$B$19),B511-'요약'!$B$7,"")</x:f>
        <x:v>0.00424288754210775</x:v>
      </x:c>
      <x:c r="D511" s="7" t="n">
        <x:f>IF(ISNUMBER(C511),C511^2,"")</x:f>
        <x:v>0.000018002094694973144</x:v>
      </x:c>
      <x:c r="E511" s="15" t="n">
        <x:f>IF(ISNUMBER(C511),C511^3,"")</x:f>
        <x:v>7.638086331314557e-8</x:v>
      </x:c>
      <x:c r="F511" s="15" t="n">
        <x:f>IF(ISNUMBER(C511),C511^4,"")</x:f>
        <x:v>3.240754134067802e-10</x:v>
      </x:c>
      <x:c r="G511" s="7" t="n">
        <x:f>IF(ISNUMBER(B511),ABS(B511),"")</x:f>
        <x:v>0.004194648215058249</x:v>
      </x:c>
      <x:c r="H511" s="7" t="n">
        <x:f>IF(ISNUMBER(B511),B511^2,"")</x:f>
        <x:v>0.000017595073648091352</x:v>
      </x:c>
      <x:c r="I511" s="7" t="n">
        <x:f>IF(AND(ISNUMBER(G511),'요약'!$B$19),G511-'요약'!$B$14,"")</x:f>
        <x:v>-0.003818868412344607</x:v>
      </x:c>
      <x:c r="J511" s="7" t="n">
        <x:f>IF(AND(ISNUMBER(H511),'요약'!$B$19),H511-'요약'!$B$15,"")</x:f>
        <x:v>-0.00008461462553800075</x:v>
      </x:c>
      <x:c r="K511" t="str">
        <x:f>IF(ISNUMBER(B511),IF('Hill'!$B$4=1,IF(B511&lt;0,-B511,""),IF('Hill'!$B$4=2,IF(B511&gt;0,B511,""),IF('Hill'!$B$4=3,IF(B511&lt;&gt;0,ABS(B511),""),""))),"")</x:f>
      </x:c>
    </x:row>
    <x:row r="512">
      <x:c r="A512" t="n">
        <x:f>511</x:f>
        <x:v>511</x:v>
      </x:c>
      <x:c r="B512" s="7" t="n">
        <x:f>IF('요약'!$B$4=4,IF(ISNUMBER('input'!A512),'input'!A512,""),IF(511&lt;=1000,CHOOSE('요약'!$B$4,'input'!B512,'input'!C512,'input'!D512),""))</x:f>
        <x:v>-0.015215155248027482</x:v>
      </x:c>
      <x:c r="C512" s="7" t="n">
        <x:f>IF(AND(ISNUMBER(B512),'요약'!$B$19),B512-'요약'!$B$7,"")</x:f>
        <x:v>-0.015166915920977981</x:v>
      </x:c>
      <x:c r="D512" s="7" t="n">
        <x:f>IF(ISNUMBER(C512),C512^2,"")</x:f>
        <x:v>0.00023003533855401535</x:v>
      </x:c>
      <x:c r="E512" s="15" t="n">
        <x:f>IF(ISNUMBER(C512),C512^3,"")</x:f>
        <x:v>-0.0000034889266387024555</x:v>
      </x:c>
      <x:c r="F512" s="15" t="n">
        <x:f>IF(ISNUMBER(C512),C512^4,"")</x:f>
        <x:v>5.2916256983660464e-8</x:v>
      </x:c>
      <x:c r="G512" s="7" t="n">
        <x:f>IF(ISNUMBER(B512),ABS(B512),"")</x:f>
        <x:v>0.015215155248027482</x:v>
      </x:c>
      <x:c r="H512" s="7" t="n">
        <x:f>IF(ISNUMBER(B512),B512^2,"")</x:f>
        <x:v>0.0002315009492215782</x:v>
      </x:c>
      <x:c r="I512" s="7" t="n">
        <x:f>IF(AND(ISNUMBER(G512),'요약'!$B$19),G512-'요약'!$B$14,"")</x:f>
        <x:v>0.007201638620624626</x:v>
      </x:c>
      <x:c r="J512" s="7" t="n">
        <x:f>IF(AND(ISNUMBER(H512),'요약'!$B$19),H512-'요약'!$B$15,"")</x:f>
        <x:v>0.0001292912500354861</x:v>
      </x:c>
      <x:c r="K512" t="n">
        <x:f>IF(ISNUMBER(B512),IF('Hill'!$B$4=1,IF(B512&lt;0,-B512,""),IF('Hill'!$B$4=2,IF(B512&gt;0,B512,""),IF('Hill'!$B$4=3,IF(B512&lt;&gt;0,ABS(B512),""),""))),"")</x:f>
        <x:v>0.015215155248027482</x:v>
      </x:c>
    </x:row>
    <x:row r="513">
      <x:c r="A513" t="n">
        <x:f>512</x:f>
        <x:v>512</x:v>
      </x:c>
      <x:c r="B513" s="7" t="n">
        <x:f>IF('요약'!$B$4=4,IF(ISNUMBER('input'!A513),'input'!A513,""),IF(512&lt;=1000,CHOOSE('요약'!$B$4,'input'!B513,'input'!C513,'input'!D513),""))</x:f>
        <x:v>-0.0018530437018850101</x:v>
      </x:c>
      <x:c r="C513" s="7" t="n">
        <x:f>IF(AND(ISNUMBER(B513),'요약'!$B$19),B513-'요약'!$B$7,"")</x:f>
        <x:v>-0.0018048043748355087</x:v>
      </x:c>
      <x:c r="D513" s="7" t="n">
        <x:f>IF(ISNUMBER(C513),C513^2,"")</x:f>
        <x:v>0.0000032573188314253913</x:v>
      </x:c>
      <x:c r="E513" s="15" t="n">
        <x:f>IF(ISNUMBER(C513),C513^3,"")</x:f>
        <x:v>-5.878823277190633e-9</x:v>
      </x:c>
      <x:c r="F513" s="15" t="n">
        <x:f>IF(ISNUMBER(C513),C513^4,"")</x:f>
        <x:v>1.0610125969558477e-11</x:v>
      </x:c>
      <x:c r="G513" s="7" t="n">
        <x:f>IF(ISNUMBER(B513),ABS(B513),"")</x:f>
        <x:v>0.0018530437018850101</x:v>
      </x:c>
      <x:c r="H513" s="7" t="n">
        <x:f>IF(ISNUMBER(B513),B513^2,"")</x:f>
        <x:v>0.0000034337709610957025</x:v>
      </x:c>
      <x:c r="I513" s="7" t="n">
        <x:f>IF(AND(ISNUMBER(G513),'요약'!$B$19),G513-'요약'!$B$14,"")</x:f>
        <x:v>-0.006160472925517845</x:v>
      </x:c>
      <x:c r="J513" s="7" t="n">
        <x:f>IF(AND(ISNUMBER(H513),'요약'!$B$19),H513-'요약'!$B$15,"")</x:f>
        <x:v>-0.00009877592822499641</x:v>
      </x:c>
      <x:c r="K513" t="n">
        <x:f>IF(ISNUMBER(B513),IF('Hill'!$B$4=1,IF(B513&lt;0,-B513,""),IF('Hill'!$B$4=2,IF(B513&gt;0,B513,""),IF('Hill'!$B$4=3,IF(B513&lt;&gt;0,ABS(B513),""),""))),"")</x:f>
        <x:v>0.0018530437018850101</x:v>
      </x:c>
    </x:row>
    <x:row r="514">
      <x:c r="A514" t="n">
        <x:f>513</x:f>
        <x:v>513</x:v>
      </x:c>
      <x:c r="B514" s="7" t="n">
        <x:f>IF('요약'!$B$4=4,IF(ISNUMBER('input'!A514),'input'!A514,""),IF(513&lt;=1000,CHOOSE('요약'!$B$4,'input'!B514,'input'!C514,'input'!D514),""))</x:f>
        <x:v>0.009022118755822659</x:v>
      </x:c>
      <x:c r="C514" s="7" t="n">
        <x:f>IF(AND(ISNUMBER(B514),'요약'!$B$19),B514-'요약'!$B$7,"")</x:f>
        <x:v>0.00907035808287216</x:v>
      </x:c>
      <x:c r="D514" s="7" t="n">
        <x:f>IF(ISNUMBER(C514),C514^2,"")</x:f>
        <x:v>0.00008227139575152431</x:v>
      </x:c>
      <x:c r="E514" s="15" t="n">
        <x:f>IF(ISNUMBER(C514),C514^3,"")</x:f>
        <x:v>7.462310194440128e-7</x:v>
      </x:c>
      <x:c r="F514" s="15" t="n">
        <x:f>IF(ISNUMBER(C514),C514^4,"")</x:f>
        <x:v>6.768582558903933e-9</x:v>
      </x:c>
      <x:c r="G514" s="7" t="n">
        <x:f>IF(ISNUMBER(B514),ABS(B514),"")</x:f>
        <x:v>0.009022118755822659</x:v>
      </x:c>
      <x:c r="H514" s="7" t="n">
        <x:f>IF(ISNUMBER(B514),B514^2,"")</x:f>
        <x:v>0.000081398626844167</x:v>
      </x:c>
      <x:c r="I514" s="7" t="n">
        <x:f>IF(AND(ISNUMBER(G514),'요약'!$B$19),G514-'요약'!$B$14,"")</x:f>
        <x:v>0.0010086021284198034</x:v>
      </x:c>
      <x:c r="J514" s="7" t="n">
        <x:f>IF(AND(ISNUMBER(H514),'요약'!$B$19),H514-'요약'!$B$15,"")</x:f>
        <x:v>-0.000020811072341925108</x:v>
      </x:c>
      <x:c r="K514" t="str">
        <x:f>IF(ISNUMBER(B514),IF('Hill'!$B$4=1,IF(B514&lt;0,-B514,""),IF('Hill'!$B$4=2,IF(B514&gt;0,B514,""),IF('Hill'!$B$4=3,IF(B514&lt;&gt;0,ABS(B514),""),""))),"")</x:f>
      </x:c>
    </x:row>
    <x:row r="515">
      <x:c r="A515" t="n">
        <x:f>514</x:f>
        <x:v>514</x:v>
      </x:c>
      <x:c r="B515" s="7" t="n">
        <x:f>IF('요약'!$B$4=4,IF(ISNUMBER('input'!A515),'input'!A515,""),IF(514&lt;=1000,CHOOSE('요약'!$B$4,'input'!B515,'input'!C515,'input'!D515),""))</x:f>
        <x:v>-0.005281377898661701</x:v>
      </x:c>
      <x:c r="C515" s="7" t="n">
        <x:f>IF(AND(ISNUMBER(B515),'요약'!$B$19),B515-'요약'!$B$7,"")</x:f>
        <x:v>-0.0052331385716121994</x:v>
      </x:c>
      <x:c r="D515" s="7" t="n">
        <x:f>IF(ISNUMBER(C515),C515^2,"")</x:f>
        <x:v>0.000027385739309695372</x:v>
      </x:c>
      <x:c r="E515" s="15" t="n">
        <x:f>IF(ISNUMBER(C515),C515^3,"")</x:f>
        <x:v>-1.433133686936833e-7</x:v>
      </x:c>
      <x:c r="F515" s="15" t="n">
        <x:f>IF(ISNUMBER(C515),C515^4,"")</x:f>
        <x:v>7.499787175385943e-10</x:v>
      </x:c>
      <x:c r="G515" s="7" t="n">
        <x:f>IF(ISNUMBER(B515),ABS(B515),"")</x:f>
        <x:v>0.005281377898661701</x:v>
      </x:c>
      <x:c r="H515" s="7" t="n">
        <x:f>IF(ISNUMBER(B515),B515^2,"")</x:f>
        <x:v>0.000027892952508472283</x:v>
      </x:c>
      <x:c r="I515" s="7" t="n">
        <x:f>IF(AND(ISNUMBER(G515),'요약'!$B$19),G515-'요약'!$B$14,"")</x:f>
        <x:v>-0.0027321387287411545</x:v>
      </x:c>
      <x:c r="J515" s="7" t="n">
        <x:f>IF(AND(ISNUMBER(H515),'요약'!$B$19),H515-'요약'!$B$15,"")</x:f>
        <x:v>-0.00007431674667761982</x:v>
      </x:c>
      <x:c r="K515" t="n">
        <x:f>IF(ISNUMBER(B515),IF('Hill'!$B$4=1,IF(B515&lt;0,-B515,""),IF('Hill'!$B$4=2,IF(B515&gt;0,B515,""),IF('Hill'!$B$4=3,IF(B515&lt;&gt;0,ABS(B515),""),""))),"")</x:f>
        <x:v>0.005281377898661701</x:v>
      </x:c>
    </x:row>
    <x:row r="516">
      <x:c r="A516" t="n">
        <x:f>515</x:f>
        <x:v>515</x:v>
      </x:c>
      <x:c r="B516" s="7" t="n">
        <x:f>IF('요약'!$B$4=4,IF(ISNUMBER('input'!A516),'input'!A516,""),IF(515&lt;=1000,CHOOSE('요약'!$B$4,'input'!B516,'input'!C516,'input'!D516),""))</x:f>
        <x:v>-0.00471256215662566</x:v>
      </x:c>
      <x:c r="C516" s="7" t="n">
        <x:f>IF(AND(ISNUMBER(B516),'요약'!$B$19),B516-'요약'!$B$7,"")</x:f>
        <x:v>-0.004664322829576159</x:v>
      </x:c>
      <x:c r="D516" s="7" t="n">
        <x:f>IF(ISNUMBER(C516),C516^2,"")</x:f>
        <x:v>0.000021755907458505347</x:v>
      </x:c>
      <x:c r="E516" s="15" t="n">
        <x:f>IF(ISNUMBER(C516),C516^3,"")</x:f>
        <x:v>-1.014765758368527e-7</x:v>
      </x:c>
      <x:c r="F516" s="15" t="n">
        <x:f>IF(ISNUMBER(C516),C516^4,"")</x:f>
        <x:v>4.733195093430485e-10</x:v>
      </x:c>
      <x:c r="G516" s="7" t="n">
        <x:f>IF(ISNUMBER(B516),ABS(B516),"")</x:f>
        <x:v>0.00471256215662566</x:v>
      </x:c>
      <x:c r="H516" s="7" t="n">
        <x:f>IF(ISNUMBER(B516),B516^2,"")</x:f>
        <x:v>0.000022208242080060294</x:v>
      </x:c>
      <x:c r="I516" s="7" t="n">
        <x:f>IF(AND(ISNUMBER(G516),'요약'!$B$19),G516-'요약'!$B$14,"")</x:f>
        <x:v>-0.003300954470777195</x:v>
      </x:c>
      <x:c r="J516" s="7" t="n">
        <x:f>IF(AND(ISNUMBER(H516),'요약'!$B$19),H516-'요약'!$B$15,"")</x:f>
        <x:v>-0.00008000145710603181</x:v>
      </x:c>
      <x:c r="K516" t="n">
        <x:f>IF(ISNUMBER(B516),IF('Hill'!$B$4=1,IF(B516&lt;0,-B516,""),IF('Hill'!$B$4=2,IF(B516&gt;0,B516,""),IF('Hill'!$B$4=3,IF(B516&lt;&gt;0,ABS(B516),""),""))),"")</x:f>
        <x:v>0.00471256215662566</x:v>
      </x:c>
    </x:row>
    <x:row r="517">
      <x:c r="A517" t="n">
        <x:f>516</x:f>
        <x:v>516</x:v>
      </x:c>
      <x:c r="B517" s="7" t="n">
        <x:f>IF('요약'!$B$4=4,IF(ISNUMBER('input'!A517),'input'!A517,""),IF(516&lt;=1000,CHOOSE('요약'!$B$4,'input'!B517,'input'!C517,'input'!D517),""))</x:f>
        <x:v>-0.006787858584820564</x:v>
      </x:c>
      <x:c r="C517" s="7" t="n">
        <x:f>IF(AND(ISNUMBER(B517),'요약'!$B$19),B517-'요약'!$B$7,"")</x:f>
        <x:v>-0.006739619257771063</x:v>
      </x:c>
      <x:c r="D517" s="7" t="n">
        <x:f>IF(ISNUMBER(C517),C517^2,"")</x:f>
        <x:v>0.00004542246773971857</x:v>
      </x:c>
      <x:c r="E517" s="15" t="n">
        <x:f>IF(ISNUMBER(C517),C517^3,"")</x:f>
        <x:v>-3.061301383140921e-7</x:v>
      </x:c>
      <x:c r="F517" s="15" t="n">
        <x:f>IF(ISNUMBER(C517),C517^4,"")</x:f>
        <x:v>2.0632005755657744e-9</x:v>
      </x:c>
      <x:c r="G517" s="7" t="n">
        <x:f>IF(ISNUMBER(B517),ABS(B517),"")</x:f>
        <x:v>0.006787858584820564</x:v>
      </x:c>
      <x:c r="H517" s="7" t="n">
        <x:f>IF(ISNUMBER(B517),B517^2,"")</x:f>
        <x:v>0.00004607502416752223</x:v>
      </x:c>
      <x:c r="I517" s="7" t="n">
        <x:f>IF(AND(ISNUMBER(G517),'요약'!$B$19),G517-'요약'!$B$14,"")</x:f>
        <x:v>-0.0012256580425822911</x:v>
      </x:c>
      <x:c r="J517" s="7" t="n">
        <x:f>IF(AND(ISNUMBER(H517),'요약'!$B$19),H517-'요약'!$B$15,"")</x:f>
        <x:v>-0.00005613467501856987</x:v>
      </x:c>
      <x:c r="K517" t="n">
        <x:f>IF(ISNUMBER(B517),IF('Hill'!$B$4=1,IF(B517&lt;0,-B517,""),IF('Hill'!$B$4=2,IF(B517&gt;0,B517,""),IF('Hill'!$B$4=3,IF(B517&lt;&gt;0,ABS(B517),""),""))),"")</x:f>
        <x:v>0.006787858584820564</x:v>
      </x:c>
    </x:row>
    <x:row r="518">
      <x:c r="A518" t="n">
        <x:f>517</x:f>
        <x:v>517</x:v>
      </x:c>
      <x:c r="B518" s="7" t="n">
        <x:f>IF('요약'!$B$4=4,IF(ISNUMBER('input'!A518),'input'!A518,""),IF(517&lt;=1000,CHOOSE('요약'!$B$4,'input'!B518,'input'!C518,'input'!D518),""))</x:f>
        <x:v>0.0007703522080038368</x:v>
      </x:c>
      <x:c r="C518" s="7" t="n">
        <x:f>IF(AND(ISNUMBER(B518),'요약'!$B$19),B518-'요약'!$B$7,"")</x:f>
        <x:v>0.0008185915350533381</x:v>
      </x:c>
      <x:c r="D518" s="7" t="n">
        <x:f>IF(ISNUMBER(C518),C518^2,"")</x:f>
        <x:v>6.700921012609805e-7</x:v>
      </x:c>
      <x:c r="E518" s="15" t="n">
        <x:f>IF(ISNUMBER(C518),C518^3,"")</x:f>
        <x:v>5.485317217983429e-10</x:v>
      </x:c>
      <x:c r="F518" s="15" t="n">
        <x:f>IF(ISNUMBER(C518),C518^4,"")</x:f>
        <x:v>4.4902342417235617e-13</x:v>
      </x:c>
      <x:c r="G518" s="7" t="n">
        <x:f>IF(ISNUMBER(B518),ABS(B518),"")</x:f>
        <x:v>0.0007703522080038368</x:v>
      </x:c>
      <x:c r="H518" s="7" t="n">
        <x:f>IF(ISNUMBER(B518),B518^2,"")</x:f>
        <x:v>5.934425243763866e-7</x:v>
      </x:c>
      <x:c r="I518" s="7" t="n">
        <x:f>IF(AND(ISNUMBER(G518),'요약'!$B$19),G518-'요약'!$B$14,"")</x:f>
        <x:v>-0.007243164419399019</x:v>
      </x:c>
      <x:c r="J518" s="7" t="n">
        <x:f>IF(AND(ISNUMBER(H518),'요약'!$B$19),H518-'요약'!$B$15,"")</x:f>
        <x:v>-0.00010161625666171572</x:v>
      </x:c>
      <x:c r="K518" t="str">
        <x:f>IF(ISNUMBER(B518),IF('Hill'!$B$4=1,IF(B518&lt;0,-B518,""),IF('Hill'!$B$4=2,IF(B518&gt;0,B518,""),IF('Hill'!$B$4=3,IF(B518&lt;&gt;0,ABS(B518),""),""))),"")</x:f>
      </x:c>
    </x:row>
    <x:row r="519">
      <x:c r="A519" t="n">
        <x:f>518</x:f>
        <x:v>518</x:v>
      </x:c>
      <x:c r="B519" s="7" t="n">
        <x:f>IF('요약'!$B$4=4,IF(ISNUMBER('input'!A519),'input'!A519,""),IF(518&lt;=1000,CHOOSE('요약'!$B$4,'input'!B519,'input'!C519,'input'!D519),""))</x:f>
        <x:v>-0.012171186897808947</x:v>
      </x:c>
      <x:c r="C519" s="7" t="n">
        <x:f>IF(AND(ISNUMBER(B519),'요약'!$B$19),B519-'요약'!$B$7,"")</x:f>
        <x:v>-0.012122947570759447</x:v>
      </x:c>
      <x:c r="D519" s="7" t="n">
        <x:f>IF(ISNUMBER(C519),C519^2,"")</x:f>
        <x:v>0.00014696585780338238</x:v>
      </x:c>
      <x:c r="E519" s="15" t="n">
        <x:f>IF(ISNUMBER(C519),C519^3,"")</x:f>
        <x:v>-0.0000017816593888420927</x:v>
      </x:c>
      <x:c r="F519" s="15" t="n">
        <x:f>IF(ISNUMBER(C519),C519^4,"")</x:f>
        <x:v>2.159896335988401e-8</x:v>
      </x:c>
      <x:c r="G519" s="7" t="n">
        <x:f>IF(ISNUMBER(B519),ABS(B519),"")</x:f>
        <x:v>0.012171186897808947</x:v>
      </x:c>
      <x:c r="H519" s="7" t="n">
        <x:f>IF(ISNUMBER(B519),B519^2,"")</x:f>
        <x:v>0.0001481377905013962</x:v>
      </x:c>
      <x:c r="I519" s="7" t="n">
        <x:f>IF(AND(ISNUMBER(G519),'요약'!$B$19),G519-'요약'!$B$14,"")</x:f>
        <x:v>0.004157670270406092</x:v>
      </x:c>
      <x:c r="J519" s="7" t="n">
        <x:f>IF(AND(ISNUMBER(H519),'요약'!$B$19),H519-'요약'!$B$15,"")</x:f>
        <x:v>0.0000459280913153041</x:v>
      </x:c>
      <x:c r="K519" t="n">
        <x:f>IF(ISNUMBER(B519),IF('Hill'!$B$4=1,IF(B519&lt;0,-B519,""),IF('Hill'!$B$4=2,IF(B519&gt;0,B519,""),IF('Hill'!$B$4=3,IF(B519&lt;&gt;0,ABS(B519),""),""))),"")</x:f>
        <x:v>0.012171186897808947</x:v>
      </x:c>
    </x:row>
    <x:row r="520">
      <x:c r="A520" t="n">
        <x:f>519</x:f>
        <x:v>519</x:v>
      </x:c>
      <x:c r="B520" s="7" t="n">
        <x:f>IF('요약'!$B$4=4,IF(ISNUMBER('input'!A520),'input'!A520,""),IF(519&lt;=1000,CHOOSE('요약'!$B$4,'input'!B520,'input'!C520,'input'!D520),""))</x:f>
        <x:v>-0.011298810995046043</x:v>
      </x:c>
      <x:c r="C520" s="7" t="n">
        <x:f>IF(AND(ISNUMBER(B520),'요약'!$B$19),B520-'요약'!$B$7,"")</x:f>
        <x:v>-0.011250571667996543</x:v>
      </x:c>
      <x:c r="D520" s="7" t="n">
        <x:f>IF(ISNUMBER(C520),C520^2,"")</x:f>
        <x:v>0.00012657536285672652</x:v>
      </x:c>
      <x:c r="E520" s="15" t="n">
        <x:f>IF(ISNUMBER(C520),C520^3,"")</x:f>
        <x:v>-0.0000014240451912222692</x:v>
      </x:c>
      <x:c r="F520" s="15" t="n">
        <x:f>IF(ISNUMBER(C520),C520^4,"")</x:f>
        <x:v>1.602132248231198e-8</x:v>
      </x:c>
      <x:c r="G520" s="7" t="n">
        <x:f>IF(ISNUMBER(B520),ABS(B520),"")</x:f>
        <x:v>0.011298810995046043</x:v>
      </x:c>
      <x:c r="H520" s="7" t="n">
        <x:f>IF(ISNUMBER(B520),B520^2,"")</x:f>
        <x:v>0.00012766312990177337</x:v>
      </x:c>
      <x:c r="I520" s="7" t="n">
        <x:f>IF(AND(ISNUMBER(G520),'요약'!$B$19),G520-'요약'!$B$14,"")</x:f>
        <x:v>0.003285294367643188</x:v>
      </x:c>
      <x:c r="J520" s="7" t="n">
        <x:f>IF(AND(ISNUMBER(H520),'요약'!$B$19),H520-'요약'!$B$15,"")</x:f>
        <x:v>0.000025453430715681262</x:v>
      </x:c>
      <x:c r="K520" t="n">
        <x:f>IF(ISNUMBER(B520),IF('Hill'!$B$4=1,IF(B520&lt;0,-B520,""),IF('Hill'!$B$4=2,IF(B520&gt;0,B520,""),IF('Hill'!$B$4=3,IF(B520&lt;&gt;0,ABS(B520),""),""))),"")</x:f>
        <x:v>0.011298810995046043</x:v>
      </x:c>
    </x:row>
    <x:row r="521">
      <x:c r="A521" t="n">
        <x:f>520</x:f>
        <x:v>520</x:v>
      </x:c>
      <x:c r="B521" s="7" t="n">
        <x:f>IF('요약'!$B$4=4,IF(ISNUMBER('input'!A521),'input'!A521,""),IF(520&lt;=1000,CHOOSE('요약'!$B$4,'input'!B521,'input'!C521,'input'!D521),""))</x:f>
        <x:v>0.004730501716643477</x:v>
      </x:c>
      <x:c r="C521" s="7" t="n">
        <x:f>IF(AND(ISNUMBER(B521),'요약'!$B$19),B521-'요약'!$B$7,"")</x:f>
        <x:v>0.0047787410436929785</x:v>
      </x:c>
      <x:c r="D521" s="7" t="n">
        <x:f>IF(ISNUMBER(C521),C521^2,"")</x:f>
        <x:v>0.000022836365962675856</x:v>
      </x:c>
      <x:c r="E521" s="15" t="n">
        <x:f>IF(ISNUMBER(C521),C521^3,"")</x:f>
        <x:v>1.0912907931463243e-7</x:v>
      </x:c>
      <x:c r="F521" s="15" t="n">
        <x:f>IF(ISNUMBER(C521),C521^4,"")</x:f>
        <x:v>5.214996103812604e-10</x:v>
      </x:c>
      <x:c r="G521" s="7" t="n">
        <x:f>IF(ISNUMBER(B521),ABS(B521),"")</x:f>
        <x:v>0.004730501716643477</x:v>
      </x:c>
      <x:c r="H521" s="7" t="n">
        <x:f>IF(ISNUMBER(B521),B521^2,"")</x:f>
        <x:v>0.000022377646491166884</x:v>
      </x:c>
      <x:c r="I521" s="7" t="n">
        <x:f>IF(AND(ISNUMBER(G521),'요약'!$B$19),G521-'요약'!$B$14,"")</x:f>
        <x:v>-0.0032830149107593784</x:v>
      </x:c>
      <x:c r="J521" s="7" t="n">
        <x:f>IF(AND(ISNUMBER(H521),'요약'!$B$19),H521-'요약'!$B$15,"")</x:f>
        <x:v>-0.00007983205269492522</x:v>
      </x:c>
      <x:c r="K521" t="str">
        <x:f>IF(ISNUMBER(B521),IF('Hill'!$B$4=1,IF(B521&lt;0,-B521,""),IF('Hill'!$B$4=2,IF(B521&gt;0,B521,""),IF('Hill'!$B$4=3,IF(B521&lt;&gt;0,ABS(B521),""),""))),"")</x:f>
      </x:c>
    </x:row>
    <x:row r="522">
      <x:c r="A522" t="n">
        <x:f>521</x:f>
        <x:v>521</x:v>
      </x:c>
      <x:c r="B522" s="7" t="n">
        <x:f>IF('요약'!$B$4=4,IF(ISNUMBER('input'!A522),'input'!A522,""),IF(521&lt;=1000,CHOOSE('요약'!$B$4,'input'!B522,'input'!C522,'input'!D522),""))</x:f>
        <x:v>0.008979728729418348</x:v>
      </x:c>
      <x:c r="C522" s="7" t="n">
        <x:f>IF(AND(ISNUMBER(B522),'요약'!$B$19),B522-'요약'!$B$7,"")</x:f>
        <x:v>0.009027968056467849</x:v>
      </x:c>
      <x:c r="D522" s="7" t="n">
        <x:f>IF(ISNUMBER(C522),C522^2,"")</x:f>
        <x:v>0.00008150420722860386</x:v>
      </x:c>
      <x:c r="E522" s="15" t="n">
        <x:f>IF(ISNUMBER(C522),C522^3,"")</x:f>
        <x:v>7.358173793275716e-7</x:v>
      </x:c>
      <x:c r="F522" s="15" t="n">
        <x:f>IF(ISNUMBER(C522),C522^4,"")</x:f>
        <x:v>6.642935795963202e-9</x:v>
      </x:c>
      <x:c r="G522" s="7" t="n">
        <x:f>IF(ISNUMBER(B522),ABS(B522),"")</x:f>
        <x:v>0.008979728729418348</x:v>
      </x:c>
      <x:c r="H522" s="7" t="n">
        <x:f>IF(ISNUMBER(B522),B522^2,"")</x:f>
        <x:v>0.00008063552805394126</x:v>
      </x:c>
      <x:c r="I522" s="7" t="n">
        <x:f>IF(AND(ISNUMBER(G522),'요약'!$B$19),G522-'요약'!$B$14,"")</x:f>
        <x:v>0.0009662121020154926</x:v>
      </x:c>
      <x:c r="J522" s="7" t="n">
        <x:f>IF(AND(ISNUMBER(H522),'요약'!$B$19),H522-'요약'!$B$15,"")</x:f>
        <x:v>-0.000021574171132150843</x:v>
      </x:c>
      <x:c r="K522" t="str">
        <x:f>IF(ISNUMBER(B522),IF('Hill'!$B$4=1,IF(B522&lt;0,-B522,""),IF('Hill'!$B$4=2,IF(B522&gt;0,B522,""),IF('Hill'!$B$4=3,IF(B522&lt;&gt;0,ABS(B522),""),""))),"")</x:f>
      </x:c>
    </x:row>
    <x:row r="523">
      <x:c r="A523" t="n">
        <x:f>522</x:f>
        <x:v>522</x:v>
      </x:c>
      <x:c r="B523" s="7" t="n">
        <x:f>IF('요약'!$B$4=4,IF(ISNUMBER('input'!A523),'input'!A523,""),IF(522&lt;=1000,CHOOSE('요약'!$B$4,'input'!B523,'input'!C523,'input'!D523),""))</x:f>
        <x:v>-0.005456159796781647</x:v>
      </x:c>
      <x:c r="C523" s="7" t="n">
        <x:f>IF(AND(ISNUMBER(B523),'요약'!$B$19),B523-'요약'!$B$7,"")</x:f>
        <x:v>-0.005407920469732146</x:v>
      </x:c>
      <x:c r="D523" s="7" t="n">
        <x:f>IF(ISNUMBER(C523),C523^2,"")</x:f>
        <x:v>0.00002924560380694795</x:v>
      </x:c>
      <x:c r="E523" s="15" t="n">
        <x:f>IF(ISNUMBER(C523),C523^3,"")</x:f>
        <x:v>-1.581578994772702e-7</x:v>
      </x:c>
      <x:c r="F523" s="15" t="n">
        <x:f>IF(ISNUMBER(C523),C523^4,"")</x:f>
        <x:v>8.553053420329685e-10</x:v>
      </x:c>
      <x:c r="G523" s="7" t="n">
        <x:f>IF(ISNUMBER(B523),ABS(B523),"")</x:f>
        <x:v>0.005456159796781647</x:v>
      </x:c>
      <x:c r="H523" s="7" t="n">
        <x:f>IF(ISNUMBER(B523),B523^2,"")</x:f>
        <x:v>0.000029769679728016344</x:v>
      </x:c>
      <x:c r="I523" s="7" t="n">
        <x:f>IF(AND(ISNUMBER(G523),'요약'!$B$19),G523-'요약'!$B$14,"")</x:f>
        <x:v>-0.0025573568306212083</x:v>
      </x:c>
      <x:c r="J523" s="7" t="n">
        <x:f>IF(AND(ISNUMBER(H523),'요약'!$B$19),H523-'요약'!$B$15,"")</x:f>
        <x:v>-0.00007244001945807575</x:v>
      </x:c>
      <x:c r="K523" t="n">
        <x:f>IF(ISNUMBER(B523),IF('Hill'!$B$4=1,IF(B523&lt;0,-B523,""),IF('Hill'!$B$4=2,IF(B523&gt;0,B523,""),IF('Hill'!$B$4=3,IF(B523&lt;&gt;0,ABS(B523),""),""))),"")</x:f>
        <x:v>0.005456159796781647</x:v>
      </x:c>
    </x:row>
    <x:row r="524">
      <x:c r="A524" t="n">
        <x:f>523</x:f>
        <x:v>523</x:v>
      </x:c>
      <x:c r="B524" s="7" t="n">
        <x:f>IF('요약'!$B$4=4,IF(ISNUMBER('input'!A524),'input'!A524,""),IF(523&lt;=1000,CHOOSE('요약'!$B$4,'input'!B524,'input'!C524,'input'!D524),""))</x:f>
        <x:v>-0.006405921443340147</x:v>
      </x:c>
      <x:c r="C524" s="7" t="n">
        <x:f>IF(AND(ISNUMBER(B524),'요약'!$B$19),B524-'요약'!$B$7,"")</x:f>
        <x:v>-0.006357682116290645</x:v>
      </x:c>
      <x:c r="D524" s="7" t="n">
        <x:f>IF(ISNUMBER(C524),C524^2,"")</x:f>
        <x:v>0.0000404201218918019</x:v>
      </x:c>
      <x:c r="E524" s="15" t="n">
        <x:f>IF(ISNUMBER(C524),C524^3,"")</x:f>
        <x:v>-2.5697828608979697e-7</x:v>
      </x:c>
      <x:c r="F524" s="15" t="n">
        <x:f>IF(ISNUMBER(C524),C524^4,"")</x:f>
        <x:v>1.6337862537481231e-9</x:v>
      </x:c>
      <x:c r="G524" s="7" t="n">
        <x:f>IF(ISNUMBER(B524),ABS(B524),"")</x:f>
        <x:v>0.006405921443340147</x:v>
      </x:c>
      <x:c r="H524" s="7" t="n">
        <x:f>IF(ISNUMBER(B524),B524^2,"")</x:f>
        <x:v>0.00004103582953824511</x:v>
      </x:c>
      <x:c r="I524" s="7" t="n">
        <x:f>IF(AND(ISNUMBER(G524),'요약'!$B$19),G524-'요약'!$B$14,"")</x:f>
        <x:v>-0.0016075951840627085</x:v>
      </x:c>
      <x:c r="J524" s="7" t="n">
        <x:f>IF(AND(ISNUMBER(H524),'요약'!$B$19),H524-'요약'!$B$15,"")</x:f>
        <x:v>-0.00006117386964784699</x:v>
      </x:c>
      <x:c r="K524" t="n">
        <x:f>IF(ISNUMBER(B524),IF('Hill'!$B$4=1,IF(B524&lt;0,-B524,""),IF('Hill'!$B$4=2,IF(B524&gt;0,B524,""),IF('Hill'!$B$4=3,IF(B524&lt;&gt;0,ABS(B524),""),""))),"")</x:f>
        <x:v>0.006405921443340147</x:v>
      </x:c>
    </x:row>
    <x:row r="525">
      <x:c r="A525" t="n">
        <x:f>524</x:f>
        <x:v>524</x:v>
      </x:c>
      <x:c r="B525" s="7" t="n">
        <x:f>IF('요약'!$B$4=4,IF(ISNUMBER('input'!A525),'input'!A525,""),IF(524&lt;=1000,CHOOSE('요약'!$B$4,'input'!B525,'input'!C525,'input'!D525),""))</x:f>
        <x:v>0.0027921020480244064</x:v>
      </x:c>
      <x:c r="C525" s="7" t="n">
        <x:f>IF(AND(ISNUMBER(B525),'요약'!$B$19),B525-'요약'!$B$7,"")</x:f>
        <x:v>0.002840341375073908</x:v>
      </x:c>
      <x:c r="D525" s="7" t="n">
        <x:f>IF(ISNUMBER(C525),C525^2,"")</x:f>
        <x:v>0.000008067539126956737</x:v>
      </x:c>
      <x:c r="E525" s="15" t="n">
        <x:f>IF(ISNUMBER(C525),C525^3,"")</x:f>
        <x:v>2.2914565177322854e-8</x:v>
      </x:c>
      <x:c r="F525" s="15" t="n">
        <x:f>IF(ISNUMBER(C525),C525^4,"")</x:f>
        <x:v>6.508518756497788e-11</x:v>
      </x:c>
      <x:c r="G525" s="7" t="n">
        <x:f>IF(ISNUMBER(B525),ABS(B525),"")</x:f>
        <x:v>0.0027921020480244064</x:v>
      </x:c>
      <x:c r="H525" s="7" t="n">
        <x:f>IF(ISNUMBER(B525),B525^2,"")</x:f>
        <x:v>0.000007795833846582085</x:v>
      </x:c>
      <x:c r="I525" s="7" t="n">
        <x:f>IF(AND(ISNUMBER(G525),'요약'!$B$19),G525-'요약'!$B$14,"")</x:f>
        <x:v>-0.005221414579378449</x:v>
      </x:c>
      <x:c r="J525" s="7" t="n">
        <x:f>IF(AND(ISNUMBER(H525),'요약'!$B$19),H525-'요약'!$B$15,"")</x:f>
        <x:v>-0.00009441386533951001</x:v>
      </x:c>
      <x:c r="K525" t="str">
        <x:f>IF(ISNUMBER(B525),IF('Hill'!$B$4=1,IF(B525&lt;0,-B525,""),IF('Hill'!$B$4=2,IF(B525&gt;0,B525,""),IF('Hill'!$B$4=3,IF(B525&lt;&gt;0,ABS(B525),""),""))),"")</x:f>
      </x:c>
    </x:row>
    <x:row r="526">
      <x:c r="A526" t="n">
        <x:f>525</x:f>
        <x:v>525</x:v>
      </x:c>
      <x:c r="B526" s="7" t="n">
        <x:f>IF('요약'!$B$4=4,IF(ISNUMBER('input'!A526),'input'!A526,""),IF(525&lt;=1000,CHOOSE('요약'!$B$4,'input'!B526,'input'!C526,'input'!D526),""))</x:f>
        <x:v>-0.0072027529866195055</x:v>
      </x:c>
      <x:c r="C526" s="7" t="n">
        <x:f>IF(AND(ISNUMBER(B526),'요약'!$B$19),B526-'요약'!$B$7,"")</x:f>
        <x:v>-0.007154513659570004</x:v>
      </x:c>
      <x:c r="D526" s="7" t="n">
        <x:f>IF(ISNUMBER(C526),C526^2,"")</x:f>
        <x:v>0.00005118706570497377</x:v>
      </x:c>
      <x:c r="E526" s="15" t="n">
        <x:f>IF(ISNUMBER(C526),C526^3,"")</x:f>
        <x:v>-3.6621856077954213e-7</x:v>
      </x:c>
      <x:c r="F526" s="15" t="n">
        <x:f>IF(ISNUMBER(C526),C526^4,"")</x:f>
        <x:v>2.620115695485302e-9</x:v>
      </x:c>
      <x:c r="G526" s="7" t="n">
        <x:f>IF(ISNUMBER(B526),ABS(B526),"")</x:f>
        <x:v>0.0072027529866195055</x:v>
      </x:c>
      <x:c r="H526" s="7" t="n">
        <x:f>IF(ISNUMBER(B526),B526^2,"")</x:f>
        <x:v>0.0000518796505862562</x:v>
      </x:c>
      <x:c r="I526" s="7" t="n">
        <x:f>IF(AND(ISNUMBER(G526),'요약'!$B$19),G526-'요약'!$B$14,"")</x:f>
        <x:v>-0.0008107636407833499</x:v>
      </x:c>
      <x:c r="J526" s="7" t="n">
        <x:f>IF(AND(ISNUMBER(H526),'요약'!$B$19),H526-'요약'!$B$15,"")</x:f>
        <x:v>-0.0000503300485998359</x:v>
      </x:c>
      <x:c r="K526" t="n">
        <x:f>IF(ISNUMBER(B526),IF('Hill'!$B$4=1,IF(B526&lt;0,-B526,""),IF('Hill'!$B$4=2,IF(B526&gt;0,B526,""),IF('Hill'!$B$4=3,IF(B526&lt;&gt;0,ABS(B526),""),""))),"")</x:f>
        <x:v>0.0072027529866195055</x:v>
      </x:c>
    </x:row>
    <x:row r="527">
      <x:c r="A527" t="n">
        <x:f>526</x:f>
        <x:v>526</x:v>
      </x:c>
      <x:c r="B527" s="7" t="n">
        <x:f>IF('요약'!$B$4=4,IF(ISNUMBER('input'!A527),'input'!A527,""),IF(526&lt;=1000,CHOOSE('요약'!$B$4,'input'!B527,'input'!C527,'input'!D527),""))</x:f>
        <x:v>-0.0017426023361129756</x:v>
      </x:c>
      <x:c r="C527" s="7" t="n">
        <x:f>IF(AND(ISNUMBER(B527),'요약'!$B$19),B527-'요약'!$B$7,"")</x:f>
        <x:v>-0.001694363009063474</x:v>
      </x:c>
      <x:c r="D527" s="7" t="n">
        <x:f>IF(ISNUMBER(C527),C527^2,"")</x:f>
        <x:v>0.0000028708660064826305</x:v>
      </x:c>
      <x:c r="E527" s="15" t="n">
        <x:f>IF(ISNUMBER(C527),C527^3,"")</x:f>
        <x:v>-4.8642891653619485e-9</x:v>
      </x:c>
      <x:c r="F527" s="15" t="n">
        <x:f>IF(ISNUMBER(C527),C527^4,"")</x:f>
        <x:v>8.241871627177526e-12</x:v>
      </x:c>
      <x:c r="G527" s="7" t="n">
        <x:f>IF(ISNUMBER(B527),ABS(B527),"")</x:f>
        <x:v>0.0017426023361129756</x:v>
      </x:c>
      <x:c r="H527" s="7" t="n">
        <x:f>IF(ISNUMBER(B527),B527^2,"")</x:f>
        <x:v>0.0000030366629018263997</x:v>
      </x:c>
      <x:c r="I527" s="7" t="n">
        <x:f>IF(AND(ISNUMBER(G527),'요약'!$B$19),G527-'요약'!$B$14,"")</x:f>
        <x:v>-0.00627091429128988</x:v>
      </x:c>
      <x:c r="J527" s="7" t="n">
        <x:f>IF(AND(ISNUMBER(H527),'요약'!$B$19),H527-'요약'!$B$15,"")</x:f>
        <x:v>-0.0000991730362842657</x:v>
      </x:c>
      <x:c r="K527" t="n">
        <x:f>IF(ISNUMBER(B527),IF('Hill'!$B$4=1,IF(B527&lt;0,-B527,""),IF('Hill'!$B$4=2,IF(B527&gt;0,B527,""),IF('Hill'!$B$4=3,IF(B527&lt;&gt;0,ABS(B527),""),""))),"")</x:f>
        <x:v>0.0017426023361129756</x:v>
      </x:c>
    </x:row>
    <x:row r="528">
      <x:c r="A528" t="n">
        <x:f>527</x:f>
        <x:v>527</x:v>
      </x:c>
      <x:c r="B528" s="7" t="n">
        <x:f>IF('요약'!$B$4=4,IF(ISNUMBER('input'!A528),'input'!A528,""),IF(527&lt;=1000,CHOOSE('요약'!$B$4,'input'!B528,'input'!C528,'input'!D528),""))</x:f>
        <x:v>0.0024489506902081646</x:v>
      </x:c>
      <x:c r="C528" s="7" t="n">
        <x:f>IF(AND(ISNUMBER(B528),'요약'!$B$19),B528-'요약'!$B$7,"")</x:f>
        <x:v>0.002497190017257666</x:v>
      </x:c>
      <x:c r="D528" s="7" t="n">
        <x:f>IF(ISNUMBER(C528),C528^2,"")</x:f>
        <x:v>0.000006235957982291342</x:v>
      </x:c>
      <x:c r="E528" s="15" t="n">
        <x:f>IF(ISNUMBER(C528),C528^3,"")</x:f>
        <x:v>1.5572372021416197e-8</x:v>
      </x:c>
      <x:c r="F528" s="15" t="n">
        <x:f>IF(ISNUMBER(C528),C528^4,"")</x:f>
        <x:v>3.888717195690311e-11</x:v>
      </x:c>
      <x:c r="G528" s="7" t="n">
        <x:f>IF(ISNUMBER(B528),ABS(B528),"")</x:f>
        <x:v>0.0024489506902081646</x:v>
      </x:c>
      <x:c r="H528" s="7" t="n">
        <x:f>IF(ISNUMBER(B528),B528^2,"")</x:f>
        <x:v>0.000005997359483071046</x:v>
      </x:c>
      <x:c r="I528" s="7" t="n">
        <x:f>IF(AND(ISNUMBER(G528),'요약'!$B$19),G528-'요약'!$B$14,"")</x:f>
        <x:v>-0.00556456593719469</x:v>
      </x:c>
      <x:c r="J528" s="7" t="n">
        <x:f>IF(AND(ISNUMBER(H528),'요약'!$B$19),H528-'요약'!$B$15,"")</x:f>
        <x:v>-0.00009621233970302106</x:v>
      </x:c>
      <x:c r="K528" t="str">
        <x:f>IF(ISNUMBER(B528),IF('Hill'!$B$4=1,IF(B528&lt;0,-B528,""),IF('Hill'!$B$4=2,IF(B528&gt;0,B528,""),IF('Hill'!$B$4=3,IF(B528&lt;&gt;0,ABS(B528),""),""))),"")</x:f>
      </x:c>
    </x:row>
    <x:row r="529">
      <x:c r="A529" t="n">
        <x:f>528</x:f>
        <x:v>528</x:v>
      </x:c>
      <x:c r="B529" s="7" t="n">
        <x:f>IF('요약'!$B$4=4,IF(ISNUMBER('input'!A529),'input'!A529,""),IF(528&lt;=1000,CHOOSE('요약'!$B$4,'input'!B529,'input'!C529,'input'!D529),""))</x:f>
        <x:v>0.009011168097113137</x:v>
      </x:c>
      <x:c r="C529" s="7" t="n">
        <x:f>IF(AND(ISNUMBER(B529),'요약'!$B$19),B529-'요약'!$B$7,"")</x:f>
        <x:v>0.009059407424162638</x:v>
      </x:c>
      <x:c r="D529" s="7" t="n">
        <x:f>IF(ISNUMBER(C529),C529^2,"")</x:f>
        <x:v>0.00008207286287697312</x:v>
      </x:c>
      <x:c r="E529" s="15" t="n">
        <x:f>IF(ISNUMBER(C529),C529^3,"")</x:f>
        <x:v>7.435315032699323e-7</x:v>
      </x:c>
      <x:c r="F529" s="15" t="n">
        <x:f>IF(ISNUMBER(C529),C529^4,"")</x:f>
        <x:v>6.735954820822432e-9</x:v>
      </x:c>
      <x:c r="G529" s="7" t="n">
        <x:f>IF(ISNUMBER(B529),ABS(B529),"")</x:f>
        <x:v>0.009011168097113137</x:v>
      </x:c>
      <x:c r="H529" s="7" t="n">
        <x:f>IF(ISNUMBER(B529),B529^2,"")</x:f>
        <x:v>0.0000812011504744296</x:v>
      </x:c>
      <x:c r="I529" s="7" t="n">
        <x:f>IF(AND(ISNUMBER(G529),'요약'!$B$19),G529-'요약'!$B$14,"")</x:f>
        <x:v>0.0009976514697102815</x:v>
      </x:c>
      <x:c r="J529" s="7" t="n">
        <x:f>IF(AND(ISNUMBER(H529),'요약'!$B$19),H529-'요약'!$B$15,"")</x:f>
        <x:v>-0.000021008548711662505</x:v>
      </x:c>
      <x:c r="K529" t="str">
        <x:f>IF(ISNUMBER(B529),IF('Hill'!$B$4=1,IF(B529&lt;0,-B529,""),IF('Hill'!$B$4=2,IF(B529&gt;0,B529,""),IF('Hill'!$B$4=3,IF(B529&lt;&gt;0,ABS(B529),""),""))),"")</x:f>
      </x:c>
    </x:row>
    <x:row r="530">
      <x:c r="A530" t="n">
        <x:f>529</x:f>
        <x:v>529</x:v>
      </x:c>
      <x:c r="B530" s="7" t="n">
        <x:f>IF('요약'!$B$4=4,IF(ISNUMBER('input'!A530),'input'!A530,""),IF(529&lt;=1000,CHOOSE('요약'!$B$4,'input'!B530,'input'!C530,'input'!D530),""))</x:f>
        <x:v>0.007175323575867189</x:v>
      </x:c>
      <x:c r="C530" s="7" t="n">
        <x:f>IF(AND(ISNUMBER(B530),'요약'!$B$19),B530-'요약'!$B$7,"")</x:f>
        <x:v>0.00722356290291669</x:v>
      </x:c>
      <x:c r="D530" s="7" t="n">
        <x:f>IF(ISNUMBER(C530),C530^2,"")</x:f>
        <x:v>0.000052179861012394204</x:v>
      </x:c>
      <x:c r="E530" s="15" t="n">
        <x:f>IF(ISNUMBER(C530),C530^3,"")</x:f>
        <x:v>3.769245082884797e-7</x:v>
      </x:c>
      <x:c r="F530" s="15" t="n">
        <x:f>IF(ISNUMBER(C530),C530^4,"")</x:f>
        <x:v>2.7227378952727767e-9</x:v>
      </x:c>
      <x:c r="G530" s="7" t="n">
        <x:f>IF(ISNUMBER(B530),ABS(B530),"")</x:f>
        <x:v>0.007175323575867189</x:v>
      </x:c>
      <x:c r="H530" s="7" t="n">
        <x:f>IF(ISNUMBER(B530),B530^2,"")</x:f>
        <x:v>0.0000514852684183955</x:v>
      </x:c>
      <x:c r="I530" s="7" t="n">
        <x:f>IF(AND(ISNUMBER(G530),'요약'!$B$19),G530-'요약'!$B$14,"")</x:f>
        <x:v>-0.0008381930515356665</x:v>
      </x:c>
      <x:c r="J530" s="7" t="n">
        <x:f>IF(AND(ISNUMBER(H530),'요약'!$B$19),H530-'요약'!$B$15,"")</x:f>
        <x:v>-0.0000507244307676966</x:v>
      </x:c>
      <x:c r="K530" t="str">
        <x:f>IF(ISNUMBER(B530),IF('Hill'!$B$4=1,IF(B530&lt;0,-B530,""),IF('Hill'!$B$4=2,IF(B530&gt;0,B530,""),IF('Hill'!$B$4=3,IF(B530&lt;&gt;0,ABS(B530),""),""))),"")</x:f>
      </x:c>
    </x:row>
    <x:row r="531">
      <x:c r="A531" t="n">
        <x:f>530</x:f>
        <x:v>530</x:v>
      </x:c>
      <x:c r="B531" s="7" t="n">
        <x:f>IF('요약'!$B$4=4,IF(ISNUMBER('input'!A531),'input'!A531,""),IF(530&lt;=1000,CHOOSE('요약'!$B$4,'input'!B531,'input'!C531,'input'!D531),""))</x:f>
        <x:v>-0.004559077131881404</x:v>
      </x:c>
      <x:c r="C531" s="7" t="n">
        <x:f>IF(AND(ISNUMBER(B531),'요약'!$B$19),B531-'요약'!$B$7,"")</x:f>
        <x:v>-0.004510837804831903</x:v>
      </x:c>
      <x:c r="D531" s="7" t="n">
        <x:f>IF(ISNUMBER(C531),C531^2,"")</x:f>
        <x:v>0.000020347657701500697</x:v>
      </x:c>
      <x:c r="E531" s="15" t="n">
        <x:f>IF(ISNUMBER(C531),C531^3,"")</x:f>
        <x:v>-9.178498359970837e-8</x:v>
      </x:c>
      <x:c r="F531" s="15" t="n">
        <x:f>IF(ISNUMBER(C531),C531^4,"")</x:f>
        <x:v>4.140271739374407e-10</x:v>
      </x:c>
      <x:c r="G531" s="7" t="n">
        <x:f>IF(ISNUMBER(B531),ABS(B531),"")</x:f>
        <x:v>0.004559077131881404</x:v>
      </x:c>
      <x:c r="H531" s="7" t="n">
        <x:f>IF(ISNUMBER(B531),B531^2,"")</x:f>
        <x:v>0.00002078518429444397</x:v>
      </x:c>
      <x:c r="I531" s="7" t="n">
        <x:f>IF(AND(ISNUMBER(G531),'요약'!$B$19),G531-'요약'!$B$14,"")</x:f>
        <x:v>-0.0034544394955214512</x:v>
      </x:c>
      <x:c r="J531" s="7" t="n">
        <x:f>IF(AND(ISNUMBER(H531),'요약'!$B$19),H531-'요약'!$B$15,"")</x:f>
        <x:v>-0.00008142451489164814</x:v>
      </x:c>
      <x:c r="K531" t="n">
        <x:f>IF(ISNUMBER(B531),IF('Hill'!$B$4=1,IF(B531&lt;0,-B531,""),IF('Hill'!$B$4=2,IF(B531&gt;0,B531,""),IF('Hill'!$B$4=3,IF(B531&lt;&gt;0,ABS(B531),""),""))),"")</x:f>
        <x:v>0.004559077131881404</x:v>
      </x:c>
    </x:row>
    <x:row r="532">
      <x:c r="A532" t="n">
        <x:f>531</x:f>
        <x:v>531</x:v>
      </x:c>
      <x:c r="B532" s="7" t="n">
        <x:f>IF('요약'!$B$4=4,IF(ISNUMBER('input'!A532),'input'!A532,""),IF(531&lt;=1000,CHOOSE('요약'!$B$4,'input'!B532,'input'!C532,'input'!D532),""))</x:f>
        <x:v>0.008582685155711412</x:v>
      </x:c>
      <x:c r="C532" s="7" t="n">
        <x:f>IF(AND(ISNUMBER(B532),'요약'!$B$19),B532-'요약'!$B$7,"")</x:f>
        <x:v>0.008630924482760913</x:v>
      </x:c>
      <x:c r="D532" s="7" t="n">
        <x:f>IF(ISNUMBER(C532),C532^2,"")</x:f>
        <x:v>0.00007449285742712173</x:v>
      </x:c>
      <x:c r="E532" s="15" t="n">
        <x:f>IF(ISNUMBER(C532),C532^3,"")</x:f>
        <x:v>6.42942226958563e-7</x:v>
      </x:c>
      <x:c r="F532" s="15" t="n">
        <x:f>IF(ISNUMBER(C532),C532^4,"")</x:f>
        <x:v>5.549185807657485e-9</x:v>
      </x:c>
      <x:c r="G532" s="7" t="n">
        <x:f>IF(ISNUMBER(B532),ABS(B532),"")</x:f>
        <x:v>0.008582685155711412</x:v>
      </x:c>
      <x:c r="H532" s="7" t="n">
        <x:f>IF(ISNUMBER(B532),B532^2,"")</x:f>
        <x:v>0.00007366248448206903</x:v>
      </x:c>
      <x:c r="I532" s="7" t="n">
        <x:f>IF(AND(ISNUMBER(G532),'요약'!$B$19),G532-'요약'!$B$14,"")</x:f>
        <x:v>0.0005691685283085567</x:v>
      </x:c>
      <x:c r="J532" s="7" t="n">
        <x:f>IF(AND(ISNUMBER(H532),'요약'!$B$19),H532-'요약'!$B$15,"")</x:f>
        <x:v>-0.00002854721470402307</x:v>
      </x:c>
      <x:c r="K532" t="str">
        <x:f>IF(ISNUMBER(B532),IF('Hill'!$B$4=1,IF(B532&lt;0,-B532,""),IF('Hill'!$B$4=2,IF(B532&gt;0,B532,""),IF('Hill'!$B$4=3,IF(B532&lt;&gt;0,ABS(B532),""),""))),"")</x:f>
      </x:c>
    </x:row>
    <x:row r="533">
      <x:c r="A533" t="n">
        <x:f>532</x:f>
        <x:v>532</x:v>
      </x:c>
      <x:c r="B533" s="7" t="n">
        <x:f>IF('요약'!$B$4=4,IF(ISNUMBER('input'!A533),'input'!A533,""),IF(532&lt;=1000,CHOOSE('요약'!$B$4,'input'!B533,'input'!C533,'input'!D533),""))</x:f>
        <x:v>-0.009412529290152941</x:v>
      </x:c>
      <x:c r="C533" s="7" t="n">
        <x:f>IF(AND(ISNUMBER(B533),'요약'!$B$19),B533-'요약'!$B$7,"")</x:f>
        <x:v>-0.00936428996310344</x:v>
      </x:c>
      <x:c r="D533" s="7" t="n">
        <x:f>IF(ISNUMBER(C533),C533^2,"")</x:f>
        <x:v>0.00008768992651307983</x:v>
      </x:c>
      <x:c r="E533" s="15" t="n">
        <x:f>IF(ISNUMBER(C533),C533^3,"")</x:f>
        <x:v>-8.211538987117117e-7</x:v>
      </x:c>
      <x:c r="F533" s="15" t="n">
        <x:f>IF(ISNUMBER(C533),C533^4,"")</x:f>
        <x:v>7.689523211869342e-9</x:v>
      </x:c>
      <x:c r="G533" s="7" t="n">
        <x:f>IF(ISNUMBER(B533),ABS(B533),"")</x:f>
        <x:v>0.009412529290152941</x:v>
      </x:c>
      <x:c r="H533" s="7" t="n">
        <x:f>IF(ISNUMBER(B533),B533^2,"")</x:f>
        <x:v>0.00008859570763798703</x:v>
      </x:c>
      <x:c r="I533" s="7" t="n">
        <x:f>IF(AND(ISNUMBER(G533),'요약'!$B$19),G533-'요약'!$B$14,"")</x:f>
        <x:v>0.0013990126627500855</x:v>
      </x:c>
      <x:c r="J533" s="7" t="n">
        <x:f>IF(AND(ISNUMBER(H533),'요약'!$B$19),H533-'요약'!$B$15,"")</x:f>
        <x:v>-0.000013613991548105077</x:v>
      </x:c>
      <x:c r="K533" t="n">
        <x:f>IF(ISNUMBER(B533),IF('Hill'!$B$4=1,IF(B533&lt;0,-B533,""),IF('Hill'!$B$4=2,IF(B533&gt;0,B533,""),IF('Hill'!$B$4=3,IF(B533&lt;&gt;0,ABS(B533),""),""))),"")</x:f>
        <x:v>0.009412529290152941</x:v>
      </x:c>
    </x:row>
    <x:row r="534">
      <x:c r="A534" t="n">
        <x:f>533</x:f>
        <x:v>533</x:v>
      </x:c>
      <x:c r="B534" s="7" t="n">
        <x:f>IF('요약'!$B$4=4,IF(ISNUMBER('input'!A534),'input'!A534,""),IF(533&lt;=1000,CHOOSE('요약'!$B$4,'input'!B534,'input'!C534,'input'!D534),""))</x:f>
        <x:v>0.0038448867614146688</x:v>
      </x:c>
      <x:c r="C534" s="7" t="n">
        <x:f>IF(AND(ISNUMBER(B534),'요약'!$B$19),B534-'요약'!$B$7,"")</x:f>
        <x:v>0.0038931260884641702</x:v>
      </x:c>
      <x:c r="D534" s="7" t="n">
        <x:f>IF(ISNUMBER(C534),C534^2,"")</x:f>
        <x:v>0.00001515643074068033</x:v>
      </x:c>
      <x:c r="E534" s="15" t="n">
        <x:f>IF(ISNUMBER(C534),C534^3,"")</x:f>
        <x:v>5.900589592454292e-8</x:v>
      </x:c>
      <x:c r="F534" s="15" t="n">
        <x:f>IF(ISNUMBER(C534),C534^4,"")</x:f>
        <x:v>2.297173927970397e-10</x:v>
      </x:c>
      <x:c r="G534" s="7" t="n">
        <x:f>IF(ISNUMBER(B534),ABS(B534),"")</x:f>
        <x:v>0.0038448867614146688</x:v>
      </x:c>
      <x:c r="H534" s="7" t="n">
        <x:f>IF(ISNUMBER(B534),B534^2,"")</x:f>
        <x:v>0.00001478315420810178</x:v>
      </x:c>
      <x:c r="I534" s="7" t="n">
        <x:f>IF(AND(ISNUMBER(G534),'요약'!$B$19),G534-'요약'!$B$14,"")</x:f>
        <x:v>-0.004168629865988187</x:v>
      </x:c>
      <x:c r="J534" s="7" t="n">
        <x:f>IF(AND(ISNUMBER(H534),'요약'!$B$19),H534-'요약'!$B$15,"")</x:f>
        <x:v>-0.00008742654497799032</x:v>
      </x:c>
      <x:c r="K534" t="str">
        <x:f>IF(ISNUMBER(B534),IF('Hill'!$B$4=1,IF(B534&lt;0,-B534,""),IF('Hill'!$B$4=2,IF(B534&gt;0,B534,""),IF('Hill'!$B$4=3,IF(B534&lt;&gt;0,ABS(B534),""),""))),"")</x:f>
      </x:c>
    </x:row>
    <x:row r="535">
      <x:c r="A535" t="n">
        <x:f>534</x:f>
        <x:v>534</x:v>
      </x:c>
      <x:c r="B535" s="7" t="n">
        <x:f>IF('요약'!$B$4=4,IF(ISNUMBER('input'!A535),'input'!A535,""),IF(534&lt;=1000,CHOOSE('요약'!$B$4,'input'!B535,'input'!C535,'input'!D535),""))</x:f>
        <x:v>-0.007734758953231581</x:v>
      </x:c>
      <x:c r="C535" s="7" t="n">
        <x:f>IF(AND(ISNUMBER(B535),'요약'!$B$19),B535-'요약'!$B$7,"")</x:f>
        <x:v>-0.0076865196261820794</x:v>
      </x:c>
      <x:c r="D535" s="7" t="n">
        <x:f>IF(ISNUMBER(C535),C535^2,"")</x:f>
        <x:v>0.000059082583963682296</x:v>
      </x:c>
      <x:c r="E535" s="15" t="n">
        <x:f>IF(ISNUMBER(C535),C535^3,"")</x:f>
        <x:v>-4.5413944120239455e-7</x:v>
      </x:c>
      <x:c r="F535" s="15" t="n">
        <x:f>IF(ISNUMBER(C535),C535^4,"")</x:f>
        <x:v>3.4907517278255682e-9</x:v>
      </x:c>
      <x:c r="G535" s="7" t="n">
        <x:f>IF(ISNUMBER(B535),ABS(B535),"")</x:f>
        <x:v>0.007734758953231581</x:v>
      </x:c>
      <x:c r="H535" s="7" t="n">
        <x:f>IF(ISNUMBER(B535),B535^2,"")</x:f>
        <x:v>0.000059826496064596104</x:v>
      </x:c>
      <x:c r="I535" s="7" t="n">
        <x:f>IF(AND(ISNUMBER(G535),'요약'!$B$19),G535-'요약'!$B$14,"")</x:f>
        <x:v>-0.0002787576741712745</x:v>
      </x:c>
      <x:c r="J535" s="7" t="n">
        <x:f>IF(AND(ISNUMBER(H535),'요약'!$B$19),H535-'요약'!$B$15,"")</x:f>
        <x:v>-0.000042383203121496</x:v>
      </x:c>
      <x:c r="K535" t="n">
        <x:f>IF(ISNUMBER(B535),IF('Hill'!$B$4=1,IF(B535&lt;0,-B535,""),IF('Hill'!$B$4=2,IF(B535&gt;0,B535,""),IF('Hill'!$B$4=3,IF(B535&lt;&gt;0,ABS(B535),""),""))),"")</x:f>
        <x:v>0.007734758953231581</x:v>
      </x:c>
    </x:row>
    <x:row r="536">
      <x:c r="A536" t="n">
        <x:f>535</x:f>
        <x:v>535</x:v>
      </x:c>
      <x:c r="B536" s="7" t="n">
        <x:f>IF('요약'!$B$4=4,IF(ISNUMBER('input'!A536),'input'!A536,""),IF(535&lt;=1000,CHOOSE('요약'!$B$4,'input'!B536,'input'!C536,'input'!D536),""))</x:f>
        <x:v>-0.00706203836748955</x:v>
      </x:c>
      <x:c r="C536" s="7" t="n">
        <x:f>IF(AND(ISNUMBER(B536),'요약'!$B$19),B536-'요약'!$B$7,"")</x:f>
        <x:v>-0.007013799040440048</x:v>
      </x:c>
      <x:c r="D536" s="7" t="n">
        <x:f>IF(ISNUMBER(C536),C536^2,"")</x:f>
        <x:v>0.00004919337697967774</x:v>
      </x:c>
      <x:c r="E536" s="15" t="n">
        <x:f>IF(ISNUMBER(C536),C536^3,"")</x:f>
        <x:v>-3.450324602560693e-7</x:v>
      </x:c>
      <x:c r="F536" s="15" t="n">
        <x:f>IF(ISNUMBER(C536),C536^4,"")</x:f>
        <x:v>2.419988338664688e-9</x:v>
      </x:c>
      <x:c r="G536" s="7" t="n">
        <x:f>IF(ISNUMBER(B536),ABS(B536),"")</x:f>
        <x:v>0.00706203836748955</x:v>
      </x:c>
      <x:c r="H536" s="7" t="n">
        <x:f>IF(ISNUMBER(B536),B536^2,"")</x:f>
        <x:v>0.000049872385903894465</x:v>
      </x:c>
      <x:c r="I536" s="7" t="n">
        <x:f>IF(AND(ISNUMBER(G536),'요약'!$B$19),G536-'요약'!$B$14,"")</x:f>
        <x:v>-0.0009514782599133057</x:v>
      </x:c>
      <x:c r="J536" s="7" t="n">
        <x:f>IF(AND(ISNUMBER(H536),'요약'!$B$19),H536-'요약'!$B$15,"")</x:f>
        <x:v>-0.00005233731328219764</x:v>
      </x:c>
      <x:c r="K536" t="n">
        <x:f>IF(ISNUMBER(B536),IF('Hill'!$B$4=1,IF(B536&lt;0,-B536,""),IF('Hill'!$B$4=2,IF(B536&gt;0,B536,""),IF('Hill'!$B$4=3,IF(B536&lt;&gt;0,ABS(B536),""),""))),"")</x:f>
        <x:v>0.00706203836748955</x:v>
      </x:c>
    </x:row>
    <x:row r="537">
      <x:c r="A537" t="n">
        <x:f>536</x:f>
        <x:v>536</x:v>
      </x:c>
      <x:c r="B537" s="7" t="n">
        <x:f>IF('요약'!$B$4=4,IF(ISNUMBER('input'!A537),'input'!A537,""),IF(536&lt;=1000,CHOOSE('요약'!$B$4,'input'!B537,'input'!C537,'input'!D537),""))</x:f>
        <x:v>0.0030212861465306524</x:v>
      </x:c>
      <x:c r="C537" s="7" t="n">
        <x:f>IF(AND(ISNUMBER(B537),'요약'!$B$19),B537-'요약'!$B$7,"")</x:f>
        <x:v>0.003069525473580154</x:v>
      </x:c>
      <x:c r="D537" s="7" t="n">
        <x:f>IF(ISNUMBER(C537),C537^2,"")</x:f>
        <x:v>0.000009421986632957468</x:v>
      </x:c>
      <x:c r="E537" s="15" t="n">
        <x:f>IF(ISNUMBER(C537),C537^3,"")</x:f>
        <x:v>2.892102798159465e-8</x:v>
      </x:c>
      <x:c r="F537" s="15" t="n">
        <x:f>IF(ISNUMBER(C537),C537^4,"")</x:f>
        <x:v>8.87738321116292e-11</x:v>
      </x:c>
      <x:c r="G537" s="7" t="n">
        <x:f>IF(ISNUMBER(B537),ABS(B537),"")</x:f>
        <x:v>0.0030212861465306524</x:v>
      </x:c>
      <x:c r="H537" s="7" t="n">
        <x:f>IF(ISNUMBER(B537),B537^2,"")</x:f>
        <x:v>0.00000912816997921804</x:v>
      </x:c>
      <x:c r="I537" s="7" t="n">
        <x:f>IF(AND(ISNUMBER(G537),'요약'!$B$19),G537-'요약'!$B$14,"")</x:f>
        <x:v>-0.0049922304808722034</x:v>
      </x:c>
      <x:c r="J537" s="7" t="n">
        <x:f>IF(AND(ISNUMBER(H537),'요약'!$B$19),H537-'요약'!$B$15,"")</x:f>
        <x:v>-0.00009308152920687407</x:v>
      </x:c>
      <x:c r="K537" t="str">
        <x:f>IF(ISNUMBER(B537),IF('Hill'!$B$4=1,IF(B537&lt;0,-B537,""),IF('Hill'!$B$4=2,IF(B537&gt;0,B537,""),IF('Hill'!$B$4=3,IF(B537&lt;&gt;0,ABS(B537),""),""))),"")</x:f>
      </x:c>
    </x:row>
    <x:row r="538">
      <x:c r="A538" t="n">
        <x:f>537</x:f>
        <x:v>537</x:v>
      </x:c>
      <x:c r="B538" s="7" t="n">
        <x:f>IF('요약'!$B$4=4,IF(ISNUMBER('input'!A538),'input'!A538,""),IF(537&lt;=1000,CHOOSE('요약'!$B$4,'input'!B538,'input'!C538,'input'!D538),""))</x:f>
        <x:v>0.0064456972301170316</x:v>
      </x:c>
      <x:c r="C538" s="7" t="n">
        <x:f>IF(AND(ISNUMBER(B538),'요약'!$B$19),B538-'요약'!$B$7,"")</x:f>
        <x:v>0.006493936557166533</x:v>
      </x:c>
      <x:c r="D538" s="7" t="n">
        <x:f>IF(ISNUMBER(C538),C538^2,"")</x:f>
        <x:v>0.000042171212008503926</x:v>
      </x:c>
      <x:c r="E538" s="15" t="n">
        <x:f>IF(ISNUMBER(C538),C538^3,"")</x:f>
        <x:v>2.7385717532204395e-7</x:v>
      </x:c>
      <x:c r="F538" s="15" t="n">
        <x:f>IF(ISNUMBER(C538),C538^4,"")</x:f>
        <x:v>1.7784111222661857e-9</x:v>
      </x:c>
      <x:c r="G538" s="7" t="n">
        <x:f>IF(ISNUMBER(B538),ABS(B538),"")</x:f>
        <x:v>0.0064456972301170316</x:v>
      </x:c>
      <x:c r="H538" s="7" t="n">
        <x:f>IF(ISNUMBER(B538),B538^2,"")</x:f>
        <x:v>0.00004154701278233837</x:v>
      </x:c>
      <x:c r="I538" s="7" t="n">
        <x:f>IF(AND(ISNUMBER(G538),'요약'!$B$19),G538-'요약'!$B$14,"")</x:f>
        <x:v>-0.0015678193972858238</x:v>
      </x:c>
      <x:c r="J538" s="7" t="n">
        <x:f>IF(AND(ISNUMBER(H538),'요약'!$B$19),H538-'요약'!$B$15,"")</x:f>
        <x:v>-0.00006066268640375373</x:v>
      </x:c>
      <x:c r="K538" t="str">
        <x:f>IF(ISNUMBER(B538),IF('Hill'!$B$4=1,IF(B538&lt;0,-B538,""),IF('Hill'!$B$4=2,IF(B538&gt;0,B538,""),IF('Hill'!$B$4=3,IF(B538&lt;&gt;0,ABS(B538),""),""))),"")</x:f>
      </x:c>
    </x:row>
    <x:row r="539">
      <x:c r="A539" t="n">
        <x:f>538</x:f>
        <x:v>538</x:v>
      </x:c>
      <x:c r="B539" s="7" t="n">
        <x:f>IF('요약'!$B$4=4,IF(ISNUMBER('input'!A539),'input'!A539,""),IF(538&lt;=1000,CHOOSE('요약'!$B$4,'input'!B539,'input'!C539,'input'!D539),""))</x:f>
        <x:v>-0.0033197245754116454</x:v>
      </x:c>
      <x:c r="C539" s="7" t="n">
        <x:f>IF(AND(ISNUMBER(B539),'요약'!$B$19),B539-'요약'!$B$7,"")</x:f>
        <x:v>-0.003271485248362144</x:v>
      </x:c>
      <x:c r="D539" s="7" t="n">
        <x:f>IF(ISNUMBER(C539),C539^2,"")</x:f>
        <x:v>0.000010702615730251118</x:v>
      </x:c>
      <x:c r="E539" s="15" t="n">
        <x:f>IF(ISNUMBER(C539),C539^3,"")</x:f>
        <x:v>-3.501344948040517e-8</x:v>
      </x:c>
      <x:c r="F539" s="15" t="n">
        <x:f>IF(ISNUMBER(C539),C539^4,"")</x:f>
        <x:v>1.1454598346941869e-10</x:v>
      </x:c>
      <x:c r="G539" s="7" t="n">
        <x:f>IF(ISNUMBER(B539),ABS(B539),"")</x:f>
        <x:v>0.0033197245754116454</x:v>
      </x:c>
      <x:c r="H539" s="7" t="n">
        <x:f>IF(ISNUMBER(B539),B539^2,"")</x:f>
        <x:v>0.00001102057125659203</x:v>
      </x:c>
      <x:c r="I539" s="7" t="n">
        <x:f>IF(AND(ISNUMBER(G539),'요약'!$B$19),G539-'요약'!$B$14,"")</x:f>
        <x:v>-0.00469379205199121</x:v>
      </x:c>
      <x:c r="J539" s="7" t="n">
        <x:f>IF(AND(ISNUMBER(H539),'요약'!$B$19),H539-'요약'!$B$15,"")</x:f>
        <x:v>-0.00009118912792950008</x:v>
      </x:c>
      <x:c r="K539" t="n">
        <x:f>IF(ISNUMBER(B539),IF('Hill'!$B$4=1,IF(B539&lt;0,-B539,""),IF('Hill'!$B$4=2,IF(B539&gt;0,B539,""),IF('Hill'!$B$4=3,IF(B539&lt;&gt;0,ABS(B539),""),""))),"")</x:f>
        <x:v>0.0033197245754116454</x:v>
      </x:c>
    </x:row>
    <x:row r="540">
      <x:c r="A540" t="n">
        <x:f>539</x:f>
        <x:v>539</x:v>
      </x:c>
      <x:c r="B540" s="7" t="n">
        <x:f>IF('요약'!$B$4=4,IF(ISNUMBER('input'!A540),'input'!A540,""),IF(539&lt;=1000,CHOOSE('요약'!$B$4,'input'!B540,'input'!C540,'input'!D540),""))</x:f>
        <x:v>0.013021027910592871</x:v>
      </x:c>
      <x:c r="C540" s="7" t="n">
        <x:f>IF(AND(ISNUMBER(B540),'요약'!$B$19),B540-'요약'!$B$7,"")</x:f>
        <x:v>0.013069267237642372</x:v>
      </x:c>
      <x:c r="D540" s="7" t="n">
        <x:f>IF(ISNUMBER(C540),C540^2,"")</x:f>
        <x:v>0.00017080574612891226</x:v>
      </x:c>
      <x:c r="E540" s="15" t="n">
        <x:f>IF(ISNUMBER(C540),C540^3,"")</x:f>
        <x:v>0.0000022323059418836536</x:v>
      </x:c>
      <x:c r="F540" s="15" t="n">
        <x:f>IF(ISNUMBER(C540),C540^4,"")</x:f>
        <x:v>2.917460291065443e-8</x:v>
      </x:c>
      <x:c r="G540" s="7" t="n">
        <x:f>IF(ISNUMBER(B540),ABS(B540),"")</x:f>
        <x:v>0.013021027910592871</x:v>
      </x:c>
      <x:c r="H540" s="7" t="n">
        <x:f>IF(ISNUMBER(B540),B540^2,"")</x:f>
        <x:v>0.00016954716784843855</x:v>
      </x:c>
      <x:c r="I540" s="7" t="n">
        <x:f>IF(AND(ISNUMBER(G540),'요약'!$B$19),G540-'요약'!$B$14,"")</x:f>
        <x:v>0.005007511283190016</x:v>
      </x:c>
      <x:c r="J540" s="7" t="n">
        <x:f>IF(AND(ISNUMBER(H540),'요약'!$B$19),H540-'요약'!$B$15,"")</x:f>
        <x:v>0.00006733746866234645</x:v>
      </x:c>
      <x:c r="K540" t="str">
        <x:f>IF(ISNUMBER(B540),IF('Hill'!$B$4=1,IF(B540&lt;0,-B540,""),IF('Hill'!$B$4=2,IF(B540&gt;0,B540,""),IF('Hill'!$B$4=3,IF(B540&lt;&gt;0,ABS(B540),""),""))),"")</x:f>
      </x:c>
    </x:row>
    <x:row r="541">
      <x:c r="A541" t="n">
        <x:f>540</x:f>
        <x:v>540</x:v>
      </x:c>
      <x:c r="B541" s="7" t="n">
        <x:f>IF('요약'!$B$4=4,IF(ISNUMBER('input'!A541),'input'!A541,""),IF(540&lt;=1000,CHOOSE('요약'!$B$4,'input'!B541,'input'!C541,'input'!D541),""))</x:f>
        <x:v>-0.003798618200648166</x:v>
      </x:c>
      <x:c r="C541" s="7" t="n">
        <x:f>IF(AND(ISNUMBER(B541),'요약'!$B$19),B541-'요약'!$B$7,"")</x:f>
        <x:v>-0.0037503788735986647</x:v>
      </x:c>
      <x:c r="D541" s="7" t="n">
        <x:f>IF(ISNUMBER(C541),C541^2,"")</x:f>
        <x:v>0.000014065341695535188</x:v>
      </x:c>
      <x:c r="E541" s="15" t="n">
        <x:f>IF(ISNUMBER(C541),C541^3,"")</x:f>
        <x:v>-5.2750360344881596e-8</x:v>
      </x:c>
      <x:c r="F541" s="15" t="n">
        <x:f>IF(ISNUMBER(C541),C541^4,"")</x:f>
        <x:v>1.978338370121607e-10</x:v>
      </x:c>
      <x:c r="G541" s="7" t="n">
        <x:f>IF(ISNUMBER(B541),ABS(B541),"")</x:f>
        <x:v>0.003798618200648166</x:v>
      </x:c>
      <x:c r="H541" s="7" t="n">
        <x:f>IF(ISNUMBER(B541),B541^2,"")</x:f>
        <x:v>0.000014429500234295511</x:v>
      </x:c>
      <x:c r="I541" s="7" t="n">
        <x:f>IF(AND(ISNUMBER(G541),'요약'!$B$19),G541-'요약'!$B$14,"")</x:f>
        <x:v>-0.004214898426754689</x:v>
      </x:c>
      <x:c r="J541" s="7" t="n">
        <x:f>IF(AND(ISNUMBER(H541),'요약'!$B$19),H541-'요약'!$B$15,"")</x:f>
        <x:v>-0.0000877801989517966</x:v>
      </x:c>
      <x:c r="K541" t="n">
        <x:f>IF(ISNUMBER(B541),IF('Hill'!$B$4=1,IF(B541&lt;0,-B541,""),IF('Hill'!$B$4=2,IF(B541&gt;0,B541,""),IF('Hill'!$B$4=3,IF(B541&lt;&gt;0,ABS(B541),""),""))),"")</x:f>
        <x:v>0.003798618200648166</x:v>
      </x:c>
    </x:row>
    <x:row r="542">
      <x:c r="A542" t="n">
        <x:f>541</x:f>
        <x:v>541</x:v>
      </x:c>
      <x:c r="B542" s="7" t="n">
        <x:f>IF('요약'!$B$4=4,IF(ISNUMBER('input'!A542),'input'!A542,""),IF(541&lt;=1000,CHOOSE('요약'!$B$4,'input'!B542,'input'!C542,'input'!D542),""))</x:f>
        <x:v>-0.0030982901190132455</x:v>
      </x:c>
      <x:c r="C542" s="7" t="n">
        <x:f>IF(AND(ISNUMBER(B542),'요약'!$B$19),B542-'요약'!$B$7,"")</x:f>
        <x:v>-0.003050050791963744</x:v>
      </x:c>
      <x:c r="D542" s="7" t="n">
        <x:f>IF(ISNUMBER(C542),C542^2,"")</x:f>
        <x:v>0.000009302809833558662</x:v>
      </x:c>
      <x:c r="E542" s="15" t="n">
        <x:f>IF(ISNUMBER(C542),C542^3,"")</x:f>
        <x:v>-2.8374042500333703e-8</x:v>
      </x:c>
      <x:c r="F542" s="15" t="n">
        <x:f>IF(ISNUMBER(C542),C542^4,"")</x:f>
        <x:v>8.654227079935574e-11</x:v>
      </x:c>
      <x:c r="G542" s="7" t="n">
        <x:f>IF(ISNUMBER(B542),ABS(B542),"")</x:f>
        <x:v>0.0030982901190132455</x:v>
      </x:c>
      <x:c r="H542" s="7" t="n">
        <x:f>IF(ISNUMBER(B542),B542^2,"")</x:f>
        <x:v>0.000009599401661575112</x:v>
      </x:c>
      <x:c r="I542" s="7" t="n">
        <x:f>IF(AND(ISNUMBER(G542),'요약'!$B$19),G542-'요약'!$B$14,"")</x:f>
        <x:v>-0.00491522650838961</x:v>
      </x:c>
      <x:c r="J542" s="7" t="n">
        <x:f>IF(AND(ISNUMBER(H542),'요약'!$B$19),H542-'요약'!$B$15,"")</x:f>
        <x:v>-0.000092610297524517</x:v>
      </x:c>
      <x:c r="K542" t="n">
        <x:f>IF(ISNUMBER(B542),IF('Hill'!$B$4=1,IF(B542&lt;0,-B542,""),IF('Hill'!$B$4=2,IF(B542&gt;0,B542,""),IF('Hill'!$B$4=3,IF(B542&lt;&gt;0,ABS(B542),""),""))),"")</x:f>
        <x:v>0.0030982901190132455</x:v>
      </x:c>
    </x:row>
    <x:row r="543">
      <x:c r="A543" t="n">
        <x:f>542</x:f>
        <x:v>542</x:v>
      </x:c>
      <x:c r="B543" s="7" t="n">
        <x:f>IF('요약'!$B$4=4,IF(ISNUMBER('input'!A543),'input'!A543,""),IF(542&lt;=1000,CHOOSE('요약'!$B$4,'input'!B543,'input'!C543,'input'!D543),""))</x:f>
        <x:v>-0.01451419520047328</x:v>
      </x:c>
      <x:c r="C543" s="7" t="n">
        <x:f>IF(AND(ISNUMBER(B543),'요약'!$B$19),B543-'요약'!$B$7,"")</x:f>
        <x:v>-0.014465955873423779</x:v>
      </x:c>
      <x:c r="D543" s="7" t="n">
        <x:f>IF(ISNUMBER(C543),C543^2,"")</x:f>
        <x:v>0.00020926387933184392</x:v>
      </x:c>
      <x:c r="E543" s="15" t="n">
        <x:f>IF(ISNUMBER(C543),C543^3,"")</x:f>
        <x:v>-0.0000030272020443159325</x:v>
      </x:c>
      <x:c r="F543" s="15" t="n">
        <x:f>IF(ISNUMBER(C543),C543^4,"")</x:f>
        <x:v>4.379137119301253e-8</x:v>
      </x:c>
      <x:c r="G543" s="7" t="n">
        <x:f>IF(ISNUMBER(B543),ABS(B543),"")</x:f>
        <x:v>0.01451419520047328</x:v>
      </x:c>
      <x:c r="H543" s="7" t="n">
        <x:f>IF(ISNUMBER(B543),B543^2,"")</x:f>
        <x:v>0.00021066186231744158</x:v>
      </x:c>
      <x:c r="I543" s="7" t="n">
        <x:f>IF(AND(ISNUMBER(G543),'요약'!$B$19),G543-'요약'!$B$14,"")</x:f>
        <x:v>0.006500678573070424</x:v>
      </x:c>
      <x:c r="J543" s="7" t="n">
        <x:f>IF(AND(ISNUMBER(H543),'요약'!$B$19),H543-'요약'!$B$15,"")</x:f>
        <x:v>0.00010845216313134948</x:v>
      </x:c>
      <x:c r="K543" t="n">
        <x:f>IF(ISNUMBER(B543),IF('Hill'!$B$4=1,IF(B543&lt;0,-B543,""),IF('Hill'!$B$4=2,IF(B543&gt;0,B543,""),IF('Hill'!$B$4=3,IF(B543&lt;&gt;0,ABS(B543),""),""))),"")</x:f>
        <x:v>0.01451419520047328</x:v>
      </x:c>
    </x:row>
    <x:row r="544">
      <x:c r="A544" t="n">
        <x:f>543</x:f>
        <x:v>543</x:v>
      </x:c>
      <x:c r="B544" s="7" t="n">
        <x:f>IF('요약'!$B$4=4,IF(ISNUMBER('input'!A544),'input'!A544,""),IF(543&lt;=1000,CHOOSE('요약'!$B$4,'input'!B544,'input'!C544,'input'!D544),""))</x:f>
        <x:v>0.008169252326900571</x:v>
      </x:c>
      <x:c r="C544" s="7" t="n">
        <x:f>IF(AND(ISNUMBER(B544),'요약'!$B$19),B544-'요약'!$B$7,"")</x:f>
        <x:v>0.008217491653950072</x:v>
      </x:c>
      <x:c r="D544" s="7" t="n">
        <x:f>IF(ISNUMBER(C544),C544^2,"")</x:f>
        <x:v>0.00006752716908273908</x:v>
      </x:c>
      <x:c r="E544" s="15" t="n">
        <x:f>IF(ISNUMBER(C544),C544^3,"")</x:f>
        <x:v>5.549039483522838e-7</x:v>
      </x:c>
      <x:c r="F544" s="15" t="n">
        <x:f>IF(ISNUMBER(C544),C544^4,"")</x:f>
        <x:v>4.559918564328833e-9</x:v>
      </x:c>
      <x:c r="G544" s="7" t="n">
        <x:f>IF(ISNUMBER(B544),ABS(B544),"")</x:f>
        <x:v>0.008169252326900571</x:v>
      </x:c>
      <x:c r="H544" s="7" t="n">
        <x:f>IF(ISNUMBER(B544),B544^2,"")</x:f>
        <x:v>0.0000667366835805704</x:v>
      </x:c>
      <x:c r="I544" s="7" t="n">
        <x:f>IF(AND(ISNUMBER(G544),'요약'!$B$19),G544-'요약'!$B$14,"")</x:f>
        <x:v>0.00015573569949771555</x:v>
      </x:c>
      <x:c r="J544" s="7" t="n">
        <x:f>IF(AND(ISNUMBER(H544),'요약'!$B$19),H544-'요약'!$B$15,"")</x:f>
        <x:v>-0.00003547301560552171</x:v>
      </x:c>
      <x:c r="K544" t="str">
        <x:f>IF(ISNUMBER(B544),IF('Hill'!$B$4=1,IF(B544&lt;0,-B544,""),IF('Hill'!$B$4=2,IF(B544&gt;0,B544,""),IF('Hill'!$B$4=3,IF(B544&lt;&gt;0,ABS(B544),""),""))),"")</x:f>
      </x:c>
    </x:row>
    <x:row r="545">
      <x:c r="A545" t="n">
        <x:f>544</x:f>
        <x:v>544</x:v>
      </x:c>
      <x:c r="B545" s="7" t="n">
        <x:f>IF('요약'!$B$4=4,IF(ISNUMBER('input'!A545),'input'!A545,""),IF(544&lt;=1000,CHOOSE('요약'!$B$4,'input'!B545,'input'!C545,'input'!D545),""))</x:f>
        <x:v>0.013477353707385998</x:v>
      </x:c>
      <x:c r="C545" s="7" t="n">
        <x:f>IF(AND(ISNUMBER(B545),'요약'!$B$19),B545-'요약'!$B$7,"")</x:f>
        <x:v>0.013525593034435499</x:v>
      </x:c>
      <x:c r="D545" s="7" t="n">
        <x:f>IF(ISNUMBER(C545),C545^2,"")</x:f>
        <x:v>0.0001829416669331701</x:v>
      </x:c>
      <x:c r="E545" s="15" t="n">
        <x:f>IF(ISNUMBER(C545),C545^3,"")</x:f>
        <x:v>0.000002474394535979304</x:v>
      </x:c>
      <x:c r="F545" s="15" t="n">
        <x:f>IF(ISNUMBER(C545),C545^4,"")</x:f>
        <x:v>3.346765350028693e-8</x:v>
      </x:c>
      <x:c r="G545" s="7" t="n">
        <x:f>IF(ISNUMBER(B545),ABS(B545),"")</x:f>
        <x:v>0.013477353707385998</x:v>
      </x:c>
      <x:c r="H545" s="7" t="n">
        <x:f>IF(ISNUMBER(B545),B545^2,"")</x:f>
        <x:v>0.0001816390629539911</x:v>
      </x:c>
      <x:c r="I545" s="7" t="n">
        <x:f>IF(AND(ISNUMBER(G545),'요약'!$B$19),G545-'요약'!$B$14,"")</x:f>
        <x:v>0.0054638370799831425</x:v>
      </x:c>
      <x:c r="J545" s="7" t="n">
        <x:f>IF(AND(ISNUMBER(H545),'요약'!$B$19),H545-'요약'!$B$15,"")</x:f>
        <x:v>0.000079429363767899</x:v>
      </x:c>
      <x:c r="K545" t="str">
        <x:f>IF(ISNUMBER(B545),IF('Hill'!$B$4=1,IF(B545&lt;0,-B545,""),IF('Hill'!$B$4=2,IF(B545&gt;0,B545,""),IF('Hill'!$B$4=3,IF(B545&lt;&gt;0,ABS(B545),""),""))),"")</x:f>
      </x:c>
    </x:row>
    <x:row r="546">
      <x:c r="A546" t="n">
        <x:f>545</x:f>
        <x:v>545</x:v>
      </x:c>
      <x:c r="B546" s="7" t="n">
        <x:f>IF('요약'!$B$4=4,IF(ISNUMBER('input'!A546),'input'!A546,""),IF(545&lt;=1000,CHOOSE('요약'!$B$4,'input'!B546,'input'!C546,'input'!D546),""))</x:f>
        <x:v>-0.010512687699501049</x:v>
      </x:c>
      <x:c r="C546" s="7" t="n">
        <x:f>IF(AND(ISNUMBER(B546),'요약'!$B$19),B546-'요약'!$B$7,"")</x:f>
        <x:v>-0.010464448372451548</x:v>
      </x:c>
      <x:c r="D546" s="7" t="n">
        <x:f>IF(ISNUMBER(C546),C546^2,"")</x:f>
        <x:v>0.00010950467973970386</x:v>
      </x:c>
      <x:c r="E546" s="15" t="n">
        <x:f>IF(ISNUMBER(C546),C546^3,"")</x:f>
        <x:v>-0.0000011459060676779722</x:v>
      </x:c>
      <x:c r="F546" s="15" t="n">
        <x:f>IF(ISNUMBER(C546),C546^4,"")</x:f>
        <x:v>1.1991274884895108e-8</x:v>
      </x:c>
      <x:c r="G546" s="7" t="n">
        <x:f>IF(ISNUMBER(B546),ABS(B546),"")</x:f>
        <x:v>0.010512687699501049</x:v>
      </x:c>
      <x:c r="H546" s="7" t="n">
        <x:f>IF(ISNUMBER(B546),B546^2,"")</x:f>
        <x:v>0.00011051660266724065</x:v>
      </x:c>
      <x:c r="I546" s="7" t="n">
        <x:f>IF(AND(ISNUMBER(G546),'요약'!$B$19),G546-'요약'!$B$14,"")</x:f>
        <x:v>0.0024991710720981934</x:v>
      </x:c>
      <x:c r="J546" s="7" t="n">
        <x:f>IF(AND(ISNUMBER(H546),'요약'!$B$19),H546-'요약'!$B$15,"")</x:f>
        <x:v>0.00000830690348114855</x:v>
      </x:c>
      <x:c r="K546" t="n">
        <x:f>IF(ISNUMBER(B546),IF('Hill'!$B$4=1,IF(B546&lt;0,-B546,""),IF('Hill'!$B$4=2,IF(B546&gt;0,B546,""),IF('Hill'!$B$4=3,IF(B546&lt;&gt;0,ABS(B546),""),""))),"")</x:f>
        <x:v>0.010512687699501049</x:v>
      </x:c>
    </x:row>
    <x:row r="547">
      <x:c r="A547" t="n">
        <x:f>546</x:f>
        <x:v>546</x:v>
      </x:c>
      <x:c r="B547" s="7" t="n">
        <x:f>IF('요약'!$B$4=4,IF(ISNUMBER('input'!A547),'input'!A547,""),IF(546&lt;=1000,CHOOSE('요약'!$B$4,'input'!B547,'input'!C547,'input'!D547),""))</x:f>
        <x:v>0.0135061583906923</x:v>
      </x:c>
      <x:c r="C547" s="7" t="n">
        <x:f>IF(AND(ISNUMBER(B547),'요약'!$B$19),B547-'요약'!$B$7,"")</x:f>
        <x:v>0.013554397717741801</x:v>
      </x:c>
      <x:c r="D547" s="7" t="n">
        <x:f>IF(ISNUMBER(C547),C547^2,"")</x:f>
        <x:v>0.00018372169749072414</x:v>
      </x:c>
      <x:c r="E547" s="15" t="n">
        <x:f>IF(ISNUMBER(C547),C547^3,"")</x:f>
        <x:v>0.000002490236957167921</x:v>
      </x:c>
      <x:c r="F547" s="15" t="n">
        <x:f>IF(ISNUMBER(C547),C547^4,"")</x:f>
        <x:v>3.3753662128873155e-8</x:v>
      </x:c>
      <x:c r="G547" s="7" t="n">
        <x:f>IF(ISNUMBER(B547),ABS(B547),"")</x:f>
        <x:v>0.0135061583906923</x:v>
      </x:c>
      <x:c r="H547" s="7" t="n">
        <x:f>IF(ISNUMBER(B547),B547^2,"")</x:f>
        <x:v>0.00018241631447446803</x:v>
      </x:c>
      <x:c r="I547" s="7" t="n">
        <x:f>IF(AND(ISNUMBER(G547),'요약'!$B$19),G547-'요약'!$B$14,"")</x:f>
        <x:v>0.005492641763289445</x:v>
      </x:c>
      <x:c r="J547" s="7" t="n">
        <x:f>IF(AND(ISNUMBER(H547),'요약'!$B$19),H547-'요약'!$B$15,"")</x:f>
        <x:v>0.00008020661528837592</x:v>
      </x:c>
      <x:c r="K547" t="str">
        <x:f>IF(ISNUMBER(B547),IF('Hill'!$B$4=1,IF(B547&lt;0,-B547,""),IF('Hill'!$B$4=2,IF(B547&gt;0,B547,""),IF('Hill'!$B$4=3,IF(B547&lt;&gt;0,ABS(B547),""),""))),"")</x:f>
      </x:c>
    </x:row>
    <x:row r="548">
      <x:c r="A548" t="n">
        <x:f>547</x:f>
        <x:v>547</x:v>
      </x:c>
      <x:c r="B548" s="7" t="n">
        <x:f>IF('요약'!$B$4=4,IF(ISNUMBER('input'!A548),'input'!A548,""),IF(547&lt;=1000,CHOOSE('요약'!$B$4,'input'!B548,'input'!C548,'input'!D548),""))</x:f>
        <x:v>-0.016986206291626664</x:v>
      </x:c>
      <x:c r="C548" s="7" t="n">
        <x:f>IF(AND(ISNUMBER(B548),'요약'!$B$19),B548-'요약'!$B$7,"")</x:f>
        <x:v>-0.016937966964577163</x:v>
      </x:c>
      <x:c r="D548" s="7" t="n">
        <x:f>IF(ISNUMBER(C548),C548^2,"")</x:f>
        <x:v>0.00028689472489310734</x:v>
      </x:c>
      <x:c r="E548" s="15" t="n">
        <x:f>IF(ISNUMBER(C548),C548^3,"")</x:f>
        <x:v>-0.000004859413372550905</x:v>
      </x:c>
      <x:c r="F548" s="15" t="n">
        <x:f>IF(ISNUMBER(C548),C548^4,"")</x:f>
        <x:v>8.230858317149174e-8</x:v>
      </x:c>
      <x:c r="G548" s="7" t="n">
        <x:f>IF(ISNUMBER(B548),ABS(B548),"")</x:f>
        <x:v>0.016986206291626664</x:v>
      </x:c>
      <x:c r="H548" s="7" t="n">
        <x:f>IF(ISNUMBER(B548),B548^2,"")</x:f>
        <x:v>0.0002885312041816973</x:v>
      </x:c>
      <x:c r="I548" s="7" t="n">
        <x:f>IF(AND(ISNUMBER(G548),'요약'!$B$19),G548-'요약'!$B$14,"")</x:f>
        <x:v>0.008972689664223809</x:v>
      </x:c>
      <x:c r="J548" s="7" t="n">
        <x:f>IF(AND(ISNUMBER(H548),'요약'!$B$19),H548-'요약'!$B$15,"")</x:f>
        <x:v>0.00018632150499560518</x:v>
      </x:c>
      <x:c r="K548" t="n">
        <x:f>IF(ISNUMBER(B548),IF('Hill'!$B$4=1,IF(B548&lt;0,-B548,""),IF('Hill'!$B$4=2,IF(B548&gt;0,B548,""),IF('Hill'!$B$4=3,IF(B548&lt;&gt;0,ABS(B548),""),""))),"")</x:f>
        <x:v>0.016986206291626664</x:v>
      </x:c>
    </x:row>
    <x:row r="549">
      <x:c r="A549" t="n">
        <x:f>548</x:f>
        <x:v>548</x:v>
      </x:c>
      <x:c r="B549" s="7" t="n">
        <x:f>IF('요약'!$B$4=4,IF(ISNUMBER('input'!A549),'input'!A549,""),IF(548&lt;=1000,CHOOSE('요약'!$B$4,'input'!B549,'input'!C549,'input'!D549),""))</x:f>
        <x:v>-0.013500013955213736</x:v>
      </x:c>
      <x:c r="C549" s="7" t="n">
        <x:f>IF(AND(ISNUMBER(B549),'요약'!$B$19),B549-'요약'!$B$7,"")</x:f>
        <x:v>-0.013451774628164236</x:v>
      </x:c>
      <x:c r="D549" s="7" t="n">
        <x:f>IF(ISNUMBER(C549),C549^2,"")</x:f>
        <x:v>0.00018095024064692305</x:v>
      </x:c>
      <x:c r="E549" s="15" t="n">
        <x:f>IF(ISNUMBER(C549),C549^3,"")</x:f>
        <x:v>-0.0000024341018560944925</x:v>
      </x:c>
      <x:c r="F549" s="15" t="n">
        <x:f>IF(ISNUMBER(C549),C549^4,"")</x:f>
        <x:v>3.274298959017937e-8</x:v>
      </x:c>
      <x:c r="G549" s="7" t="n">
        <x:f>IF(ISNUMBER(B549),ABS(B549),"")</x:f>
        <x:v>0.013500013955213736</x:v>
      </x:c>
      <x:c r="H549" s="7" t="n">
        <x:f>IF(ISNUMBER(B549),B549^2,"")</x:f>
        <x:v>0.00018225037679096563</x:v>
      </x:c>
      <x:c r="I549" s="7" t="n">
        <x:f>IF(AND(ISNUMBER(G549),'요약'!$B$19),G549-'요약'!$B$14,"")</x:f>
        <x:v>0.005486497327810881</x:v>
      </x:c>
      <x:c r="J549" s="7" t="n">
        <x:f>IF(AND(ISNUMBER(H549),'요약'!$B$19),H549-'요약'!$B$15,"")</x:f>
        <x:v>0.00008004067760487352</x:v>
      </x:c>
      <x:c r="K549" t="n">
        <x:f>IF(ISNUMBER(B549),IF('Hill'!$B$4=1,IF(B549&lt;0,-B549,""),IF('Hill'!$B$4=2,IF(B549&gt;0,B549,""),IF('Hill'!$B$4=3,IF(B549&lt;&gt;0,ABS(B549),""),""))),"")</x:f>
        <x:v>0.013500013955213736</x:v>
      </x:c>
    </x:row>
    <x:row r="550">
      <x:c r="A550" t="n">
        <x:f>549</x:f>
        <x:v>549</x:v>
      </x:c>
      <x:c r="B550" s="7" t="n">
        <x:f>IF('요약'!$B$4=4,IF(ISNUMBER('input'!A550),'input'!A550,""),IF(549&lt;=1000,CHOOSE('요약'!$B$4,'input'!B550,'input'!C550,'input'!D550),""))</x:f>
        <x:v>0.004063779876733525</x:v>
      </x:c>
      <x:c r="C550" s="7" t="n">
        <x:f>IF(AND(ISNUMBER(B550),'요약'!$B$19),B550-'요약'!$B$7,"")</x:f>
        <x:v>0.004112019203783027</x:v>
      </x:c>
      <x:c r="D550" s="7" t="n">
        <x:f>IF(ISNUMBER(C550),C550^2,"")</x:f>
        <x:v>0.000016908701932280395</x:v>
      </x:c>
      <x:c r="E550" s="15" t="n">
        <x:f>IF(ISNUMBER(C550),C550^3,"")</x:f>
        <x:v>6.952890705658017e-8</x:v>
      </x:c>
      <x:c r="F550" s="15" t="n">
        <x:f>IF(ISNUMBER(C550),C550^4,"")</x:f>
        <x:v>2.859042010347028e-10</x:v>
      </x:c>
      <x:c r="G550" s="7" t="n">
        <x:f>IF(ISNUMBER(B550),ABS(B550),"")</x:f>
        <x:v>0.004063779876733525</x:v>
      </x:c>
      <x:c r="H550" s="7" t="n">
        <x:f>IF(ISNUMBER(B550),B550^2,"")</x:f>
        <x:v>0.000016514306886544346</x:v>
      </x:c>
      <x:c r="I550" s="7" t="n">
        <x:f>IF(AND(ISNUMBER(G550),'요약'!$B$19),G550-'요약'!$B$14,"")</x:f>
        <x:v>-0.00394973675066933</x:v>
      </x:c>
      <x:c r="J550" s="7" t="n">
        <x:f>IF(AND(ISNUMBER(H550),'요약'!$B$19),H550-'요약'!$B$15,"")</x:f>
        <x:v>-0.00008569539229954776</x:v>
      </x:c>
      <x:c r="K550" t="str">
        <x:f>IF(ISNUMBER(B550),IF('Hill'!$B$4=1,IF(B550&lt;0,-B550,""),IF('Hill'!$B$4=2,IF(B550&gt;0,B550,""),IF('Hill'!$B$4=3,IF(B550&lt;&gt;0,ABS(B550),""),""))),"")</x:f>
      </x:c>
    </x:row>
    <x:row r="551">
      <x:c r="A551" t="n">
        <x:f>550</x:f>
        <x:v>550</x:v>
      </x:c>
      <x:c r="B551" s="7" t="n">
        <x:f>IF('요약'!$B$4=4,IF(ISNUMBER('input'!A551),'input'!A551,""),IF(550&lt;=1000,CHOOSE('요약'!$B$4,'input'!B551,'input'!C551,'input'!D551),""))</x:f>
        <x:v>0.021063739546455323</x:v>
      </x:c>
      <x:c r="C551" s="7" t="n">
        <x:f>IF(AND(ISNUMBER(B551),'요약'!$B$19),B551-'요약'!$B$7,"")</x:f>
        <x:v>0.021111978873504824</x:v>
      </x:c>
      <x:c r="D551" s="7" t="n">
        <x:f>IF(ISNUMBER(C551),C551^2,"")</x:f>
        <x:v>0.000445715651955314</x:v>
      </x:c>
      <x:c r="E551" s="15" t="n">
        <x:f>IF(ISNUMBER(C551),C551^3,"")</x:f>
        <x:v>0.000009409939427671019</x:v>
      </x:c>
      <x:c r="F551" s="15" t="n">
        <x:f>IF(ISNUMBER(C551),C551^4,"")</x:f>
        <x:v>1.986624423979506e-7</x:v>
      </x:c>
      <x:c r="G551" s="7" t="n">
        <x:f>IF(ISNUMBER(B551),ABS(B551),"")</x:f>
        <x:v>0.021063739546455323</x:v>
      </x:c>
      <x:c r="H551" s="7" t="n">
        <x:f>IF(ISNUMBER(B551),B551^2,"")</x:f>
        <x:v>0.0004436811236809059</x:v>
      </x:c>
      <x:c r="I551" s="7" t="n">
        <x:f>IF(AND(ISNUMBER(G551),'요약'!$B$19),G551-'요약'!$B$14,"")</x:f>
        <x:v>0.013050222919052468</x:v>
      </x:c>
      <x:c r="J551" s="7" t="n">
        <x:f>IF(AND(ISNUMBER(H551),'요약'!$B$19),H551-'요약'!$B$15,"")</x:f>
        <x:v>0.00034147142449481385</x:v>
      </x:c>
      <x:c r="K551" t="str">
        <x:f>IF(ISNUMBER(B551),IF('Hill'!$B$4=1,IF(B551&lt;0,-B551,""),IF('Hill'!$B$4=2,IF(B551&gt;0,B551,""),IF('Hill'!$B$4=3,IF(B551&lt;&gt;0,ABS(B551),""),""))),"")</x:f>
      </x:c>
    </x:row>
    <x:row r="552">
      <x:c r="A552" t="n">
        <x:f>551</x:f>
        <x:v>551</x:v>
      </x:c>
      <x:c r="B552" s="7" t="n">
        <x:f>IF('요약'!$B$4=4,IF(ISNUMBER('input'!A552),'input'!A552,""),IF(551&lt;=1000,CHOOSE('요약'!$B$4,'input'!B552,'input'!C552,'input'!D552),""))</x:f>
        <x:v>-0.0030788007841164888</x:v>
      </x:c>
      <x:c r="C552" s="7" t="n">
        <x:f>IF(AND(ISNUMBER(B552),'요약'!$B$19),B552-'요약'!$B$7,"")</x:f>
        <x:v>-0.0030305614570669873</x:v>
      </x:c>
      <x:c r="D552" s="7" t="n">
        <x:f>IF(ISNUMBER(C552),C552^2,"")</x:f>
        <x:v>0.00000918430274505998</x:v>
      </x:c>
      <x:c r="E552" s="15" t="n">
        <x:f>IF(ISNUMBER(C552),C552^3,"")</x:f>
        <x:v>-2.7833593909213307e-8</x:v>
      </x:c>
      <x:c r="F552" s="15" t="n">
        <x:f>IF(ISNUMBER(C552),C552^4,"")</x:f>
        <x:v>8.435141691291631e-11</x:v>
      </x:c>
      <x:c r="G552" s="7" t="n">
        <x:f>IF(ISNUMBER(B552),ABS(B552),"")</x:f>
        <x:v>0.0030788007841164888</x:v>
      </x:c>
      <x:c r="H552" s="7" t="n">
        <x:f>IF(ISNUMBER(B552),B552^2,"")</x:f>
        <x:v>0.000009479014268276305</x:v>
      </x:c>
      <x:c r="I552" s="7" t="n">
        <x:f>IF(AND(ISNUMBER(G552),'요약'!$B$19),G552-'요약'!$B$14,"")</x:f>
        <x:v>-0.004934715843286367</x:v>
      </x:c>
      <x:c r="J552" s="7" t="n">
        <x:f>IF(AND(ISNUMBER(H552),'요약'!$B$19),H552-'요약'!$B$15,"")</x:f>
        <x:v>-0.0000927306849178158</x:v>
      </x:c>
      <x:c r="K552" t="n">
        <x:f>IF(ISNUMBER(B552),IF('Hill'!$B$4=1,IF(B552&lt;0,-B552,""),IF('Hill'!$B$4=2,IF(B552&gt;0,B552,""),IF('Hill'!$B$4=3,IF(B552&lt;&gt;0,ABS(B552),""),""))),"")</x:f>
        <x:v>0.0030788007841164888</x:v>
      </x:c>
    </x:row>
    <x:row r="553">
      <x:c r="A553" t="n">
        <x:f>552</x:f>
        <x:v>552</x:v>
      </x:c>
      <x:c r="B553" s="7" t="n">
        <x:f>IF('요약'!$B$4=4,IF(ISNUMBER('input'!A553),'input'!A553,""),IF(552&lt;=1000,CHOOSE('요약'!$B$4,'input'!B553,'input'!C553,'input'!D553),""))</x:f>
        <x:v>-0.006234856743304114</x:v>
      </x:c>
      <x:c r="C553" s="7" t="n">
        <x:f>IF(AND(ISNUMBER(B553),'요약'!$B$19),B553-'요약'!$B$7,"")</x:f>
        <x:v>-0.0061866174162546125</x:v>
      </x:c>
      <x:c r="D553" s="7" t="n">
        <x:f>IF(ISNUMBER(C553),C553^2,"")</x:f>
        <x:v>0.000038274235055104897</x:v>
      </x:c>
      <x:c r="E553" s="15" t="n">
        <x:f>IF(ISNUMBER(C553),C553^3,"")</x:f>
        <x:v>-2.3678804918573477e-7</x:v>
      </x:c>
      <x:c r="F553" s="15" t="n">
        <x:f>IF(ISNUMBER(C553),C553^4,"")</x:f>
        <x:v>1.4649170690534205e-9</x:v>
      </x:c>
      <x:c r="G553" s="7" t="n">
        <x:f>IF(ISNUMBER(B553),ABS(B553),"")</x:f>
        <x:v>0.006234856743304114</x:v>
      </x:c>
      <x:c r="H553" s="7" t="n">
        <x:f>IF(ISNUMBER(B553),B553^2,"")</x:f>
        <x:v>0.000038873438609524784</x:v>
      </x:c>
      <x:c r="I553" s="7" t="n">
        <x:f>IF(AND(ISNUMBER(G553),'요약'!$B$19),G553-'요약'!$B$14,"")</x:f>
        <x:v>-0.0017786598840987414</x:v>
      </x:c>
      <x:c r="J553" s="7" t="n">
        <x:f>IF(AND(ISNUMBER(H553),'요약'!$B$19),H553-'요약'!$B$15,"")</x:f>
        <x:v>-0.00006333626057656731</x:v>
      </x:c>
      <x:c r="K553" t="n">
        <x:f>IF(ISNUMBER(B553),IF('Hill'!$B$4=1,IF(B553&lt;0,-B553,""),IF('Hill'!$B$4=2,IF(B553&gt;0,B553,""),IF('Hill'!$B$4=3,IF(B553&lt;&gt;0,ABS(B553),""),""))),"")</x:f>
        <x:v>0.006234856743304114</x:v>
      </x:c>
    </x:row>
    <x:row r="554">
      <x:c r="A554" t="n">
        <x:f>553</x:f>
        <x:v>553</x:v>
      </x:c>
      <x:c r="B554" s="7" t="n">
        <x:f>IF('요약'!$B$4=4,IF(ISNUMBER('input'!A554),'input'!A554,""),IF(553&lt;=1000,CHOOSE('요약'!$B$4,'input'!B554,'input'!C554,'input'!D554),""))</x:f>
        <x:v>0.010543252899100033</x:v>
      </x:c>
      <x:c r="C554" s="7" t="n">
        <x:f>IF(AND(ISNUMBER(B554),'요약'!$B$19),B554-'요약'!$B$7,"")</x:f>
        <x:v>0.010591492226149534</x:v>
      </x:c>
      <x:c r="D554" s="7" t="n">
        <x:f>IF(ISNUMBER(C554),C554^2,"")</x:f>
        <x:v>0.00011217970757658601</x:v>
      </x:c>
      <x:c r="E554" s="15" t="n">
        <x:f>IF(ISNUMBER(C554),C554^3,"")</x:f>
        <x:v>0.0000011881505007291388</x:v>
      </x:c>
      <x:c r="F554" s="15" t="n">
        <x:f>IF(ISNUMBER(C554),C554^4,"")</x:f>
        <x:v>1.258428679196835e-8</x:v>
      </x:c>
      <x:c r="G554" s="7" t="n">
        <x:f>IF(ISNUMBER(B554),ABS(B554),"")</x:f>
        <x:v>0.010543252899100033</x:v>
      </x:c>
      <x:c r="H554" s="7" t="n">
        <x:f>IF(ISNUMBER(B554),B554^2,"")</x:f>
        <x:v>0.00011116018169438126</x:v>
      </x:c>
      <x:c r="I554" s="7" t="n">
        <x:f>IF(AND(ISNUMBER(G554),'요약'!$B$19),G554-'요약'!$B$14,"")</x:f>
        <x:v>0.002529736271697178</x:v>
      </x:c>
      <x:c r="J554" s="7" t="n">
        <x:f>IF(AND(ISNUMBER(H554),'요약'!$B$19),H554-'요약'!$B$15,"")</x:f>
        <x:v>0.000008950482508289156</x:v>
      </x:c>
      <x:c r="K554" t="str">
        <x:f>IF(ISNUMBER(B554),IF('Hill'!$B$4=1,IF(B554&lt;0,-B554,""),IF('Hill'!$B$4=2,IF(B554&gt;0,B554,""),IF('Hill'!$B$4=3,IF(B554&lt;&gt;0,ABS(B554),""),""))),"")</x:f>
      </x:c>
    </x:row>
    <x:row r="555">
      <x:c r="A555" t="n">
        <x:f>554</x:f>
        <x:v>554</x:v>
      </x:c>
      <x:c r="B555" s="7" t="n">
        <x:f>IF('요약'!$B$4=4,IF(ISNUMBER('input'!A555),'input'!A555,""),IF(554&lt;=1000,CHOOSE('요약'!$B$4,'input'!B555,'input'!C555,'input'!D555),""))</x:f>
        <x:v>0.017659339221312218</x:v>
      </x:c>
      <x:c r="C555" s="7" t="n">
        <x:f>IF(AND(ISNUMBER(B555),'요약'!$B$19),B555-'요약'!$B$7,"")</x:f>
        <x:v>0.01770757854836172</x:v>
      </x:c>
      <x:c r="D555" s="7" t="n">
        <x:f>IF(ISNUMBER(C555),C555^2,"")</x:f>
        <x:v>0.00031355833804640014</x:v>
      </x:c>
      <x:c r="E555" s="15" t="n">
        <x:f>IF(ISNUMBER(C555),C555^3,"")</x:f>
        <x:v>0.000005552358900450387</x:v>
      </x:c>
      <x:c r="F555" s="15" t="n">
        <x:f>IF(ISNUMBER(C555),C555^4,"")</x:f>
        <x:v>9.831883135842053e-8</x:v>
      </x:c>
      <x:c r="G555" s="7" t="n">
        <x:f>IF(ISNUMBER(B555),ABS(B555),"")</x:f>
        <x:v>0.017659339221312218</x:v>
      </x:c>
      <x:c r="H555" s="7" t="n">
        <x:f>IF(ISNUMBER(B555),B555^2,"")</x:f>
        <x:v>0.000311852261733376</x:v>
      </x:c>
      <x:c r="I555" s="7" t="n">
        <x:f>IF(AND(ISNUMBER(G555),'요약'!$B$19),G555-'요약'!$B$14,"")</x:f>
        <x:v>0.009645822593909363</x:v>
      </x:c>
      <x:c r="J555" s="7" t="n">
        <x:f>IF(AND(ISNUMBER(H555),'요약'!$B$19),H555-'요약'!$B$15,"")</x:f>
        <x:v>0.0002096425625472839</x:v>
      </x:c>
      <x:c r="K555" t="str">
        <x:f>IF(ISNUMBER(B555),IF('Hill'!$B$4=1,IF(B555&lt;0,-B555,""),IF('Hill'!$B$4=2,IF(B555&gt;0,B555,""),IF('Hill'!$B$4=3,IF(B555&lt;&gt;0,ABS(B555),""),""))),"")</x:f>
      </x:c>
    </x:row>
    <x:row r="556">
      <x:c r="A556" t="n">
        <x:f>555</x:f>
        <x:v>555</x:v>
      </x:c>
      <x:c r="B556" s="7" t="n">
        <x:f>IF('요약'!$B$4=4,IF(ISNUMBER('input'!A556),'input'!A556,""),IF(555&lt;=1000,CHOOSE('요약'!$B$4,'input'!B556,'input'!C556,'input'!D556),""))</x:f>
        <x:v>-0.003507510065242051</x:v>
      </x:c>
      <x:c r="C556" s="7" t="n">
        <x:f>IF(AND(ISNUMBER(B556),'요약'!$B$19),B556-'요약'!$B$7,"")</x:f>
        <x:v>-0.0034592707381925496</x:v>
      </x:c>
      <x:c r="D556" s="7" t="n">
        <x:f>IF(ISNUMBER(C556),C556^2,"")</x:f>
        <x:v>0.000011966554040115227</x:v>
      </x:c>
      <x:c r="E556" s="15" t="n">
        <x:f>IF(ISNUMBER(C556),C556^3,"")</x:f>
        <x:v>-4.139555022797044e-8</x:v>
      </x:c>
      <x:c r="F556" s="15" t="n">
        <x:f>IF(ISNUMBER(C556),C556^4,"")</x:f>
        <x:v>1.4319841559499805e-10</x:v>
      </x:c>
      <x:c r="G556" s="7" t="n">
        <x:f>IF(ISNUMBER(B556),ABS(B556),"")</x:f>
        <x:v>0.003507510065242051</x:v>
      </x:c>
      <x:c r="H556" s="7" t="n">
        <x:f>IF(ISNUMBER(B556),B556^2,"")</x:f>
        <x:v>0.000012302626857774297</x:v>
      </x:c>
      <x:c r="I556" s="7" t="n">
        <x:f>IF(AND(ISNUMBER(G556),'요약'!$B$19),G556-'요약'!$B$14,"")</x:f>
        <x:v>-0.004506006562160804</x:v>
      </x:c>
      <x:c r="J556" s="7" t="n">
        <x:f>IF(AND(ISNUMBER(H556),'요약'!$B$19),H556-'요약'!$B$15,"")</x:f>
        <x:v>-0.0000899070723283178</x:v>
      </x:c>
      <x:c r="K556" t="n">
        <x:f>IF(ISNUMBER(B556),IF('Hill'!$B$4=1,IF(B556&lt;0,-B556,""),IF('Hill'!$B$4=2,IF(B556&gt;0,B556,""),IF('Hill'!$B$4=3,IF(B556&lt;&gt;0,ABS(B556),""),""))),"")</x:f>
        <x:v>0.003507510065242051</x:v>
      </x:c>
    </x:row>
    <x:row r="557">
      <x:c r="A557" t="n">
        <x:f>556</x:f>
        <x:v>556</x:v>
      </x:c>
      <x:c r="B557" s="7" t="n">
        <x:f>IF('요약'!$B$4=4,IF(ISNUMBER('input'!A557),'input'!A557,""),IF(556&lt;=1000,CHOOSE('요약'!$B$4,'input'!B557,'input'!C557,'input'!D557),""))</x:f>
        <x:v>0.0037393433277593093</x:v>
      </x:c>
      <x:c r="C557" s="7" t="n">
        <x:f>IF(AND(ISNUMBER(B557),'요약'!$B$19),B557-'요약'!$B$7,"")</x:f>
        <x:v>0.0037875826548088107</x:v>
      </x:c>
      <x:c r="D557" s="7" t="n">
        <x:f>IF(ISNUMBER(C557),C557^2,"")</x:f>
        <x:v>0.00001434578236700856</x:v>
      </x:c>
      <x:c r="E557" s="15" t="n">
        <x:f>IF(ISNUMBER(C557),C557^3,"")</x:f>
        <x:v>5.4335836462943705e-8</x:v>
      </x:c>
      <x:c r="F557" s="15" t="n">
        <x:f>IF(ISNUMBER(C557),C557^4,"")</x:f>
        <x:v>2.058014717215737e-10</x:v>
      </x:c>
      <x:c r="G557" s="7" t="n">
        <x:f>IF(ISNUMBER(B557),ABS(B557),"")</x:f>
        <x:v>0.0037393433277593093</x:v>
      </x:c>
      <x:c r="H557" s="7" t="n">
        <x:f>IF(ISNUMBER(B557),B557^2,"")</x:f>
        <x:v>0.000013982688522858064</x:v>
      </x:c>
      <x:c r="I557" s="7" t="n">
        <x:f>IF(AND(ISNUMBER(G557),'요약'!$B$19),G557-'요약'!$B$14,"")</x:f>
        <x:v>-0.004274173299643546</x:v>
      </x:c>
      <x:c r="J557" s="7" t="n">
        <x:f>IF(AND(ISNUMBER(H557),'요약'!$B$19),H557-'요약'!$B$15,"")</x:f>
        <x:v>-0.00008822701066323404</x:v>
      </x:c>
      <x:c r="K557" t="str">
        <x:f>IF(ISNUMBER(B557),IF('Hill'!$B$4=1,IF(B557&lt;0,-B557,""),IF('Hill'!$B$4=2,IF(B557&gt;0,B557,""),IF('Hill'!$B$4=3,IF(B557&lt;&gt;0,ABS(B557),""),""))),"")</x:f>
      </x:c>
    </x:row>
    <x:row r="558">
      <x:c r="A558" t="n">
        <x:f>557</x:f>
        <x:v>557</x:v>
      </x:c>
      <x:c r="B558" s="7" t="n">
        <x:f>IF('요약'!$B$4=4,IF(ISNUMBER('input'!A558),'input'!A558,""),IF(557&lt;=1000,CHOOSE('요약'!$B$4,'input'!B558,'input'!C558,'input'!D558),""))</x:f>
        <x:v>-0.021828405847360836</x:v>
      </x:c>
      <x:c r="C558" s="7" t="n">
        <x:f>IF(AND(ISNUMBER(B558),'요약'!$B$19),B558-'요약'!$B$7,"")</x:f>
        <x:v>-0.021780166520311336</x:v>
      </x:c>
      <x:c r="D558" s="7" t="n">
        <x:f>IF(ISNUMBER(C558),C558^2,"")</x:f>
        <x:v>0.00047437565365249083</x:v>
      </x:c>
      <x:c r="E558" s="15" t="n">
        <x:f>IF(ISNUMBER(C558),C558^3,"")</x:f>
        <x:v>-0.000010331980729732786</x:v>
      </x:c>
      <x:c r="F558" s="15" t="n">
        <x:f>IF(ISNUMBER(C558),C558^4,"")</x:f>
        <x:v>2.2503226077822792e-7</x:v>
      </x:c>
      <x:c r="G558" s="7" t="n">
        <x:f>IF(ISNUMBER(B558),ABS(B558),"")</x:f>
        <x:v>0.021828405847360836</x:v>
      </x:c>
      <x:c r="H558" s="7" t="n">
        <x:f>IF(ISNUMBER(B558),B558^2,"")</x:f>
        <x:v>0.00047647930183709674</x:v>
      </x:c>
      <x:c r="I558" s="7" t="n">
        <x:f>IF(AND(ISNUMBER(G558),'요약'!$B$19),G558-'요약'!$B$14,"")</x:f>
        <x:v>0.013814889219957981</x:v>
      </x:c>
      <x:c r="J558" s="7" t="n">
        <x:f>IF(AND(ISNUMBER(H558),'요약'!$B$19),H558-'요약'!$B$15,"")</x:f>
        <x:v>0.0003742696026510046</x:v>
      </x:c>
      <x:c r="K558" t="n">
        <x:f>IF(ISNUMBER(B558),IF('Hill'!$B$4=1,IF(B558&lt;0,-B558,""),IF('Hill'!$B$4=2,IF(B558&gt;0,B558,""),IF('Hill'!$B$4=3,IF(B558&lt;&gt;0,ABS(B558),""),""))),"")</x:f>
        <x:v>0.021828405847360836</x:v>
      </x:c>
    </x:row>
    <x:row r="559">
      <x:c r="A559" t="n">
        <x:f>558</x:f>
        <x:v>558</x:v>
      </x:c>
      <x:c r="B559" s="7" t="n">
        <x:f>IF('요약'!$B$4=4,IF(ISNUMBER('input'!A559),'input'!A559,""),IF(558&lt;=1000,CHOOSE('요약'!$B$4,'input'!B559,'input'!C559,'input'!D559),""))</x:f>
        <x:v>-0.009638241576567513</x:v>
      </x:c>
      <x:c r="C559" s="7" t="n">
        <x:f>IF(AND(ISNUMBER(B559),'요약'!$B$19),B559-'요약'!$B$7,"")</x:f>
        <x:v>-0.009590002249518012</x:v>
      </x:c>
      <x:c r="D559" s="7" t="n">
        <x:f>IF(ISNUMBER(C559),C559^2,"")</x:f>
        <x:v>0.00009196814314576054</x:v>
      </x:c>
      <x:c r="E559" s="15" t="n">
        <x:f>IF(ISNUMBER(C559),C559^3,"")</x:f>
        <x:v>-8.819746996518381e-7</x:v>
      </x:c>
      <x:c r="F559" s="15" t="n">
        <x:f>IF(ISNUMBER(C559),C559^4,"")</x:f>
        <x:v>8.458139353679102e-9</x:v>
      </x:c>
      <x:c r="G559" s="7" t="n">
        <x:f>IF(ISNUMBER(B559),ABS(B559),"")</x:f>
        <x:v>0.009638241576567513</x:v>
      </x:c>
      <x:c r="H559" s="7" t="n">
        <x:f>IF(ISNUMBER(B559),B559^2,"")</x:f>
        <x:v>0.00009289570068827462</x:v>
      </x:c>
      <x:c r="I559" s="7" t="n">
        <x:f>IF(AND(ISNUMBER(G559),'요약'!$B$19),G559-'요약'!$B$14,"")</x:f>
        <x:v>0.0016247249491646576</x:v>
      </x:c>
      <x:c r="J559" s="7" t="n">
        <x:f>IF(AND(ISNUMBER(H559),'요약'!$B$19),H559-'요약'!$B$15,"")</x:f>
        <x:v>-0.00000931399849781748</x:v>
      </x:c>
      <x:c r="K559" t="n">
        <x:f>IF(ISNUMBER(B559),IF('Hill'!$B$4=1,IF(B559&lt;0,-B559,""),IF('Hill'!$B$4=2,IF(B559&gt;0,B559,""),IF('Hill'!$B$4=3,IF(B559&lt;&gt;0,ABS(B559),""),""))),"")</x:f>
        <x:v>0.009638241576567513</x:v>
      </x:c>
    </x:row>
    <x:row r="560">
      <x:c r="A560" t="n">
        <x:f>559</x:f>
        <x:v>559</x:v>
      </x:c>
      <x:c r="B560" s="7" t="n">
        <x:f>IF('요약'!$B$4=4,IF(ISNUMBER('input'!A560),'input'!A560,""),IF(559&lt;=1000,CHOOSE('요약'!$B$4,'input'!B560,'input'!C560,'input'!D560),""))</x:f>
        <x:v>0.0004746587046395367</x:v>
      </x:c>
      <x:c r="C560" s="7" t="n">
        <x:f>IF(AND(ISNUMBER(B560),'요약'!$B$19),B560-'요약'!$B$7,"")</x:f>
        <x:v>0.000522898031689038</x:v>
      </x:c>
      <x:c r="D560" s="7" t="n">
        <x:f>IF(ISNUMBER(C560),C560^2,"")</x:f>
        <x:v>2.7342235154427026e-7</x:v>
      </x:c>
      <x:c r="E560" s="15" t="n">
        <x:f>IF(ISNUMBER(C560),C560^3,"")</x:f>
        <x:v>1.4297200944228713e-10</x:v>
      </x:c>
      <x:c r="F560" s="15" t="n">
        <x:f>IF(ISNUMBER(C560),C560^4,"")</x:f>
        <x:v>7.47597823239985e-14</x:v>
      </x:c>
      <x:c r="G560" s="7" t="n">
        <x:f>IF(ISNUMBER(B560),ABS(B560),"")</x:f>
        <x:v>0.0004746587046395367</x:v>
      </x:c>
      <x:c r="H560" s="7" t="n">
        <x:f>IF(ISNUMBER(B560),B560^2,"")</x:f>
        <x:v>2.2530088589008294e-7</x:v>
      </x:c>
      <x:c r="I560" s="7" t="n">
        <x:f>IF(AND(ISNUMBER(G560),'요약'!$B$19),G560-'요약'!$B$14,"")</x:f>
        <x:v>-0.007538857922763318</x:v>
      </x:c>
      <x:c r="J560" s="7" t="n">
        <x:f>IF(AND(ISNUMBER(H560),'요약'!$B$19),H560-'요약'!$B$15,"")</x:f>
        <x:v>-0.00010198439830020202</x:v>
      </x:c>
      <x:c r="K560" t="str">
        <x:f>IF(ISNUMBER(B560),IF('Hill'!$B$4=1,IF(B560&lt;0,-B560,""),IF('Hill'!$B$4=2,IF(B560&gt;0,B560,""),IF('Hill'!$B$4=3,IF(B560&lt;&gt;0,ABS(B560),""),""))),"")</x:f>
      </x:c>
    </x:row>
    <x:row r="561">
      <x:c r="A561" t="n">
        <x:f>560</x:f>
        <x:v>560</x:v>
      </x:c>
      <x:c r="B561" s="7" t="n">
        <x:f>IF('요약'!$B$4=4,IF(ISNUMBER('input'!A561),'input'!A561,""),IF(560&lt;=1000,CHOOSE('요약'!$B$4,'input'!B561,'input'!C561,'input'!D561),""))</x:f>
        <x:v>-0.001094507361633312</x:v>
      </x:c>
      <x:c r="C561" s="7" t="n">
        <x:f>IF(AND(ISNUMBER(B561),'요약'!$B$19),B561-'요약'!$B$7,"")</x:f>
        <x:v>-0.0010462680345838106</x:v>
      </x:c>
      <x:c r="D561" s="7" t="n">
        <x:f>IF(ISNUMBER(C561),C561^2,"")</x:f>
        <x:v>0.00000109467680019187</x:v>
      </x:c>
      <x:c r="E561" s="15" t="n">
        <x:f>IF(ISNUMBER(C561),C561^3,"")</x:f>
        <x:v>-1.1453253442412424e-9</x:v>
      </x:c>
      <x:c r="F561" s="15" t="n">
        <x:f>IF(ISNUMBER(C561),C561^4,"")</x:f>
        <x:v>1.198317296878311e-12</x:v>
      </x:c>
      <x:c r="G561" s="7" t="n">
        <x:f>IF(ISNUMBER(B561),ABS(B561),"")</x:f>
        <x:v>0.001094507361633312</x:v>
      </x:c>
      <x:c r="H561" s="7" t="n">
        <x:f>IF(ISNUMBER(B561),B561^2,"")</x:f>
        <x:v>0.0000011979463646695137</x:v>
      </x:c>
      <x:c r="I561" s="7" t="n">
        <x:f>IF(AND(ISNUMBER(G561),'요약'!$B$19),G561-'요약'!$B$14,"")</x:f>
        <x:v>-0.006919009265769544</x:v>
      </x:c>
      <x:c r="J561" s="7" t="n">
        <x:f>IF(AND(ISNUMBER(H561),'요약'!$B$19),H561-'요약'!$B$15,"")</x:f>
        <x:v>-0.00010101175282142259</x:v>
      </x:c>
      <x:c r="K561" t="n">
        <x:f>IF(ISNUMBER(B561),IF('Hill'!$B$4=1,IF(B561&lt;0,-B561,""),IF('Hill'!$B$4=2,IF(B561&gt;0,B561,""),IF('Hill'!$B$4=3,IF(B561&lt;&gt;0,ABS(B561),""),""))),"")</x:f>
        <x:v>0.001094507361633312</x:v>
      </x:c>
    </x:row>
    <x:row r="562">
      <x:c r="A562" t="n">
        <x:f>561</x:f>
        <x:v>561</x:v>
      </x:c>
      <x:c r="B562" s="7" t="n">
        <x:f>IF('요약'!$B$4=4,IF(ISNUMBER('input'!A562),'input'!A562,""),IF(561&lt;=1000,CHOOSE('요약'!$B$4,'input'!B562,'input'!C562,'input'!D562),""))</x:f>
        <x:v>-0.0066185057407183705</x:v>
      </x:c>
      <x:c r="C562" s="7" t="n">
        <x:f>IF(AND(ISNUMBER(B562),'요약'!$B$19),B562-'요약'!$B$7,"")</x:f>
        <x:v>-0.006570266413668869</x:v>
      </x:c>
      <x:c r="D562" s="7" t="n">
        <x:f>IF(ISNUMBER(C562),C562^2,"")</x:f>
        <x:v>0.000043168400746585185</x:v>
      </x:c>
      <x:c r="E562" s="15" t="n">
        <x:f>IF(ISNUMBER(C562),C562^3,"")</x:f>
        <x:v>-2.836278935570868e-7</x:v>
      </x:c>
      <x:c r="F562" s="15" t="n">
        <x:f>IF(ISNUMBER(C562),C562^4,"")</x:f>
        <x:v>1.863510823017776e-9</x:v>
      </x:c>
      <x:c r="G562" s="7" t="n">
        <x:f>IF(ISNUMBER(B562),ABS(B562),"")</x:f>
        <x:v>0.0066185057407183705</x:v>
      </x:c>
      <x:c r="H562" s="7" t="n">
        <x:f>IF(ISNUMBER(B562),B562^2,"")</x:f>
        <x:v>0.00004380461823992203</x:v>
      </x:c>
      <x:c r="I562" s="7" t="n">
        <x:f>IF(AND(ISNUMBER(G562),'요약'!$B$19),G562-'요약'!$B$14,"")</x:f>
        <x:v>-0.0013950108866844849</x:v>
      </x:c>
      <x:c r="J562" s="7" t="n">
        <x:f>IF(AND(ISNUMBER(H562),'요약'!$B$19),H562-'요약'!$B$15,"")</x:f>
        <x:v>-0.000058405080946170076</x:v>
      </x:c>
      <x:c r="K562" t="n">
        <x:f>IF(ISNUMBER(B562),IF('Hill'!$B$4=1,IF(B562&lt;0,-B562,""),IF('Hill'!$B$4=2,IF(B562&gt;0,B562,""),IF('Hill'!$B$4=3,IF(B562&lt;&gt;0,ABS(B562),""),""))),"")</x:f>
        <x:v>0.0066185057407183705</x:v>
      </x:c>
    </x:row>
    <x:row r="563">
      <x:c r="A563" t="n">
        <x:f>562</x:f>
        <x:v>562</x:v>
      </x:c>
      <x:c r="B563" s="7" t="n">
        <x:f>IF('요약'!$B$4=4,IF(ISNUMBER('input'!A563),'input'!A563,""),IF(562&lt;=1000,CHOOSE('요약'!$B$4,'input'!B563,'input'!C563,'input'!D563),""))</x:f>
        <x:v>0.0023527811358335098</x:v>
      </x:c>
      <x:c r="C563" s="7" t="n">
        <x:f>IF(AND(ISNUMBER(B563),'요약'!$B$19),B563-'요약'!$B$7,"")</x:f>
        <x:v>0.0024010204628830112</x:v>
      </x:c>
      <x:c r="D563" s="7" t="n">
        <x:f>IF(ISNUMBER(C563),C563^2,"")</x:f>
        <x:v>0.00000576489926318295</x:v>
      </x:c>
      <x:c r="E563" s="15" t="n">
        <x:f>IF(ISNUMBER(C563),C563^3,"")</x:f>
        <x:v>1.3841641097361457e-8</x:v>
      </x:c>
      <x:c r="F563" s="15" t="n">
        <x:f>IF(ISNUMBER(C563),C563^4,"")</x:f>
        <x:v>3.3234063514647315e-11</x:v>
      </x:c>
      <x:c r="G563" s="7" t="n">
        <x:f>IF(ISNUMBER(B563),ABS(B563),"")</x:f>
        <x:v>0.0023527811358335098</x:v>
      </x:c>
      <x:c r="H563" s="7" t="n">
        <x:f>IF(ISNUMBER(B563),B563^2,"")</x:f>
        <x:v>0.000005535579073134021</x:v>
      </x:c>
      <x:c r="I563" s="7" t="n">
        <x:f>IF(AND(ISNUMBER(G563),'요약'!$B$19),G563-'요약'!$B$14,"")</x:f>
        <x:v>-0.005660735491569346</x:v>
      </x:c>
      <x:c r="J563" s="7" t="n">
        <x:f>IF(AND(ISNUMBER(H563),'요약'!$B$19),H563-'요약'!$B$15,"")</x:f>
        <x:v>-0.00009667412011295809</x:v>
      </x:c>
      <x:c r="K563" t="str">
        <x:f>IF(ISNUMBER(B563),IF('Hill'!$B$4=1,IF(B563&lt;0,-B563,""),IF('Hill'!$B$4=2,IF(B563&gt;0,B563,""),IF('Hill'!$B$4=3,IF(B563&lt;&gt;0,ABS(B563),""),""))),"")</x:f>
      </x:c>
    </x:row>
    <x:row r="564">
      <x:c r="A564" t="n">
        <x:f>563</x:f>
        <x:v>563</x:v>
      </x:c>
      <x:c r="B564" s="7" t="n">
        <x:f>IF('요약'!$B$4=4,IF(ISNUMBER('input'!A564),'input'!A564,""),IF(563&lt;=1000,CHOOSE('요약'!$B$4,'input'!B564,'input'!C564,'input'!D564),""))</x:f>
        <x:v>0.0006741591986438345</x:v>
      </x:c>
      <x:c r="C564" s="7" t="n">
        <x:f>IF(AND(ISNUMBER(B564),'요약'!$B$19),B564-'요약'!$B$7,"")</x:f>
        <x:v>0.0007223985256933358</x:v>
      </x:c>
      <x:c r="D564" s="7" t="n">
        <x:f>IF(ISNUMBER(C564),C564^2,"")</x:f>
        <x:v>5.218596299239052e-7</x:v>
      </x:c>
      <x:c r="E564" s="15" t="n">
        <x:f>IF(ISNUMBER(C564),C564^3,"")</x:f>
        <x:v>3.7699062727589895e-10</x:v>
      </x:c>
      <x:c r="F564" s="15" t="n">
        <x:f>IF(ISNUMBER(C564),C564^4,"")</x:f>
        <x:v>2.723374733443153e-13</x:v>
      </x:c>
      <x:c r="G564" s="7" t="n">
        <x:f>IF(ISNUMBER(B564),ABS(B564),"")</x:f>
        <x:v>0.0006741591986438345</x:v>
      </x:c>
      <x:c r="H564" s="7" t="n">
        <x:f>IF(ISNUMBER(B564),B564^2,"")</x:f>
        <x:v>4.5449062511609707e-7</x:v>
      </x:c>
      <x:c r="I564" s="7" t="n">
        <x:f>IF(AND(ISNUMBER(G564),'요약'!$B$19),G564-'요약'!$B$14,"")</x:f>
        <x:v>-0.007339357428759021</x:v>
      </x:c>
      <x:c r="J564" s="7" t="n">
        <x:f>IF(AND(ISNUMBER(H564),'요약'!$B$19),H564-'요약'!$B$15,"")</x:f>
        <x:v>-0.000101755208560976</x:v>
      </x:c>
      <x:c r="K564" t="str">
        <x:f>IF(ISNUMBER(B564),IF('Hill'!$B$4=1,IF(B564&lt;0,-B564,""),IF('Hill'!$B$4=2,IF(B564&gt;0,B564,""),IF('Hill'!$B$4=3,IF(B564&lt;&gt;0,ABS(B564),""),""))),"")</x:f>
      </x:c>
    </x:row>
    <x:row r="565">
      <x:c r="A565" t="n">
        <x:f>564</x:f>
        <x:v>564</x:v>
      </x:c>
      <x:c r="B565" s="7" t="n">
        <x:f>IF('요약'!$B$4=4,IF(ISNUMBER('input'!A565),'input'!A565,""),IF(564&lt;=1000,CHOOSE('요약'!$B$4,'input'!B565,'input'!C565,'input'!D565),""))</x:f>
        <x:v>-0.023894013624634707</x:v>
      </x:c>
      <x:c r="C565" s="7" t="n">
        <x:f>IF(AND(ISNUMBER(B565),'요약'!$B$19),B565-'요약'!$B$7,"")</x:f>
        <x:v>-0.023845774297585207</x:v>
      </x:c>
      <x:c r="D565" s="7" t="n">
        <x:f>IF(ISNUMBER(C565),C565^2,"")</x:f>
        <x:v>0.0005686209518513752</x:v>
      </x:c>
      <x:c r="E565" s="15" t="n">
        <x:f>IF(ISNUMBER(C565),C565^3,"")</x:f>
        <x:v>-0.00001355920687872596</x:v>
      </x:c>
      <x:c r="F565" s="15" t="n">
        <x:f>IF(ISNUMBER(C565),C565^4,"")</x:f>
        <x:v>3.23329786884364e-7</x:v>
      </x:c>
      <x:c r="G565" s="7" t="n">
        <x:f>IF(ISNUMBER(B565),ABS(B565),"")</x:f>
        <x:v>0.023894013624634707</x:v>
      </x:c>
      <x:c r="H565" s="7" t="n">
        <x:f>IF(ISNUMBER(B565),B565^2,"")</x:f>
        <x:v>0.000570923887094229</x:v>
      </x:c>
      <x:c r="I565" s="7" t="n">
        <x:f>IF(AND(ISNUMBER(G565),'요약'!$B$19),G565-'요약'!$B$14,"")</x:f>
        <x:v>0.015880496997231854</x:v>
      </x:c>
      <x:c r="J565" s="7" t="n">
        <x:f>IF(AND(ISNUMBER(H565),'요약'!$B$19),H565-'요약'!$B$15,"")</x:f>
        <x:v>0.0004687141879081369</x:v>
      </x:c>
      <x:c r="K565" t="n">
        <x:f>IF(ISNUMBER(B565),IF('Hill'!$B$4=1,IF(B565&lt;0,-B565,""),IF('Hill'!$B$4=2,IF(B565&gt;0,B565,""),IF('Hill'!$B$4=3,IF(B565&lt;&gt;0,ABS(B565),""),""))),"")</x:f>
        <x:v>0.023894013624634707</x:v>
      </x:c>
    </x:row>
    <x:row r="566">
      <x:c r="A566" t="n">
        <x:f>565</x:f>
        <x:v>565</x:v>
      </x:c>
      <x:c r="B566" s="7" t="n">
        <x:f>IF('요약'!$B$4=4,IF(ISNUMBER('input'!A566),'input'!A566,""),IF(565&lt;=1000,CHOOSE('요약'!$B$4,'input'!B566,'input'!C566,'input'!D566),""))</x:f>
        <x:v>0.009540017168025331</x:v>
      </x:c>
      <x:c r="C566" s="7" t="n">
        <x:f>IF(AND(ISNUMBER(B566),'요약'!$B$19),B566-'요약'!$B$7,"")</x:f>
        <x:v>0.009588256495074832</x:v>
      </x:c>
      <x:c r="D566" s="7" t="n">
        <x:f>IF(ISNUMBER(C566),C566^2,"")</x:f>
        <x:v>0.00009193466261534469</x:v>
      </x:c>
      <x:c r="E566" s="15" t="n">
        <x:f>IF(ISNUMBER(C566),C566^3,"")</x:f>
        <x:v>8.814931259440921e-7</x:v>
      </x:c>
      <x:c r="F566" s="15" t="n">
        <x:f>IF(ISNUMBER(C566),C566^4,"")</x:f>
        <x:v>8.451982190197257e-9</x:v>
      </x:c>
      <x:c r="G566" s="7" t="n">
        <x:f>IF(ISNUMBER(B566),ABS(B566),"")</x:f>
        <x:v>0.009540017168025331</x:v>
      </x:c>
      <x:c r="H566" s="7" t="n">
        <x:f>IF(ISNUMBER(B566),B566^2,"")</x:f>
        <x:v>0.00009101192756621806</x:v>
      </x:c>
      <x:c r="I566" s="7" t="n">
        <x:f>IF(AND(ISNUMBER(G566),'요약'!$B$19),G566-'요약'!$B$14,"")</x:f>
        <x:v>0.0015265005406224757</x:v>
      </x:c>
      <x:c r="J566" s="7" t="n">
        <x:f>IF(AND(ISNUMBER(H566),'요약'!$B$19),H566-'요약'!$B$15,"")</x:f>
        <x:v>-0.000011197771619874043</x:v>
      </x:c>
      <x:c r="K566" t="str">
        <x:f>IF(ISNUMBER(B566),IF('Hill'!$B$4=1,IF(B566&lt;0,-B566,""),IF('Hill'!$B$4=2,IF(B566&gt;0,B566,""),IF('Hill'!$B$4=3,IF(B566&lt;&gt;0,ABS(B566),""),""))),"")</x:f>
      </x:c>
    </x:row>
    <x:row r="567">
      <x:c r="A567" t="n">
        <x:f>566</x:f>
        <x:v>566</x:v>
      </x:c>
      <x:c r="B567" s="7" t="n">
        <x:f>IF('요약'!$B$4=4,IF(ISNUMBER('input'!A567),'input'!A567,""),IF(566&lt;=1000,CHOOSE('요약'!$B$4,'input'!B567,'input'!C567,'input'!D567),""))</x:f>
        <x:v>0.009831004744299156</x:v>
      </x:c>
      <x:c r="C567" s="7" t="n">
        <x:f>IF(AND(ISNUMBER(B567),'요약'!$B$19),B567-'요약'!$B$7,"")</x:f>
        <x:v>0.009879244071348657</x:v>
      </x:c>
      <x:c r="D567" s="7" t="n">
        <x:f>IF(ISNUMBER(C567),C567^2,"")</x:f>
        <x:v>0.00009759946342127759</x:v>
      </x:c>
      <x:c r="E567" s="15" t="n">
        <x:f>IF(ISNUMBER(C567),C567^3,"")</x:f>
        <x:v>9.642089203714667e-7</x:v>
      </x:c>
      <x:c r="F567" s="15" t="n">
        <x:f>IF(ISNUMBER(C567),C567^4,"")</x:f>
        <x:v>9.525655260121301e-9</x:v>
      </x:c>
      <x:c r="G567" s="7" t="n">
        <x:f>IF(ISNUMBER(B567),ABS(B567),"")</x:f>
        <x:v>0.009831004744299156</x:v>
      </x:c>
      <x:c r="H567" s="7" t="n">
        <x:f>IF(ISNUMBER(B567),B567^2,"")</x:f>
        <x:v>0.00009664865428243251</x:v>
      </x:c>
      <x:c r="I567" s="7" t="n">
        <x:f>IF(AND(ISNUMBER(G567),'요약'!$B$19),G567-'요약'!$B$14,"")</x:f>
        <x:v>0.0018174881168963007</x:v>
      </x:c>
      <x:c r="J567" s="7" t="n">
        <x:f>IF(AND(ISNUMBER(H567),'요약'!$B$19),H567-'요약'!$B$15,"")</x:f>
        <x:v>-0.00000556104490365959</x:v>
      </x:c>
      <x:c r="K567" t="str">
        <x:f>IF(ISNUMBER(B567),IF('Hill'!$B$4=1,IF(B567&lt;0,-B567,""),IF('Hill'!$B$4=2,IF(B567&gt;0,B567,""),IF('Hill'!$B$4=3,IF(B567&lt;&gt;0,ABS(B567),""),""))),"")</x:f>
      </x:c>
    </x:row>
    <x:row r="568">
      <x:c r="A568" t="n">
        <x:f>567</x:f>
        <x:v>567</x:v>
      </x:c>
      <x:c r="B568" s="7" t="n">
        <x:f>IF('요약'!$B$4=4,IF(ISNUMBER('input'!A568),'input'!A568,""),IF(567&lt;=1000,CHOOSE('요약'!$B$4,'input'!B568,'input'!C568,'input'!D568),""))</x:f>
        <x:v>0.005088016111015043</x:v>
      </x:c>
      <x:c r="C568" s="7" t="n">
        <x:f>IF(AND(ISNUMBER(B568),'요약'!$B$19),B568-'요약'!$B$7,"")</x:f>
        <x:v>0.005136255438064545</x:v>
      </x:c>
      <x:c r="D568" s="7" t="n">
        <x:f>IF(ISNUMBER(C568),C568^2,"")</x:f>
        <x:v>0.000026381119925047608</x:v>
      </x:c>
      <x:c r="E568" s="15" t="n">
        <x:f>IF(ISNUMBER(C568),C568^3,"")</x:f>
        <x:v>1.3550017067725872e-7</x:v>
      </x:c>
      <x:c r="F568" s="15" t="n">
        <x:f>IF(ISNUMBER(C568),C568^4,"")</x:f>
        <x:v>6.95963488499744e-10</x:v>
      </x:c>
      <x:c r="G568" s="7" t="n">
        <x:f>IF(ISNUMBER(B568),ABS(B568),"")</x:f>
        <x:v>0.005088016111015043</x:v>
      </x:c>
      <x:c r="H568" s="7" t="n">
        <x:f>IF(ISNUMBER(B568),B568^2,"")</x:f>
        <x:v>0.000025887907945948648</x:v>
      </x:c>
      <x:c r="I568" s="7" t="n">
        <x:f>IF(AND(ISNUMBER(G568),'요약'!$B$19),G568-'요약'!$B$14,"")</x:f>
        <x:v>-0.002925500516387812</x:v>
      </x:c>
      <x:c r="J568" s="7" t="n">
        <x:f>IF(AND(ISNUMBER(H568),'요약'!$B$19),H568-'요약'!$B$15,"")</x:f>
        <x:v>-0.00007632179124014346</x:v>
      </x:c>
      <x:c r="K568" t="str">
        <x:f>IF(ISNUMBER(B568),IF('Hill'!$B$4=1,IF(B568&lt;0,-B568,""),IF('Hill'!$B$4=2,IF(B568&gt;0,B568,""),IF('Hill'!$B$4=3,IF(B568&lt;&gt;0,ABS(B568),""),""))),"")</x:f>
      </x:c>
    </x:row>
    <x:row r="569">
      <x:c r="A569" t="n">
        <x:f>568</x:f>
        <x:v>568</x:v>
      </x:c>
      <x:c r="B569" s="7" t="n">
        <x:f>IF('요약'!$B$4=4,IF(ISNUMBER('input'!A569),'input'!A569,""),IF(568&lt;=1000,CHOOSE('요약'!$B$4,'input'!B569,'input'!C569,'input'!D569),""))</x:f>
        <x:v>-0.0022946066631534534</x:v>
      </x:c>
      <x:c r="C569" s="7" t="n">
        <x:f>IF(AND(ISNUMBER(B569),'요약'!$B$19),B569-'요약'!$B$7,"")</x:f>
        <x:v>-0.002246367336103952</x:v>
      </x:c>
      <x:c r="D569" s="7" t="n">
        <x:f>IF(ISNUMBER(C569),C569^2,"")</x:f>
        <x:v>0.000005046166208714766</x:v>
      </x:c>
      <x:c r="E569" s="15" t="n">
        <x:f>IF(ISNUMBER(C569),C569^3,"")</x:f>
        <x:v>-1.1335542943808367e-8</x:v>
      </x:c>
      <x:c r="F569" s="15" t="n">
        <x:f>IF(ISNUMBER(C569),C569^4,"")</x:f>
        <x:v>2.546379340597475e-11</x:v>
      </x:c>
      <x:c r="G569" s="7" t="n">
        <x:f>IF(ISNUMBER(B569),ABS(B569),"")</x:f>
        <x:v>0.0022946066631534534</x:v>
      </x:c>
      <x:c r="H569" s="7" t="n">
        <x:f>IF(ISNUMBER(B569),B569^2,"")</x:f>
        <x:v>0.000005265219738588226</x:v>
      </x:c>
      <x:c r="I569" s="7" t="n">
        <x:f>IF(AND(ISNUMBER(G569),'요약'!$B$19),G569-'요약'!$B$14,"")</x:f>
        <x:v>-0.005718909964249402</x:v>
      </x:c>
      <x:c r="J569" s="7" t="n">
        <x:f>IF(AND(ISNUMBER(H569),'요약'!$B$19),H569-'요약'!$B$15,"")</x:f>
        <x:v>-0.00009694447944750387</x:v>
      </x:c>
      <x:c r="K569" t="n">
        <x:f>IF(ISNUMBER(B569),IF('Hill'!$B$4=1,IF(B569&lt;0,-B569,""),IF('Hill'!$B$4=2,IF(B569&gt;0,B569,""),IF('Hill'!$B$4=3,IF(B569&lt;&gt;0,ABS(B569),""),""))),"")</x:f>
        <x:v>0.0022946066631534534</x:v>
      </x:c>
    </x:row>
    <x:row r="570">
      <x:c r="A570" t="n">
        <x:f>569</x:f>
        <x:v>569</x:v>
      </x:c>
      <x:c r="B570" s="7" t="n">
        <x:f>IF('요약'!$B$4=4,IF(ISNUMBER('input'!A570),'input'!A570,""),IF(569&lt;=1000,CHOOSE('요약'!$B$4,'input'!B570,'input'!C570,'input'!D570),""))</x:f>
        <x:v>-0.003713506742716031</x:v>
      </x:c>
      <x:c r="C570" s="7" t="n">
        <x:f>IF(AND(ISNUMBER(B570),'요약'!$B$19),B570-'요약'!$B$7,"")</x:f>
        <x:v>-0.0036652674156665297</x:v>
      </x:c>
      <x:c r="D570" s="7" t="n">
        <x:f>IF(ISNUMBER(C570),C570^2,"")</x:f>
        <x:v>0.000013434185228346801</x:v>
      </x:c>
      <x:c r="E570" s="15" t="n">
        <x:f>IF(ISNUMBER(C570),C570^3,"")</x:f>
        <x:v>-4.923988137348815e-8</x:v>
      </x:c>
      <x:c r="F570" s="15" t="n">
        <x:f>IF(ISNUMBER(C570),C570^4,"")</x:f>
        <x:v>1.804773327495314e-10</x:v>
      </x:c>
      <x:c r="G570" s="7" t="n">
        <x:f>IF(ISNUMBER(B570),ABS(B570),"")</x:f>
        <x:v>0.003713506742716031</x:v>
      </x:c>
      <x:c r="H570" s="7" t="n">
        <x:f>IF(ISNUMBER(B570),B570^2,"")</x:f>
        <x:v>0.000013790132328197428</x:v>
      </x:c>
      <x:c r="I570" s="7" t="n">
        <x:f>IF(AND(ISNUMBER(G570),'요약'!$B$19),G570-'요약'!$B$14,"")</x:f>
        <x:v>-0.004300009884686824</x:v>
      </x:c>
      <x:c r="J570" s="7" t="n">
        <x:f>IF(AND(ISNUMBER(H570),'요약'!$B$19),H570-'요약'!$B$15,"")</x:f>
        <x:v>-0.00008841956685789467</x:v>
      </x:c>
      <x:c r="K570" t="n">
        <x:f>IF(ISNUMBER(B570),IF('Hill'!$B$4=1,IF(B570&lt;0,-B570,""),IF('Hill'!$B$4=2,IF(B570&gt;0,B570,""),IF('Hill'!$B$4=3,IF(B570&lt;&gt;0,ABS(B570),""),""))),"")</x:f>
        <x:v>0.003713506742716031</x:v>
      </x:c>
    </x:row>
    <x:row r="571">
      <x:c r="A571" t="n">
        <x:f>570</x:f>
        <x:v>570</x:v>
      </x:c>
      <x:c r="B571" s="7" t="n">
        <x:f>IF('요약'!$B$4=4,IF(ISNUMBER('input'!A571),'input'!A571,""),IF(570&lt;=1000,CHOOSE('요약'!$B$4,'input'!B571,'input'!C571,'input'!D571),""))</x:f>
        <x:v>-0.010493062802994836</x:v>
      </x:c>
      <x:c r="C571" s="7" t="n">
        <x:f>IF(AND(ISNUMBER(B571),'요약'!$B$19),B571-'요약'!$B$7,"")</x:f>
        <x:v>-0.010444823475945336</x:v>
      </x:c>
      <x:c r="D571" s="7" t="n">
        <x:f>IF(ISNUMBER(C571),C571^2,"")</x:f>
        <x:v>0.00010909433744365881</x:v>
      </x:c>
      <x:c r="E571" s="15" t="n">
        <x:f>IF(ISNUMBER(C571),C571^3,"")</x:f>
        <x:v>-0.0000011394710968242298</x:v>
      </x:c>
      <x:c r="F571" s="15" t="n">
        <x:f>IF(ISNUMBER(C571),C571^4,"")</x:f>
        <x:v>1.1901574462270896e-8</x:v>
      </x:c>
      <x:c r="G571" s="7" t="n">
        <x:f>IF(ISNUMBER(B571),ABS(B571),"")</x:f>
        <x:v>0.010493062802994836</x:v>
      </x:c>
      <x:c r="H571" s="7" t="n">
        <x:f>IF(ISNUMBER(B571),B571^2,"")</x:f>
        <x:v>0.00011010436698759385</x:v>
      </x:c>
      <x:c r="I571" s="7" t="n">
        <x:f>IF(AND(ISNUMBER(G571),'요약'!$B$19),G571-'요약'!$B$14,"")</x:f>
        <x:v>0.002479546175591981</x:v>
      </x:c>
      <x:c r="J571" s="7" t="n">
        <x:f>IF(AND(ISNUMBER(H571),'요약'!$B$19),H571-'요약'!$B$15,"")</x:f>
        <x:v>0.000007894667801501749</x:v>
      </x:c>
      <x:c r="K571" t="n">
        <x:f>IF(ISNUMBER(B571),IF('Hill'!$B$4=1,IF(B571&lt;0,-B571,""),IF('Hill'!$B$4=2,IF(B571&gt;0,B571,""),IF('Hill'!$B$4=3,IF(B571&lt;&gt;0,ABS(B571),""),""))),"")</x:f>
        <x:v>0.010493062802994836</x:v>
      </x:c>
    </x:row>
    <x:row r="572">
      <x:c r="A572" t="n">
        <x:f>571</x:f>
        <x:v>571</x:v>
      </x:c>
      <x:c r="B572" s="7" t="n">
        <x:f>IF('요약'!$B$4=4,IF(ISNUMBER('input'!A572),'input'!A572,""),IF(571&lt;=1000,CHOOSE('요약'!$B$4,'input'!B572,'input'!C572,'input'!D572),""))</x:f>
        <x:v>0.015543691427775399</x:v>
      </x:c>
      <x:c r="C572" s="7" t="n">
        <x:f>IF(AND(ISNUMBER(B572),'요약'!$B$19),B572-'요약'!$B$7,"")</x:f>
        <x:v>0.0155919307548249</x:v>
      </x:c>
      <x:c r="D572" s="7" t="n">
        <x:f>IF(ISNUMBER(C572),C572^2,"")</x:f>
        <x:v>0.00024310830466325455</x:v>
      </x:c>
      <x:c r="E572" s="15" t="n">
        <x:f>IF(ISNUMBER(C572),C572^3,"")</x:f>
        <x:v>0.00000379052785223234</x:v>
      </x:c>
      <x:c r="F572" s="15" t="n">
        <x:f>IF(ISNUMBER(C572),C572^4,"")</x:f>
        <x:v>5.910164779624179e-8</x:v>
      </x:c>
      <x:c r="G572" s="7" t="n">
        <x:f>IF(ISNUMBER(B572),ABS(B572),"")</x:f>
        <x:v>0.015543691427775399</x:v>
      </x:c>
      <x:c r="H572" s="7" t="n">
        <x:f>IF(ISNUMBER(B572),B572^2,"")</x:f>
        <x:v>0.0002416063432018984</x:v>
      </x:c>
      <x:c r="I572" s="7" t="n">
        <x:f>IF(AND(ISNUMBER(G572),'요약'!$B$19),G572-'요약'!$B$14,"")</x:f>
        <x:v>0.007530174800372543</x:v>
      </x:c>
      <x:c r="J572" s="7" t="n">
        <x:f>IF(AND(ISNUMBER(H572),'요약'!$B$19),H572-'요약'!$B$15,"")</x:f>
        <x:v>0.0001393966440158063</x:v>
      </x:c>
      <x:c r="K572" t="str">
        <x:f>IF(ISNUMBER(B572),IF('Hill'!$B$4=1,IF(B572&lt;0,-B572,""),IF('Hill'!$B$4=2,IF(B572&gt;0,B572,""),IF('Hill'!$B$4=3,IF(B572&lt;&gt;0,ABS(B572),""),""))),"")</x:f>
      </x:c>
    </x:row>
    <x:row r="573">
      <x:c r="A573" t="n">
        <x:f>572</x:f>
        <x:v>572</x:v>
      </x:c>
      <x:c r="B573" s="7" t="n">
        <x:f>IF('요약'!$B$4=4,IF(ISNUMBER('input'!A573),'input'!A573,""),IF(572&lt;=1000,CHOOSE('요약'!$B$4,'input'!B573,'input'!C573,'input'!D573),""))</x:f>
        <x:v>-0.006969714716492811</x:v>
      </x:c>
      <x:c r="C573" s="7" t="n">
        <x:f>IF(AND(ISNUMBER(B573),'요약'!$B$19),B573-'요약'!$B$7,"")</x:f>
        <x:v>-0.00692147538944331</x:v>
      </x:c>
      <x:c r="D573" s="7" t="n">
        <x:f>IF(ISNUMBER(C573),C573^2,"")</x:f>
        <x:v>0.00004790682156666942</x:v>
      </x:c>
      <x:c r="E573" s="15" t="n">
        <x:f>IF(ISNUMBER(C573),C573^3,"")</x:f>
        <x:v>-3.315858864601544e-7</x:v>
      </x:c>
      <x:c r="F573" s="15" t="n">
        <x:f>IF(ISNUMBER(C573),C573^4,"")</x:f>
        <x:v>2.295063552620702e-9</x:v>
      </x:c>
      <x:c r="G573" s="7" t="n">
        <x:f>IF(ISNUMBER(B573),ABS(B573),"")</x:f>
        <x:v>0.006969714716492811</x:v>
      </x:c>
      <x:c r="H573" s="7" t="n">
        <x:f>IF(ISNUMBER(B573),B573^2,"")</x:f>
        <x:v>0.00004857692322929647</x:v>
      </x:c>
      <x:c r="I573" s="7" t="n">
        <x:f>IF(AND(ISNUMBER(G573),'요약'!$B$19),G573-'요약'!$B$14,"")</x:f>
        <x:v>-0.001043801910910044</x:v>
      </x:c>
      <x:c r="J573" s="7" t="n">
        <x:f>IF(AND(ISNUMBER(H573),'요약'!$B$19),H573-'요약'!$B$15,"")</x:f>
        <x:v>-0.000053632775956795635</x:v>
      </x:c>
      <x:c r="K573" t="n">
        <x:f>IF(ISNUMBER(B573),IF('Hill'!$B$4=1,IF(B573&lt;0,-B573,""),IF('Hill'!$B$4=2,IF(B573&gt;0,B573,""),IF('Hill'!$B$4=3,IF(B573&lt;&gt;0,ABS(B573),""),""))),"")</x:f>
        <x:v>0.006969714716492811</x:v>
      </x:c>
    </x:row>
    <x:row r="574">
      <x:c r="A574" t="n">
        <x:f>573</x:f>
        <x:v>573</x:v>
      </x:c>
      <x:c r="B574" s="7" t="n">
        <x:f>IF('요약'!$B$4=4,IF(ISNUMBER('input'!A574),'input'!A574,""),IF(573&lt;=1000,CHOOSE('요약'!$B$4,'input'!B574,'input'!C574,'input'!D574),""))</x:f>
        <x:v>0.008402594540140347</x:v>
      </x:c>
      <x:c r="C574" s="7" t="n">
        <x:f>IF(AND(ISNUMBER(B574),'요약'!$B$19),B574-'요약'!$B$7,"")</x:f>
        <x:v>0.008450833867189847</x:v>
      </x:c>
      <x:c r="D574" s="7" t="n">
        <x:f>IF(ISNUMBER(C574),C574^2,"")</x:f>
        <x:v>0.00007141659305084291</x:v>
      </x:c>
      <x:c r="E574" s="15" t="n">
        <x:f>IF(ISNUMBER(C574),C574^3,"")</x:f>
        <x:v>6.035297632333783e-7</x:v>
      </x:c>
      <x:c r="F574" s="15" t="n">
        <x:f>IF(ISNUMBER(C574),C574^4,"")</x:f>
        <x:v>5.100329762989704e-9</x:v>
      </x:c>
      <x:c r="G574" s="7" t="n">
        <x:f>IF(ISNUMBER(B574),ABS(B574),"")</x:f>
        <x:v>0.008402594540140347</x:v>
      </x:c>
      <x:c r="H574" s="7" t="n">
        <x:f>IF(ISNUMBER(B574),B574^2,"")</x:f>
        <x:v>0.00007060359500599637</x:v>
      </x:c>
      <x:c r="I574" s="7" t="n">
        <x:f>IF(AND(ISNUMBER(G574),'요약'!$B$19),G574-'요약'!$B$14,"")</x:f>
        <x:v>0.0003890779127374913</x:v>
      </x:c>
      <x:c r="J574" s="7" t="n">
        <x:f>IF(AND(ISNUMBER(H574),'요약'!$B$19),H574-'요약'!$B$15,"")</x:f>
        <x:v>-0.00003160610418009574</x:v>
      </x:c>
      <x:c r="K574" t="str">
        <x:f>IF(ISNUMBER(B574),IF('Hill'!$B$4=1,IF(B574&lt;0,-B574,""),IF('Hill'!$B$4=2,IF(B574&gt;0,B574,""),IF('Hill'!$B$4=3,IF(B574&lt;&gt;0,ABS(B574),""),""))),"")</x:f>
      </x:c>
    </x:row>
    <x:row r="575">
      <x:c r="A575" t="n">
        <x:f>574</x:f>
        <x:v>574</x:v>
      </x:c>
      <x:c r="B575" s="7" t="n">
        <x:f>IF('요약'!$B$4=4,IF(ISNUMBER('input'!A575),'input'!A575,""),IF(574&lt;=1000,CHOOSE('요약'!$B$4,'input'!B575,'input'!C575,'input'!D575),""))</x:f>
        <x:v>0.00988711803419224</x:v>
      </x:c>
      <x:c r="C575" s="7" t="n">
        <x:f>IF(AND(ISNUMBER(B575),'요약'!$B$19),B575-'요약'!$B$7,"")</x:f>
        <x:v>0.00993535736124174</x:v>
      </x:c>
      <x:c r="D575" s="7" t="n">
        <x:f>IF(ISNUMBER(C575),C575^2,"")</x:f>
        <x:v>0.00009871132589558043</x:v>
      </x:c>
      <x:c r="E575" s="15" t="n">
        <x:f>IF(ISNUMBER(C575),C575^3,"")</x:f>
        <x:v>9.807322983745874e-7</x:v>
      </x:c>
      <x:c r="F575" s="15" t="n">
        <x:f>IF(ISNUMBER(C575),C575^4,"")</x:f>
        <x:v>9.743925860063489e-9</x:v>
      </x:c>
      <x:c r="G575" s="7" t="n">
        <x:f>IF(ISNUMBER(B575),ABS(B575),"")</x:f>
        <x:v>0.00988711803419224</x:v>
      </x:c>
      <x:c r="H575" s="7" t="n">
        <x:f>IF(ISNUMBER(B575),B575^2,"")</x:f>
        <x:v>0.00009775510302204942</x:v>
      </x:c>
      <x:c r="I575" s="7" t="n">
        <x:f>IF(AND(ISNUMBER(G575),'요약'!$B$19),G575-'요약'!$B$14,"")</x:f>
        <x:v>0.0018736014067893842</x:v>
      </x:c>
      <x:c r="J575" s="7" t="n">
        <x:f>IF(AND(ISNUMBER(H575),'요약'!$B$19),H575-'요약'!$B$15,"")</x:f>
        <x:v>-0.000004454596164042688</x:v>
      </x:c>
      <x:c r="K575" t="str">
        <x:f>IF(ISNUMBER(B575),IF('Hill'!$B$4=1,IF(B575&lt;0,-B575,""),IF('Hill'!$B$4=2,IF(B575&gt;0,B575,""),IF('Hill'!$B$4=3,IF(B575&lt;&gt;0,ABS(B575),""),""))),"")</x:f>
      </x:c>
    </x:row>
    <x:row r="576">
      <x:c r="A576" t="n">
        <x:f>575</x:f>
        <x:v>575</x:v>
      </x:c>
      <x:c r="B576" s="7" t="n">
        <x:f>IF('요약'!$B$4=4,IF(ISNUMBER('input'!A576),'input'!A576,""),IF(575&lt;=1000,CHOOSE('요약'!$B$4,'input'!B576,'input'!C576,'input'!D576),""))</x:f>
        <x:v>-0.005760949010888349</x:v>
      </x:c>
      <x:c r="C576" s="7" t="n">
        <x:f>IF(AND(ISNUMBER(B576),'요약'!$B$19),B576-'요약'!$B$7,"")</x:f>
        <x:v>-0.005712709683838847</x:v>
      </x:c>
      <x:c r="D576" s="7" t="n">
        <x:f>IF(ISNUMBER(C576),C576^2,"")</x:f>
        <x:v>0.000032635051931826144</x:v>
      </x:c>
      <x:c r="E576" s="15" t="n">
        <x:f>IF(ISNUMBER(C576),C576^3,"")</x:f>
        <x:v>-1.864345772035269e-7</x:v>
      </x:c>
      <x:c r="F576" s="15" t="n">
        <x:f>IF(ISNUMBER(C576),C576^4,"")</x:f>
        <x:v>1.0650466145929894e-9</x:v>
      </x:c>
      <x:c r="G576" s="7" t="n">
        <x:f>IF(ISNUMBER(B576),ABS(B576),"")</x:f>
        <x:v>0.005760949010888349</x:v>
      </x:c>
      <x:c r="H576" s="7" t="n">
        <x:f>IF(ISNUMBER(B576),B576^2,"")</x:f>
        <x:v>0.00003318853350605544</x:v>
      </x:c>
      <x:c r="I576" s="7" t="n">
        <x:f>IF(AND(ISNUMBER(G576),'요약'!$B$19),G576-'요약'!$B$14,"")</x:f>
        <x:v>-0.0022525676165145066</x:v>
      </x:c>
      <x:c r="J576" s="7" t="n">
        <x:f>IF(AND(ISNUMBER(H576),'요약'!$B$19),H576-'요약'!$B$15,"")</x:f>
        <x:v>-0.00006902116568003667</x:v>
      </x:c>
      <x:c r="K576" t="n">
        <x:f>IF(ISNUMBER(B576),IF('Hill'!$B$4=1,IF(B576&lt;0,-B576,""),IF('Hill'!$B$4=2,IF(B576&gt;0,B576,""),IF('Hill'!$B$4=3,IF(B576&lt;&gt;0,ABS(B576),""),""))),"")</x:f>
        <x:v>0.005760949010888349</x:v>
      </x:c>
    </x:row>
    <x:row r="577">
      <x:c r="A577" t="n">
        <x:f>576</x:f>
        <x:v>576</x:v>
      </x:c>
      <x:c r="B577" s="7" t="n">
        <x:f>IF('요약'!$B$4=4,IF(ISNUMBER('input'!A577),'input'!A577,""),IF(576&lt;=1000,CHOOSE('요약'!$B$4,'input'!B577,'input'!C577,'input'!D577),""))</x:f>
        <x:v>0.007095385794504991</x:v>
      </x:c>
      <x:c r="C577" s="7" t="n">
        <x:f>IF(AND(ISNUMBER(B577),'요약'!$B$19),B577-'요약'!$B$7,"")</x:f>
        <x:v>0.007143625121554493</x:v>
      </x:c>
      <x:c r="D577" s="7" t="n">
        <x:f>IF(ISNUMBER(C577),C577^2,"")</x:f>
        <x:v>0.000051031379877304444</x:v>
      </x:c>
      <x:c r="E577" s="15" t="n">
        <x:f>IF(ISNUMBER(C577),C577^3,"")</x:f>
        <x:v>3.6454904727910244e-7</x:v>
      </x:c>
      <x:c r="F577" s="15" t="n">
        <x:f>IF(ISNUMBER(C577),C577^4,"")</x:f>
        <x:v>2.6042017321817528e-9</x:v>
      </x:c>
      <x:c r="G577" s="7" t="n">
        <x:f>IF(ISNUMBER(B577),ABS(B577),"")</x:f>
        <x:v>0.007095385794504991</x:v>
      </x:c>
      <x:c r="H577" s="7" t="n">
        <x:f>IF(ISNUMBER(B577),B577^2,"")</x:f>
        <x:v>0.000050344499572863225</x:v>
      </x:c>
      <x:c r="I577" s="7" t="n">
        <x:f>IF(AND(ISNUMBER(G577),'요약'!$B$19),G577-'요약'!$B$14,"")</x:f>
        <x:v>-0.000918130832897864</x:v>
      </x:c>
      <x:c r="J577" s="7" t="n">
        <x:f>IF(AND(ISNUMBER(H577),'요약'!$B$19),H577-'요약'!$B$15,"")</x:f>
        <x:v>-0.00005186519961322888</x:v>
      </x:c>
      <x:c r="K577" t="str">
        <x:f>IF(ISNUMBER(B577),IF('Hill'!$B$4=1,IF(B577&lt;0,-B577,""),IF('Hill'!$B$4=2,IF(B577&gt;0,B577,""),IF('Hill'!$B$4=3,IF(B577&lt;&gt;0,ABS(B577),""),""))),"")</x:f>
      </x:c>
    </x:row>
    <x:row r="578">
      <x:c r="A578" t="n">
        <x:f>577</x:f>
        <x:v>577</x:v>
      </x:c>
      <x:c r="B578" s="7" t="n">
        <x:f>IF('요약'!$B$4=4,IF(ISNUMBER('input'!A578),'input'!A578,""),IF(577&lt;=1000,CHOOSE('요약'!$B$4,'input'!B578,'input'!C578,'input'!D578),""))</x:f>
        <x:v>-0.007140449531146658</x:v>
      </x:c>
      <x:c r="C578" s="7" t="n">
        <x:f>IF(AND(ISNUMBER(B578),'요약'!$B$19),B578-'요약'!$B$7,"")</x:f>
        <x:v>-0.0070922102040971565</x:v>
      </x:c>
      <x:c r="D578" s="7" t="n">
        <x:f>IF(ISNUMBER(C578),C578^2,"")</x:f>
        <x:v>0.00005029944557909983</x:v>
      </x:c>
      <x:c r="E578" s="15" t="n">
        <x:f>IF(ISNUMBER(C578),C578^3,"")</x:f>
        <x:v>-3.567342411965214e-7</x:v>
      </x:c>
      <x:c r="F578" s="15" t="n">
        <x:f>IF(ISNUMBER(C578),C578^4,"")</x:f>
        <x:v>2.5300342255648257e-9</x:v>
      </x:c>
      <x:c r="G578" s="7" t="n">
        <x:f>IF(ISNUMBER(B578),ABS(B578),"")</x:f>
        <x:v>0.007140449531146658</x:v>
      </x:c>
      <x:c r="H578" s="7" t="n">
        <x:f>IF(ISNUMBER(B578),B578^2,"")</x:f>
        <x:v>0.00005098601950685253</x:v>
      </x:c>
      <x:c r="I578" s="7" t="n">
        <x:f>IF(AND(ISNUMBER(G578),'요약'!$B$19),G578-'요약'!$B$14,"")</x:f>
        <x:v>-0.0008730670962561974</x:v>
      </x:c>
      <x:c r="J578" s="7" t="n">
        <x:f>IF(AND(ISNUMBER(H578),'요약'!$B$19),H578-'요약'!$B$15,"")</x:f>
        <x:v>-0.000051223679679239574</x:v>
      </x:c>
      <x:c r="K578" t="n">
        <x:f>IF(ISNUMBER(B578),IF('Hill'!$B$4=1,IF(B578&lt;0,-B578,""),IF('Hill'!$B$4=2,IF(B578&gt;0,B578,""),IF('Hill'!$B$4=3,IF(B578&lt;&gt;0,ABS(B578),""),""))),"")</x:f>
        <x:v>0.007140449531146658</x:v>
      </x:c>
    </x:row>
    <x:row r="579">
      <x:c r="A579" t="n">
        <x:f>578</x:f>
        <x:v>578</x:v>
      </x:c>
      <x:c r="B579" s="7" t="n">
        <x:f>IF('요약'!$B$4=4,IF(ISNUMBER('input'!A579),'input'!A579,""),IF(578&lt;=1000,CHOOSE('요약'!$B$4,'input'!B579,'input'!C579,'input'!D579),""))</x:f>
        <x:v>0.004945700087134777</x:v>
      </x:c>
      <x:c r="C579" s="7" t="n">
        <x:f>IF(AND(ISNUMBER(B579),'요약'!$B$19),B579-'요약'!$B$7,"")</x:f>
        <x:v>0.004993939414184278</x:v>
      </x:c>
      <x:c r="D579" s="7" t="n">
        <x:f>IF(ISNUMBER(C579),C579^2,"")</x:f>
        <x:v>0.00002493943087254321</x:v>
      </x:c>
      <x:c r="E579" s="15" t="n">
        <x:f>IF(ISNUMBER(C579),C579^3,"")</x:f>
        <x:v>1.2454600680171775e-7</x:v>
      </x:c>
      <x:c r="F579" s="15" t="n">
        <x:f>IF(ISNUMBER(C579),C579^4,"")</x:f>
        <x:v>6.219752122463615e-10</x:v>
      </x:c>
      <x:c r="G579" s="7" t="n">
        <x:f>IF(ISNUMBER(B579),ABS(B579),"")</x:f>
        <x:v>0.004945700087134777</x:v>
      </x:c>
      <x:c r="H579" s="7" t="n">
        <x:f>IF(ISNUMBER(B579),B579^2,"")</x:f>
        <x:v>0.000024459949351884937</x:v>
      </x:c>
      <x:c r="I579" s="7" t="n">
        <x:f>IF(AND(ISNUMBER(G579),'요약'!$B$19),G579-'요약'!$B$14,"")</x:f>
        <x:v>-0.0030678165402680787</x:v>
      </x:c>
      <x:c r="J579" s="7" t="n">
        <x:f>IF(AND(ISNUMBER(H579),'요약'!$B$19),H579-'요약'!$B$15,"")</x:f>
        <x:v>-0.00007774974983420717</x:v>
      </x:c>
      <x:c r="K579" t="str">
        <x:f>IF(ISNUMBER(B579),IF('Hill'!$B$4=1,IF(B579&lt;0,-B579,""),IF('Hill'!$B$4=2,IF(B579&gt;0,B579,""),IF('Hill'!$B$4=3,IF(B579&lt;&gt;0,ABS(B579),""),""))),"")</x:f>
      </x:c>
    </x:row>
    <x:row r="580">
      <x:c r="A580" t="n">
        <x:f>579</x:f>
        <x:v>579</x:v>
      </x:c>
      <x:c r="B580" s="7" t="n">
        <x:f>IF('요약'!$B$4=4,IF(ISNUMBER('input'!A580),'input'!A580,""),IF(579&lt;=1000,CHOOSE('요약'!$B$4,'input'!B580,'input'!C580,'input'!D580),""))</x:f>
        <x:v>0.005822573946678721</x:v>
      </x:c>
      <x:c r="C580" s="7" t="n">
        <x:f>IF(AND(ISNUMBER(B580),'요약'!$B$19),B580-'요약'!$B$7,"")</x:f>
        <x:v>0.005870813273728222</x:v>
      </x:c>
      <x:c r="D580" s="7" t="n">
        <x:f>IF(ISNUMBER(C580),C580^2,"")</x:f>
        <x:v>0.000034466448494983487</x:v>
      </x:c>
      <x:c r="E580" s="15" t="n">
        <x:f>IF(ISNUMBER(C580),C580^3,"")</x:f>
        <x:v>2.0234608332261917e-7</x:v>
      </x:c>
      <x:c r="F580" s="15" t="n">
        <x:f>IF(ISNUMBER(C580),C580^4,"")</x:f>
        <x:v>1.1879360718573495e-9</x:v>
      </x:c>
      <x:c r="G580" s="7" t="n">
        <x:f>IF(ISNUMBER(B580),ABS(B580),"")</x:f>
        <x:v>0.005822573946678721</x:v>
      </x:c>
      <x:c r="H580" s="7" t="n">
        <x:f>IF(ISNUMBER(B580),B580^2,"")</x:f>
        <x:v>0.00003390236736454182</x:v>
      </x:c>
      <x:c r="I580" s="7" t="n">
        <x:f>IF(AND(ISNUMBER(G580),'요약'!$B$19),G580-'요약'!$B$14,"")</x:f>
        <x:v>-0.0021909426807241346</x:v>
      </x:c>
      <x:c r="J580" s="7" t="n">
        <x:f>IF(AND(ISNUMBER(H580),'요약'!$B$19),H580-'요약'!$B$15,"")</x:f>
        <x:v>-0.00006830733182155028</x:v>
      </x:c>
      <x:c r="K580" t="str">
        <x:f>IF(ISNUMBER(B580),IF('Hill'!$B$4=1,IF(B580&lt;0,-B580,""),IF('Hill'!$B$4=2,IF(B580&gt;0,B580,""),IF('Hill'!$B$4=3,IF(B580&lt;&gt;0,ABS(B580),""),""))),"")</x:f>
      </x:c>
    </x:row>
    <x:row r="581">
      <x:c r="A581" t="n">
        <x:f>580</x:f>
        <x:v>580</x:v>
      </x:c>
      <x:c r="B581" s="7" t="n">
        <x:f>IF('요약'!$B$4=4,IF(ISNUMBER('input'!A581),'input'!A581,""),IF(580&lt;=1000,CHOOSE('요약'!$B$4,'input'!B581,'input'!C581,'input'!D581),""))</x:f>
        <x:v>0.015748211637519393</x:v>
      </x:c>
      <x:c r="C581" s="7" t="n">
        <x:f>IF(AND(ISNUMBER(B581),'요약'!$B$19),B581-'요약'!$B$7,"")</x:f>
        <x:v>0.015796450964568894</x:v>
      </x:c>
      <x:c r="D581" s="7" t="n">
        <x:f>IF(ISNUMBER(C581),C581^2,"")</x:f>
        <x:v>0.0002495278630760295</x:v>
      </x:c>
      <x:c r="E581" s="15" t="n">
        <x:f>IF(ISNUMBER(C581),C581^3,"")</x:f>
        <x:v>0.000003941654653374161</x:v>
      </x:c>
      <x:c r="F581" s="15" t="n">
        <x:f>IF(ISNUMBER(C581),C581^4,"")</x:f>
        <x:v>6.226415445128974e-8</x:v>
      </x:c>
      <x:c r="G581" s="7" t="n">
        <x:f>IF(ISNUMBER(B581),ABS(B581),"")</x:f>
        <x:v>0.015748211637519393</x:v>
      </x:c>
      <x:c r="H581" s="7" t="n">
        <x:f>IF(ISNUMBER(B581),B581^2,"")</x:f>
        <x:v>0.0002480061697801012</x:v>
      </x:c>
      <x:c r="I581" s="7" t="n">
        <x:f>IF(AND(ISNUMBER(G581),'요약'!$B$19),G581-'요약'!$B$14,"")</x:f>
        <x:v>0.007734695010116538</x:v>
      </x:c>
      <x:c r="J581" s="7" t="n">
        <x:f>IF(AND(ISNUMBER(H581),'요약'!$B$19),H581-'요약'!$B$15,"")</x:f>
        <x:v>0.0001457964705940091</x:v>
      </x:c>
      <x:c r="K581" t="str">
        <x:f>IF(ISNUMBER(B581),IF('Hill'!$B$4=1,IF(B581&lt;0,-B581,""),IF('Hill'!$B$4=2,IF(B581&gt;0,B581,""),IF('Hill'!$B$4=3,IF(B581&lt;&gt;0,ABS(B581),""),""))),"")</x:f>
      </x:c>
    </x:row>
    <x:row r="582">
      <x:c r="A582" t="n">
        <x:f>581</x:f>
        <x:v>581</x:v>
      </x:c>
      <x:c r="B582" s="7" t="n">
        <x:f>IF('요약'!$B$4=4,IF(ISNUMBER('input'!A582),'input'!A582,""),IF(581&lt;=1000,CHOOSE('요약'!$B$4,'input'!B582,'input'!C582,'input'!D582),""))</x:f>
        <x:v>0.016055835191257483</x:v>
      </x:c>
      <x:c r="C582" s="7" t="n">
        <x:f>IF(AND(ISNUMBER(B582),'요약'!$B$19),B582-'요약'!$B$7,"")</x:f>
        <x:v>0.016104074518306984</x:v>
      </x:c>
      <x:c r="D582" s="7" t="n">
        <x:f>IF(ISNUMBER(C582),C582^2,"")</x:f>
        <x:v>0.0002593412160911843</x:v>
      </x:c>
      <x:c r="E582" s="15" t="n">
        <x:f>IF(ISNUMBER(C582),C582^3,"")</x:f>
        <x:v>0.0000041764502696007866</x:v>
      </x:c>
      <x:c r="F582" s="15" t="n">
        <x:f>IF(ISNUMBER(C582),C582^4,"")</x:f>
        <x:v>6.725786636365435e-8</x:v>
      </x:c>
      <x:c r="G582" s="7" t="n">
        <x:f>IF(ISNUMBER(B582),ABS(B582),"")</x:f>
        <x:v>0.016055835191257483</x:v>
      </x:c>
      <x:c r="H582" s="7" t="n">
        <x:f>IF(ISNUMBER(B582),B582^2,"")</x:f>
        <x:v>0.0002577898436888222</x:v>
      </x:c>
      <x:c r="I582" s="7" t="n">
        <x:f>IF(AND(ISNUMBER(G582),'요약'!$B$19),G582-'요약'!$B$14,"")</x:f>
        <x:v>0.008042318563854628</x:v>
      </x:c>
      <x:c r="J582" s="7" t="n">
        <x:f>IF(AND(ISNUMBER(H582),'요약'!$B$19),H582-'요약'!$B$15,"")</x:f>
        <x:v>0.00015558014450273012</x:v>
      </x:c>
      <x:c r="K582" t="str">
        <x:f>IF(ISNUMBER(B582),IF('Hill'!$B$4=1,IF(B582&lt;0,-B582,""),IF('Hill'!$B$4=2,IF(B582&gt;0,B582,""),IF('Hill'!$B$4=3,IF(B582&lt;&gt;0,ABS(B582),""),""))),"")</x:f>
      </x:c>
    </x:row>
    <x:row r="583">
      <x:c r="A583" t="n">
        <x:f>582</x:f>
        <x:v>582</x:v>
      </x:c>
      <x:c r="B583" s="7" t="n">
        <x:f>IF('요약'!$B$4=4,IF(ISNUMBER('input'!A583),'input'!A583,""),IF(582&lt;=1000,CHOOSE('요약'!$B$4,'input'!B583,'input'!C583,'input'!D583),""))</x:f>
        <x:v>0.013498059907680379</x:v>
      </x:c>
      <x:c r="C583" s="7" t="n">
        <x:f>IF(AND(ISNUMBER(B583),'요약'!$B$19),B583-'요약'!$B$7,"")</x:f>
        <x:v>0.013546299234729879</x:v>
      </x:c>
      <x:c r="D583" s="7" t="n">
        <x:f>IF(ISNUMBER(C583),C583^2,"")</x:f>
        <x:v>0.0001835022229568433</x:v>
      </x:c>
      <x:c r="E583" s="15" t="n">
        <x:f>IF(ISNUMBER(C583),C583^3,"")</x:f>
        <x:v>0.0000024857760224115183</x:v>
      </x:c>
      <x:c r="F583" s="15" t="n">
        <x:f>IF(ISNUMBER(C583),C583^4,"")</x:f>
        <x:v>3.367306583010303e-8</x:v>
      </x:c>
      <x:c r="G583" s="7" t="n">
        <x:f>IF(ISNUMBER(B583),ABS(B583),"")</x:f>
        <x:v>0.013498059907680379</x:v>
      </x:c>
      <x:c r="H583" s="7" t="n">
        <x:f>IF(ISNUMBER(B583),B583^2,"")</x:f>
        <x:v>0.00018219762127132843</x:v>
      </x:c>
      <x:c r="I583" s="7" t="n">
        <x:f>IF(AND(ISNUMBER(G583),'요약'!$B$19),G583-'요약'!$B$14,"")</x:f>
        <x:v>0.005484543280277523</x:v>
      </x:c>
      <x:c r="J583" s="7" t="n">
        <x:f>IF(AND(ISNUMBER(H583),'요약'!$B$19),H583-'요약'!$B$15,"")</x:f>
        <x:v>0.00007998792208523632</x:v>
      </x:c>
      <x:c r="K583" t="str">
        <x:f>IF(ISNUMBER(B583),IF('Hill'!$B$4=1,IF(B583&lt;0,-B583,""),IF('Hill'!$B$4=2,IF(B583&gt;0,B583,""),IF('Hill'!$B$4=3,IF(B583&lt;&gt;0,ABS(B583),""),""))),"")</x:f>
      </x:c>
    </x:row>
    <x:row r="584">
      <x:c r="A584" t="n">
        <x:f>583</x:f>
        <x:v>583</x:v>
      </x:c>
      <x:c r="B584" s="7" t="n">
        <x:f>IF('요약'!$B$4=4,IF(ISNUMBER('input'!A584),'input'!A584,""),IF(583&lt;=1000,CHOOSE('요약'!$B$4,'input'!B584,'input'!C584,'input'!D584),""))</x:f>
        <x:v>-0.013959795484007814</x:v>
      </x:c>
      <x:c r="C584" s="7" t="n">
        <x:f>IF(AND(ISNUMBER(B584),'요약'!$B$19),B584-'요약'!$B$7,"")</x:f>
        <x:v>-0.013911556156958313</x:v>
      </x:c>
      <x:c r="D584" s="7" t="n">
        <x:f>IF(ISNUMBER(C584),C584^2,"")</x:f>
        <x:v>0.00019353139470820475</x:v>
      </x:c>
      <x:c r="E584" s="15" t="n">
        <x:f>IF(ISNUMBER(C584),C584^3,"")</x:f>
        <x:v>-0.000002692322865617655</x:v>
      </x:c>
      <x:c r="F584" s="15" t="n">
        <x:f>IF(ISNUMBER(C584),C584^4,"")</x:f>
        <x:v>3.745440073770294e-8</x:v>
      </x:c>
      <x:c r="G584" s="7" t="n">
        <x:f>IF(ISNUMBER(B584),ABS(B584),"")</x:f>
        <x:v>0.013959795484007814</x:v>
      </x:c>
      <x:c r="H584" s="7" t="n">
        <x:f>IF(ISNUMBER(B584),B584^2,"")</x:f>
        <x:v>0.00019487588995532494</x:v>
      </x:c>
      <x:c r="I584" s="7" t="n">
        <x:f>IF(AND(ISNUMBER(G584),'요약'!$B$19),G584-'요약'!$B$14,"")</x:f>
        <x:v>0.005946278856604958</x:v>
      </x:c>
      <x:c r="J584" s="7" t="n">
        <x:f>IF(AND(ISNUMBER(H584),'요약'!$B$19),H584-'요약'!$B$15,"")</x:f>
        <x:v>0.00009266619076923283</x:v>
      </x:c>
      <x:c r="K584" t="n">
        <x:f>IF(ISNUMBER(B584),IF('Hill'!$B$4=1,IF(B584&lt;0,-B584,""),IF('Hill'!$B$4=2,IF(B584&gt;0,B584,""),IF('Hill'!$B$4=3,IF(B584&lt;&gt;0,ABS(B584),""),""))),"")</x:f>
        <x:v>0.013959795484007814</x:v>
      </x:c>
    </x:row>
    <x:row r="585">
      <x:c r="A585" t="n">
        <x:f>584</x:f>
        <x:v>584</x:v>
      </x:c>
      <x:c r="B585" s="7" t="n">
        <x:f>IF('요약'!$B$4=4,IF(ISNUMBER('input'!A585),'input'!A585,""),IF(584&lt;=1000,CHOOSE('요약'!$B$4,'input'!B585,'input'!C585,'input'!D585),""))</x:f>
        <x:v>0.010631175292930579</x:v>
      </x:c>
      <x:c r="C585" s="7" t="n">
        <x:f>IF(AND(ISNUMBER(B585),'요약'!$B$19),B585-'요약'!$B$7,"")</x:f>
        <x:v>0.01067941461998008</x:v>
      </x:c>
      <x:c r="D585" s="7" t="n">
        <x:f>IF(ISNUMBER(C585),C585^2,"")</x:f>
        <x:v>0.00011404989662544427</x:v>
      </x:c>
      <x:c r="E585" s="15" t="n">
        <x:f>IF(ISNUMBER(C585),C585^3,"")</x:f>
        <x:v>0.0000012179861334289862</x:v>
      </x:c>
      <x:c r="F585" s="15" t="n">
        <x:f>IF(ISNUMBER(C585),C585^4,"")</x:f>
        <x:v>1.3007378920274523e-8</x:v>
      </x:c>
      <x:c r="G585" s="7" t="n">
        <x:f>IF(ISNUMBER(B585),ABS(B585),"")</x:f>
        <x:v>0.010631175292930579</x:v>
      </x:c>
      <x:c r="H585" s="7" t="n">
        <x:f>IF(ISNUMBER(B585),B585^2,"")</x:f>
        <x:v>0.00011302188810901758</x:v>
      </x:c>
      <x:c r="I585" s="7" t="n">
        <x:f>IF(AND(ISNUMBER(G585),'요약'!$B$19),G585-'요약'!$B$14,"")</x:f>
        <x:v>0.0026176586655277233</x:v>
      </x:c>
      <x:c r="J585" s="7" t="n">
        <x:f>IF(AND(ISNUMBER(H585),'요약'!$B$19),H585-'요약'!$B$15,"")</x:f>
        <x:v>0.000010812188922925471</x:v>
      </x:c>
      <x:c r="K585" t="str">
        <x:f>IF(ISNUMBER(B585),IF('Hill'!$B$4=1,IF(B585&lt;0,-B585,""),IF('Hill'!$B$4=2,IF(B585&gt;0,B585,""),IF('Hill'!$B$4=3,IF(B585&lt;&gt;0,ABS(B585),""),""))),"")</x:f>
      </x:c>
    </x:row>
    <x:row r="586">
      <x:c r="A586" t="n">
        <x:f>585</x:f>
        <x:v>585</x:v>
      </x:c>
      <x:c r="B586" s="7" t="n">
        <x:f>IF('요약'!$B$4=4,IF(ISNUMBER('input'!A586),'input'!A586,""),IF(585&lt;=1000,CHOOSE('요약'!$B$4,'input'!B586,'input'!C586,'input'!D586),""))</x:f>
        <x:v>-0.010124607523271972</x:v>
      </x:c>
      <x:c r="C586" s="7" t="n">
        <x:f>IF(AND(ISNUMBER(B586),'요약'!$B$19),B586-'요약'!$B$7,"")</x:f>
        <x:v>-0.010076368196222471</x:v>
      </x:c>
      <x:c r="D586" s="7" t="n">
        <x:f>IF(ISNUMBER(C586),C586^2,"")</x:f>
        <x:v>0.00010153319602584369</x:v>
      </x:c>
      <x:c r="E586" s="15" t="n">
        <x:f>IF(ISNUMBER(C586),C586^3,"")</x:f>
        <x:v>-0.0000010230858672956332</x:v>
      </x:c>
      <x:c r="F586" s="15" t="n">
        <x:f>IF(ISNUMBER(C586),C586^4,"")</x:f>
        <x:v>1.0308989895222402e-8</x:v>
      </x:c>
      <x:c r="G586" s="7" t="n">
        <x:f>IF(ISNUMBER(B586),ABS(B586),"")</x:f>
        <x:v>0.010124607523271972</x:v>
      </x:c>
      <x:c r="H586" s="7" t="n">
        <x:f>IF(ISNUMBER(B586),B586^2,"")</x:f>
        <x:v>0.00010250767750029541</x:v>
      </x:c>
      <x:c r="I586" s="7" t="n">
        <x:f>IF(AND(ISNUMBER(G586),'요약'!$B$19),G586-'요약'!$B$14,"")</x:f>
        <x:v>0.0021110908958691162</x:v>
      </x:c>
      <x:c r="J586" s="7" t="n">
        <x:f>IF(AND(ISNUMBER(H586),'요약'!$B$19),H586-'요약'!$B$15,"")</x:f>
        <x:v>2.979783142033034e-7</x:v>
      </x:c>
      <x:c r="K586" t="n">
        <x:f>IF(ISNUMBER(B586),IF('Hill'!$B$4=1,IF(B586&lt;0,-B586,""),IF('Hill'!$B$4=2,IF(B586&gt;0,B586,""),IF('Hill'!$B$4=3,IF(B586&lt;&gt;0,ABS(B586),""),""))),"")</x:f>
        <x:v>0.010124607523271972</x:v>
      </x:c>
    </x:row>
    <x:row r="587">
      <x:c r="A587" t="n">
        <x:f>586</x:f>
        <x:v>586</x:v>
      </x:c>
      <x:c r="B587" s="7" t="n">
        <x:f>IF('요약'!$B$4=4,IF(ISNUMBER('input'!A587),'input'!A587,""),IF(586&lt;=1000,CHOOSE('요약'!$B$4,'input'!B587,'input'!C587,'input'!D587),""))</x:f>
        <x:v>-0.009716430016534218</x:v>
      </x:c>
      <x:c r="C587" s="7" t="n">
        <x:f>IF(AND(ISNUMBER(B587),'요약'!$B$19),B587-'요약'!$B$7,"")</x:f>
        <x:v>-0.009668190689484718</x:v>
      </x:c>
      <x:c r="D587" s="7" t="n">
        <x:f>IF(ISNUMBER(C587),C587^2,"")</x:f>
        <x:v>0.00009347391120823898</x:v>
      </x:c>
      <x:c r="E587" s="15" t="n">
        <x:f>IF(ISNUMBER(C587),C587^3,"")</x:f>
        <x:v>-9.037235980532174e-7</x:v>
      </x:c>
      <x:c r="F587" s="15" t="n">
        <x:f>IF(ISNUMBER(C587),C587^4,"")</x:f>
        <x:v>8.737372076565745e-9</x:v>
      </x:c>
      <x:c r="G587" s="7" t="n">
        <x:f>IF(ISNUMBER(B587),ABS(B587),"")</x:f>
        <x:v>0.009716430016534218</x:v>
      </x:c>
      <x:c r="H587" s="7" t="n">
        <x:f>IF(ISNUMBER(B587),B587^2,"")</x:f>
        <x:v>0.00009440901226620714</x:v>
      </x:c>
      <x:c r="I587" s="7" t="n">
        <x:f>IF(AND(ISNUMBER(G587),'요약'!$B$19),G587-'요약'!$B$14,"")</x:f>
        <x:v>0.001702913389131363</x:v>
      </x:c>
      <x:c r="J587" s="7" t="n">
        <x:f>IF(AND(ISNUMBER(H587),'요약'!$B$19),H587-'요약'!$B$15,"")</x:f>
        <x:v>-0.00000780068691988496</x:v>
      </x:c>
      <x:c r="K587" t="n">
        <x:f>IF(ISNUMBER(B587),IF('Hill'!$B$4=1,IF(B587&lt;0,-B587,""),IF('Hill'!$B$4=2,IF(B587&gt;0,B587,""),IF('Hill'!$B$4=3,IF(B587&lt;&gt;0,ABS(B587),""),""))),"")</x:f>
        <x:v>0.009716430016534218</x:v>
      </x:c>
    </x:row>
    <x:row r="588">
      <x:c r="A588" t="n">
        <x:f>587</x:f>
        <x:v>587</x:v>
      </x:c>
      <x:c r="B588" s="7" t="n">
        <x:f>IF('요약'!$B$4=4,IF(ISNUMBER('input'!A588),'input'!A588,""),IF(587&lt;=1000,CHOOSE('요약'!$B$4,'input'!B588,'input'!C588,'input'!D588),""))</x:f>
        <x:v>-0.004641377681978425</x:v>
      </x:c>
      <x:c r="C588" s="7" t="n">
        <x:f>IF(AND(ISNUMBER(B588),'요약'!$B$19),B588-'요약'!$B$7,"")</x:f>
        <x:v>-0.004593138354928923</x:v>
      </x:c>
      <x:c r="D588" s="7" t="n">
        <x:f>IF(ISNUMBER(C588),C588^2,"")</x:f>
        <x:v>0.000021096919947519173</x:v>
      </x:c>
      <x:c r="E588" s="15" t="n">
        <x:f>IF(ISNUMBER(C588),C588^3,"")</x:f>
        <x:v>-9.690107218181541e-8</x:v>
      </x:c>
      <x:c r="F588" s="15" t="n">
        <x:f>IF(ISNUMBER(C588),C588^4,"")</x:f>
        <x:v>4.4508003127203246e-10</x:v>
      </x:c>
      <x:c r="G588" s="7" t="n">
        <x:f>IF(ISNUMBER(B588),ABS(B588),"")</x:f>
        <x:v>0.004641377681978425</x:v>
      </x:c>
      <x:c r="H588" s="7" t="n">
        <x:f>IF(ISNUMBER(B588),B588^2,"")</x:f>
        <x:v>0.000021542386786767414</x:v>
      </x:c>
      <x:c r="I588" s="7" t="n">
        <x:f>IF(AND(ISNUMBER(G588),'요약'!$B$19),G588-'요약'!$B$14,"")</x:f>
        <x:v>-0.003372138945424431</x:v>
      </x:c>
      <x:c r="J588" s="7" t="n">
        <x:f>IF(AND(ISNUMBER(H588),'요약'!$B$19),H588-'요약'!$B$15,"")</x:f>
        <x:v>-0.00008066731239932469</x:v>
      </x:c>
      <x:c r="K588" t="n">
        <x:f>IF(ISNUMBER(B588),IF('Hill'!$B$4=1,IF(B588&lt;0,-B588,""),IF('Hill'!$B$4=2,IF(B588&gt;0,B588,""),IF('Hill'!$B$4=3,IF(B588&lt;&gt;0,ABS(B588),""),""))),"")</x:f>
        <x:v>0.004641377681978425</x:v>
      </x:c>
    </x:row>
    <x:row r="589">
      <x:c r="A589" t="n">
        <x:f>588</x:f>
        <x:v>588</x:v>
      </x:c>
      <x:c r="B589" s="7" t="n">
        <x:f>IF('요약'!$B$4=4,IF(ISNUMBER('input'!A589),'input'!A589,""),IF(588&lt;=1000,CHOOSE('요약'!$B$4,'input'!B589,'input'!C589,'input'!D589),""))</x:f>
        <x:v>-0.0030390493784978774</x:v>
      </x:c>
      <x:c r="C589" s="7" t="n">
        <x:f>IF(AND(ISNUMBER(B589),'요약'!$B$19),B589-'요약'!$B$7,"")</x:f>
        <x:v>-0.002990810051448376</x:v>
      </x:c>
      <x:c r="D589" s="7" t="n">
        <x:f>IF(ISNUMBER(C589),C589^2,"")</x:f>
        <x:v>0.000008944944763844637</x:v>
      </x:c>
      <x:c r="E589" s="15" t="n">
        <x:f>IF(ISNUMBER(C589),C589^3,"")</x:f>
        <x:v>-2.675263070935706e-8</x:v>
      </x:c>
      <x:c r="F589" s="15" t="n">
        <x:f>IF(ISNUMBER(C589),C589^4,"")</x:f>
        <x:v>8.001203682823159e-11</x:v>
      </x:c>
      <x:c r="G589" s="7" t="n">
        <x:f>IF(ISNUMBER(B589),ABS(B589),"")</x:f>
        <x:v>0.0030390493784978774</x:v>
      </x:c>
      <x:c r="H589" s="7" t="n">
        <x:f>IF(ISNUMBER(B589),B589^2,"")</x:f>
        <x:v>0.000009235821124948335</x:v>
      </x:c>
      <x:c r="I589" s="7" t="n">
        <x:f>IF(AND(ISNUMBER(G589),'요약'!$B$19),G589-'요약'!$B$14,"")</x:f>
        <x:v>-0.004974467248904978</x:v>
      </x:c>
      <x:c r="J589" s="7" t="n">
        <x:f>IF(AND(ISNUMBER(H589),'요약'!$B$19),H589-'요약'!$B$15,"")</x:f>
        <x:v>-0.00009297387806114377</x:v>
      </x:c>
      <x:c r="K589" t="n">
        <x:f>IF(ISNUMBER(B589),IF('Hill'!$B$4=1,IF(B589&lt;0,-B589,""),IF('Hill'!$B$4=2,IF(B589&gt;0,B589,""),IF('Hill'!$B$4=3,IF(B589&lt;&gt;0,ABS(B589),""),""))),"")</x:f>
        <x:v>0.0030390493784978774</x:v>
      </x:c>
    </x:row>
    <x:row r="590">
      <x:c r="A590" t="n">
        <x:f>589</x:f>
        <x:v>589</x:v>
      </x:c>
      <x:c r="B590" s="7" t="n">
        <x:f>IF('요약'!$B$4=4,IF(ISNUMBER('input'!A590),'input'!A590,""),IF(589&lt;=1000,CHOOSE('요약'!$B$4,'input'!B590,'input'!C590,'input'!D590),""))</x:f>
        <x:v>-0.007582590845727778</x:v>
      </x:c>
      <x:c r="C590" s="7" t="n">
        <x:f>IF(AND(ISNUMBER(B590),'요약'!$B$19),B590-'요약'!$B$7,"")</x:f>
        <x:v>-0.0075343515186782764</x:v>
      </x:c>
      <x:c r="D590" s="7" t="n">
        <x:f>IF(ISNUMBER(C590),C590^2,"")</x:f>
        <x:v>0.00005676645280700965</x:v>
      </x:c>
      <x:c r="E590" s="15" t="n">
        <x:f>IF(ISNUMBER(C590),C590^3,"")</x:f>
        <x:v>-4.2769840991647186e-7</x:v>
      </x:c>
      <x:c r="F590" s="15" t="n">
        <x:f>IF(ISNUMBER(C590),C590^4,"")</x:f>
        <x:v>3.222430164290454e-9</x:v>
      </x:c>
      <x:c r="G590" s="7" t="n">
        <x:f>IF(ISNUMBER(B590),ABS(B590),"")</x:f>
        <x:v>0.007582590845727778</x:v>
      </x:c>
      <x:c r="H590" s="7" t="n">
        <x:f>IF(ISNUMBER(B590),B590^2,"")</x:f>
        <x:v>0.0000574956839337147</x:v>
      </x:c>
      <x:c r="I590" s="7" t="n">
        <x:f>IF(AND(ISNUMBER(G590),'요약'!$B$19),G590-'요약'!$B$14,"")</x:f>
        <x:v>-0.0004309257816750775</x:v>
      </x:c>
      <x:c r="J590" s="7" t="n">
        <x:f>IF(AND(ISNUMBER(H590),'요약'!$B$19),H590-'요약'!$B$15,"")</x:f>
        <x:v>-0.000044714015252377404</x:v>
      </x:c>
      <x:c r="K590" t="n">
        <x:f>IF(ISNUMBER(B590),IF('Hill'!$B$4=1,IF(B590&lt;0,-B590,""),IF('Hill'!$B$4=2,IF(B590&gt;0,B590,""),IF('Hill'!$B$4=3,IF(B590&lt;&gt;0,ABS(B590),""),""))),"")</x:f>
        <x:v>0.007582590845727778</x:v>
      </x:c>
    </x:row>
    <x:row r="591">
      <x:c r="A591" t="n">
        <x:f>590</x:f>
        <x:v>590</x:v>
      </x:c>
      <x:c r="B591" s="7" t="n">
        <x:f>IF('요약'!$B$4=4,IF(ISNUMBER('input'!A591),'input'!A591,""),IF(590&lt;=1000,CHOOSE('요약'!$B$4,'input'!B591,'input'!C591,'input'!D591),""))</x:f>
        <x:v>-0.006194379515585214</x:v>
      </x:c>
      <x:c r="C591" s="7" t="n">
        <x:f>IF(AND(ISNUMBER(B591),'요약'!$B$19),B591-'요약'!$B$7,"")</x:f>
        <x:v>-0.006146140188535713</x:v>
      </x:c>
      <x:c r="D591" s="7" t="n">
        <x:f>IF(ISNUMBER(C591),C591^2,"")</x:f>
        <x:v>0.0000377750392171338</x:v>
      </x:c>
      <x:c r="E591" s="15" t="n">
        <x:f>IF(ISNUMBER(C591),C591^3,"")</x:f>
        <x:v>-2.321706866559387e-7</x:v>
      </x:c>
      <x:c r="F591" s="15" t="n">
        <x:f>IF(ISNUMBER(C591),C591^4,"")</x:f>
        <x:v>1.426953587855997e-9</x:v>
      </x:c>
      <x:c r="G591" s="7" t="n">
        <x:f>IF(ISNUMBER(B591),ABS(B591),"")</x:f>
        <x:v>0.006194379515585214</x:v>
      </x:c>
      <x:c r="H591" s="7" t="n">
        <x:f>IF(ISNUMBER(B591),B591^2,"")</x:f>
        <x:v>0.00003837033758310171</x:v>
      </x:c>
      <x:c r="I591" s="7" t="n">
        <x:f>IF(AND(ISNUMBER(G591),'요약'!$B$19),G591-'요약'!$B$14,"")</x:f>
        <x:v>-0.0018191371118176413</x:v>
      </x:c>
      <x:c r="J591" s="7" t="n">
        <x:f>IF(AND(ISNUMBER(H591),'요약'!$B$19),H591-'요약'!$B$15,"")</x:f>
        <x:v>-0.00006383936160299039</x:v>
      </x:c>
      <x:c r="K591" t="n">
        <x:f>IF(ISNUMBER(B591),IF('Hill'!$B$4=1,IF(B591&lt;0,-B591,""),IF('Hill'!$B$4=2,IF(B591&gt;0,B591,""),IF('Hill'!$B$4=3,IF(B591&lt;&gt;0,ABS(B591),""),""))),"")</x:f>
        <x:v>0.006194379515585214</x:v>
      </x:c>
    </x:row>
    <x:row r="592">
      <x:c r="A592" t="n">
        <x:f>591</x:f>
        <x:v>591</x:v>
      </x:c>
      <x:c r="B592" s="7" t="n">
        <x:f>IF('요약'!$B$4=4,IF(ISNUMBER('input'!A592),'input'!A592,""),IF(591&lt;=1000,CHOOSE('요약'!$B$4,'input'!B592,'input'!C592,'input'!D592),""))</x:f>
        <x:v>-0.0013686614258003064</x:v>
      </x:c>
      <x:c r="C592" s="7" t="n">
        <x:f>IF(AND(ISNUMBER(B592),'요약'!$B$19),B592-'요약'!$B$7,"")</x:f>
        <x:v>-0.001320422098750805</x:v>
      </x:c>
      <x:c r="D592" s="7" t="n">
        <x:f>IF(ISNUMBER(C592),C592^2,"")</x:f>
        <x:v>0.0000017435145188694806</x:v>
      </x:c>
      <x:c r="E592" s="15" t="n">
        <x:f>IF(ISNUMBER(C592),C592^3,"")</x:f>
        <x:v>-2.3021751002081394e-9</x:v>
      </x:c>
      <x:c r="F592" s="15" t="n">
        <x:f>IF(ISNUMBER(C592),C592^4,"")</x:f>
        <x:v>3.039842877508676e-12</x:v>
      </x:c>
      <x:c r="G592" s="7" t="n">
        <x:f>IF(ISNUMBER(B592),ABS(B592),"")</x:f>
        <x:v>0.0013686614258003064</x:v>
      </x:c>
      <x:c r="H592" s="7" t="n">
        <x:f>IF(ISNUMBER(B592),B592^2,"")</x:f>
        <x:v>0.0000018732340984737277</x:v>
      </x:c>
      <x:c r="I592" s="7" t="n">
        <x:f>IF(AND(ISNUMBER(G592),'요약'!$B$19),G592-'요약'!$B$14,"")</x:f>
        <x:v>-0.006644855201602549</x:v>
      </x:c>
      <x:c r="J592" s="7" t="n">
        <x:f>IF(AND(ISNUMBER(H592),'요약'!$B$19),H592-'요약'!$B$15,"")</x:f>
        <x:v>-0.00010033646508761837</x:v>
      </x:c>
      <x:c r="K592" t="n">
        <x:f>IF(ISNUMBER(B592),IF('Hill'!$B$4=1,IF(B592&lt;0,-B592,""),IF('Hill'!$B$4=2,IF(B592&gt;0,B592,""),IF('Hill'!$B$4=3,IF(B592&lt;&gt;0,ABS(B592),""),""))),"")</x:f>
        <x:v>0.0013686614258003064</x:v>
      </x:c>
    </x:row>
    <x:row r="593">
      <x:c r="A593" t="n">
        <x:f>592</x:f>
        <x:v>592</x:v>
      </x:c>
      <x:c r="B593" s="7" t="n">
        <x:f>IF('요약'!$B$4=4,IF(ISNUMBER('input'!A593),'input'!A593,""),IF(592&lt;=1000,CHOOSE('요약'!$B$4,'input'!B593,'input'!C593,'input'!D593),""))</x:f>
        <x:v>-0.011884766951783398</x:v>
      </x:c>
      <x:c r="C593" s="7" t="n">
        <x:f>IF(AND(ISNUMBER(B593),'요약'!$B$19),B593-'요약'!$B$7,"")</x:f>
        <x:v>-0.011836527624733898</x:v>
      </x:c>
      <x:c r="D593" s="7" t="n">
        <x:f>IF(ISNUMBER(C593),C593^2,"")</x:f>
        <x:v>0.0001401033862110887</x:v>
      </x:c>
      <x:c r="E593" s="15" t="n">
        <x:f>IF(ISNUMBER(C593),C593^3,"")</x:f>
        <x:v>-0.0000016583376012063135</x:v>
      </x:c>
      <x:c r="F593" s="15" t="n">
        <x:f>IF(ISNUMBER(C593),C593^4,"")</x:f>
        <x:v>1.9628958827813475e-8</x:v>
      </x:c>
      <x:c r="G593" s="7" t="n">
        <x:f>IF(ISNUMBER(B593),ABS(B593),"")</x:f>
        <x:v>0.011884766951783398</x:v>
      </x:c>
      <x:c r="H593" s="7" t="n">
        <x:f>IF(ISNUMBER(B593),B593^2,"")</x:f>
        <x:v>0.00014124768549820285</x:v>
      </x:c>
      <x:c r="I593" s="7" t="n">
        <x:f>IF(AND(ISNUMBER(G593),'요약'!$B$19),G593-'요약'!$B$14,"")</x:f>
        <x:v>0.003871250324380543</x:v>
      </x:c>
      <x:c r="J593" s="7" t="n">
        <x:f>IF(AND(ISNUMBER(H593),'요약'!$B$19),H593-'요약'!$B$15,"")</x:f>
        <x:v>0.000039037986312110746</x:v>
      </x:c>
      <x:c r="K593" t="n">
        <x:f>IF(ISNUMBER(B593),IF('Hill'!$B$4=1,IF(B593&lt;0,-B593,""),IF('Hill'!$B$4=2,IF(B593&gt;0,B593,""),IF('Hill'!$B$4=3,IF(B593&lt;&gt;0,ABS(B593),""),""))),"")</x:f>
        <x:v>0.011884766951783398</x:v>
      </x:c>
    </x:row>
    <x:row r="594">
      <x:c r="A594" t="n">
        <x:f>593</x:f>
        <x:v>593</x:v>
      </x:c>
      <x:c r="B594" s="7" t="n">
        <x:f>IF('요약'!$B$4=4,IF(ISNUMBER('input'!A594),'input'!A594,""),IF(593&lt;=1000,CHOOSE('요약'!$B$4,'input'!B594,'input'!C594,'input'!D594),""))</x:f>
        <x:v>0.009036062257526708</x:v>
      </x:c>
      <x:c r="C594" s="7" t="n">
        <x:f>IF(AND(ISNUMBER(B594),'요약'!$B$19),B594-'요약'!$B$7,"")</x:f>
        <x:v>0.009084301584576208</x:v>
      </x:c>
      <x:c r="D594" s="7" t="n">
        <x:f>IF(ISNUMBER(C594),C594^2,"")</x:f>
        <x:v>0.0000825245352795338</x:v>
      </x:c>
      <x:c r="E594" s="15" t="n">
        <x:f>IF(ISNUMBER(C594),C594^3,"")</x:f>
        <x:v>7.496777666062842e-7</x:v>
      </x:c>
      <x:c r="F594" s="15" t="n">
        <x:f>IF(ISNUMBER(C594),C594^4,"")</x:f>
        <x:v>6.81029892310302e-9</x:v>
      </x:c>
      <x:c r="G594" s="7" t="n">
        <x:f>IF(ISNUMBER(B594),ABS(B594),"")</x:f>
        <x:v>0.009036062257526708</x:v>
      </x:c>
      <x:c r="H594" s="7" t="n">
        <x:f>IF(ISNUMBER(B594),B594^2,"")</x:f>
        <x:v>0.00008165042112189866</x:v>
      </x:c>
      <x:c r="I594" s="7" t="n">
        <x:f>IF(AND(ISNUMBER(G594),'요약'!$B$19),G594-'요약'!$B$14,"")</x:f>
        <x:v>0.001022545630123852</x:v>
      </x:c>
      <x:c r="J594" s="7" t="n">
        <x:f>IF(AND(ISNUMBER(H594),'요약'!$B$19),H594-'요약'!$B$15,"")</x:f>
        <x:v>-0.000020559278064193447</x:v>
      </x:c>
      <x:c r="K594" t="str">
        <x:f>IF(ISNUMBER(B594),IF('Hill'!$B$4=1,IF(B594&lt;0,-B594,""),IF('Hill'!$B$4=2,IF(B594&gt;0,B594,""),IF('Hill'!$B$4=3,IF(B594&lt;&gt;0,ABS(B594),""),""))),"")</x:f>
      </x:c>
    </x:row>
    <x:row r="595">
      <x:c r="A595" t="n">
        <x:f>594</x:f>
        <x:v>594</x:v>
      </x:c>
      <x:c r="B595" s="7" t="n">
        <x:f>IF('요약'!$B$4=4,IF(ISNUMBER('input'!A595),'input'!A595,""),IF(594&lt;=1000,CHOOSE('요약'!$B$4,'input'!B595,'input'!C595,'input'!D595),""))</x:f>
        <x:v>0.008213339005676317</x:v>
      </x:c>
      <x:c r="C595" s="7" t="n">
        <x:f>IF(AND(ISNUMBER(B595),'요약'!$B$19),B595-'요약'!$B$7,"")</x:f>
        <x:v>0.008261578332725818</x:v>
      </x:c>
      <x:c r="D595" s="7" t="n">
        <x:f>IF(ISNUMBER(C595),C595^2,"")</x:f>
        <x:v>0.0000682536765477647</x:v>
      </x:c>
      <x:c r="E595" s="15" t="n">
        <x:f>IF(ISNUMBER(C595),C595^3,"")</x:f>
        <x:v>5.638830952958891e-7</x:v>
      </x:c>
      <x:c r="F595" s="15" t="n">
        <x:f>IF(ISNUMBER(C595),C595^4,"")</x:f>
        <x:v>4.658564362286885e-9</x:v>
      </x:c>
      <x:c r="G595" s="7" t="n">
        <x:f>IF(ISNUMBER(B595),ABS(B595),"")</x:f>
        <x:v>0.008213339005676317</x:v>
      </x:c>
      <x:c r="H595" s="7" t="n">
        <x:f>IF(ISNUMBER(B595),B595^2,"")</x:f>
        <x:v>0.00006745893762216404</x:v>
      </x:c>
      <x:c r="I595" s="7" t="n">
        <x:f>IF(AND(ISNUMBER(G595),'요약'!$B$19),G595-'요약'!$B$14,"")</x:f>
        <x:v>0.0001998223782734617</x:v>
      </x:c>
      <x:c r="J595" s="7" t="n">
        <x:f>IF(AND(ISNUMBER(H595),'요약'!$B$19),H595-'요약'!$B$15,"")</x:f>
        <x:v>-0.00003475076156392807</x:v>
      </x:c>
      <x:c r="K595" t="str">
        <x:f>IF(ISNUMBER(B595),IF('Hill'!$B$4=1,IF(B595&lt;0,-B595,""),IF('Hill'!$B$4=2,IF(B595&gt;0,B595,""),IF('Hill'!$B$4=3,IF(B595&lt;&gt;0,ABS(B595),""),""))),"")</x:f>
      </x:c>
    </x:row>
    <x:row r="596">
      <x:c r="A596" t="n">
        <x:f>595</x:f>
        <x:v>595</x:v>
      </x:c>
      <x:c r="B596" s="7" t="n">
        <x:f>IF('요약'!$B$4=4,IF(ISNUMBER('input'!A596),'input'!A596,""),IF(595&lt;=1000,CHOOSE('요약'!$B$4,'input'!B596,'input'!C596,'input'!D596),""))</x:f>
        <x:v>-0.001590342616727451</x:v>
      </x:c>
      <x:c r="C596" s="7" t="n">
        <x:f>IF(AND(ISNUMBER(B596),'요약'!$B$19),B596-'요약'!$B$7,"")</x:f>
        <x:v>-0.0015421032896779496</x:v>
      </x:c>
      <x:c r="D596" s="7" t="n">
        <x:f>IF(ISNUMBER(C596),C596^2,"")</x:f>
        <x:v>0.000002378082556035554</x:v>
      </x:c>
      <x:c r="E596" s="15" t="n">
        <x:f>IF(ISNUMBER(C596),C596^3,"")</x:f>
        <x:v>-3.6672489327881745e-9</x:v>
      </x:c>
      <x:c r="F596" s="15" t="n">
        <x:f>IF(ISNUMBER(C596),C596^4,"")</x:f>
        <x:v>5.6552766433205935e-12</x:v>
      </x:c>
      <x:c r="G596" s="7" t="n">
        <x:f>IF(ISNUMBER(B596),ABS(B596),"")</x:f>
        <x:v>0.001590342616727451</x:v>
      </x:c>
      <x:c r="H596" s="7" t="n">
        <x:f>IF(ISNUMBER(B596),B596^2,"")</x:f>
        <x:v>0.000002529189638579516</x:v>
      </x:c>
      <x:c r="I596" s="7" t="n">
        <x:f>IF(AND(ISNUMBER(G596),'요약'!$B$19),G596-'요약'!$B$14,"")</x:f>
        <x:v>-0.006423174010675404</x:v>
      </x:c>
      <x:c r="J596" s="7" t="n">
        <x:f>IF(AND(ISNUMBER(H596),'요약'!$B$19),H596-'요약'!$B$15,"")</x:f>
        <x:v>-0.00009968050954751259</x:v>
      </x:c>
      <x:c r="K596" t="n">
        <x:f>IF(ISNUMBER(B596),IF('Hill'!$B$4=1,IF(B596&lt;0,-B596,""),IF('Hill'!$B$4=2,IF(B596&gt;0,B596,""),IF('Hill'!$B$4=3,IF(B596&lt;&gt;0,ABS(B596),""),""))),"")</x:f>
        <x:v>0.001590342616727451</x:v>
      </x:c>
    </x:row>
    <x:row r="597">
      <x:c r="A597" t="n">
        <x:f>596</x:f>
        <x:v>596</x:v>
      </x:c>
      <x:c r="B597" s="7" t="n">
        <x:f>IF('요약'!$B$4=4,IF(ISNUMBER('input'!A597),'input'!A597,""),IF(596&lt;=1000,CHOOSE('요약'!$B$4,'input'!B597,'input'!C597,'input'!D597),""))</x:f>
        <x:v>0.015210226506903717</x:v>
      </x:c>
      <x:c r="C597" s="7" t="n">
        <x:f>IF(AND(ISNUMBER(B597),'요약'!$B$19),B597-'요약'!$B$7,"")</x:f>
        <x:v>0.015258465833953218</x:v>
      </x:c>
      <x:c r="D597" s="7" t="n">
        <x:f>IF(ISNUMBER(C597),C597^2,"")</x:f>
        <x:v>0.00023282077960591767</x:v>
      </x:c>
      <x:c r="E597" s="15" t="n">
        <x:f>IF(ISNUMBER(C597),C597^3,"")</x:f>
        <x:v>0.000003552487911051247</x:v>
      </x:c>
      <x:c r="F597" s="15" t="n">
        <x:f>IF(ISNUMBER(C597),C597^4,"")</x:f>
        <x:v>5.420551541630729e-8</x:v>
      </x:c>
      <x:c r="G597" s="7" t="n">
        <x:f>IF(ISNUMBER(B597),ABS(B597),"")</x:f>
        <x:v>0.015210226506903717</x:v>
      </x:c>
      <x:c r="H597" s="7" t="n">
        <x:f>IF(ISNUMBER(B597),B597^2,"")</x:f>
        <x:v>0.00023135099039131644</x:v>
      </x:c>
      <x:c r="I597" s="7" t="n">
        <x:f>IF(AND(ISNUMBER(G597),'요약'!$B$19),G597-'요약'!$B$14,"")</x:f>
        <x:v>0.007196709879500862</x:v>
      </x:c>
      <x:c r="J597" s="7" t="n">
        <x:f>IF(AND(ISNUMBER(H597),'요약'!$B$19),H597-'요약'!$B$15,"")</x:f>
        <x:v>0.00012914129120522434</x:v>
      </x:c>
      <x:c r="K597" t="str">
        <x:f>IF(ISNUMBER(B597),IF('Hill'!$B$4=1,IF(B597&lt;0,-B597,""),IF('Hill'!$B$4=2,IF(B597&gt;0,B597,""),IF('Hill'!$B$4=3,IF(B597&lt;&gt;0,ABS(B597),""),""))),"")</x:f>
      </x:c>
    </x:row>
    <x:row r="598">
      <x:c r="A598" t="n">
        <x:f>597</x:f>
        <x:v>597</x:v>
      </x:c>
      <x:c r="B598" s="7" t="n">
        <x:f>IF('요약'!$B$4=4,IF(ISNUMBER('input'!A598),'input'!A598,""),IF(597&lt;=1000,CHOOSE('요약'!$B$4,'input'!B598,'input'!C598,'input'!D598),""))</x:f>
        <x:v>0.0160648271475067</x:v>
      </x:c>
      <x:c r="C598" s="7" t="n">
        <x:f>IF(AND(ISNUMBER(B598),'요약'!$B$19),B598-'요약'!$B$7,"")</x:f>
        <x:v>0.016113066474556202</x:v>
      </x:c>
      <x:c r="D598" s="7" t="n">
        <x:f>IF(ISNUMBER(C598),C598^2,"")</x:f>
        <x:v>0.00025963091121346705</x:v>
      </x:c>
      <x:c r="E598" s="15" t="n">
        <x:f>IF(ISNUMBER(C598),C598^3,"")</x:f>
        <x:v>0.000004183450131232194</x:v>
      </x:c>
      <x:c r="F598" s="15" t="n">
        <x:f>IF(ISNUMBER(C598),C598^4,"")</x:f>
        <x:v>6.74082100575352e-8</x:v>
      </x:c>
      <x:c r="G598" s="7" t="n">
        <x:f>IF(ISNUMBER(B598),ABS(B598),"")</x:f>
        <x:v>0.0160648271475067</x:v>
      </x:c>
      <x:c r="H598" s="7" t="n">
        <x:f>IF(ISNUMBER(B598),B598^2,"")</x:f>
        <x:v>0.0002580786712792683</x:v>
      </x:c>
      <x:c r="I598" s="7" t="n">
        <x:f>IF(AND(ISNUMBER(G598),'요약'!$B$19),G598-'요약'!$B$14,"")</x:f>
        <x:v>0.008051310520103846</x:v>
      </x:c>
      <x:c r="J598" s="7" t="n">
        <x:f>IF(AND(ISNUMBER(H598),'요약'!$B$19),H598-'요약'!$B$15,"")</x:f>
        <x:v>0.0001558689720931762</x:v>
      </x:c>
      <x:c r="K598" t="str">
        <x:f>IF(ISNUMBER(B598),IF('Hill'!$B$4=1,IF(B598&lt;0,-B598,""),IF('Hill'!$B$4=2,IF(B598&gt;0,B598,""),IF('Hill'!$B$4=3,IF(B598&lt;&gt;0,ABS(B598),""),""))),"")</x:f>
      </x:c>
    </x:row>
    <x:row r="599">
      <x:c r="A599" t="n">
        <x:f>598</x:f>
        <x:v>598</x:v>
      </x:c>
      <x:c r="B599" s="7" t="n">
        <x:f>IF('요약'!$B$4=4,IF(ISNUMBER('input'!A599),'input'!A599,""),IF(598&lt;=1000,CHOOSE('요약'!$B$4,'input'!B599,'input'!C599,'input'!D599),""))</x:f>
        <x:v>0.0036838941796607204</x:v>
      </x:c>
      <x:c r="C599" s="7" t="n">
        <x:f>IF(AND(ISNUMBER(B599),'요약'!$B$19),B599-'요약'!$B$7,"")</x:f>
        <x:v>0.003732133506710222</x:v>
      </x:c>
      <x:c r="D599" s="7" t="n">
        <x:f>IF(ISNUMBER(C599),C599^2,"")</x:f>
        <x:v>0.000013928820511909138</x:v>
      </x:c>
      <x:c r="E599" s="15" t="n">
        <x:f>IF(ISNUMBER(C599),C599^3,"")</x:f>
        <x:v>5.198421774144872e-8</x:v>
      </x:c>
      <x:c r="F599" s="15" t="n">
        <x:f>IF(ISNUMBER(C599),C599^4,"")</x:f>
        <x:v>1.9401204085298074e-10</x:v>
      </x:c>
      <x:c r="G599" s="7" t="n">
        <x:f>IF(ISNUMBER(B599),ABS(B599),"")</x:f>
        <x:v>0.0036838941796607204</x:v>
      </x:c>
      <x:c r="H599" s="7" t="n">
        <x:f>IF(ISNUMBER(B599),B599^2,"")</x:f>
        <x:v>0.000013571076326938132</x:v>
      </x:c>
      <x:c r="I599" s="7" t="n">
        <x:f>IF(AND(ISNUMBER(G599),'요약'!$B$19),G599-'요약'!$B$14,"")</x:f>
        <x:v>-0.004329622447742135</x:v>
      </x:c>
      <x:c r="J599" s="7" t="n">
        <x:f>IF(AND(ISNUMBER(H599),'요약'!$B$19),H599-'요약'!$B$15,"")</x:f>
        <x:v>-0.00008863862285915397</x:v>
      </x:c>
      <x:c r="K599" t="str">
        <x:f>IF(ISNUMBER(B599),IF('Hill'!$B$4=1,IF(B599&lt;0,-B599,""),IF('Hill'!$B$4=2,IF(B599&gt;0,B599,""),IF('Hill'!$B$4=3,IF(B599&lt;&gt;0,ABS(B599),""),""))),"")</x:f>
      </x:c>
    </x:row>
    <x:row r="600">
      <x:c r="A600" t="n">
        <x:f>599</x:f>
        <x:v>599</x:v>
      </x:c>
      <x:c r="B600" s="7" t="n">
        <x:f>IF('요약'!$B$4=4,IF(ISNUMBER('input'!A600),'input'!A600,""),IF(599&lt;=1000,CHOOSE('요약'!$B$4,'input'!B600,'input'!C600,'input'!D600),""))</x:f>
        <x:v>0.00541307687696786</x:v>
      </x:c>
      <x:c r="C600" s="7" t="n">
        <x:f>IF(AND(ISNUMBER(B600),'요약'!$B$19),B600-'요약'!$B$7,"")</x:f>
        <x:v>0.005461316204017361</x:v>
      </x:c>
      <x:c r="D600" s="7" t="n">
        <x:f>IF(ISNUMBER(C600),C600^2,"")</x:f>
        <x:v>0.0000298259746802626</x:v>
      </x:c>
      <x:c r="E600" s="15" t="n">
        <x:f>IF(ISNUMBER(C600),C600^3,"")</x:f>
        <x:v>1.6288907882192966e-7</x:v>
      </x:c>
      <x:c r="F600" s="15" t="n">
        <x:f>IF(ISNUMBER(C600),C600^4,"")</x:f>
        <x:v>8.895887656276656e-10</x:v>
      </x:c>
      <x:c r="G600" s="7" t="n">
        <x:f>IF(ISNUMBER(B600),ABS(B600),"")</x:f>
        <x:v>0.00541307687696786</x:v>
      </x:c>
      <x:c r="H600" s="7" t="n">
        <x:f>IF(ISNUMBER(B600),B600^2,"")</x:f>
        <x:v>0.000029301401275964117</x:v>
      </x:c>
      <x:c r="I600" s="7" t="n">
        <x:f>IF(AND(ISNUMBER(G600),'요약'!$B$19),G600-'요약'!$B$14,"")</x:f>
        <x:v>-0.002600439750434996</x:v>
      </x:c>
      <x:c r="J600" s="7" t="n">
        <x:f>IF(AND(ISNUMBER(H600),'요약'!$B$19),H600-'요약'!$B$15,"")</x:f>
        <x:v>-0.00007290829791012799</x:v>
      </x:c>
      <x:c r="K600" t="str">
        <x:f>IF(ISNUMBER(B600),IF('Hill'!$B$4=1,IF(B600&lt;0,-B600,""),IF('Hill'!$B$4=2,IF(B600&gt;0,B600,""),IF('Hill'!$B$4=3,IF(B600&lt;&gt;0,ABS(B600),""),""))),"")</x:f>
      </x:c>
    </x:row>
    <x:row r="601">
      <x:c r="A601" t="n">
        <x:f>600</x:f>
        <x:v>600</x:v>
      </x:c>
      <x:c r="B601" s="7" t="n">
        <x:f>IF('요약'!$B$4=4,IF(ISNUMBER('input'!A601),'input'!A601,""),IF(600&lt;=1000,CHOOSE('요약'!$B$4,'input'!B601,'input'!C601,'input'!D601),""))</x:f>
        <x:v>0.005616064955193762</x:v>
      </x:c>
      <x:c r="C601" s="7" t="n">
        <x:f>IF(AND(ISNUMBER(B601),'요약'!$B$19),B601-'요약'!$B$7,"")</x:f>
        <x:v>0.005664304282243264</x:v>
      </x:c>
      <x:c r="D601" s="7" t="n">
        <x:f>IF(ISNUMBER(C601),C601^2,"")</x:f>
        <x:v>0.000032084343001839374</x:v>
      </x:c>
      <x:c r="E601" s="15" t="n">
        <x:f>IF(ISNUMBER(C601),C601^3,"")</x:f>
        <x:v>1.8173548145828046e-7</x:v>
      </x:c>
      <x:c r="F601" s="15" t="n">
        <x:f>IF(ISNUMBER(C601),C601^4,"")</x:f>
        <x:v>1.0294050658596792e-9</x:v>
      </x:c>
      <x:c r="G601" s="7" t="n">
        <x:f>IF(ISNUMBER(B601),ABS(B601),"")</x:f>
        <x:v>0.005616064955193762</x:v>
      </x:c>
      <x:c r="H601" s="7" t="n">
        <x:f>IF(ISNUMBER(B601),B601^2,"")</x:f>
        <x:v>0.000031540185580955516</x:v>
      </x:c>
      <x:c r="I601" s="7" t="n">
        <x:f>IF(AND(ISNUMBER(G601),'요약'!$B$19),G601-'요약'!$B$14,"")</x:f>
        <x:v>-0.002397451672209093</x:v>
      </x:c>
      <x:c r="J601" s="7" t="n">
        <x:f>IF(AND(ISNUMBER(H601),'요약'!$B$19),H601-'요약'!$B$15,"")</x:f>
        <x:v>-0.0000706695136051366</x:v>
      </x:c>
      <x:c r="K601" t="str">
        <x:f>IF(ISNUMBER(B601),IF('Hill'!$B$4=1,IF(B601&lt;0,-B601,""),IF('Hill'!$B$4=2,IF(B601&gt;0,B601,""),IF('Hill'!$B$4=3,IF(B601&lt;&gt;0,ABS(B601),""),""))),"")</x:f>
      </x:c>
    </x:row>
    <x:row r="602">
      <x:c r="A602" t="n">
        <x:f>601</x:f>
        <x:v>601</x:v>
      </x:c>
      <x:c r="B602" s="7" t="n">
        <x:f>IF('요약'!$B$4=4,IF(ISNUMBER('input'!A602),'input'!A602,""),IF(601&lt;=1000,CHOOSE('요약'!$B$4,'input'!B602,'input'!C602,'input'!D602),""))</x:f>
        <x:v>-0.006247240928762026</x:v>
      </x:c>
      <x:c r="C602" s="7" t="n">
        <x:f>IF(AND(ISNUMBER(B602),'요약'!$B$19),B602-'요약'!$B$7,"")</x:f>
        <x:v>-0.006199001601712524</x:v>
      </x:c>
      <x:c r="D602" s="7" t="n">
        <x:f>IF(ISNUMBER(C602),C602^2,"")</x:f>
        <x:v>0.00003842762085803444</x:v>
      </x:c>
      <x:c r="E602" s="15" t="n">
        <x:f>IF(ISNUMBER(C602),C602^3,"")</x:f>
        <x:v>-2.3821288324895713e-7</x:v>
      </x:c>
      <x:c r="F602" s="15" t="n">
        <x:f>IF(ISNUMBER(C602),C602^4,"")</x:f>
        <x:v>1.4766820448088438e-9</x:v>
      </x:c>
      <x:c r="G602" s="7" t="n">
        <x:f>IF(ISNUMBER(B602),ABS(B602),"")</x:f>
        <x:v>0.006247240928762026</x:v>
      </x:c>
      <x:c r="H602" s="7" t="n">
        <x:f>IF(ISNUMBER(B602),B602^2,"")</x:f>
        <x:v>0.00003902801922199942</x:v>
      </x:c>
      <x:c r="I602" s="7" t="n">
        <x:f>IF(AND(ISNUMBER(G602),'요약'!$B$19),G602-'요약'!$B$14,"")</x:f>
        <x:v>-0.0017662756986408295</x:v>
      </x:c>
      <x:c r="J602" s="7" t="n">
        <x:f>IF(AND(ISNUMBER(H602),'요약'!$B$19),H602-'요약'!$B$15,"")</x:f>
        <x:v>-0.00006318167996409268</x:v>
      </x:c>
      <x:c r="K602" t="n">
        <x:f>IF(ISNUMBER(B602),IF('Hill'!$B$4=1,IF(B602&lt;0,-B602,""),IF('Hill'!$B$4=2,IF(B602&gt;0,B602,""),IF('Hill'!$B$4=3,IF(B602&lt;&gt;0,ABS(B602),""),""))),"")</x:f>
        <x:v>0.006247240928762026</x:v>
      </x:c>
    </x:row>
    <x:row r="603">
      <x:c r="A603" t="n">
        <x:f>602</x:f>
        <x:v>602</x:v>
      </x:c>
      <x:c r="B603" s="7" t="n">
        <x:f>IF('요약'!$B$4=4,IF(ISNUMBER('input'!A603),'input'!A603,""),IF(602&lt;=1000,CHOOSE('요약'!$B$4,'input'!B603,'input'!C603,'input'!D603),""))</x:f>
        <x:v>-0.009954499120917018</x:v>
      </x:c>
      <x:c r="C603" s="7" t="n">
        <x:f>IF(AND(ISNUMBER(B603),'요약'!$B$19),B603-'요약'!$B$7,"")</x:f>
        <x:v>-0.009906259793867517</x:v>
      </x:c>
      <x:c r="D603" s="7" t="n">
        <x:f>IF(ISNUMBER(C603),C603^2,"")</x:f>
        <x:v>0.0000981339831035961</x:v>
      </x:c>
      <x:c r="E603" s="15" t="n">
        <x:f>IF(ISNUMBER(C603),C603^3,"")</x:f>
        <x:v>-9.721407312312284e-7</x:v>
      </x:c>
      <x:c r="F603" s="15" t="n">
        <x:f>IF(ISNUMBER(C603),C603^4,"")</x:f>
        <x:v>9.630278639776886e-9</x:v>
      </x:c>
      <x:c r="G603" s="7" t="n">
        <x:f>IF(ISNUMBER(B603),ABS(B603),"")</x:f>
        <x:v>0.009954499120917018</x:v>
      </x:c>
      <x:c r="H603" s="7" t="n">
        <x:f>IF(ISNUMBER(B603),B603^2,"")</x:f>
        <x:v>0.00009909205274833769</x:v>
      </x:c>
      <x:c r="I603" s="7" t="n">
        <x:f>IF(AND(ISNUMBER(G603),'요약'!$B$19),G603-'요약'!$B$14,"")</x:f>
        <x:v>0.0019409824935141626</x:v>
      </x:c>
      <x:c r="J603" s="7" t="n">
        <x:f>IF(AND(ISNUMBER(H603),'요약'!$B$19),H603-'요약'!$B$15,"")</x:f>
        <x:v>-0.0000031176464377544177</x:v>
      </x:c>
      <x:c r="K603" t="n">
        <x:f>IF(ISNUMBER(B603),IF('Hill'!$B$4=1,IF(B603&lt;0,-B603,""),IF('Hill'!$B$4=2,IF(B603&gt;0,B603,""),IF('Hill'!$B$4=3,IF(B603&lt;&gt;0,ABS(B603),""),""))),"")</x:f>
        <x:v>0.009954499120917018</x:v>
      </x:c>
    </x:row>
    <x:row r="604">
      <x:c r="A604" t="n">
        <x:f>603</x:f>
        <x:v>603</x:v>
      </x:c>
      <x:c r="B604" s="7" t="n">
        <x:f>IF('요약'!$B$4=4,IF(ISNUMBER('input'!A604),'input'!A604,""),IF(603&lt;=1000,CHOOSE('요약'!$B$4,'input'!B604,'input'!C604,'input'!D604),""))</x:f>
        <x:v>-0.012678738627637473</x:v>
      </x:c>
      <x:c r="C604" s="7" t="n">
        <x:f>IF(AND(ISNUMBER(B604),'요약'!$B$19),B604-'요약'!$B$7,"")</x:f>
        <x:v>-0.012630499300587973</x:v>
      </x:c>
      <x:c r="D604" s="7" t="n">
        <x:f>IF(ISNUMBER(C604),C604^2,"")</x:f>
        <x:v>0.00015952951258215326</x:v>
      </x:c>
      <x:c r="E604" s="15" t="n">
        <x:f>IF(ISNUMBER(C604),C604^3,"")</x:f>
        <x:v>-0.000002014937397092027</x:v>
      </x:c>
      <x:c r="F604" s="15" t="n">
        <x:f>IF(ISNUMBER(C604),C604^4,"")</x:f>
        <x:v>2.5449665384699397e-8</x:v>
      </x:c>
      <x:c r="G604" s="7" t="n">
        <x:f>IF(ISNUMBER(B604),ABS(B604),"")</x:f>
        <x:v>0.012678738627637473</x:v>
      </x:c>
      <x:c r="H604" s="7" t="n">
        <x:f>IF(ISNUMBER(B604),B604^2,"")</x:f>
        <x:v>0.00016075041318794656</x:v>
      </x:c>
      <x:c r="I604" s="7" t="n">
        <x:f>IF(AND(ISNUMBER(G604),'요약'!$B$19),G604-'요약'!$B$14,"")</x:f>
        <x:v>0.004665222000234618</x:v>
      </x:c>
      <x:c r="J604" s="7" t="n">
        <x:f>IF(AND(ISNUMBER(H604),'요약'!$B$19),H604-'요약'!$B$15,"")</x:f>
        <x:v>0.00005854071400185446</x:v>
      </x:c>
      <x:c r="K604" t="n">
        <x:f>IF(ISNUMBER(B604),IF('Hill'!$B$4=1,IF(B604&lt;0,-B604,""),IF('Hill'!$B$4=2,IF(B604&gt;0,B604,""),IF('Hill'!$B$4=3,IF(B604&lt;&gt;0,ABS(B604),""),""))),"")</x:f>
        <x:v>0.012678738627637473</x:v>
      </x:c>
    </x:row>
    <x:row r="605">
      <x:c r="A605" t="n">
        <x:f>604</x:f>
        <x:v>604</x:v>
      </x:c>
      <x:c r="B605" s="7" t="n">
        <x:f>IF('요약'!$B$4=4,IF(ISNUMBER('input'!A605),'input'!A605,""),IF(604&lt;=1000,CHOOSE('요약'!$B$4,'input'!B605,'input'!C605,'input'!D605),""))</x:f>
        <x:v>-0.0032796736914583948</x:v>
      </x:c>
      <x:c r="C605" s="7" t="n">
        <x:f>IF(AND(ISNUMBER(B605),'요약'!$B$19),B605-'요약'!$B$7,"")</x:f>
        <x:v>-0.0032314343644088933</x:v>
      </x:c>
      <x:c r="D605" s="7" t="n">
        <x:f>IF(ISNUMBER(C605),C605^2,"")</x:f>
        <x:v>0.000010442168051482709</x:v>
      </x:c>
      <x:c r="E605" s="15" t="n">
        <x:f>IF(ISNUMBER(C605),C605^3,"")</x:f>
        <x:v>-3.374318068049388e-8</x:v>
      </x:c>
      <x:c r="F605" s="15" t="n">
        <x:f>IF(ISNUMBER(C605),C605^4,"")</x:f>
        <x:v>1.0903887361540618e-10</x:v>
      </x:c>
      <x:c r="G605" s="7" t="n">
        <x:f>IF(ISNUMBER(B605),ABS(B605),"")</x:f>
        <x:v>0.0032796736914583948</x:v>
      </x:c>
      <x:c r="H605" s="7" t="n">
        <x:f>IF(ISNUMBER(B605),B605^2,"")</x:f>
        <x:v>0.000010756259522444333</x:v>
      </x:c>
      <x:c r="I605" s="7" t="n">
        <x:f>IF(AND(ISNUMBER(G605),'요약'!$B$19),G605-'요약'!$B$14,"")</x:f>
        <x:v>-0.004733842935944461</x:v>
      </x:c>
      <x:c r="J605" s="7" t="n">
        <x:f>IF(AND(ISNUMBER(H605),'요약'!$B$19),H605-'요약'!$B$15,"")</x:f>
        <x:v>-0.00009145343966364777</x:v>
      </x:c>
      <x:c r="K605" t="n">
        <x:f>IF(ISNUMBER(B605),IF('Hill'!$B$4=1,IF(B605&lt;0,-B605,""),IF('Hill'!$B$4=2,IF(B605&gt;0,B605,""),IF('Hill'!$B$4=3,IF(B605&lt;&gt;0,ABS(B605),""),""))),"")</x:f>
        <x:v>0.0032796736914583948</x:v>
      </x:c>
    </x:row>
    <x:row r="606">
      <x:c r="A606" t="n">
        <x:f>605</x:f>
        <x:v>605</x:v>
      </x:c>
      <x:c r="B606" s="7" t="n">
        <x:f>IF('요약'!$B$4=4,IF(ISNUMBER('input'!A606),'input'!A606,""),IF(605&lt;=1000,CHOOSE('요약'!$B$4,'input'!B606,'input'!C606,'input'!D606),""))</x:f>
        <x:v>-0.02036362477375037</x:v>
      </x:c>
      <x:c r="C606" s="7" t="n">
        <x:f>IF(AND(ISNUMBER(B606),'요약'!$B$19),B606-'요약'!$B$7,"")</x:f>
        <x:v>-0.02031538544670087</x:v>
      </x:c>
      <x:c r="D606" s="7" t="n">
        <x:f>IF(ISNUMBER(C606),C606^2,"")</x:f>
        <x:v>0.0004127148858480255</x:v>
      </x:c>
      <x:c r="E606" s="15" t="n">
        <x:f>IF(ISNUMBER(C606),C606^3,"")</x:f>
        <x:v>-0.000008384461985593787</x:v>
      </x:c>
      <x:c r="F606" s="15" t="n">
        <x:f>IF(ISNUMBER(C606),C606^4,"")</x:f>
        <x:v>1.703335770005487e-7</x:v>
      </x:c>
      <x:c r="G606" s="7" t="n">
        <x:f>IF(ISNUMBER(B606),ABS(B606),"")</x:f>
        <x:v>0.02036362477375037</x:v>
      </x:c>
      <x:c r="H606" s="7" t="n">
        <x:f>IF(ISNUMBER(B606),B606^2,"")</x:f>
        <x:v>0.0004146772139260998</x:v>
      </x:c>
      <x:c r="I606" s="7" t="n">
        <x:f>IF(AND(ISNUMBER(G606),'요약'!$B$19),G606-'요약'!$B$14,"")</x:f>
        <x:v>0.012350108146347514</x:v>
      </x:c>
      <x:c r="J606" s="7" t="n">
        <x:f>IF(AND(ISNUMBER(H606),'요약'!$B$19),H606-'요약'!$B$15,"")</x:f>
        <x:v>0.00031246751474000765</x:v>
      </x:c>
      <x:c r="K606" t="n">
        <x:f>IF(ISNUMBER(B606),IF('Hill'!$B$4=1,IF(B606&lt;0,-B606,""),IF('Hill'!$B$4=2,IF(B606&gt;0,B606,""),IF('Hill'!$B$4=3,IF(B606&lt;&gt;0,ABS(B606),""),""))),"")</x:f>
        <x:v>0.02036362477375037</x:v>
      </x:c>
    </x:row>
    <x:row r="607">
      <x:c r="A607" t="n">
        <x:f>606</x:f>
        <x:v>606</x:v>
      </x:c>
      <x:c r="B607" s="7" t="n">
        <x:f>IF('요약'!$B$4=4,IF(ISNUMBER('input'!A607),'input'!A607,""),IF(606&lt;=1000,CHOOSE('요약'!$B$4,'input'!B607,'input'!C607,'input'!D607),""))</x:f>
        <x:v>-0.0056812645345842286</x:v>
      </x:c>
      <x:c r="C607" s="7" t="n">
        <x:f>IF(AND(ISNUMBER(B607),'요약'!$B$19),B607-'요약'!$B$7,"")</x:f>
        <x:v>-0.005633025207534727</x:v>
      </x:c>
      <x:c r="D607" s="7" t="n">
        <x:f>IF(ISNUMBER(C607),C607^2,"")</x:f>
        <x:v>0.00003173097298872165</x:v>
      </x:c>
      <x:c r="E607" s="15" t="n">
        <x:f>IF(ISNUMBER(C607),C607^3,"")</x:f>
        <x:v>-1.7874137070507263e-7</x:v>
      </x:c>
      <x:c r="F607" s="15" t="n">
        <x:f>IF(ISNUMBER(C607),C607^4,"")</x:f>
        <x:v>1.0068546468109833e-9</x:v>
      </x:c>
      <x:c r="G607" s="7" t="n">
        <x:f>IF(ISNUMBER(B607),ABS(B607),"")</x:f>
        <x:v>0.0056812645345842286</x:v>
      </x:c>
      <x:c r="H607" s="7" t="n">
        <x:f>IF(ISNUMBER(B607),B607^2,"")</x:f>
        <x:v>0.000032276766711924554</x:v>
      </x:c>
      <x:c r="I607" s="7" t="n">
        <x:f>IF(AND(ISNUMBER(G607),'요약'!$B$19),G607-'요약'!$B$14,"")</x:f>
        <x:v>-0.002332252092818627</x:v>
      </x:c>
      <x:c r="J607" s="7" t="n">
        <x:f>IF(AND(ISNUMBER(H607),'요약'!$B$19),H607-'요약'!$B$15,"")</x:f>
        <x:v>-0.00006993293247416755</x:v>
      </x:c>
      <x:c r="K607" t="n">
        <x:f>IF(ISNUMBER(B607),IF('Hill'!$B$4=1,IF(B607&lt;0,-B607,""),IF('Hill'!$B$4=2,IF(B607&gt;0,B607,""),IF('Hill'!$B$4=3,IF(B607&lt;&gt;0,ABS(B607),""),""))),"")</x:f>
        <x:v>0.0056812645345842286</x:v>
      </x:c>
    </x:row>
    <x:row r="608">
      <x:c r="A608" t="n">
        <x:f>607</x:f>
        <x:v>607</x:v>
      </x:c>
      <x:c r="B608" s="7" t="n">
        <x:f>IF('요약'!$B$4=4,IF(ISNUMBER('input'!A608),'input'!A608,""),IF(607&lt;=1000,CHOOSE('요약'!$B$4,'input'!B608,'input'!C608,'input'!D608),""))</x:f>
        <x:v>-0.0031960561413526822</x:v>
      </x:c>
      <x:c r="C608" s="7" t="n">
        <x:f>IF(AND(ISNUMBER(B608),'요약'!$B$19),B608-'요약'!$B$7,"")</x:f>
        <x:v>-0.0031478168143031808</x:v>
      </x:c>
      <x:c r="D608" s="7" t="n">
        <x:f>IF(ISNUMBER(C608),C608^2,"")</x:f>
        <x:v>0.000009908750696409826</x:v>
      </x:c>
      <x:c r="E608" s="15" t="n">
        <x:f>IF(ISNUMBER(C608),C608^3,"")</x:f>
        <x:v>-3.11909320508972e-8</x:v>
      </x:c>
      <x:c r="F608" s="15" t="n">
        <x:f>IF(ISNUMBER(C608),C608^4,"")</x:f>
        <x:v>9.818334036360221e-11</x:v>
      </x:c>
      <x:c r="G608" s="7" t="n">
        <x:f>IF(ISNUMBER(B608),ABS(B608),"")</x:f>
        <x:v>0.0031960561413526822</x:v>
      </x:c>
      <x:c r="H608" s="7" t="n">
        <x:f>IF(ISNUMBER(B608),B608^2,"")</x:f>
        <x:v>0.000010214774858678196</x:v>
      </x:c>
      <x:c r="I608" s="7" t="n">
        <x:f>IF(AND(ISNUMBER(G608),'요약'!$B$19),G608-'요약'!$B$14,"")</x:f>
        <x:v>-0.004817460486050173</x:v>
      </x:c>
      <x:c r="J608" s="7" t="n">
        <x:f>IF(AND(ISNUMBER(H608),'요약'!$B$19),H608-'요약'!$B$15,"")</x:f>
        <x:v>-0.00009199492432741391</x:v>
      </x:c>
      <x:c r="K608" t="n">
        <x:f>IF(ISNUMBER(B608),IF('Hill'!$B$4=1,IF(B608&lt;0,-B608,""),IF('Hill'!$B$4=2,IF(B608&gt;0,B608,""),IF('Hill'!$B$4=3,IF(B608&lt;&gt;0,ABS(B608),""),""))),"")</x:f>
        <x:v>0.0031960561413526822</x:v>
      </x:c>
    </x:row>
    <x:row r="609">
      <x:c r="A609" t="n">
        <x:f>608</x:f>
        <x:v>608</x:v>
      </x:c>
      <x:c r="B609" s="7" t="n">
        <x:f>IF('요약'!$B$4=4,IF(ISNUMBER('input'!A609),'input'!A609,""),IF(608&lt;=1000,CHOOSE('요약'!$B$4,'input'!B609,'input'!C609,'input'!D609),""))</x:f>
        <x:v>-0.004934857127770907</x:v>
      </x:c>
      <x:c r="C609" s="7" t="n">
        <x:f>IF(AND(ISNUMBER(B609),'요약'!$B$19),B609-'요약'!$B$7,"")</x:f>
        <x:v>-0.004886617800721405</x:v>
      </x:c>
      <x:c r="D609" s="7" t="n">
        <x:f>IF(ISNUMBER(C609),C609^2,"")</x:f>
        <x:v>0.000023879033530327304</x:v>
      </x:c>
      <x:c r="E609" s="15" t="n">
        <x:f>IF(ISNUMBER(C609),C609^3,"")</x:f>
        <x:v>-1.166877103133207e-7</x:v>
      </x:c>
      <x:c r="F609" s="15" t="n">
        <x:f>IF(ISNUMBER(C609),C609^4,"")</x:f>
        <x:v>5.702082423424956e-10</x:v>
      </x:c>
      <x:c r="G609" s="7" t="n">
        <x:f>IF(ISNUMBER(B609),ABS(B609),"")</x:f>
        <x:v>0.004934857127770907</x:v>
      </x:c>
      <x:c r="H609" s="7" t="n">
        <x:f>IF(ISNUMBER(B609),B609^2,"")</x:f>
        <x:v>0.000024352814871511322</x:v>
      </x:c>
      <x:c r="I609" s="7" t="n">
        <x:f>IF(AND(ISNUMBER(G609),'요약'!$B$19),G609-'요약'!$B$14,"")</x:f>
        <x:v>-0.0030786594996319487</x:v>
      </x:c>
      <x:c r="J609" s="7" t="n">
        <x:f>IF(AND(ISNUMBER(H609),'요약'!$B$19),H609-'요약'!$B$15,"")</x:f>
        <x:v>-0.00007785688431458079</x:v>
      </x:c>
      <x:c r="K609" t="n">
        <x:f>IF(ISNUMBER(B609),IF('Hill'!$B$4=1,IF(B609&lt;0,-B609,""),IF('Hill'!$B$4=2,IF(B609&gt;0,B609,""),IF('Hill'!$B$4=3,IF(B609&lt;&gt;0,ABS(B609),""),""))),"")</x:f>
        <x:v>0.004934857127770907</x:v>
      </x:c>
    </x:row>
    <x:row r="610">
      <x:c r="A610" t="n">
        <x:f>609</x:f>
        <x:v>609</x:v>
      </x:c>
      <x:c r="B610" s="7" t="n">
        <x:f>IF('요약'!$B$4=4,IF(ISNUMBER('input'!A610),'input'!A610,""),IF(609&lt;=1000,CHOOSE('요약'!$B$4,'input'!B610,'input'!C610,'input'!D610),""))</x:f>
        <x:v>0.005710969492095411</x:v>
      </x:c>
      <x:c r="C610" s="7" t="n">
        <x:f>IF(AND(ISNUMBER(B610),'요약'!$B$19),B610-'요약'!$B$7,"")</x:f>
        <x:v>0.0057592088191449125</x:v>
      </x:c>
      <x:c r="D610" s="7" t="n">
        <x:f>IF(ISNUMBER(C610),C610^2,"")</x:f>
        <x:v>0.00003316848622251654</x:v>
      </x:c>
      <x:c r="E610" s="15" t="n">
        <x:f>IF(ISNUMBER(C610),C610^3,"")</x:f>
        <x:v>1.9102423837040377e-7</x:v>
      </x:c>
      <x:c r="F610" s="15" t="n">
        <x:f>IF(ISNUMBER(C610),C610^4,"")</x:f>
        <x:v>1.1001484782932694e-9</x:v>
      </x:c>
      <x:c r="G610" s="7" t="n">
        <x:f>IF(ISNUMBER(B610),ABS(B610),"")</x:f>
        <x:v>0.005710969492095411</x:v>
      </x:c>
      <x:c r="H610" s="7" t="n">
        <x:f>IF(ISNUMBER(B610),B610^2,"")</x:f>
        <x:v>0.00003261517253964452</x:v>
      </x:c>
      <x:c r="I610" s="7" t="n">
        <x:f>IF(AND(ISNUMBER(G610),'요약'!$B$19),G610-'요약'!$B$14,"")</x:f>
        <x:v>-0.0023025471353074443</x:v>
      </x:c>
      <x:c r="J610" s="7" t="n">
        <x:f>IF(AND(ISNUMBER(H610),'요약'!$B$19),H610-'요약'!$B$15,"")</x:f>
        <x:v>-0.00006959452664644759</x:v>
      </x:c>
      <x:c r="K610" t="str">
        <x:f>IF(ISNUMBER(B610),IF('Hill'!$B$4=1,IF(B610&lt;0,-B610,""),IF('Hill'!$B$4=2,IF(B610&gt;0,B610,""),IF('Hill'!$B$4=3,IF(B610&lt;&gt;0,ABS(B610),""),""))),"")</x:f>
      </x:c>
    </x:row>
    <x:row r="611">
      <x:c r="A611" t="n">
        <x:f>610</x:f>
        <x:v>610</x:v>
      </x:c>
      <x:c r="B611" s="7" t="n">
        <x:f>IF('요약'!$B$4=4,IF(ISNUMBER('input'!A611),'input'!A611,""),IF(610&lt;=1000,CHOOSE('요약'!$B$4,'input'!B611,'input'!C611,'input'!D611),""))</x:f>
        <x:v>-0.00925299042259414</x:v>
      </x:c>
      <x:c r="C611" s="7" t="n">
        <x:f>IF(AND(ISNUMBER(B611),'요약'!$B$19),B611-'요약'!$B$7,"")</x:f>
        <x:v>-0.009204751095544639</x:v>
      </x:c>
      <x:c r="D611" s="7" t="n">
        <x:f>IF(ISNUMBER(C611),C611^2,"")</x:f>
        <x:v>0.00008472744273093022</x:v>
      </x:c>
      <x:c r="E611" s="15" t="n">
        <x:f>IF(ISNUMBER(C611),C611^3,"")</x:f>
        <x:v>-7.798950213002256e-7</x:v>
      </x:c>
      <x:c r="F611" s="15" t="n">
        <x:f>IF(ISNUMBER(C611),C611^4,"")</x:f>
        <x:v>7.178739551723062e-9</x:v>
      </x:c>
      <x:c r="G611" s="7" t="n">
        <x:f>IF(ISNUMBER(B611),ABS(B611),"")</x:f>
        <x:v>0.00925299042259414</x:v>
      </x:c>
      <x:c r="H611" s="7" t="n">
        <x:f>IF(ISNUMBER(B611),B611^2,"")</x:f>
        <x:v>0.00008561783176061887</x:v>
      </x:c>
      <x:c r="I611" s="7" t="n">
        <x:f>IF(AND(ISNUMBER(G611),'요약'!$B$19),G611-'요약'!$B$14,"")</x:f>
        <x:v>0.001239473795191284</x:v>
      </x:c>
      <x:c r="J611" s="7" t="n">
        <x:f>IF(AND(ISNUMBER(H611),'요약'!$B$19),H611-'요약'!$B$15,"")</x:f>
        <x:v>-0.000016591867425473238</x:v>
      </x:c>
      <x:c r="K611" t="n">
        <x:f>IF(ISNUMBER(B611),IF('Hill'!$B$4=1,IF(B611&lt;0,-B611,""),IF('Hill'!$B$4=2,IF(B611&gt;0,B611,""),IF('Hill'!$B$4=3,IF(B611&lt;&gt;0,ABS(B611),""),""))),"")</x:f>
        <x:v>0.00925299042259414</x:v>
      </x:c>
    </x:row>
    <x:row r="612">
      <x:c r="A612" t="n">
        <x:f>611</x:f>
        <x:v>611</x:v>
      </x:c>
      <x:c r="B612" s="7" t="n">
        <x:f>IF('요약'!$B$4=4,IF(ISNUMBER('input'!A612),'input'!A612,""),IF(611&lt;=1000,CHOOSE('요약'!$B$4,'input'!B612,'input'!C612,'input'!D612),""))</x:f>
        <x:v>-0.0020701195601057574</x:v>
      </x:c>
      <x:c r="C612" s="7" t="n">
        <x:f>IF(AND(ISNUMBER(B612),'요약'!$B$19),B612-'요약'!$B$7,"")</x:f>
        <x:v>-0.002021880233056256</x:v>
      </x:c>
      <x:c r="D612" s="7" t="n">
        <x:f>IF(ISNUMBER(C612),C612^2,"")</x:f>
        <x:v>0.00000408799967682362</x:v>
      </x:c>
      <x:c r="E612" s="15" t="n">
        <x:f>IF(ISNUMBER(C612),C612^3,"")</x:f>
        <x:v>-8.26544573931004e-9</x:v>
      </x:c>
      <x:c r="F612" s="15" t="n">
        <x:f>IF(ISNUMBER(C612),C612^4,"")</x:f>
        <x:v>1.671174135771002e-11</x:v>
      </x:c>
      <x:c r="G612" s="7" t="n">
        <x:f>IF(ISNUMBER(B612),ABS(B612),"")</x:f>
        <x:v>0.0020701195601057574</x:v>
      </x:c>
      <x:c r="H612" s="7" t="n">
        <x:f>IF(ISNUMBER(B612),B612^2,"")</x:f>
        <x:v>0.000004285394993132454</x:v>
      </x:c>
      <x:c r="I612" s="7" t="n">
        <x:f>IF(AND(ISNUMBER(G612),'요약'!$B$19),G612-'요약'!$B$14,"")</x:f>
        <x:v>-0.005943397067297098</x:v>
      </x:c>
      <x:c r="J612" s="7" t="n">
        <x:f>IF(AND(ISNUMBER(H612),'요약'!$B$19),H612-'요약'!$B$15,"")</x:f>
        <x:v>-0.00009792430419295965</x:v>
      </x:c>
      <x:c r="K612" t="n">
        <x:f>IF(ISNUMBER(B612),IF('Hill'!$B$4=1,IF(B612&lt;0,-B612,""),IF('Hill'!$B$4=2,IF(B612&gt;0,B612,""),IF('Hill'!$B$4=3,IF(B612&lt;&gt;0,ABS(B612),""),""))),"")</x:f>
        <x:v>0.0020701195601057574</x:v>
      </x:c>
    </x:row>
    <x:row r="613">
      <x:c r="A613" t="n">
        <x:f>612</x:f>
        <x:v>612</x:v>
      </x:c>
      <x:c r="B613" s="7" t="n">
        <x:f>IF('요약'!$B$4=4,IF(ISNUMBER('input'!A613),'input'!A613,""),IF(612&lt;=1000,CHOOSE('요약'!$B$4,'input'!B613,'input'!C613,'input'!D613),""))</x:f>
        <x:v>-0.0037937702695647843</x:v>
      </x:c>
      <x:c r="C613" s="7" t="n">
        <x:f>IF(AND(ISNUMBER(B613),'요약'!$B$19),B613-'요약'!$B$7,"")</x:f>
        <x:v>-0.003745530942515283</x:v>
      </x:c>
      <x:c r="D613" s="7" t="n">
        <x:f>IF(ISNUMBER(C613),C613^2,"")</x:f>
        <x:v>0.000014029002041339422</x:v>
      </x:c>
      <x:c r="E613" s="15" t="n">
        <x:f>IF(ISNUMBER(C613),C613^3,"")</x:f>
        <x:v>-5.254606123844687e-8</x:v>
      </x:c>
      <x:c r="F613" s="15" t="n">
        <x:f>IF(ISNUMBER(C613),C613^4,"")</x:f>
        <x:v>1.9681289827590568e-10</x:v>
      </x:c>
      <x:c r="G613" s="7" t="n">
        <x:f>IF(ISNUMBER(B613),ABS(B613),"")</x:f>
        <x:v>0.0037937702695647843</x:v>
      </x:c>
      <x:c r="H613" s="7" t="n">
        <x:f>IF(ISNUMBER(B613),B613^2,"")</x:f>
        <x:v>0.000014392692858233655</x:v>
      </x:c>
      <x:c r="I613" s="7" t="n">
        <x:f>IF(AND(ISNUMBER(G613),'요약'!$B$19),G613-'요약'!$B$14,"")</x:f>
        <x:v>-0.004219746357838072</x:v>
      </x:c>
      <x:c r="J613" s="7" t="n">
        <x:f>IF(AND(ISNUMBER(H613),'요약'!$B$19),H613-'요약'!$B$15,"")</x:f>
        <x:v>-0.00008781700632785845</x:v>
      </x:c>
      <x:c r="K613" t="n">
        <x:f>IF(ISNUMBER(B613),IF('Hill'!$B$4=1,IF(B613&lt;0,-B613,""),IF('Hill'!$B$4=2,IF(B613&gt;0,B613,""),IF('Hill'!$B$4=3,IF(B613&lt;&gt;0,ABS(B613),""),""))),"")</x:f>
        <x:v>0.0037937702695647843</x:v>
      </x:c>
    </x:row>
    <x:row r="614">
      <x:c r="A614" t="n">
        <x:f>613</x:f>
        <x:v>613</x:v>
      </x:c>
      <x:c r="B614" s="7" t="n">
        <x:f>IF('요약'!$B$4=4,IF(ISNUMBER('input'!A614),'input'!A614,""),IF(613&lt;=1000,CHOOSE('요약'!$B$4,'input'!B614,'input'!C614,'input'!D614),""))</x:f>
        <x:v>-0.012562026813249956</x:v>
      </x:c>
      <x:c r="C614" s="7" t="n">
        <x:f>IF(AND(ISNUMBER(B614),'요약'!$B$19),B614-'요약'!$B$7,"")</x:f>
        <x:v>-0.012513787486200455</x:v>
      </x:c>
      <x:c r="D614" s="7" t="n">
        <x:f>IF(ISNUMBER(C614),C614^2,"")</x:f>
        <x:v>0.0001565948772497871</x:v>
      </x:c>
      <x:c r="E614" s="15" t="n">
        <x:f>IF(ISNUMBER(C614),C614^3,"")</x:f>
        <x:v>-0.000001959595015331482</x:v>
      </x:c>
      <x:c r="F614" s="15" t="n">
        <x:f>IF(ISNUMBER(C614),C614^4,"")</x:f>
        <x:v>2.452195558087589e-8</x:v>
      </x:c>
      <x:c r="G614" s="7" t="n">
        <x:f>IF(ISNUMBER(B614),ABS(B614),"")</x:f>
        <x:v>0.012562026813249956</x:v>
      </x:c>
      <x:c r="H614" s="7" t="n">
        <x:f>IF(ISNUMBER(B614),B614^2,"")</x:f>
        <x:v>0.00015780451765681083</x:v>
      </x:c>
      <x:c r="I614" s="7" t="n">
        <x:f>IF(AND(ISNUMBER(G614),'요약'!$B$19),G614-'요약'!$B$14,"")</x:f>
        <x:v>0.0045485101858471</x:v>
      </x:c>
      <x:c r="J614" s="7" t="n">
        <x:f>IF(AND(ISNUMBER(H614),'요약'!$B$19),H614-'요약'!$B$15,"")</x:f>
        <x:v>0.00005559481847071873</x:v>
      </x:c>
      <x:c r="K614" t="n">
        <x:f>IF(ISNUMBER(B614),IF('Hill'!$B$4=1,IF(B614&lt;0,-B614,""),IF('Hill'!$B$4=2,IF(B614&gt;0,B614,""),IF('Hill'!$B$4=3,IF(B614&lt;&gt;0,ABS(B614),""),""))),"")</x:f>
        <x:v>0.012562026813249956</x:v>
      </x:c>
    </x:row>
    <x:row r="615">
      <x:c r="A615" t="n">
        <x:f>614</x:f>
        <x:v>614</x:v>
      </x:c>
      <x:c r="B615" s="7" t="n">
        <x:f>IF('요약'!$B$4=4,IF(ISNUMBER('input'!A615),'input'!A615,""),IF(614&lt;=1000,CHOOSE('요약'!$B$4,'input'!B615,'input'!C615,'input'!D615),""))</x:f>
        <x:v>0.03165601943963309</x:v>
      </x:c>
      <x:c r="C615" s="7" t="n">
        <x:f>IF(AND(ISNUMBER(B615),'요약'!$B$19),B615-'요약'!$B$7,"")</x:f>
        <x:v>0.03170425876668259</x:v>
      </x:c>
      <x:c r="D615" s="7" t="n">
        <x:f>IF(ISNUMBER(C615),C615^2,"")</x:f>
        <x:v>0.00100516002394477</x:v>
      </x:c>
      <x:c r="E615" s="15" t="n">
        <x:f>IF(ISNUMBER(C615),C615^3,"")</x:f>
        <x:v>0.00003186785350106985</x:v>
      </x:c>
      <x:c r="F615" s="15" t="n">
        <x:f>IF(ISNUMBER(C615),C615^4,"")</x:f>
        <x:v>0.0000010103466737366505</x:v>
      </x:c>
      <x:c r="G615" s="7" t="n">
        <x:f>IF(ISNUMBER(B615),ABS(B615),"")</x:f>
        <x:v>0.03165601943963309</x:v>
      </x:c>
      <x:c r="H615" s="7" t="n">
        <x:f>IF(ISNUMBER(B615),B615^2,"")</x:f>
        <x:v>0.0010021035667624279</x:v>
      </x:c>
      <x:c r="I615" s="7" t="n">
        <x:f>IF(AND(ISNUMBER(G615),'요약'!$B$19),G615-'요약'!$B$14,"")</x:f>
        <x:v>0.02364250281223023</x:v>
      </x:c>
      <x:c r="J615" s="7" t="n">
        <x:f>IF(AND(ISNUMBER(H615),'요약'!$B$19),H615-'요약'!$B$15,"")</x:f>
        <x:v>0.0008998938675763358</x:v>
      </x:c>
      <x:c r="K615" t="str">
        <x:f>IF(ISNUMBER(B615),IF('Hill'!$B$4=1,IF(B615&lt;0,-B615,""),IF('Hill'!$B$4=2,IF(B615&gt;0,B615,""),IF('Hill'!$B$4=3,IF(B615&lt;&gt;0,ABS(B615),""),""))),"")</x:f>
      </x:c>
    </x:row>
    <x:row r="616">
      <x:c r="A616" t="n">
        <x:f>615</x:f>
        <x:v>615</x:v>
      </x:c>
      <x:c r="B616" s="7" t="n">
        <x:f>IF('요약'!$B$4=4,IF(ISNUMBER('input'!A616),'input'!A616,""),IF(615&lt;=1000,CHOOSE('요약'!$B$4,'input'!B616,'input'!C616,'input'!D616),""))</x:f>
        <x:v>-0.007964048034079603</x:v>
      </x:c>
      <x:c r="C616" s="7" t="n">
        <x:f>IF(AND(ISNUMBER(B616),'요약'!$B$19),B616-'요약'!$B$7,"")</x:f>
        <x:v>-0.007915808707030103</x:v>
      </x:c>
      <x:c r="D616" s="7" t="n">
        <x:f>IF(ISNUMBER(C616),C616^2,"")</x:f>
        <x:v>0.00006266002748629358</x:v>
      </x:c>
      <x:c r="E616" s="15" t="n">
        <x:f>IF(ISNUMBER(C616),C616^3,"")</x:f>
        <x:v>-4.960047911587484e-7</x:v>
      </x:c>
      <x:c r="F616" s="15" t="n">
        <x:f>IF(ISNUMBER(C616),C616^4,"")</x:f>
        <x:v>3.9262790445830675e-9</x:v>
      </x:c>
      <x:c r="G616" s="7" t="n">
        <x:f>IF(ISNUMBER(B616),ABS(B616),"")</x:f>
        <x:v>0.007964048034079603</x:v>
      </x:c>
      <x:c r="H616" s="7" t="n">
        <x:f>IF(ISNUMBER(B616),B616^2,"")</x:f>
        <x:v>0.00006342606108912719</x:v>
      </x:c>
      <x:c r="I616" s="7" t="n">
        <x:f>IF(AND(ISNUMBER(G616),'요약'!$B$19),G616-'요약'!$B$14,"")</x:f>
        <x:v>-0.00004946859332325207</x:v>
      </x:c>
      <x:c r="J616" s="7" t="n">
        <x:f>IF(AND(ISNUMBER(H616),'요약'!$B$19),H616-'요약'!$B$15,"")</x:f>
        <x:v>-0.00003878363809696491</x:v>
      </x:c>
      <x:c r="K616" t="n">
        <x:f>IF(ISNUMBER(B616),IF('Hill'!$B$4=1,IF(B616&lt;0,-B616,""),IF('Hill'!$B$4=2,IF(B616&gt;0,B616,""),IF('Hill'!$B$4=3,IF(B616&lt;&gt;0,ABS(B616),""),""))),"")</x:f>
        <x:v>0.007964048034079603</x:v>
      </x:c>
    </x:row>
    <x:row r="617">
      <x:c r="A617" t="n">
        <x:f>616</x:f>
        <x:v>616</x:v>
      </x:c>
      <x:c r="B617" s="7" t="n">
        <x:f>IF('요약'!$B$4=4,IF(ISNUMBER('input'!A617),'input'!A617,""),IF(616&lt;=1000,CHOOSE('요약'!$B$4,'input'!B617,'input'!C617,'input'!D617),""))</x:f>
        <x:v>0.0034381666716149697</x:v>
      </x:c>
      <x:c r="C617" s="7" t="n">
        <x:f>IF(AND(ISNUMBER(B617),'요약'!$B$19),B617-'요약'!$B$7,"")</x:f>
        <x:v>0.003486405998664471</x:v>
      </x:c>
      <x:c r="D617" s="7" t="n">
        <x:f>IF(ISNUMBER(C617),C617^2,"")</x:f>
        <x:v>0.000012155026787523608</x:v>
      </x:c>
      <x:c r="E617" s="15" t="n">
        <x:f>IF(ISNUMBER(C617),C617^3,"")</x:f>
        <x:v>4.237735830594964e-8</x:v>
      </x:c>
      <x:c r="F617" s="15" t="n">
        <x:f>IF(ISNUMBER(C617),C617^4,"")</x:f>
        <x:v>1.4774467620541649e-10</x:v>
      </x:c>
      <x:c r="G617" s="7" t="n">
        <x:f>IF(ISNUMBER(B617),ABS(B617),"")</x:f>
        <x:v>0.0034381666716149697</x:v>
      </x:c>
      <x:c r="H617" s="7" t="n">
        <x:f>IF(ISNUMBER(B617),B617^2,"")</x:f>
        <x:v>0.000011820990061803959</x:v>
      </x:c>
      <x:c r="I617" s="7" t="n">
        <x:f>IF(AND(ISNUMBER(G617),'요약'!$B$19),G617-'요약'!$B$14,"")</x:f>
        <x:v>-0.004575349955787886</x:v>
      </x:c>
      <x:c r="J617" s="7" t="n">
        <x:f>IF(AND(ISNUMBER(H617),'요약'!$B$19),H617-'요약'!$B$15,"")</x:f>
        <x:v>-0.00009038870912428814</x:v>
      </x:c>
      <x:c r="K617" t="str">
        <x:f>IF(ISNUMBER(B617),IF('Hill'!$B$4=1,IF(B617&lt;0,-B617,""),IF('Hill'!$B$4=2,IF(B617&gt;0,B617,""),IF('Hill'!$B$4=3,IF(B617&lt;&gt;0,ABS(B617),""),""))),"")</x:f>
      </x:c>
    </x:row>
    <x:row r="618">
      <x:c r="A618" t="n">
        <x:f>617</x:f>
        <x:v>617</x:v>
      </x:c>
      <x:c r="B618" s="7" t="n">
        <x:f>IF('요약'!$B$4=4,IF(ISNUMBER('input'!A618),'input'!A618,""),IF(617&lt;=1000,CHOOSE('요약'!$B$4,'input'!B618,'input'!C618,'input'!D618),""))</x:f>
        <x:v>-0.0008588463947359369</x:v>
      </x:c>
      <x:c r="C618" s="7" t="n">
        <x:f>IF(AND(ISNUMBER(B618),'요약'!$B$19),B618-'요약'!$B$7,"")</x:f>
        <x:v>-0.0008106070676864355</x:v>
      </x:c>
      <x:c r="D618" s="7" t="n">
        <x:f>IF(ISNUMBER(C618),C618^2,"")</x:f>
        <x:v>6.570838181832015e-7</x:v>
      </x:c>
      <x:c r="E618" s="15" t="n">
        <x:f>IF(ISNUMBER(C618),C618^3,"")</x:f>
        <x:v>-5.326367870816919e-10</x:v>
      </x:c>
      <x:c r="F618" s="15" t="n">
        <x:f>IF(ISNUMBER(C618),C618^4,"")</x:f>
        <x:v>4.3175914411821455e-13</x:v>
      </x:c>
      <x:c r="G618" s="7" t="n">
        <x:f>IF(ISNUMBER(B618),ABS(B618),"")</x:f>
        <x:v>0.0008588463947359369</x:v>
      </x:c>
      <x:c r="H618" s="7" t="n">
        <x:f>IF(ISNUMBER(B618),B618^2,"")</x:f>
        <x:v>7.376171297509168e-7</x:v>
      </x:c>
      <x:c r="I618" s="7" t="n">
        <x:f>IF(AND(ISNUMBER(G618),'요약'!$B$19),G618-'요약'!$B$14,"")</x:f>
        <x:v>-0.007154670232666919</x:v>
      </x:c>
      <x:c r="J618" s="7" t="n">
        <x:f>IF(AND(ISNUMBER(H618),'요약'!$B$19),H618-'요약'!$B$15,"")</x:f>
        <x:v>-0.0001014720820563412</x:v>
      </x:c>
      <x:c r="K618" t="n">
        <x:f>IF(ISNUMBER(B618),IF('Hill'!$B$4=1,IF(B618&lt;0,-B618,""),IF('Hill'!$B$4=2,IF(B618&gt;0,B618,""),IF('Hill'!$B$4=3,IF(B618&lt;&gt;0,ABS(B618),""),""))),"")</x:f>
        <x:v>0.0008588463947359369</x:v>
      </x:c>
    </x:row>
    <x:row r="619">
      <x:c r="A619" t="n">
        <x:f>618</x:f>
        <x:v>618</x:v>
      </x:c>
      <x:c r="B619" s="7" t="n">
        <x:f>IF('요약'!$B$4=4,IF(ISNUMBER('input'!A619),'input'!A619,""),IF(618&lt;=1000,CHOOSE('요약'!$B$4,'input'!B619,'input'!C619,'input'!D619),""))</x:f>
        <x:v>-0.015998443577654734</x:v>
      </x:c>
      <x:c r="C619" s="7" t="n">
        <x:f>IF(AND(ISNUMBER(B619),'요약'!$B$19),B619-'요약'!$B$7,"")</x:f>
        <x:v>-0.015950204250605234</x:v>
      </x:c>
      <x:c r="D619" s="7" t="n">
        <x:f>IF(ISNUMBER(C619),C619^2,"")</x:f>
        <x:v>0.0002544090156360253</x:v>
      </x:c>
      <x:c r="E619" s="15" t="n">
        <x:f>IF(ISNUMBER(C619),C619^3,"")</x:f>
        <x:v>-0.000004057875762590023</x:v>
      </x:c>
      <x:c r="F619" s="15" t="n">
        <x:f>IF(ISNUMBER(C619),C619^4,"")</x:f>
        <x:v>6.472394723689134e-8</x:v>
      </x:c>
      <x:c r="G619" s="7" t="n">
        <x:f>IF(ISNUMBER(B619),ABS(B619),"")</x:f>
        <x:v>0.015998443577654734</x:v>
      </x:c>
      <x:c r="H619" s="7" t="n">
        <x:f>IF(ISNUMBER(B619),B619^2,"")</x:f>
        <x:v>0.000255950196907402</x:v>
      </x:c>
      <x:c r="I619" s="7" t="n">
        <x:f>IF(AND(ISNUMBER(G619),'요약'!$B$19),G619-'요약'!$B$14,"")</x:f>
        <x:v>0.007984926950251879</x:v>
      </x:c>
      <x:c r="J619" s="7" t="n">
        <x:f>IF(AND(ISNUMBER(H619),'요약'!$B$19),H619-'요약'!$B$15,"")</x:f>
        <x:v>0.00015374049772130992</x:v>
      </x:c>
      <x:c r="K619" t="n">
        <x:f>IF(ISNUMBER(B619),IF('Hill'!$B$4=1,IF(B619&lt;0,-B619,""),IF('Hill'!$B$4=2,IF(B619&gt;0,B619,""),IF('Hill'!$B$4=3,IF(B619&lt;&gt;0,ABS(B619),""),""))),"")</x:f>
        <x:v>0.015998443577654734</x:v>
      </x:c>
    </x:row>
    <x:row r="620">
      <x:c r="A620" t="n">
        <x:f>619</x:f>
        <x:v>619</x:v>
      </x:c>
      <x:c r="B620" s="7" t="n">
        <x:f>IF('요약'!$B$4=4,IF(ISNUMBER('input'!A620),'input'!A620,""),IF(619&lt;=1000,CHOOSE('요약'!$B$4,'input'!B620,'input'!C620,'input'!D620),""))</x:f>
        <x:v>0.014079260982279206</x:v>
      </x:c>
      <x:c r="C620" s="7" t="n">
        <x:f>IF(AND(ISNUMBER(B620),'요약'!$B$19),B620-'요약'!$B$7,"")</x:f>
        <x:v>0.014127500309328706</x:v>
      </x:c>
      <x:c r="D620" s="7" t="n">
        <x:f>IF(ISNUMBER(C620),C620^2,"")</x:f>
        <x:v>0.0001995862649900827</x:v>
      </x:c>
      <x:c r="E620" s="15" t="n">
        <x:f>IF(ISNUMBER(C620),C620^3,"")</x:f>
        <x:v>0.000002819655020385154</x:v>
      </x:c>
      <x:c r="F620" s="15" t="n">
        <x:f>IF(ISNUMBER(C620),C620^4,"")</x:f>
        <x:v>3.983467717269151e-8</x:v>
      </x:c>
      <x:c r="G620" s="7" t="n">
        <x:f>IF(ISNUMBER(B620),ABS(B620),"")</x:f>
        <x:v>0.014079260982279206</x:v>
      </x:c>
      <x:c r="H620" s="7" t="n">
        <x:f>IF(ISNUMBER(B620),B620^2,"")</x:f>
        <x:v>0.00019822558980712963</x:v>
      </x:c>
      <x:c r="I620" s="7" t="n">
        <x:f>IF(AND(ISNUMBER(G620),'요약'!$B$19),G620-'요약'!$B$14,"")</x:f>
        <x:v>0.00606574435487635</x:v>
      </x:c>
      <x:c r="J620" s="7" t="n">
        <x:f>IF(AND(ISNUMBER(H620),'요약'!$B$19),H620-'요약'!$B$15,"")</x:f>
        <x:v>0.00009601589062103753</x:v>
      </x:c>
      <x:c r="K620" t="str">
        <x:f>IF(ISNUMBER(B620),IF('Hill'!$B$4=1,IF(B620&lt;0,-B620,""),IF('Hill'!$B$4=2,IF(B620&gt;0,B620,""),IF('Hill'!$B$4=3,IF(B620&lt;&gt;0,ABS(B620),""),""))),"")</x:f>
      </x:c>
    </x:row>
    <x:row r="621">
      <x:c r="A621" t="n">
        <x:f>620</x:f>
        <x:v>620</x:v>
      </x:c>
      <x:c r="B621" s="7" t="n">
        <x:f>IF('요약'!$B$4=4,IF(ISNUMBER('input'!A621),'input'!A621,""),IF(620&lt;=1000,CHOOSE('요약'!$B$4,'input'!B621,'input'!C621,'input'!D621),""))</x:f>
        <x:v>-0.02539813626265877</x:v>
      </x:c>
      <x:c r="C621" s="7" t="n">
        <x:f>IF(AND(ISNUMBER(B621),'요약'!$B$19),B621-'요약'!$B$7,"")</x:f>
        <x:v>-0.02534989693560927</x:v>
      </x:c>
      <x:c r="D621" s="7" t="n">
        <x:f>IF(ISNUMBER(C621),C621^2,"")</x:f>
        <x:v>0.0006426172746460123</x:v>
      </x:c>
      <x:c r="E621" s="15" t="n">
        <x:f>IF(ISNUMBER(C621),C621^3,"")</x:f>
        <x:v>-0.000016290281681318527</x:v>
      </x:c>
      <x:c r="F621" s="15" t="n">
        <x:f>IF(ISNUMBER(C621),C621^4,"")</x:f>
        <x:v>4.129569616734684e-7</x:v>
      </x:c>
      <x:c r="G621" s="7" t="n">
        <x:f>IF(ISNUMBER(B621),ABS(B621),"")</x:f>
        <x:v>0.02539813626265877</x:v>
      </x:c>
      <x:c r="H621" s="7" t="n">
        <x:f>IF(ISNUMBER(B621),B621^2,"")</x:f>
        <x:v>0.0006450653256165824</x:v>
      </x:c>
      <x:c r="I621" s="7" t="n">
        <x:f>IF(AND(ISNUMBER(G621),'요약'!$B$19),G621-'요약'!$B$14,"")</x:f>
        <x:v>0.017384619635255914</x:v>
      </x:c>
      <x:c r="J621" s="7" t="n">
        <x:f>IF(AND(ISNUMBER(H621),'요약'!$B$19),H621-'요약'!$B$15,"")</x:f>
        <x:v>0.0005428556264304903</x:v>
      </x:c>
      <x:c r="K621" t="n">
        <x:f>IF(ISNUMBER(B621),IF('Hill'!$B$4=1,IF(B621&lt;0,-B621,""),IF('Hill'!$B$4=2,IF(B621&gt;0,B621,""),IF('Hill'!$B$4=3,IF(B621&lt;&gt;0,ABS(B621),""),""))),"")</x:f>
        <x:v>0.02539813626265877</x:v>
      </x:c>
    </x:row>
    <x:row r="622">
      <x:c r="A622" t="n">
        <x:f>621</x:f>
        <x:v>621</x:v>
      </x:c>
      <x:c r="B622" s="7" t="n">
        <x:f>IF('요약'!$B$4=4,IF(ISNUMBER('input'!A622),'input'!A622,""),IF(621&lt;=1000,CHOOSE('요약'!$B$4,'input'!B622,'input'!C622,'input'!D622),""))</x:f>
        <x:v>-0.012596509716091811</x:v>
      </x:c>
      <x:c r="C622" s="7" t="n">
        <x:f>IF(AND(ISNUMBER(B622),'요약'!$B$19),B622-'요약'!$B$7,"")</x:f>
        <x:v>-0.01254827038904231</x:v>
      </x:c>
      <x:c r="D622" s="7" t="n">
        <x:f>IF(ISNUMBER(C622),C622^2,"")</x:f>
        <x:v>0.00015745908975651606</x:v>
      </x:c>
      <x:c r="E622" s="15" t="n">
        <x:f>IF(ISNUMBER(C622),C622^3,"")</x:f>
        <x:v>-0.000001975839233477246</x:v>
      </x:c>
      <x:c r="F622" s="15" t="n">
        <x:f>IF(ISNUMBER(C622),C622^4,"")</x:f>
        <x:v>2.479336494695058e-8</x:v>
      </x:c>
      <x:c r="G622" s="7" t="n">
        <x:f>IF(ISNUMBER(B622),ABS(B622),"")</x:f>
        <x:v>0.012596509716091811</x:v>
      </x:c>
      <x:c r="H622" s="7" t="n">
        <x:f>IF(ISNUMBER(B622),B622^2,"")</x:f>
        <x:v>0.0001586720570275954</x:v>
      </x:c>
      <x:c r="I622" s="7" t="n">
        <x:f>IF(AND(ISNUMBER(G622),'요약'!$B$19),G622-'요약'!$B$14,"")</x:f>
        <x:v>0.004582993088688956</x:v>
      </x:c>
      <x:c r="J622" s="7" t="n">
        <x:f>IF(AND(ISNUMBER(H622),'요약'!$B$19),H622-'요약'!$B$15,"")</x:f>
        <x:v>0.0000564623578415033</x:v>
      </x:c>
      <x:c r="K622" t="n">
        <x:f>IF(ISNUMBER(B622),IF('Hill'!$B$4=1,IF(B622&lt;0,-B622,""),IF('Hill'!$B$4=2,IF(B622&gt;0,B622,""),IF('Hill'!$B$4=3,IF(B622&lt;&gt;0,ABS(B622),""),""))),"")</x:f>
        <x:v>0.012596509716091811</x:v>
      </x:c>
    </x:row>
    <x:row r="623">
      <x:c r="A623" t="n">
        <x:f>622</x:f>
        <x:v>622</x:v>
      </x:c>
      <x:c r="B623" s="7" t="n">
        <x:f>IF('요약'!$B$4=4,IF(ISNUMBER('input'!A623),'input'!A623,""),IF(622&lt;=1000,CHOOSE('요약'!$B$4,'input'!B623,'input'!C623,'input'!D623),""))</x:f>
        <x:v>0.006663079400884217</x:v>
      </x:c>
      <x:c r="C623" s="7" t="n">
        <x:f>IF(AND(ISNUMBER(B623),'요약'!$B$19),B623-'요약'!$B$7,"")</x:f>
        <x:v>0.0067113187279337185</x:v>
      </x:c>
      <x:c r="D623" s="7" t="n">
        <x:f>IF(ISNUMBER(C623),C623^2,"")</x:f>
        <x:v>0.000045041799067913865</x:v>
      </x:c>
      <x:c r="E623" s="15" t="n">
        <x:f>IF(ISNUMBER(C623),C623^3,"")</x:f>
        <x:v>3.0228986962431785e-7</x:v>
      </x:c>
      <x:c r="F623" s="15" t="n">
        <x:f>IF(ISNUMBER(C623),C623^4,"")</x:f>
        <x:v>2.0287636632743263e-9</x:v>
      </x:c>
      <x:c r="G623" s="7" t="n">
        <x:f>IF(ISNUMBER(B623),ABS(B623),"")</x:f>
        <x:v>0.006663079400884217</x:v>
      </x:c>
      <x:c r="H623" s="7" t="n">
        <x:f>IF(ISNUMBER(B623),B623^2,"")</x:f>
        <x:v>0.00004439662710248757</x:v>
      </x:c>
      <x:c r="I623" s="7" t="n">
        <x:f>IF(AND(ISNUMBER(G623),'요약'!$B$19),G623-'요약'!$B$14,"")</x:f>
        <x:v>-0.0013504372265186384</x:v>
      </x:c>
      <x:c r="J623" s="7" t="n">
        <x:f>IF(AND(ISNUMBER(H623),'요약'!$B$19),H623-'요약'!$B$15,"")</x:f>
        <x:v>-0.00005781307208360453</x:v>
      </x:c>
      <x:c r="K623" t="str">
        <x:f>IF(ISNUMBER(B623),IF('Hill'!$B$4=1,IF(B623&lt;0,-B623,""),IF('Hill'!$B$4=2,IF(B623&gt;0,B623,""),IF('Hill'!$B$4=3,IF(B623&lt;&gt;0,ABS(B623),""),""))),"")</x:f>
      </x:c>
    </x:row>
    <x:row r="624">
      <x:c r="A624" t="n">
        <x:f>623</x:f>
        <x:v>623</x:v>
      </x:c>
      <x:c r="B624" s="7" t="n">
        <x:f>IF('요약'!$B$4=4,IF(ISNUMBER('input'!A624),'input'!A624,""),IF(623&lt;=1000,CHOOSE('요약'!$B$4,'input'!B624,'input'!C624,'input'!D624),""))</x:f>
        <x:v>0.016552272031411516</x:v>
      </x:c>
      <x:c r="C624" s="7" t="n">
        <x:f>IF(AND(ISNUMBER(B624),'요약'!$B$19),B624-'요약'!$B$7,"")</x:f>
        <x:v>0.016600511358461016</x:v>
      </x:c>
      <x:c r="D624" s="7" t="n">
        <x:f>IF(ISNUMBER(C624),C624^2,"")</x:f>
        <x:v>0.0002755769773623932</x:v>
      </x:c>
      <x:c r="E624" s="15" t="n">
        <x:f>IF(ISNUMBER(C624),C624^3,"")</x:f>
        <x:v>0.000004574718742834763</x:v>
      </x:c>
      <x:c r="F624" s="15" t="n">
        <x:f>IF(ISNUMBER(C624),C624^4,"")</x:f>
        <x:v>7.594267045219299e-8</x:v>
      </x:c>
      <x:c r="G624" s="7" t="n">
        <x:f>IF(ISNUMBER(B624),ABS(B624),"")</x:f>
        <x:v>0.016552272031411516</x:v>
      </x:c>
      <x:c r="H624" s="7" t="n">
        <x:f>IF(ISNUMBER(B624),B624^2,"")</x:f>
        <x:v>0.0002739777094018479</x:v>
      </x:c>
      <x:c r="I624" s="7" t="n">
        <x:f>IF(AND(ISNUMBER(G624),'요약'!$B$19),G624-'요약'!$B$14,"")</x:f>
        <x:v>0.00853875540400866</x:v>
      </x:c>
      <x:c r="J624" s="7" t="n">
        <x:f>IF(AND(ISNUMBER(H624),'요약'!$B$19),H624-'요약'!$B$15,"")</x:f>
        <x:v>0.00017176801021575577</x:v>
      </x:c>
      <x:c r="K624" t="str">
        <x:f>IF(ISNUMBER(B624),IF('Hill'!$B$4=1,IF(B624&lt;0,-B624,""),IF('Hill'!$B$4=2,IF(B624&gt;0,B624,""),IF('Hill'!$B$4=3,IF(B624&lt;&gt;0,ABS(B624),""),""))),"")</x:f>
      </x:c>
    </x:row>
    <x:row r="625">
      <x:c r="A625" t="n">
        <x:f>624</x:f>
        <x:v>624</x:v>
      </x:c>
      <x:c r="B625" s="7" t="n">
        <x:f>IF('요약'!$B$4=4,IF(ISNUMBER('input'!A625),'input'!A625,""),IF(624&lt;=1000,CHOOSE('요약'!$B$4,'input'!B625,'input'!C625,'input'!D625),""))</x:f>
        <x:v>0.013130236680933048</x:v>
      </x:c>
      <x:c r="C625" s="7" t="n">
        <x:f>IF(AND(ISNUMBER(B625),'요약'!$B$19),B625-'요약'!$B$7,"")</x:f>
        <x:v>0.013178476007982548</x:v>
      </x:c>
      <x:c r="D625" s="7" t="n">
        <x:f>IF(ISNUMBER(C625),C625^2,"")</x:f>
        <x:v>0.00017367222989297164</x:v>
      </x:c>
      <x:c r="E625" s="15" t="n">
        <x:f>IF(ISNUMBER(C625),C625^3,"")</x:f>
        <x:v>0.0000022887353148973562</x:v>
      </x:c>
      <x:c r="F625" s="15" t="n">
        <x:f>IF(ISNUMBER(C625),C625^4,"")</x:f>
        <x:v>3.016204343599719e-8</x:v>
      </x:c>
      <x:c r="G625" s="7" t="n">
        <x:f>IF(ISNUMBER(B625),ABS(B625),"")</x:f>
        <x:v>0.013130236680933048</x:v>
      </x:c>
      <x:c r="H625" s="7" t="n">
        <x:f>IF(ISNUMBER(B625),B625^2,"")</x:f>
        <x:v>0.0001724031152973197</x:v>
      </x:c>
      <x:c r="I625" s="7" t="n">
        <x:f>IF(AND(ISNUMBER(G625),'요약'!$B$19),G625-'요약'!$B$14,"")</x:f>
        <x:v>0.005116720053530192</x:v>
      </x:c>
      <x:c r="J625" s="7" t="n">
        <x:f>IF(AND(ISNUMBER(H625),'요약'!$B$19),H625-'요약'!$B$15,"")</x:f>
        <x:v>0.00007019341611122758</x:v>
      </x:c>
      <x:c r="K625" t="str">
        <x:f>IF(ISNUMBER(B625),IF('Hill'!$B$4=1,IF(B625&lt;0,-B625,""),IF('Hill'!$B$4=2,IF(B625&gt;0,B625,""),IF('Hill'!$B$4=3,IF(B625&lt;&gt;0,ABS(B625),""),""))),"")</x:f>
      </x:c>
    </x:row>
    <x:row r="626">
      <x:c r="A626" t="n">
        <x:f>625</x:f>
        <x:v>625</x:v>
      </x:c>
      <x:c r="B626" s="7" t="n">
        <x:f>IF('요약'!$B$4=4,IF(ISNUMBER('input'!A626),'input'!A626,""),IF(625&lt;=1000,CHOOSE('요약'!$B$4,'input'!B626,'input'!C626,'input'!D626),""))</x:f>
        <x:v>0.0066271239033912025</x:v>
      </x:c>
      <x:c r="C626" s="7" t="n">
        <x:f>IF(AND(ISNUMBER(B626),'요약'!$B$19),B626-'요약'!$B$7,"")</x:f>
        <x:v>0.006675363230440704</x:v>
      </x:c>
      <x:c r="D626" s="7" t="n">
        <x:f>IF(ISNUMBER(C626),C626^2,"")</x:f>
        <x:v>0.00004456047425831975</x:v>
      </x:c>
      <x:c r="E626" s="15" t="n">
        <x:f>IF(ISNUMBER(C626),C626^3,"")</x:f>
        <x:v>2.974573513949872e-7</x:v>
      </x:c>
      <x:c r="F626" s="15" t="n">
        <x:f>IF(ISNUMBER(C626),C626^4,"")</x:f>
        <x:v>1.985635866126377e-9</x:v>
      </x:c>
      <x:c r="G626" s="7" t="n">
        <x:f>IF(ISNUMBER(B626),ABS(B626),"")</x:f>
        <x:v>0.0066271239033912025</x:v>
      </x:c>
      <x:c r="H626" s="7" t="n">
        <x:f>IF(ISNUMBER(B626),B626^2,"")</x:f>
        <x:v>0.00004391877123089905</x:v>
      </x:c>
      <x:c r="I626" s="7" t="n">
        <x:f>IF(AND(ISNUMBER(G626),'요약'!$B$19),G626-'요약'!$B$14,"")</x:f>
        <x:v>-0.001386392724011653</x:v>
      </x:c>
      <x:c r="J626" s="7" t="n">
        <x:f>IF(AND(ISNUMBER(H626),'요약'!$B$19),H626-'요약'!$B$15,"")</x:f>
        <x:v>-0.00005829092795519305</x:v>
      </x:c>
      <x:c r="K626" t="str">
        <x:f>IF(ISNUMBER(B626),IF('Hill'!$B$4=1,IF(B626&lt;0,-B626,""),IF('Hill'!$B$4=2,IF(B626&gt;0,B626,""),IF('Hill'!$B$4=3,IF(B626&lt;&gt;0,ABS(B626),""),""))),"")</x:f>
      </x:c>
    </x:row>
    <x:row r="627">
      <x:c r="A627" t="n">
        <x:f>626</x:f>
        <x:v>626</x:v>
      </x:c>
      <x:c r="B627" s="7" t="n">
        <x:f>IF('요약'!$B$4=4,IF(ISNUMBER('input'!A627),'input'!A627,""),IF(626&lt;=1000,CHOOSE('요약'!$B$4,'input'!B627,'input'!C627,'input'!D627),""))</x:f>
        <x:v>0.003354675352015087</x:v>
      </x:c>
      <x:c r="C627" s="7" t="n">
        <x:f>IF(AND(ISNUMBER(B627),'요약'!$B$19),B627-'요약'!$B$7,"")</x:f>
        <x:v>0.0034029146790645884</x:v>
      </x:c>
      <x:c r="D627" s="7" t="n">
        <x:f>IF(ISNUMBER(C627),C627^2,"")</x:f>
        <x:v>0.00001157982831299325</x:v>
      </x:c>
      <x:c r="E627" s="15" t="n">
        <x:f>IF(ISNUMBER(C627),C627^3,"")</x:f>
        <x:v>3.940516774733246e-8</x:v>
      </x:c>
      <x:c r="F627" s="15" t="n">
        <x:f>IF(ISNUMBER(C627),C627^4,"")</x:f>
        <x:v>1.3409242375840011e-10</x:v>
      </x:c>
      <x:c r="G627" s="7" t="n">
        <x:f>IF(ISNUMBER(B627),ABS(B627),"")</x:f>
        <x:v>0.003354675352015087</x:v>
      </x:c>
      <x:c r="H627" s="7" t="n">
        <x:f>IF(ISNUMBER(B627),B627^2,"")</x:f>
        <x:v>0.000011253846717417548</x:v>
      </x:c>
      <x:c r="I627" s="7" t="n">
        <x:f>IF(AND(ISNUMBER(G627),'요약'!$B$19),G627-'요약'!$B$14,"")</x:f>
        <x:v>-0.0046588412753877685</x:v>
      </x:c>
      <x:c r="J627" s="7" t="n">
        <x:f>IF(AND(ISNUMBER(H627),'요약'!$B$19),H627-'요약'!$B$15,"")</x:f>
        <x:v>-0.00009095585246867456</x:v>
      </x:c>
      <x:c r="K627" t="str">
        <x:f>IF(ISNUMBER(B627),IF('Hill'!$B$4=1,IF(B627&lt;0,-B627,""),IF('Hill'!$B$4=2,IF(B627&gt;0,B627,""),IF('Hill'!$B$4=3,IF(B627&lt;&gt;0,ABS(B627),""),""))),"")</x:f>
      </x:c>
    </x:row>
    <x:row r="628">
      <x:c r="A628" t="n">
        <x:f>627</x:f>
        <x:v>627</x:v>
      </x:c>
      <x:c r="B628" s="7" t="n">
        <x:f>IF('요약'!$B$4=4,IF(ISNUMBER('input'!A628),'input'!A628,""),IF(627&lt;=1000,CHOOSE('요약'!$B$4,'input'!B628,'input'!C628,'input'!D628),""))</x:f>
        <x:v>0.00930565147599334</x:v>
      </x:c>
      <x:c r="C628" s="7" t="n">
        <x:f>IF(AND(ISNUMBER(B628),'요약'!$B$19),B628-'요약'!$B$7,"")</x:f>
        <x:v>0.00935389080304284</x:v>
      </x:c>
      <x:c r="D628" s="7" t="n">
        <x:f>IF(ISNUMBER(C628),C628^2,"")</x:f>
        <x:v>0.00008749527315524944</x:v>
      </x:c>
      <x:c r="E628" s="15" t="n">
        <x:f>IF(ISNUMBER(C628),C628^3,"")</x:f>
        <x:v>8.184212308766089e-7</x:v>
      </x:c>
      <x:c r="F628" s="15" t="n">
        <x:f>IF(ISNUMBER(C628),C628^4,"")</x:f>
        <x:v>7.655422824511713e-9</x:v>
      </x:c>
      <x:c r="G628" s="7" t="n">
        <x:f>IF(ISNUMBER(B628),ABS(B628),"")</x:f>
        <x:v>0.00930565147599334</x:v>
      </x:c>
      <x:c r="H628" s="7" t="n">
        <x:f>IF(ISNUMBER(B628),B628^2,"")</x:f>
        <x:v>0.00008659514939265702</x:v>
      </x:c>
      <x:c r="I628" s="7" t="n">
        <x:f>IF(AND(ISNUMBER(G628),'요약'!$B$19),G628-'요약'!$B$14,"")</x:f>
        <x:v>0.0012921348485904847</x:v>
      </x:c>
      <x:c r="J628" s="7" t="n">
        <x:f>IF(AND(ISNUMBER(H628),'요약'!$B$19),H628-'요약'!$B$15,"")</x:f>
        <x:v>-0.00001561454979343508</x:v>
      </x:c>
      <x:c r="K628" t="str">
        <x:f>IF(ISNUMBER(B628),IF('Hill'!$B$4=1,IF(B628&lt;0,-B628,""),IF('Hill'!$B$4=2,IF(B628&gt;0,B628,""),IF('Hill'!$B$4=3,IF(B628&lt;&gt;0,ABS(B628),""),""))),"")</x:f>
      </x:c>
    </x:row>
    <x:row r="629">
      <x:c r="A629" t="n">
        <x:f>628</x:f>
        <x:v>628</x:v>
      </x:c>
      <x:c r="B629" s="7" t="n">
        <x:f>IF('요약'!$B$4=4,IF(ISNUMBER('input'!A629),'input'!A629,""),IF(628&lt;=1000,CHOOSE('요약'!$B$4,'input'!B629,'input'!C629,'input'!D629),""))</x:f>
        <x:v>-0.0022837890920121466</x:v>
      </x:c>
      <x:c r="C629" s="7" t="n">
        <x:f>IF(AND(ISNUMBER(B629),'요약'!$B$19),B629-'요약'!$B$7,"")</x:f>
        <x:v>-0.002235549764962645</x:v>
      </x:c>
      <x:c r="D629" s="7" t="n">
        <x:f>IF(ISNUMBER(C629),C629^2,"")</x:f>
        <x:v>0.000004997682751624538</x:v>
      </x:c>
      <x:c r="E629" s="15" t="n">
        <x:f>IF(ISNUMBER(C629),C629^3,"")</x:f>
        <x:v>-1.1172568500752102e-8</x:v>
      </x:c>
      <x:c r="F629" s="15" t="n">
        <x:f>IF(ISNUMBER(C629),C629^4,"")</x:f>
        <x:v>2.4976832885885414e-11</x:v>
      </x:c>
      <x:c r="G629" s="7" t="n">
        <x:f>IF(ISNUMBER(B629),ABS(B629),"")</x:f>
        <x:v>0.0022837890920121466</x:v>
      </x:c>
      <x:c r="H629" s="7" t="n">
        <x:f>IF(ISNUMBER(B629),B629^2,"")</x:f>
        <x:v>0.000005215692616793665</x:v>
      </x:c>
      <x:c r="I629" s="7" t="n">
        <x:f>IF(AND(ISNUMBER(G629),'요약'!$B$19),G629-'요약'!$B$14,"")</x:f>
        <x:v>-0.005729727535390709</x:v>
      </x:c>
      <x:c r="J629" s="7" t="n">
        <x:f>IF(AND(ISNUMBER(H629),'요약'!$B$19),H629-'요약'!$B$15,"")</x:f>
        <x:v>-0.00009699400656929844</x:v>
      </x:c>
      <x:c r="K629" t="n">
        <x:f>IF(ISNUMBER(B629),IF('Hill'!$B$4=1,IF(B629&lt;0,-B629,""),IF('Hill'!$B$4=2,IF(B629&gt;0,B629,""),IF('Hill'!$B$4=3,IF(B629&lt;&gt;0,ABS(B629),""),""))),"")</x:f>
        <x:v>0.0022837890920121466</x:v>
      </x:c>
    </x:row>
    <x:row r="630">
      <x:c r="A630" t="n">
        <x:f>629</x:f>
        <x:v>629</x:v>
      </x:c>
      <x:c r="B630" s="7" t="n">
        <x:f>IF('요약'!$B$4=4,IF(ISNUMBER('input'!A630),'input'!A630,""),IF(629&lt;=1000,CHOOSE('요약'!$B$4,'input'!B630,'input'!C630,'input'!D630),""))</x:f>
        <x:v>0.008495750881789043</x:v>
      </x:c>
      <x:c r="C630" s="7" t="n">
        <x:f>IF(AND(ISNUMBER(B630),'요약'!$B$19),B630-'요약'!$B$7,"")</x:f>
        <x:v>0.008543990208838543</x:v>
      </x:c>
      <x:c r="D630" s="7" t="n">
        <x:f>IF(ISNUMBER(C630),C630^2,"")</x:f>
        <x:v>0.00007299976868872889</x:v>
      </x:c>
      <x:c r="E630" s="15" t="n">
        <x:f>IF(ISNUMBER(C630),C630^3,"")</x:f>
        <x:v>6.237093089239781e-7</x:v>
      </x:c>
      <x:c r="F630" s="15" t="n">
        <x:f>IF(ISNUMBER(C630),C630^4,"")</x:f>
        <x:v>5.328966228607923e-9</x:v>
      </x:c>
      <x:c r="G630" s="7" t="n">
        <x:f>IF(ISNUMBER(B630),ABS(B630),"")</x:f>
        <x:v>0.008495750881789043</x:v>
      </x:c>
      <x:c r="H630" s="7" t="n">
        <x:f>IF(ISNUMBER(B630),B630^2,"")</x:f>
        <x:v>0.0000721777830454193</x:v>
      </x:c>
      <x:c r="I630" s="7" t="n">
        <x:f>IF(AND(ISNUMBER(G630),'요약'!$B$19),G630-'요약'!$B$14,"")</x:f>
        <x:v>0.00048223425438618725</x:v>
      </x:c>
      <x:c r="J630" s="7" t="n">
        <x:f>IF(AND(ISNUMBER(H630),'요약'!$B$19),H630-'요약'!$B$15,"")</x:f>
        <x:v>-0.000030031916140672803</x:v>
      </x:c>
      <x:c r="K630" t="str">
        <x:f>IF(ISNUMBER(B630),IF('Hill'!$B$4=1,IF(B630&lt;0,-B630,""),IF('Hill'!$B$4=2,IF(B630&gt;0,B630,""),IF('Hill'!$B$4=3,IF(B630&lt;&gt;0,ABS(B630),""),""))),"")</x:f>
      </x:c>
    </x:row>
    <x:row r="631">
      <x:c r="A631" t="n">
        <x:f>630</x:f>
        <x:v>630</x:v>
      </x:c>
      <x:c r="B631" s="7" t="n">
        <x:f>IF('요약'!$B$4=4,IF(ISNUMBER('input'!A631),'input'!A631,""),IF(630&lt;=1000,CHOOSE('요약'!$B$4,'input'!B631,'input'!C631,'input'!D631),""))</x:f>
        <x:v>-0.006995953976207455</x:v>
      </x:c>
      <x:c r="C631" s="7" t="n">
        <x:f>IF(AND(ISNUMBER(B631),'요약'!$B$19),B631-'요약'!$B$7,"")</x:f>
        <x:v>-0.006947714649157954</x:v>
      </x:c>
      <x:c r="D631" s="7" t="n">
        <x:f>IF(ISNUMBER(C631),C631^2,"")</x:f>
        <x:v>0.00004827073884612403</x:v>
      </x:c>
      <x:c r="E631" s="15" t="n">
        <x:f>IF(ISNUMBER(C631),C631^3,"")</x:f>
        <x:v>-3.353713194068938e-7</x:v>
      </x:c>
      <x:c r="F631" s="15" t="n">
        <x:f>IF(ISNUMBER(C631),C631^4,"")</x:f>
        <x:v>2.330064228750707e-9</x:v>
      </x:c>
      <x:c r="G631" s="7" t="n">
        <x:f>IF(ISNUMBER(B631),ABS(B631),"")</x:f>
        <x:v>0.006995953976207455</x:v>
      </x:c>
      <x:c r="H631" s="7" t="n">
        <x:f>IF(ISNUMBER(B631),B631^2,"")</x:f>
        <x:v>0.0000489433720372129</x:v>
      </x:c>
      <x:c r="I631" s="7" t="n">
        <x:f>IF(AND(ISNUMBER(G631),'요약'!$B$19),G631-'요약'!$B$14,"")</x:f>
        <x:v>-0.0010175626511954002</x:v>
      </x:c>
      <x:c r="J631" s="7" t="n">
        <x:f>IF(AND(ISNUMBER(H631),'요약'!$B$19),H631-'요약'!$B$15,"")</x:f>
        <x:v>-0.0000532663271488792</x:v>
      </x:c>
      <x:c r="K631" t="n">
        <x:f>IF(ISNUMBER(B631),IF('Hill'!$B$4=1,IF(B631&lt;0,-B631,""),IF('Hill'!$B$4=2,IF(B631&gt;0,B631,""),IF('Hill'!$B$4=3,IF(B631&lt;&gt;0,ABS(B631),""),""))),"")</x:f>
        <x:v>0.006995953976207455</x:v>
      </x:c>
    </x:row>
    <x:row r="632">
      <x:c r="A632" t="n">
        <x:f>631</x:f>
        <x:v>631</x:v>
      </x:c>
      <x:c r="B632" s="7" t="n">
        <x:f>IF('요약'!$B$4=4,IF(ISNUMBER('input'!A632),'input'!A632,""),IF(631&lt;=1000,CHOOSE('요약'!$B$4,'input'!B632,'input'!C632,'input'!D632),""))</x:f>
        <x:v>-0.006532494112654123</x:v>
      </x:c>
      <x:c r="C632" s="7" t="n">
        <x:f>IF(AND(ISNUMBER(B632),'요약'!$B$19),B632-'요약'!$B$7,"")</x:f>
        <x:v>-0.006484254785604621</x:v>
      </x:c>
      <x:c r="D632" s="7" t="n">
        <x:f>IF(ISNUMBER(C632),C632^2,"")</x:f>
        <x:v>0.00004204556012463643</x:v>
      </x:c>
      <x:c r="E632" s="15" t="n">
        <x:f>IF(ISNUMBER(C632),C632^3,"")</x:f>
        <x:v>-2.7263412445160065e-7</x:v>
      </x:c>
      <x:c r="F632" s="15" t="n">
        <x:f>IF(ISNUMBER(C632),C632^4,"")</x:f>
        <x:v>1.7678291261944174e-9</x:v>
      </x:c>
      <x:c r="G632" s="7" t="n">
        <x:f>IF(ISNUMBER(B632),ABS(B632),"")</x:f>
        <x:v>0.006532494112654123</x:v>
      </x:c>
      <x:c r="H632" s="7" t="n">
        <x:f>IF(ISNUMBER(B632),B632^2,"")</x:f>
        <x:v>0.00004267347933186077</x:v>
      </x:c>
      <x:c r="I632" s="7" t="n">
        <x:f>IF(AND(ISNUMBER(G632),'요약'!$B$19),G632-'요약'!$B$14,"")</x:f>
        <x:v>-0.0014810225147487326</x:v>
      </x:c>
      <x:c r="J632" s="7" t="n">
        <x:f>IF(AND(ISNUMBER(H632),'요약'!$B$19),H632-'요약'!$B$15,"")</x:f>
        <x:v>-0.00005953621985423133</x:v>
      </x:c>
      <x:c r="K632" t="n">
        <x:f>IF(ISNUMBER(B632),IF('Hill'!$B$4=1,IF(B632&lt;0,-B632,""),IF('Hill'!$B$4=2,IF(B632&gt;0,B632,""),IF('Hill'!$B$4=3,IF(B632&lt;&gt;0,ABS(B632),""),""))),"")</x:f>
        <x:v>0.006532494112654123</x:v>
      </x:c>
    </x:row>
    <x:row r="633">
      <x:c r="A633" t="n">
        <x:f>632</x:f>
        <x:v>632</x:v>
      </x:c>
      <x:c r="B633" s="7" t="n">
        <x:f>IF('요약'!$B$4=4,IF(ISNUMBER('input'!A633),'input'!A633,""),IF(632&lt;=1000,CHOOSE('요약'!$B$4,'input'!B633,'input'!C633,'input'!D633),""))</x:f>
        <x:v>-0.002855208455138448</x:v>
      </x:c>
      <x:c r="C633" s="7" t="n">
        <x:f>IF(AND(ISNUMBER(B633),'요약'!$B$19),B633-'요약'!$B$7,"")</x:f>
        <x:v>-0.0028069691280889464</x:v>
      </x:c>
      <x:c r="D633" s="7" t="n">
        <x:f>IF(ISNUMBER(C633),C633^2,"")</x:f>
        <x:v>0.00000787907568604442</x:v>
      </x:c>
      <x:c r="E633" s="15" t="n">
        <x:f>IF(ISNUMBER(C633),C633^3,"")</x:f>
        <x:v>-2.2116322208602924e-8</x:v>
      </x:c>
      <x:c r="F633" s="15" t="n">
        <x:f>IF(ISNUMBER(C633),C633^4,"")</x:f>
        <x:v>6.207983366641635e-11</x:v>
      </x:c>
      <x:c r="G633" s="7" t="n">
        <x:f>IF(ISNUMBER(B633),ABS(B633),"")</x:f>
        <x:v>0.002855208455138448</x:v>
      </x:c>
      <x:c r="H633" s="7" t="n">
        <x:f>IF(ISNUMBER(B633),B633^2,"")</x:f>
        <x:v>0.000008152215322294082</x:v>
      </x:c>
      <x:c r="I633" s="7" t="n">
        <x:f>IF(AND(ISNUMBER(G633),'요약'!$B$19),G633-'요약'!$B$14,"")</x:f>
        <x:v>-0.005158308172264408</x:v>
      </x:c>
      <x:c r="J633" s="7" t="n">
        <x:f>IF(AND(ISNUMBER(H633),'요약'!$B$19),H633-'요약'!$B$15,"")</x:f>
        <x:v>-0.00009405748386379803</x:v>
      </x:c>
      <x:c r="K633" t="n">
        <x:f>IF(ISNUMBER(B633),IF('Hill'!$B$4=1,IF(B633&lt;0,-B633,""),IF('Hill'!$B$4=2,IF(B633&gt;0,B633,""),IF('Hill'!$B$4=3,IF(B633&lt;&gt;0,ABS(B633),""),""))),"")</x:f>
        <x:v>0.002855208455138448</x:v>
      </x:c>
    </x:row>
    <x:row r="634">
      <x:c r="A634" t="n">
        <x:f>633</x:f>
        <x:v>633</x:v>
      </x:c>
      <x:c r="B634" s="7" t="n">
        <x:f>IF('요약'!$B$4=4,IF(ISNUMBER('input'!A634),'input'!A634,""),IF(633&lt;=1000,CHOOSE('요약'!$B$4,'input'!B634,'input'!C634,'input'!D634),""))</x:f>
        <x:v>0.016583649091192528</x:v>
      </x:c>
      <x:c r="C634" s="7" t="n">
        <x:f>IF(AND(ISNUMBER(B634),'요약'!$B$19),B634-'요약'!$B$7,"")</x:f>
        <x:v>0.01663188841824203</x:v>
      </x:c>
      <x:c r="D634" s="7" t="n">
        <x:f>IF(ISNUMBER(C634),C634^2,"")</x:f>
        <x:v>0.00027661971235685333</x:v>
      </x:c>
      <x:c r="E634" s="15" t="n">
        <x:f>IF(ISNUMBER(C634),C634^3,"")</x:f>
        <x:v>0.00000460070819020539</x:v>
      </x:c>
      <x:c r="F634" s="15" t="n">
        <x:f>IF(ISNUMBER(C634),C634^4,"")</x:f>
        <x:v>7.651846526438827e-8</x:v>
      </x:c>
      <x:c r="G634" s="7" t="n">
        <x:f>IF(ISNUMBER(B634),ABS(B634),"")</x:f>
        <x:v>0.016583649091192528</x:v>
      </x:c>
      <x:c r="H634" s="7" t="n">
        <x:f>IF(ISNUMBER(B634),B634^2,"")</x:f>
        <x:v>0.0002750174171798108</x:v>
      </x:c>
      <x:c r="I634" s="7" t="n">
        <x:f>IF(AND(ISNUMBER(G634),'요약'!$B$19),G634-'요약'!$B$14,"")</x:f>
        <x:v>0.008570132463789673</x:v>
      </x:c>
      <x:c r="J634" s="7" t="n">
        <x:f>IF(AND(ISNUMBER(H634),'요약'!$B$19),H634-'요약'!$B$15,"")</x:f>
        <x:v>0.00017280771799371868</x:v>
      </x:c>
      <x:c r="K634" t="str">
        <x:f>IF(ISNUMBER(B634),IF('Hill'!$B$4=1,IF(B634&lt;0,-B634,""),IF('Hill'!$B$4=2,IF(B634&gt;0,B634,""),IF('Hill'!$B$4=3,IF(B634&lt;&gt;0,ABS(B634),""),""))),"")</x:f>
      </x:c>
    </x:row>
    <x:row r="635">
      <x:c r="A635" t="n">
        <x:f>634</x:f>
        <x:v>634</x:v>
      </x:c>
      <x:c r="B635" s="7" t="n">
        <x:f>IF('요약'!$B$4=4,IF(ISNUMBER('input'!A635),'input'!A635,""),IF(634&lt;=1000,CHOOSE('요약'!$B$4,'input'!B635,'input'!C635,'input'!D635),""))</x:f>
        <x:v>-0.004264639790131049</x:v>
      </x:c>
      <x:c r="C635" s="7" t="n">
        <x:f>IF(AND(ISNUMBER(B635),'요약'!$B$19),B635-'요약'!$B$7,"")</x:f>
        <x:v>-0.004216400463081547</x:v>
      </x:c>
      <x:c r="D635" s="7" t="n">
        <x:f>IF(ISNUMBER(C635),C635^2,"")</x:f>
        <x:v>0.000017778032865074287</x:v>
      </x:c>
      <x:c r="E635" s="15" t="n">
        <x:f>IF(ISNUMBER(C635),C635^3,"")</x:f>
        <x:v>-7.49593060049782e-8</x:v>
      </x:c>
      <x:c r="F635" s="15" t="n">
        <x:f>IF(ISNUMBER(C635),C635^4,"")</x:f>
        <x:v>3.160584525516615e-10</x:v>
      </x:c>
      <x:c r="G635" s="7" t="n">
        <x:f>IF(ISNUMBER(B635),ABS(B635),"")</x:f>
        <x:v>0.004264639790131049</x:v>
      </x:c>
      <x:c r="H635" s="7" t="n">
        <x:f>IF(ISNUMBER(B635),B635^2,"")</x:f>
        <x:v>0.000018187152539568996</x:v>
      </x:c>
      <x:c r="I635" s="7" t="n">
        <x:f>IF(AND(ISNUMBER(G635),'요약'!$B$19),G635-'요약'!$B$14,"")</x:f>
        <x:v>-0.0037488768372718065</x:v>
      </x:c>
      <x:c r="J635" s="7" t="n">
        <x:f>IF(AND(ISNUMBER(H635),'요약'!$B$19),H635-'요약'!$B$15,"")</x:f>
        <x:v>-0.00008402254664652311</x:v>
      </x:c>
      <x:c r="K635" t="n">
        <x:f>IF(ISNUMBER(B635),IF('Hill'!$B$4=1,IF(B635&lt;0,-B635,""),IF('Hill'!$B$4=2,IF(B635&gt;0,B635,""),IF('Hill'!$B$4=3,IF(B635&lt;&gt;0,ABS(B635),""),""))),"")</x:f>
        <x:v>0.004264639790131049</x:v>
      </x:c>
    </x:row>
    <x:row r="636">
      <x:c r="A636" t="n">
        <x:f>635</x:f>
        <x:v>635</x:v>
      </x:c>
      <x:c r="B636" s="7" t="n">
        <x:f>IF('요약'!$B$4=4,IF(ISNUMBER('input'!A636),'input'!A636,""),IF(635&lt;=1000,CHOOSE('요약'!$B$4,'input'!B636,'input'!C636,'input'!D636),""))</x:f>
        <x:v>0.015085241213498838</x:v>
      </x:c>
      <x:c r="C636" s="7" t="n">
        <x:f>IF(AND(ISNUMBER(B636),'요약'!$B$19),B636-'요약'!$B$7,"")</x:f>
        <x:v>0.015133480540548338</x:v>
      </x:c>
      <x:c r="D636" s="7" t="n">
        <x:f>IF(ISNUMBER(C636),C636^2,"")</x:f>
        <x:v>0.00022902223327115522</x:v>
      </x:c>
      <x:c r="E636" s="15" t="n">
        <x:f>IF(ISNUMBER(C636),C636^3,"")</x:f>
        <x:v>0.0000034659035105619496</x:v>
      </x:c>
      <x:c r="F636" s="15" t="n">
        <x:f>IF(ISNUMBER(C636),C636^4,"")</x:f>
        <x:v>5.245118333250744e-8</x:v>
      </x:c>
      <x:c r="G636" s="7" t="n">
        <x:f>IF(ISNUMBER(B636),ABS(B636),"")</x:f>
        <x:v>0.015085241213498838</x:v>
      </x:c>
      <x:c r="H636" s="7" t="n">
        <x:f>IF(ISNUMBER(B636),B636^2,"")</x:f>
        <x:v>0.00022756450246944388</x:v>
      </x:c>
      <x:c r="I636" s="7" t="n">
        <x:f>IF(AND(ISNUMBER(G636),'요약'!$B$19),G636-'요약'!$B$14,"")</x:f>
        <x:v>0.007071724586095982</x:v>
      </x:c>
      <x:c r="J636" s="7" t="n">
        <x:f>IF(AND(ISNUMBER(H636),'요약'!$B$19),H636-'요약'!$B$15,"")</x:f>
        <x:v>0.00012535480328335178</x:v>
      </x:c>
      <x:c r="K636" t="str">
        <x:f>IF(ISNUMBER(B636),IF('Hill'!$B$4=1,IF(B636&lt;0,-B636,""),IF('Hill'!$B$4=2,IF(B636&gt;0,B636,""),IF('Hill'!$B$4=3,IF(B636&lt;&gt;0,ABS(B636),""),""))),"")</x:f>
      </x:c>
    </x:row>
    <x:row r="637">
      <x:c r="A637" t="n">
        <x:f>636</x:f>
        <x:v>636</x:v>
      </x:c>
      <x:c r="B637" s="7" t="n">
        <x:f>IF('요약'!$B$4=4,IF(ISNUMBER('input'!A637),'input'!A637,""),IF(636&lt;=1000,CHOOSE('요약'!$B$4,'input'!B637,'input'!C637,'input'!D637),""))</x:f>
        <x:v>0.006276835445231442</x:v>
      </x:c>
      <x:c r="C637" s="7" t="n">
        <x:f>IF(AND(ISNUMBER(B637),'요약'!$B$19),B637-'요약'!$B$7,"")</x:f>
        <x:v>0.006325074772280943</x:v>
      </x:c>
      <x:c r="D637" s="7" t="n">
        <x:f>IF(ISNUMBER(C637),C637^2,"")</x:f>
        <x:v>0.000040006570874944826</x:v>
      </x:c>
      <x:c r="E637" s="15" t="n">
        <x:f>IF(ISNUMBER(C637),C637^3,"")</x:f>
        <x:v>2.5304455216658305e-7</x:v>
      </x:c>
      <x:c r="F637" s="15" t="n">
        <x:f>IF(ISNUMBER(C637),C637^4,"")</x:f>
        <x:v>1.6005257131719835e-9</x:v>
      </x:c>
      <x:c r="G637" s="7" t="n">
        <x:f>IF(ISNUMBER(B637),ABS(B637),"")</x:f>
        <x:v>0.006276835445231442</x:v>
      </x:c>
      <x:c r="H637" s="7" t="n">
        <x:f>IF(ISNUMBER(B637),B637^2,"")</x:f>
        <x:v>0.00003939866320651379</x:v>
      </x:c>
      <x:c r="I637" s="7" t="n">
        <x:f>IF(AND(ISNUMBER(G637),'요약'!$B$19),G637-'요약'!$B$14,"")</x:f>
        <x:v>-0.0017366811821714137</x:v>
      </x:c>
      <x:c r="J637" s="7" t="n">
        <x:f>IF(AND(ISNUMBER(H637),'요약'!$B$19),H637-'요약'!$B$15,"")</x:f>
        <x:v>-0.0000628110359795783</x:v>
      </x:c>
      <x:c r="K637" t="str">
        <x:f>IF(ISNUMBER(B637),IF('Hill'!$B$4=1,IF(B637&lt;0,-B637,""),IF('Hill'!$B$4=2,IF(B637&gt;0,B637,""),IF('Hill'!$B$4=3,IF(B637&lt;&gt;0,ABS(B637),""),""))),"")</x:f>
      </x:c>
    </x:row>
    <x:row r="638">
      <x:c r="A638" t="n">
        <x:f>637</x:f>
        <x:v>637</x:v>
      </x:c>
      <x:c r="B638" s="7" t="n">
        <x:f>IF('요약'!$B$4=4,IF(ISNUMBER('input'!A638),'input'!A638,""),IF(637&lt;=1000,CHOOSE('요약'!$B$4,'input'!B638,'input'!C638,'input'!D638),""))</x:f>
        <x:v>-0.0040168915688236755</x:v>
      </x:c>
      <x:c r="C638" s="7" t="n">
        <x:f>IF(AND(ISNUMBER(B638),'요약'!$B$19),B638-'요약'!$B$7,"")</x:f>
        <x:v>-0.003968652241774174</x:v>
      </x:c>
      <x:c r="D638" s="7" t="n">
        <x:f>IF(ISNUMBER(C638),C638^2,"")</x:f>
        <x:v>0.000015750200616139176</x:v>
      </x:c>
      <x:c r="E638" s="15" t="n">
        <x:f>IF(ISNUMBER(C638),C638^3,"")</x:f>
        <x:v>-6.250706898363373e-8</x:v>
      </x:c>
      <x:c r="F638" s="15" t="n">
        <x:f>IF(ISNUMBER(C638),C638^4,"")</x:f>
        <x:v>2.4806881944863094e-10</x:v>
      </x:c>
      <x:c r="G638" s="7" t="n">
        <x:f>IF(ISNUMBER(B638),ABS(B638),"")</x:f>
        <x:v>0.0040168915688236755</x:v>
      </x:c>
      <x:c r="H638" s="7" t="n">
        <x:f>IF(ISNUMBER(B638),B638^2,"")</x:f>
        <x:v>0.000016135417875686728</x:v>
      </x:c>
      <x:c r="I638" s="7" t="n">
        <x:f>IF(AND(ISNUMBER(G638),'요약'!$B$19),G638-'요약'!$B$14,"")</x:f>
        <x:v>-0.00399662505857918</x:v>
      </x:c>
      <x:c r="J638" s="7" t="n">
        <x:f>IF(AND(ISNUMBER(H638),'요약'!$B$19),H638-'요약'!$B$15,"")</x:f>
        <x:v>-0.00008607428131040538</x:v>
      </x:c>
      <x:c r="K638" t="n">
        <x:f>IF(ISNUMBER(B638),IF('Hill'!$B$4=1,IF(B638&lt;0,-B638,""),IF('Hill'!$B$4=2,IF(B638&gt;0,B638,""),IF('Hill'!$B$4=3,IF(B638&lt;&gt;0,ABS(B638),""),""))),"")</x:f>
        <x:v>0.0040168915688236755</x:v>
      </x:c>
    </x:row>
    <x:row r="639">
      <x:c r="A639" t="n">
        <x:f>638</x:f>
        <x:v>638</x:v>
      </x:c>
      <x:c r="B639" s="7" t="n">
        <x:f>IF('요약'!$B$4=4,IF(ISNUMBER('input'!A639),'input'!A639,""),IF(638&lt;=1000,CHOOSE('요약'!$B$4,'input'!B639,'input'!C639,'input'!D639),""))</x:f>
        <x:v>0.015760443982681803</x:v>
      </x:c>
      <x:c r="C639" s="7" t="n">
        <x:f>IF(AND(ISNUMBER(B639),'요약'!$B$19),B639-'요약'!$B$7,"")</x:f>
        <x:v>0.015808683309731304</x:v>
      </x:c>
      <x:c r="D639" s="7" t="n">
        <x:f>IF(ISNUMBER(C639),C639^2,"")</x:f>
        <x:v>0.0002499144679873771</x:v>
      </x:c>
      <x:c r="E639" s="15" t="n">
        <x:f>IF(ISNUMBER(C639),C639^3,"")</x:f>
        <x:v>0.000003950818678932426</x:v>
      </x:c>
      <x:c r="F639" s="15" t="n">
        <x:f>IF(ISNUMBER(C639),C639^4,"")</x:f>
        <x:v>6.245724130941373e-8</x:v>
      </x:c>
      <x:c r="G639" s="7" t="n">
        <x:f>IF(ISNUMBER(B639),ABS(B639),"")</x:f>
        <x:v>0.015760443982681803</x:v>
      </x:c>
      <x:c r="H639" s="7" t="n">
        <x:f>IF(ISNUMBER(B639),B639^2,"")</x:f>
        <x:v>0.00024839159453125104</x:v>
      </x:c>
      <x:c r="I639" s="7" t="n">
        <x:f>IF(AND(ISNUMBER(G639),'요약'!$B$19),G639-'요약'!$B$14,"")</x:f>
        <x:v>0.0077469273552789476</x:v>
      </x:c>
      <x:c r="J639" s="7" t="n">
        <x:f>IF(AND(ISNUMBER(H639),'요약'!$B$19),H639-'요약'!$B$15,"")</x:f>
        <x:v>0.00014618189534515894</x:v>
      </x:c>
      <x:c r="K639" t="str">
        <x:f>IF(ISNUMBER(B639),IF('Hill'!$B$4=1,IF(B639&lt;0,-B639,""),IF('Hill'!$B$4=2,IF(B639&gt;0,B639,""),IF('Hill'!$B$4=3,IF(B639&lt;&gt;0,ABS(B639),""),""))),"")</x:f>
      </x:c>
    </x:row>
    <x:row r="640">
      <x:c r="A640" t="n">
        <x:f>639</x:f>
        <x:v>639</x:v>
      </x:c>
      <x:c r="B640" s="7" t="n">
        <x:f>IF('요약'!$B$4=4,IF(ISNUMBER('input'!A640),'input'!A640,""),IF(639&lt;=1000,CHOOSE('요약'!$B$4,'input'!B640,'input'!C640,'input'!D640),""))</x:f>
        <x:v>0.01566295891262201</x:v>
      </x:c>
      <x:c r="C640" s="7" t="n">
        <x:f>IF(AND(ISNUMBER(B640),'요약'!$B$19),B640-'요약'!$B$7,"")</x:f>
        <x:v>0.01571119823967151</x:v>
      </x:c>
      <x:c r="D640" s="7" t="n">
        <x:f>IF(ISNUMBER(C640),C640^2,"")</x:f>
        <x:v>0.0002468417501262572</x:v>
      </x:c>
      <x:c r="E640" s="15" t="n">
        <x:f>IF(ISNUMBER(C640),C640^3,"")</x:f>
        <x:v>0.000003878179670061087</x:v>
      </x:c>
      <x:c r="F640" s="15" t="n">
        <x:f>IF(ISNUMBER(C640),C640^4,"")</x:f>
        <x:v>6.093084960539358e-8</x:v>
      </x:c>
      <x:c r="G640" s="7" t="n">
        <x:f>IF(ISNUMBER(B640),ABS(B640),"")</x:f>
        <x:v>0.01566295891262201</x:v>
      </x:c>
      <x:c r="H640" s="7" t="n">
        <x:f>IF(ISNUMBER(B640),B640^2,"")</x:f>
        <x:v>0.00024532828189848525</x:v>
      </x:c>
      <x:c r="I640" s="7" t="n">
        <x:f>IF(AND(ISNUMBER(G640),'요약'!$B$19),G640-'요약'!$B$14,"")</x:f>
        <x:v>0.007649442285219155</x:v>
      </x:c>
      <x:c r="J640" s="7" t="n">
        <x:f>IF(AND(ISNUMBER(H640),'요약'!$B$19),H640-'요약'!$B$15,"")</x:f>
        <x:v>0.00014311858271239314</x:v>
      </x:c>
      <x:c r="K640" t="str">
        <x:f>IF(ISNUMBER(B640),IF('Hill'!$B$4=1,IF(B640&lt;0,-B640,""),IF('Hill'!$B$4=2,IF(B640&gt;0,B640,""),IF('Hill'!$B$4=3,IF(B640&lt;&gt;0,ABS(B640),""),""))),"")</x:f>
      </x:c>
    </x:row>
    <x:row r="641">
      <x:c r="A641" t="n">
        <x:f>640</x:f>
        <x:v>640</x:v>
      </x:c>
      <x:c r="B641" s="7" t="n">
        <x:f>IF('요약'!$B$4=4,IF(ISNUMBER('input'!A641),'input'!A641,""),IF(640&lt;=1000,CHOOSE('요약'!$B$4,'input'!B641,'input'!C641,'input'!D641),""))</x:f>
        <x:v>-0.0022142628675288966</x:v>
      </x:c>
      <x:c r="C641" s="7" t="n">
        <x:f>IF(AND(ISNUMBER(B641),'요약'!$B$19),B641-'요약'!$B$7,"")</x:f>
        <x:v>-0.002166023540479395</x:v>
      </x:c>
      <x:c r="D641" s="7" t="n">
        <x:f>IF(ISNUMBER(C641),C641^2,"")</x:f>
        <x:v>0.000004691657977910894</x:v>
      </x:c>
      <x:c r="E641" s="15" t="n">
        <x:f>IF(ISNUMBER(C641),C641^3,"")</x:f>
        <x:v>-1.0162241624032955e-8</x:v>
      </x:c>
      <x:c r="F641" s="15" t="n">
        <x:f>IF(ISNUMBER(C641),C641^4,"")</x:f>
        <x:v>2.2011654581694938e-11</x:v>
      </x:c>
      <x:c r="G641" s="7" t="n">
        <x:f>IF(ISNUMBER(B641),ABS(B641),"")</x:f>
        <x:v>0.0022142628675288966</x:v>
      </x:c>
      <x:c r="H641" s="7" t="n">
        <x:f>IF(ISNUMBER(B641),B641^2,"")</x:f>
        <x:v>0.000004902960046517292</x:v>
      </x:c>
      <x:c r="I641" s="7" t="n">
        <x:f>IF(AND(ISNUMBER(G641),'요약'!$B$19),G641-'요약'!$B$14,"")</x:f>
        <x:v>-0.005799253759873959</x:v>
      </x:c>
      <x:c r="J641" s="7" t="n">
        <x:f>IF(AND(ISNUMBER(H641),'요약'!$B$19),H641-'요약'!$B$15,"")</x:f>
        <x:v>-0.00009730673913957482</x:v>
      </x:c>
      <x:c r="K641" t="n">
        <x:f>IF(ISNUMBER(B641),IF('Hill'!$B$4=1,IF(B641&lt;0,-B641,""),IF('Hill'!$B$4=2,IF(B641&gt;0,B641,""),IF('Hill'!$B$4=3,IF(B641&lt;&gt;0,ABS(B641),""),""))),"")</x:f>
        <x:v>0.0022142628675288966</x:v>
      </x:c>
    </x:row>
    <x:row r="642">
      <x:c r="A642" t="n">
        <x:f>641</x:f>
        <x:v>641</x:v>
      </x:c>
      <x:c r="B642" s="7" t="n">
        <x:f>IF('요약'!$B$4=4,IF(ISNUMBER('input'!A642),'input'!A642,""),IF(641&lt;=1000,CHOOSE('요약'!$B$4,'input'!B642,'input'!C642,'input'!D642),""))</x:f>
        <x:v>-0.008822918079933174</x:v>
      </x:c>
      <x:c r="C642" s="7" t="n">
        <x:f>IF(AND(ISNUMBER(B642),'요약'!$B$19),B642-'요약'!$B$7,"")</x:f>
        <x:v>-0.008774678752883673</x:v>
      </x:c>
      <x:c r="D642" s="7" t="n">
        <x:f>IF(ISNUMBER(C642),C642^2,"")</x:f>
        <x:v>0.00007699498721630817</x:v>
      </x:c>
      <x:c r="E642" s="15" t="n">
        <x:f>IF(ISNUMBER(C642),C642^3,"")</x:f>
        <x:v>-6.756062784054893e-7</x:v>
      </x:c>
      <x:c r="F642" s="15" t="n">
        <x:f>IF(ISNUMBER(C642),C642^4,"")</x:f>
        <x:v>5.928228056439459e-9</x:v>
      </x:c>
      <x:c r="G642" s="7" t="n">
        <x:f>IF(ISNUMBER(B642),ABS(B642),"")</x:f>
        <x:v>0.008822918079933174</x:v>
      </x:c>
      <x:c r="H642" s="7" t="n">
        <x:f>IF(ISNUMBER(B642),B642^2,"")</x:f>
        <x:v>0.00007784388344521169</x:v>
      </x:c>
      <x:c r="I642" s="7" t="n">
        <x:f>IF(AND(ISNUMBER(G642),'요약'!$B$19),G642-'요약'!$B$14,"")</x:f>
        <x:v>0.0008094014525303183</x:v>
      </x:c>
      <x:c r="J642" s="7" t="n">
        <x:f>IF(AND(ISNUMBER(H642),'요약'!$B$19),H642-'요약'!$B$15,"")</x:f>
        <x:v>-0.000024365815740880418</x:v>
      </x:c>
      <x:c r="K642" t="n">
        <x:f>IF(ISNUMBER(B642),IF('Hill'!$B$4=1,IF(B642&lt;0,-B642,""),IF('Hill'!$B$4=2,IF(B642&gt;0,B642,""),IF('Hill'!$B$4=3,IF(B642&lt;&gt;0,ABS(B642),""),""))),"")</x:f>
        <x:v>0.008822918079933174</x:v>
      </x:c>
    </x:row>
    <x:row r="643">
      <x:c r="A643" t="n">
        <x:f>642</x:f>
        <x:v>642</x:v>
      </x:c>
      <x:c r="B643" s="7" t="n">
        <x:f>IF('요약'!$B$4=4,IF(ISNUMBER('input'!A643),'input'!A643,""),IF(642&lt;=1000,CHOOSE('요약'!$B$4,'input'!B643,'input'!C643,'input'!D643),""))</x:f>
        <x:v>0.020207448015669614</x:v>
      </x:c>
      <x:c r="C643" s="7" t="n">
        <x:f>IF(AND(ISNUMBER(B643),'요약'!$B$19),B643-'요약'!$B$7,"")</x:f>
        <x:v>0.020255687342719115</x:v>
      </x:c>
      <x:c r="D643" s="7" t="n">
        <x:f>IF(ISNUMBER(C643),C643^2,"")</x:f>
        <x:v>0.00041029286972599135</x:v>
      </x:c>
      <x:c r="E643" s="15" t="n">
        <x:f>IF(ISNUMBER(C643),C643^3,"")</x:f>
        <x:v>0.000008310764088116666</x:v>
      </x:c>
      <x:c r="F643" s="15" t="n">
        <x:f>IF(ISNUMBER(C643),C643^4,"")</x:f>
        <x:v>1.6834023894798932e-7</x:v>
      </x:c>
      <x:c r="G643" s="7" t="n">
        <x:f>IF(ISNUMBER(B643),ABS(B643),"")</x:f>
        <x:v>0.020207448015669614</x:v>
      </x:c>
      <x:c r="H643" s="7" t="n">
        <x:f>IF(ISNUMBER(B643),B643^2,"")</x:f>
        <x:v>0.00040834095530598984</x:v>
      </x:c>
      <x:c r="I643" s="7" t="n">
        <x:f>IF(AND(ISNUMBER(G643),'요약'!$B$19),G643-'요약'!$B$14,"")</x:f>
        <x:v>0.012193931388266759</x:v>
      </x:c>
      <x:c r="J643" s="7" t="n">
        <x:f>IF(AND(ISNUMBER(H643),'요약'!$B$19),H643-'요약'!$B$15,"")</x:f>
        <x:v>0.0003061312561198977</x:v>
      </x:c>
      <x:c r="K643" t="str">
        <x:f>IF(ISNUMBER(B643),IF('Hill'!$B$4=1,IF(B643&lt;0,-B643,""),IF('Hill'!$B$4=2,IF(B643&gt;0,B643,""),IF('Hill'!$B$4=3,IF(B643&lt;&gt;0,ABS(B643),""),""))),"")</x:f>
      </x:c>
    </x:row>
    <x:row r="644">
      <x:c r="A644" t="n">
        <x:f>643</x:f>
        <x:v>643</x:v>
      </x:c>
      <x:c r="B644" s="7" t="n">
        <x:f>IF('요약'!$B$4=4,IF(ISNUMBER('input'!A644),'input'!A644,""),IF(643&lt;=1000,CHOOSE('요약'!$B$4,'input'!B644,'input'!C644,'input'!D644),""))</x:f>
        <x:v>0.005651390810548851</x:v>
      </x:c>
      <x:c r="C644" s="7" t="n">
        <x:f>IF(AND(ISNUMBER(B644),'요약'!$B$19),B644-'요약'!$B$7,"")</x:f>
        <x:v>0.005699630137598353</x:v>
      </x:c>
      <x:c r="D644" s="7" t="n">
        <x:f>IF(ISNUMBER(C644),C644^2,"")</x:f>
        <x:v>0.00003248578370541941</x:v>
      </x:c>
      <x:c r="E644" s="15" t="n">
        <x:f>IF(ISNUMBER(C644),C644^3,"")</x:f>
        <x:v>1.8515695185090998e-7</x:v>
      </x:c>
      <x:c r="F644" s="15" t="n">
        <x:f>IF(ISNUMBER(C644),C644^4,"")</x:f>
        <x:v>1.0553261429552937e-9</x:v>
      </x:c>
      <x:c r="G644" s="7" t="n">
        <x:f>IF(ISNUMBER(B644),ABS(B644),"")</x:f>
        <x:v>0.005651390810548851</x:v>
      </x:c>
      <x:c r="H644" s="7" t="n">
        <x:f>IF(ISNUMBER(B644),B644^2,"")</x:f>
        <x:v>0.000031938218093556</x:v>
      </x:c>
      <x:c r="I644" s="7" t="n">
        <x:f>IF(AND(ISNUMBER(G644),'요약'!$B$19),G644-'요약'!$B$14,"")</x:f>
        <x:v>-0.0023621258168540042</x:v>
      </x:c>
      <x:c r="J644" s="7" t="n">
        <x:f>IF(AND(ISNUMBER(H644),'요약'!$B$19),H644-'요약'!$B$15,"")</x:f>
        <x:v>-0.0000702714810925361</x:v>
      </x:c>
      <x:c r="K644" t="str">
        <x:f>IF(ISNUMBER(B644),IF('Hill'!$B$4=1,IF(B644&lt;0,-B644,""),IF('Hill'!$B$4=2,IF(B644&gt;0,B644,""),IF('Hill'!$B$4=3,IF(B644&lt;&gt;0,ABS(B644),""),""))),"")</x:f>
      </x:c>
    </x:row>
    <x:row r="645">
      <x:c r="A645" t="n">
        <x:f>644</x:f>
        <x:v>644</x:v>
      </x:c>
      <x:c r="B645" s="7" t="n">
        <x:f>IF('요약'!$B$4=4,IF(ISNUMBER('input'!A645),'input'!A645,""),IF(644&lt;=1000,CHOOSE('요약'!$B$4,'input'!B645,'input'!C645,'input'!D645),""))</x:f>
        <x:v>0.00852148679667843</x:v>
      </x:c>
      <x:c r="C645" s="7" t="n">
        <x:f>IF(AND(ISNUMBER(B645),'요약'!$B$19),B645-'요약'!$B$7,"")</x:f>
        <x:v>0.00856972612372793</x:v>
      </x:c>
      <x:c r="D645" s="7" t="n">
        <x:f>IF(ISNUMBER(C645),C645^2,"")</x:f>
        <x:v>0.00007344020583570494</x:v>
      </x:c>
      <x:c r="E645" s="15" t="n">
        <x:f>IF(ISNUMBER(C645),C645^3,"")</x:f>
        <x:v>6.29362450482197e-7</x:v>
      </x:c>
      <x:c r="F645" s="15" t="n">
        <x:f>IF(ISNUMBER(C645),C645^4,"")</x:f>
        <x:v>5.39346383319071e-9</x:v>
      </x:c>
      <x:c r="G645" s="7" t="n">
        <x:f>IF(ISNUMBER(B645),ABS(B645),"")</x:f>
        <x:v>0.00852148679667843</x:v>
      </x:c>
      <x:c r="H645" s="7" t="n">
        <x:f>IF(ISNUMBER(B645),B645^2,"")</x:f>
        <x:v>0.00007261573722596481</x:v>
      </x:c>
      <x:c r="I645" s="7" t="n">
        <x:f>IF(AND(ISNUMBER(G645),'요약'!$B$19),G645-'요약'!$B$14,"")</x:f>
        <x:v>0.0005079701692755744</x:v>
      </x:c>
      <x:c r="J645" s="7" t="n">
        <x:f>IF(AND(ISNUMBER(H645),'요약'!$B$19),H645-'요약'!$B$15,"")</x:f>
        <x:v>-0.00002959396196012729</x:v>
      </x:c>
      <x:c r="K645" t="str">
        <x:f>IF(ISNUMBER(B645),IF('Hill'!$B$4=1,IF(B645&lt;0,-B645,""),IF('Hill'!$B$4=2,IF(B645&gt;0,B645,""),IF('Hill'!$B$4=3,IF(B645&lt;&gt;0,ABS(B645),""),""))),"")</x:f>
      </x:c>
    </x:row>
    <x:row r="646">
      <x:c r="A646" t="n">
        <x:f>645</x:f>
        <x:v>645</x:v>
      </x:c>
      <x:c r="B646" s="7" t="n">
        <x:f>IF('요약'!$B$4=4,IF(ISNUMBER('input'!A646),'input'!A646,""),IF(645&lt;=1000,CHOOSE('요약'!$B$4,'input'!B646,'input'!C646,'input'!D646),""))</x:f>
        <x:v>0.01779316544002327</x:v>
      </x:c>
      <x:c r="C646" s="7" t="n">
        <x:f>IF(AND(ISNUMBER(B646),'요약'!$B$19),B646-'요약'!$B$7,"")</x:f>
        <x:v>0.01784140476707277</x:v>
      </x:c>
      <x:c r="D646" s="7" t="n">
        <x:f>IF(ISNUMBER(C646),C646^2,"")</x:f>
        <x:v>0.000318315724062527</x:v>
      </x:c>
      <x:c r="E646" s="15" t="n">
        <x:f>IF(ISNUMBER(C646),C646^3,"")</x:f>
        <x:v>0.0000056791996767233906</x:v>
      </x:c>
      <x:c r="F646" s="15" t="n">
        <x:f>IF(ISNUMBER(C646),C646^4,"")</x:f>
        <x:v>1.0132490018545085e-7</x:v>
      </x:c>
      <x:c r="G646" s="7" t="n">
        <x:f>IF(ISNUMBER(B646),ABS(B646),"")</x:f>
        <x:v>0.01779316544002327</x:v>
      </x:c>
      <x:c r="H646" s="7" t="n">
        <x:f>IF(ISNUMBER(B646),B646^2,"")</x:f>
        <x:v>0.00031659673637603853</x:v>
      </x:c>
      <x:c r="I646" s="7" t="n">
        <x:f>IF(AND(ISNUMBER(G646),'요약'!$B$19),G646-'요약'!$B$14,"")</x:f>
        <x:v>0.009779648812620416</x:v>
      </x:c>
      <x:c r="J646" s="7" t="n">
        <x:f>IF(AND(ISNUMBER(H646),'요약'!$B$19),H646-'요약'!$B$15,"")</x:f>
        <x:v>0.00021438703718994643</x:v>
      </x:c>
      <x:c r="K646" t="str">
        <x:f>IF(ISNUMBER(B646),IF('Hill'!$B$4=1,IF(B646&lt;0,-B646,""),IF('Hill'!$B$4=2,IF(B646&gt;0,B646,""),IF('Hill'!$B$4=3,IF(B646&lt;&gt;0,ABS(B646),""),""))),"")</x:f>
      </x:c>
    </x:row>
    <x:row r="647">
      <x:c r="A647" t="n">
        <x:f>646</x:f>
        <x:v>646</x:v>
      </x:c>
      <x:c r="B647" s="7" t="n">
        <x:f>IF('요약'!$B$4=4,IF(ISNUMBER('input'!A647),'input'!A647,""),IF(646&lt;=1000,CHOOSE('요약'!$B$4,'input'!B647,'input'!C647,'input'!D647),""))</x:f>
        <x:v>-0.007425262842185186</x:v>
      </x:c>
      <x:c r="C647" s="7" t="n">
        <x:f>IF(AND(ISNUMBER(B647),'요약'!$B$19),B647-'요약'!$B$7,"")</x:f>
        <x:v>-0.007377023515135685</x:v>
      </x:c>
      <x:c r="D647" s="7" t="n">
        <x:f>IF(ISNUMBER(C647),C647^2,"")</x:f>
        <x:v>0.000054420475942864856</x:v>
      </x:c>
      <x:c r="E647" s="15" t="n">
        <x:f>IF(ISNUMBER(C647),C647^3,"")</x:f>
        <x:v>-4.014611307353899e-7</x:v>
      </x:c>
      <x:c r="F647" s="15" t="n">
        <x:f>IF(ISNUMBER(C647),C647^4,"")</x:f>
        <x:v>2.9615882018479324e-9</x:v>
      </x:c>
      <x:c r="G647" s="7" t="n">
        <x:f>IF(ISNUMBER(B647),ABS(B647),"")</x:f>
        <x:v>0.007425262842185186</x:v>
      </x:c>
      <x:c r="H647" s="7" t="n">
        <x:f>IF(ISNUMBER(B647),B647^2,"")</x:f>
        <x:v>0.00005513452827553603</x:v>
      </x:c>
      <x:c r="I647" s="7" t="n">
        <x:f>IF(AND(ISNUMBER(G647),'요약'!$B$19),G647-'요약'!$B$14,"")</x:f>
        <x:v>-0.000588253785217669</x:v>
      </x:c>
      <x:c r="J647" s="7" t="n">
        <x:f>IF(AND(ISNUMBER(H647),'요약'!$B$19),H647-'요약'!$B$15,"")</x:f>
        <x:v>-0.00004707517091055607</x:v>
      </x:c>
      <x:c r="K647" t="n">
        <x:f>IF(ISNUMBER(B647),IF('Hill'!$B$4=1,IF(B647&lt;0,-B647,""),IF('Hill'!$B$4=2,IF(B647&gt;0,B647,""),IF('Hill'!$B$4=3,IF(B647&lt;&gt;0,ABS(B647),""),""))),"")</x:f>
        <x:v>0.007425262842185186</x:v>
      </x:c>
    </x:row>
    <x:row r="648">
      <x:c r="A648" t="n">
        <x:f>647</x:f>
        <x:v>647</x:v>
      </x:c>
      <x:c r="B648" s="7" t="n">
        <x:f>IF('요약'!$B$4=4,IF(ISNUMBER('input'!A648),'input'!A648,""),IF(647&lt;=1000,CHOOSE('요약'!$B$4,'input'!B648,'input'!C648,'input'!D648),""))</x:f>
        <x:v>-0.002791956889417228</x:v>
      </x:c>
      <x:c r="C648" s="7" t="n">
        <x:f>IF(AND(ISNUMBER(B648),'요약'!$B$19),B648-'요약'!$B$7,"")</x:f>
        <x:v>-0.0027437175623677267</x:v>
      </x:c>
      <x:c r="D648" s="7" t="n">
        <x:f>IF(ISNUMBER(C648),C648^2,"")</x:f>
        <x:v>0.0000075279860620451005</x:v>
      </x:c>
      <x:c r="E648" s="15" t="n">
        <x:f>IF(ISNUMBER(C648),C648^3,"")</x:f>
        <x:v>-2.0654667567692604e-8</x:v>
      </x:c>
      <x:c r="F648" s="15" t="n">
        <x:f>IF(ISNUMBER(C648),C648^4,"")</x:f>
        <x:v>5.6670574150345296e-11</x:v>
      </x:c>
      <x:c r="G648" s="7" t="n">
        <x:f>IF(ISNUMBER(B648),ABS(B648),"")</x:f>
        <x:v>0.002791956889417228</x:v>
      </x:c>
      <x:c r="H648" s="7" t="n">
        <x:f>IF(ISNUMBER(B648),B648^2,"")</x:f>
        <x:v>0.000007795023272364324</x:v>
      </x:c>
      <x:c r="I648" s="7" t="n">
        <x:f>IF(AND(ISNUMBER(G648),'요약'!$B$19),G648-'요약'!$B$14,"")</x:f>
        <x:v>-0.005221559737985627</x:v>
      </x:c>
      <x:c r="J648" s="7" t="n">
        <x:f>IF(AND(ISNUMBER(H648),'요약'!$B$19),H648-'요약'!$B$15,"")</x:f>
        <x:v>-0.00009441467591372779</x:v>
      </x:c>
      <x:c r="K648" t="n">
        <x:f>IF(ISNUMBER(B648),IF('Hill'!$B$4=1,IF(B648&lt;0,-B648,""),IF('Hill'!$B$4=2,IF(B648&gt;0,B648,""),IF('Hill'!$B$4=3,IF(B648&lt;&gt;0,ABS(B648),""),""))),"")</x:f>
        <x:v>0.002791956889417228</x:v>
      </x:c>
    </x:row>
    <x:row r="649">
      <x:c r="A649" t="n">
        <x:f>648</x:f>
        <x:v>648</x:v>
      </x:c>
      <x:c r="B649" s="7" t="n">
        <x:f>IF('요약'!$B$4=4,IF(ISNUMBER('input'!A649),'input'!A649,""),IF(648&lt;=1000,CHOOSE('요약'!$B$4,'input'!B649,'input'!C649,'input'!D649),""))</x:f>
        <x:v>-0.0009668486330066059</x:v>
      </x:c>
      <x:c r="C649" s="7" t="n">
        <x:f>IF(AND(ISNUMBER(B649),'요약'!$B$19),B649-'요약'!$B$7,"")</x:f>
        <x:v>-0.0009186093059571045</x:v>
      </x:c>
      <x:c r="D649" s="7" t="n">
        <x:f>IF(ISNUMBER(C649),C649^2,"")</x:f>
        <x:v>8.438430569909933e-7</x:v>
      </x:c>
      <x:c r="E649" s="15" t="n">
        <x:f>IF(ISNUMBER(C649),C649^3,"")</x:f>
        <x:v>-7.751620849192177e-10</x:v>
      </x:c>
      <x:c r="F649" s="15" t="n">
        <x:f>IF(ISNUMBER(C649),C649^4,"")</x:f>
        <x:v>7.120711048319047e-13</x:v>
      </x:c>
      <x:c r="G649" s="7" t="n">
        <x:f>IF(ISNUMBER(B649),ABS(B649),"")</x:f>
        <x:v>0.0009668486330066059</x:v>
      </x:c>
      <x:c r="H649" s="7" t="n">
        <x:f>IF(ISNUMBER(B649),B649^2,"")</x:f>
        <x:v>9.347962791467424e-7</x:v>
      </x:c>
      <x:c r="I649" s="7" t="n">
        <x:f>IF(AND(ISNUMBER(G649),'요약'!$B$19),G649-'요약'!$B$14,"")</x:f>
        <x:v>-0.00704666799439625</x:v>
      </x:c>
      <x:c r="J649" s="7" t="n">
        <x:f>IF(AND(ISNUMBER(H649),'요약'!$B$19),H649-'요약'!$B$15,"")</x:f>
        <x:v>-0.00010127490290694536</x:v>
      </x:c>
      <x:c r="K649" t="n">
        <x:f>IF(ISNUMBER(B649),IF('Hill'!$B$4=1,IF(B649&lt;0,-B649,""),IF('Hill'!$B$4=2,IF(B649&gt;0,B649,""),IF('Hill'!$B$4=3,IF(B649&lt;&gt;0,ABS(B649),""),""))),"")</x:f>
        <x:v>0.0009668486330066059</x:v>
      </x:c>
    </x:row>
    <x:row r="650">
      <x:c r="A650" t="n">
        <x:f>649</x:f>
        <x:v>649</x:v>
      </x:c>
      <x:c r="B650" s="7" t="n">
        <x:f>IF('요약'!$B$4=4,IF(ISNUMBER('input'!A650),'input'!A650,""),IF(649&lt;=1000,CHOOSE('요약'!$B$4,'input'!B650,'input'!C650,'input'!D650),""))</x:f>
        <x:v>-0.005563088354444784</x:v>
      </x:c>
      <x:c r="C650" s="7" t="n">
        <x:f>IF(AND(ISNUMBER(B650),'요약'!$B$19),B650-'요약'!$B$7,"")</x:f>
        <x:v>-0.005514849027395283</x:v>
      </x:c>
      <x:c r="D650" s="7" t="n">
        <x:f>IF(ISNUMBER(C650),C650^2,"")</x:f>
        <x:v>0.000030413559794962695</x:v>
      </x:c>
      <x:c r="E650" s="15" t="n">
        <x:f>IF(ISNUMBER(C650),C650^3,"")</x:f>
        <x:v>-1.6772619065487829e-7</x:v>
      </x:c>
      <x:c r="F650" s="15" t="n">
        <x:f>IF(ISNUMBER(C650),C650^4,"")</x:f>
        <x:v>9.249846194017713e-10</x:v>
      </x:c>
      <x:c r="G650" s="7" t="n">
        <x:f>IF(ISNUMBER(B650),ABS(B650),"")</x:f>
        <x:v>0.005563088354444784</x:v>
      </x:c>
      <x:c r="H650" s="7" t="n">
        <x:f>IF(ISNUMBER(B650),B650^2,"")</x:f>
        <x:v>0.00003094795203935918</x:v>
      </x:c>
      <x:c r="I650" s="7" t="n">
        <x:f>IF(AND(ISNUMBER(G650),'요약'!$B$19),G650-'요약'!$B$14,"")</x:f>
        <x:v>-0.0024504282729580712</x:v>
      </x:c>
      <x:c r="J650" s="7" t="n">
        <x:f>IF(AND(ISNUMBER(H650),'요약'!$B$19),H650-'요약'!$B$15,"")</x:f>
        <x:v>-0.00007126174714673292</x:v>
      </x:c>
      <x:c r="K650" t="n">
        <x:f>IF(ISNUMBER(B650),IF('Hill'!$B$4=1,IF(B650&lt;0,-B650,""),IF('Hill'!$B$4=2,IF(B650&gt;0,B650,""),IF('Hill'!$B$4=3,IF(B650&lt;&gt;0,ABS(B650),""),""))),"")</x:f>
        <x:v>0.005563088354444784</x:v>
      </x:c>
    </x:row>
    <x:row r="651">
      <x:c r="A651" t="n">
        <x:f>650</x:f>
        <x:v>650</x:v>
      </x:c>
      <x:c r="B651" s="7" t="n">
        <x:f>IF('요약'!$B$4=4,IF(ISNUMBER('input'!A651),'input'!A651,""),IF(650&lt;=1000,CHOOSE('요약'!$B$4,'input'!B651,'input'!C651,'input'!D651),""))</x:f>
        <x:v>-0.008037688466360481</x:v>
      </x:c>
      <x:c r="C651" s="7" t="n">
        <x:f>IF(AND(ISNUMBER(B651),'요약'!$B$19),B651-'요약'!$B$7,"")</x:f>
        <x:v>-0.00798944913931098</x:v>
      </x:c>
      <x:c r="D651" s="7" t="n">
        <x:f>IF(ISNUMBER(C651),C651^2,"")</x:f>
        <x:v>0.00006383129754963697</x:v>
      </x:c>
      <x:c r="E651" s="15" t="n">
        <x:f>IF(ISNUMBER(C651),C651^3,"")</x:f>
        <x:v>-5.099769052690501e-7</x:v>
      </x:c>
      <x:c r="F651" s="15" t="n">
        <x:f>IF(ISNUMBER(C651),C651^4,"")</x:f>
        <x:v>4.0744345468702895e-9</x:v>
      </x:c>
      <x:c r="G651" s="7" t="n">
        <x:f>IF(ISNUMBER(B651),ABS(B651),"")</x:f>
        <x:v>0.008037688466360481</x:v>
      </x:c>
      <x:c r="H651" s="7" t="n">
        <x:f>IF(ISNUMBER(B651),B651^2,"")</x:f>
        <x:v>0.0000646044358822643</x:v>
      </x:c>
      <x:c r="I651" s="7" t="n">
        <x:f>IF(AND(ISNUMBER(G651),'요약'!$B$19),G651-'요약'!$B$14,"")</x:f>
        <x:v>0.000024171838957625508</x:v>
      </x:c>
      <x:c r="J651" s="7" t="n">
        <x:f>IF(AND(ISNUMBER(H651),'요약'!$B$19),H651-'요약'!$B$15,"")</x:f>
        <x:v>-0.0000376052633038278</x:v>
      </x:c>
      <x:c r="K651" t="n">
        <x:f>IF(ISNUMBER(B651),IF('Hill'!$B$4=1,IF(B651&lt;0,-B651,""),IF('Hill'!$B$4=2,IF(B651&gt;0,B651,""),IF('Hill'!$B$4=3,IF(B651&lt;&gt;0,ABS(B651),""),""))),"")</x:f>
        <x:v>0.008037688466360481</x:v>
      </x:c>
    </x:row>
    <x:row r="652">
      <x:c r="A652" t="n">
        <x:f>651</x:f>
        <x:v>651</x:v>
      </x:c>
      <x:c r="B652" s="7" t="n">
        <x:f>IF('요약'!$B$4=4,IF(ISNUMBER('input'!A652),'input'!A652,""),IF(651&lt;=1000,CHOOSE('요약'!$B$4,'input'!B652,'input'!C652,'input'!D652),""))</x:f>
        <x:v>-0.000891915585894435</x:v>
      </x:c>
      <x:c r="C652" s="7" t="n">
        <x:f>IF(AND(ISNUMBER(B652),'요약'!$B$19),B652-'요약'!$B$7,"")</x:f>
        <x:v>-0.0008436762588449337</x:v>
      </x:c>
      <x:c r="D652" s="7" t="n">
        <x:f>IF(ISNUMBER(C652),C652^2,"")</x:f>
        <x:v>7.117896297385835e-7</x:v>
      </x:c>
      <x:c r="E652" s="15" t="n">
        <x:f>IF(ISNUMBER(C652),C652^3,"")</x:f>
        <x:v>-6.005200119024687e-10</x:v>
      </x:c>
      <x:c r="F652" s="15" t="n">
        <x:f>IF(ISNUMBER(C652),C652^4,"")</x:f>
        <x:v>5.066444770033899e-13</x:v>
      </x:c>
      <x:c r="G652" s="7" t="n">
        <x:f>IF(ISNUMBER(B652),ABS(B652),"")</x:f>
        <x:v>0.000891915585894435</x:v>
      </x:c>
      <x:c r="H652" s="7" t="n">
        <x:f>IF(ISNUMBER(B652),B652^2,"")</x:f>
        <x:v>7.955134123614133e-7</x:v>
      </x:c>
      <x:c r="I652" s="7" t="n">
        <x:f>IF(AND(ISNUMBER(G652),'요약'!$B$19),G652-'요약'!$B$14,"")</x:f>
        <x:v>-0.00712160104150842</x:v>
      </x:c>
      <x:c r="J652" s="7" t="n">
        <x:f>IF(AND(ISNUMBER(H652),'요약'!$B$19),H652-'요약'!$B$15,"")</x:f>
        <x:v>-0.0001014141857737307</x:v>
      </x:c>
      <x:c r="K652" t="n">
        <x:f>IF(ISNUMBER(B652),IF('Hill'!$B$4=1,IF(B652&lt;0,-B652,""),IF('Hill'!$B$4=2,IF(B652&gt;0,B652,""),IF('Hill'!$B$4=3,IF(B652&lt;&gt;0,ABS(B652),""),""))),"")</x:f>
        <x:v>0.000891915585894435</x:v>
      </x:c>
    </x:row>
    <x:row r="653">
      <x:c r="A653" t="n">
        <x:f>652</x:f>
        <x:v>652</x:v>
      </x:c>
      <x:c r="B653" s="7" t="n">
        <x:f>IF('요약'!$B$4=4,IF(ISNUMBER('input'!A653),'input'!A653,""),IF(652&lt;=1000,CHOOSE('요약'!$B$4,'input'!B653,'input'!C653,'input'!D653),""))</x:f>
        <x:v>0.014637567044555438</x:v>
      </x:c>
      <x:c r="C653" s="7" t="n">
        <x:f>IF(AND(ISNUMBER(B653),'요약'!$B$19),B653-'요약'!$B$7,"")</x:f>
        <x:v>0.014685806371604939</x:v>
      </x:c>
      <x:c r="D653" s="7" t="n">
        <x:f>IF(ISNUMBER(C653),C653^2,"")</x:f>
        <x:v>0.0002156729087842722</x:v>
      </x:c>
      <x:c r="E653" s="15" t="n">
        <x:f>IF(ISNUMBER(C653),C653^3,"")</x:f>
        <x:v>0.0000031673305780066356</x:v>
      </x:c>
      <x:c r="F653" s="15" t="n">
        <x:f>IF(ISNUMBER(C653),C653^4,"")</x:f>
        <x:v>4.6514803583469e-8</x:v>
      </x:c>
      <x:c r="G653" s="7" t="n">
        <x:f>IF(ISNUMBER(B653),ABS(B653),"")</x:f>
        <x:v>0.014637567044555438</x:v>
      </x:c>
      <x:c r="H653" s="7" t="n">
        <x:f>IF(ISNUMBER(B653),B653^2,"")</x:f>
        <x:v>0.00021425836898385543</x:v>
      </x:c>
      <x:c r="I653" s="7" t="n">
        <x:f>IF(AND(ISNUMBER(G653),'요약'!$B$19),G653-'요약'!$B$14,"")</x:f>
        <x:v>0.006624050417152583</x:v>
      </x:c>
      <x:c r="J653" s="7" t="n">
        <x:f>IF(AND(ISNUMBER(H653),'요약'!$B$19),H653-'요약'!$B$15,"")</x:f>
        <x:v>0.00011204866979776332</x:v>
      </x:c>
      <x:c r="K653" t="str">
        <x:f>IF(ISNUMBER(B653),IF('Hill'!$B$4=1,IF(B653&lt;0,-B653,""),IF('Hill'!$B$4=2,IF(B653&gt;0,B653,""),IF('Hill'!$B$4=3,IF(B653&lt;&gt;0,ABS(B653),""),""))),"")</x:f>
      </x:c>
    </x:row>
    <x:row r="654">
      <x:c r="A654" t="n">
        <x:f>653</x:f>
        <x:v>653</x:v>
      </x:c>
      <x:c r="B654" s="7" t="n">
        <x:f>IF('요약'!$B$4=4,IF(ISNUMBER('input'!A654),'input'!A654,""),IF(653&lt;=1000,CHOOSE('요약'!$B$4,'input'!B654,'input'!C654,'input'!D654),""))</x:f>
        <x:v>-0.0026022879889856334</x:v>
      </x:c>
      <x:c r="C654" s="7" t="n">
        <x:f>IF(AND(ISNUMBER(B654),'요약'!$B$19),B654-'요약'!$B$7,"")</x:f>
        <x:v>-0.002554048661936132</x:v>
      </x:c>
      <x:c r="D654" s="7" t="n">
        <x:f>IF(ISNUMBER(C654),C654^2,"")</x:f>
        <x:v>0.000006523164567537746</x:v>
      </x:c>
      <x:c r="E654" s="15" t="n">
        <x:f>IF(ISNUMBER(C654),C654^3,"")</x:f>
        <x:v>-1.6660479735308966e-8</x:v>
      </x:c>
      <x:c r="F654" s="15" t="n">
        <x:f>IF(ISNUMBER(C654),C654^4,"")</x:f>
        <x:v>4.255167597517991e-11</x:v>
      </x:c>
      <x:c r="G654" s="7" t="n">
        <x:f>IF(ISNUMBER(B654),ABS(B654),"")</x:f>
        <x:v>0.0026022879889856334</x:v>
      </x:c>
      <x:c r="H654" s="7" t="n">
        <x:f>IF(ISNUMBER(B654),B654^2,"")</x:f>
        <x:v>0.000006771902777618892</x:v>
      </x:c>
      <x:c r="I654" s="7" t="n">
        <x:f>IF(AND(ISNUMBER(G654),'요약'!$B$19),G654-'요약'!$B$14,"")</x:f>
        <x:v>-0.005411228638417222</x:v>
      </x:c>
      <x:c r="J654" s="7" t="n">
        <x:f>IF(AND(ISNUMBER(H654),'요약'!$B$19),H654-'요약'!$B$15,"")</x:f>
        <x:v>-0.00009543779640847321</x:v>
      </x:c>
      <x:c r="K654" t="n">
        <x:f>IF(ISNUMBER(B654),IF('Hill'!$B$4=1,IF(B654&lt;0,-B654,""),IF('Hill'!$B$4=2,IF(B654&gt;0,B654,""),IF('Hill'!$B$4=3,IF(B654&lt;&gt;0,ABS(B654),""),""))),"")</x:f>
        <x:v>0.0026022879889856334</x:v>
      </x:c>
    </x:row>
    <x:row r="655">
      <x:c r="A655" t="n">
        <x:f>654</x:f>
        <x:v>654</x:v>
      </x:c>
      <x:c r="B655" s="7" t="n">
        <x:f>IF('요약'!$B$4=4,IF(ISNUMBER('input'!A655),'input'!A655,""),IF(654&lt;=1000,CHOOSE('요약'!$B$4,'input'!B655,'input'!C655,'input'!D655),""))</x:f>
        <x:v>0.004677897345563525</x:v>
      </x:c>
      <x:c r="C655" s="7" t="n">
        <x:f>IF(AND(ISNUMBER(B655),'요약'!$B$19),B655-'요약'!$B$7,"")</x:f>
        <x:v>0.004726136672613027</x:v>
      </x:c>
      <x:c r="D655" s="7" t="n">
        <x:f>IF(ISNUMBER(C655),C655^2,"")</x:f>
        <x:v>0.00002233636784821773</x:v>
      </x:c>
      <x:c r="E655" s="15" t="n">
        <x:f>IF(ISNUMBER(C655),C655^3,"")</x:f>
        <x:v>1.0556472722043634e-7</x:v>
      </x:c>
      <x:c r="F655" s="15" t="n">
        <x:f>IF(ISNUMBER(C655),C655^4,"")</x:f>
        <x:v>4.989133286508948e-10</x:v>
      </x:c>
      <x:c r="G655" s="7" t="n">
        <x:f>IF(ISNUMBER(B655),ABS(B655),"")</x:f>
        <x:v>0.004677897345563525</x:v>
      </x:c>
      <x:c r="H655" s="7" t="n">
        <x:f>IF(ISNUMBER(B655),B655^2,"")</x:f>
        <x:v>0.000021882723575630275</x:v>
      </x:c>
      <x:c r="I655" s="7" t="n">
        <x:f>IF(AND(ISNUMBER(G655),'요약'!$B$19),G655-'요약'!$B$14,"")</x:f>
        <x:v>-0.0033356192818393303</x:v>
      </x:c>
      <x:c r="J655" s="7" t="n">
        <x:f>IF(AND(ISNUMBER(H655),'요약'!$B$19),H655-'요약'!$B$15,"")</x:f>
        <x:v>-0.00008032697561046183</x:v>
      </x:c>
      <x:c r="K655" t="str">
        <x:f>IF(ISNUMBER(B655),IF('Hill'!$B$4=1,IF(B655&lt;0,-B655,""),IF('Hill'!$B$4=2,IF(B655&gt;0,B655,""),IF('Hill'!$B$4=3,IF(B655&lt;&gt;0,ABS(B655),""),""))),"")</x:f>
      </x:c>
    </x:row>
    <x:row r="656">
      <x:c r="A656" t="n">
        <x:f>655</x:f>
        <x:v>655</x:v>
      </x:c>
      <x:c r="B656" s="7" t="n">
        <x:f>IF('요약'!$B$4=4,IF(ISNUMBER('input'!A656),'input'!A656,""),IF(655&lt;=1000,CHOOSE('요약'!$B$4,'input'!B656,'input'!C656,'input'!D656),""))</x:f>
        <x:v>-0.004536128668631163</x:v>
      </x:c>
      <x:c r="C656" s="7" t="n">
        <x:f>IF(AND(ISNUMBER(B656),'요약'!$B$19),B656-'요약'!$B$7,"")</x:f>
        <x:v>-0.0044878893415816615</x:v>
      </x:c>
      <x:c r="D656" s="7" t="n">
        <x:f>IF(ISNUMBER(C656),C656^2,"")</x:f>
        <x:v>0.00002014115074228228</x:v>
      </x:c>
      <x:c r="E656" s="15" t="n">
        <x:f>IF(ISNUMBER(C656),C656^3,"")</x:f>
        <x:v>-9.039125574347821e-8</x:v>
      </x:c>
      <x:c r="F656" s="15" t="n">
        <x:f>IF(ISNUMBER(C656),C656^4,"")</x:f>
        <x:v>4.0566595322333803e-10</x:v>
      </x:c>
      <x:c r="G656" s="7" t="n">
        <x:f>IF(ISNUMBER(B656),ABS(B656),"")</x:f>
        <x:v>0.004536128668631163</x:v>
      </x:c>
      <x:c r="H656" s="7" t="n">
        <x:f>IF(ISNUMBER(B656),B656^2,"")</x:f>
        <x:v>0.000020576463298377528</x:v>
      </x:c>
      <x:c r="I656" s="7" t="n">
        <x:f>IF(AND(ISNUMBER(G656),'요약'!$B$19),G656-'요약'!$B$14,"")</x:f>
        <x:v>-0.0034773879587716924</x:v>
      </x:c>
      <x:c r="J656" s="7" t="n">
        <x:f>IF(AND(ISNUMBER(H656),'요약'!$B$19),H656-'요약'!$B$15,"")</x:f>
        <x:v>-0.00008163323588771458</x:v>
      </x:c>
      <x:c r="K656" t="n">
        <x:f>IF(ISNUMBER(B656),IF('Hill'!$B$4=1,IF(B656&lt;0,-B656,""),IF('Hill'!$B$4=2,IF(B656&gt;0,B656,""),IF('Hill'!$B$4=3,IF(B656&lt;&gt;0,ABS(B656),""),""))),"")</x:f>
        <x:v>0.004536128668631163</x:v>
      </x:c>
    </x:row>
    <x:row r="657">
      <x:c r="A657" t="n">
        <x:f>656</x:f>
        <x:v>656</x:v>
      </x:c>
      <x:c r="B657" s="7" t="n">
        <x:f>IF('요약'!$B$4=4,IF(ISNUMBER('input'!A657),'input'!A657,""),IF(656&lt;=1000,CHOOSE('요약'!$B$4,'input'!B657,'input'!C657,'input'!D657),""))</x:f>
        <x:v>0.009786961706873565</x:v>
      </x:c>
      <x:c r="C657" s="7" t="n">
        <x:f>IF(AND(ISNUMBER(B657),'요약'!$B$19),B657-'요약'!$B$7,"")</x:f>
        <x:v>0.009835201033923066</x:v>
      </x:c>
      <x:c r="D657" s="7" t="n">
        <x:f>IF(ISNUMBER(C657),C657^2,"")</x:f>
        <x:v>0.00009673117937768135</x:v>
      </x:c>
      <x:c r="E657" s="15" t="n">
        <x:f>IF(ISNUMBER(C657),C657^3,"")</x:f>
        <x:v>9.513705954279691e-7</x:v>
      </x:c>
      <x:c r="F657" s="15" t="n">
        <x:f>IF(ISNUMBER(C657),C657^4,"")</x:f>
        <x:v>9.356921063797164e-9</x:v>
      </x:c>
      <x:c r="G657" s="7" t="n">
        <x:f>IF(ISNUMBER(B657),ABS(B657),"")</x:f>
        <x:v>0.009786961706873565</x:v>
      </x:c>
      <x:c r="H657" s="7" t="n">
        <x:f>IF(ISNUMBER(B657),B657^2,"")</x:f>
        <x:v>0.00009578461945180953</x:v>
      </x:c>
      <x:c r="I657" s="7" t="n">
        <x:f>IF(AND(ISNUMBER(G657),'요약'!$B$19),G657-'요약'!$B$14,"")</x:f>
        <x:v>0.0017734450794707098</x:v>
      </x:c>
      <x:c r="J657" s="7" t="n">
        <x:f>IF(AND(ISNUMBER(H657),'요약'!$B$19),H657-'요약'!$B$15,"")</x:f>
        <x:v>-0.000006425079734282579</x:v>
      </x:c>
      <x:c r="K657" t="str">
        <x:f>IF(ISNUMBER(B657),IF('Hill'!$B$4=1,IF(B657&lt;0,-B657,""),IF('Hill'!$B$4=2,IF(B657&gt;0,B657,""),IF('Hill'!$B$4=3,IF(B657&lt;&gt;0,ABS(B657),""),""))),"")</x:f>
      </x:c>
    </x:row>
    <x:row r="658">
      <x:c r="A658" t="n">
        <x:f>657</x:f>
        <x:v>657</x:v>
      </x:c>
      <x:c r="B658" s="7" t="n">
        <x:f>IF('요약'!$B$4=4,IF(ISNUMBER('input'!A658),'input'!A658,""),IF(657&lt;=1000,CHOOSE('요약'!$B$4,'input'!B658,'input'!C658,'input'!D658),""))</x:f>
        <x:v>-0.008018054692380065</x:v>
      </x:c>
      <x:c r="C658" s="7" t="n">
        <x:f>IF(AND(ISNUMBER(B658),'요약'!$B$19),B658-'요약'!$B$7,"")</x:f>
        <x:v>-0.007969815365330564</x:v>
      </x:c>
      <x:c r="D658" s="7" t="n">
        <x:f>IF(ISNUMBER(C658),C658^2,"")</x:f>
        <x:v>0.00006351795695745915</x:v>
      </x:c>
      <x:c r="E658" s="15" t="n">
        <x:f>IF(ISNUMBER(C658),C658^3,"")</x:f>
        <x:v>-5.062263893339634e-7</x:v>
      </x:c>
      <x:c r="F658" s="15" t="n">
        <x:f>IF(ISNUMBER(C658),C658^4,"")</x:f>
        <x:v>4.034530856049634e-9</x:v>
      </x:c>
      <x:c r="G658" s="7" t="n">
        <x:f>IF(ISNUMBER(B658),ABS(B658),"")</x:f>
        <x:v>0.008018054692380065</x:v>
      </x:c>
      <x:c r="H658" s="7" t="n">
        <x:f>IF(ISNUMBER(B658),B658^2,"")</x:f>
        <x:v>0.00006428920104999797</x:v>
      </x:c>
      <x:c r="I658" s="7" t="n">
        <x:f>IF(AND(ISNUMBER(G658),'요약'!$B$19),G658-'요약'!$B$14,"")</x:f>
        <x:v>0.000004538064977209488</x:v>
      </x:c>
      <x:c r="J658" s="7" t="n">
        <x:f>IF(AND(ISNUMBER(H658),'요약'!$B$19),H658-'요약'!$B$15,"")</x:f>
        <x:v>-0.00003792049813609413</x:v>
      </x:c>
      <x:c r="K658" t="n">
        <x:f>IF(ISNUMBER(B658),IF('Hill'!$B$4=1,IF(B658&lt;0,-B658,""),IF('Hill'!$B$4=2,IF(B658&gt;0,B658,""),IF('Hill'!$B$4=3,IF(B658&lt;&gt;0,ABS(B658),""),""))),"")</x:f>
        <x:v>0.008018054692380065</x:v>
      </x:c>
    </x:row>
    <x:row r="659">
      <x:c r="A659" t="n">
        <x:f>658</x:f>
        <x:v>658</x:v>
      </x:c>
      <x:c r="B659" s="7" t="n">
        <x:f>IF('요약'!$B$4=4,IF(ISNUMBER('input'!A659),'input'!A659,""),IF(658&lt;=1000,CHOOSE('요약'!$B$4,'input'!B659,'input'!C659,'input'!D659),""))</x:f>
        <x:v>0.013060530516644723</x:v>
      </x:c>
      <x:c r="C659" s="7" t="n">
        <x:f>IF(AND(ISNUMBER(B659),'요약'!$B$19),B659-'요약'!$B$7,"")</x:f>
        <x:v>0.013108769843694223</x:v>
      </x:c>
      <x:c r="D659" s="7" t="n">
        <x:f>IF(ISNUMBER(C659),C659^2,"")</x:f>
        <x:v>0.00017183984681494707</x:v>
      </x:c>
      <x:c r="E659" s="15" t="n">
        <x:f>IF(ISNUMBER(C659),C659^3,"")</x:f>
        <x:v>0.000002252609001872813</x:v>
      </x:c>
      <x:c r="F659" s="15" t="n">
        <x:f>IF(ISNUMBER(C659),C659^4,"")</x:f>
        <x:v>2.9528932953384473e-8</x:v>
      </x:c>
      <x:c r="G659" s="7" t="n">
        <x:f>IF(ISNUMBER(B659),ABS(B659),"")</x:f>
        <x:v>0.013060530516644723</x:v>
      </x:c>
      <x:c r="H659" s="7" t="n">
        <x:f>IF(ISNUMBER(B659),B659^2,"")</x:f>
        <x:v>0.00017057745737620805</x:v>
      </x:c>
      <x:c r="I659" s="7" t="n">
        <x:f>IF(AND(ISNUMBER(G659),'요약'!$B$19),G659-'요약'!$B$14,"")</x:f>
        <x:v>0.005047013889241867</x:v>
      </x:c>
      <x:c r="J659" s="7" t="n">
        <x:f>IF(AND(ISNUMBER(H659),'요약'!$B$19),H659-'요약'!$B$15,"")</x:f>
        <x:v>0.00006836775819011595</x:v>
      </x:c>
      <x:c r="K659" t="str">
        <x:f>IF(ISNUMBER(B659),IF('Hill'!$B$4=1,IF(B659&lt;0,-B659,""),IF('Hill'!$B$4=2,IF(B659&gt;0,B659,""),IF('Hill'!$B$4=3,IF(B659&lt;&gt;0,ABS(B659),""),""))),"")</x:f>
      </x:c>
    </x:row>
    <x:row r="660">
      <x:c r="A660" t="n">
        <x:f>659</x:f>
        <x:v>659</x:v>
      </x:c>
      <x:c r="B660" s="7" t="n">
        <x:f>IF('요약'!$B$4=4,IF(ISNUMBER('input'!A660),'input'!A660,""),IF(659&lt;=1000,CHOOSE('요약'!$B$4,'input'!B660,'input'!C660,'input'!D660),""))</x:f>
        <x:v>0.013894699748911625</x:v>
      </x:c>
      <x:c r="C660" s="7" t="n">
        <x:f>IF(AND(ISNUMBER(B660),'요약'!$B$19),B660-'요약'!$B$7,"")</x:f>
        <x:v>0.013942939075961126</x:v>
      </x:c>
      <x:c r="D660" s="7" t="n">
        <x:f>IF(ISNUMBER(C660),C660^2,"")</x:f>
        <x:v>0.0001944055500759637</x:v>
      </x:c>
      <x:c r="E660" s="15" t="n">
        <x:f>IF(ISNUMBER(C660),C660^3,"")</x:f>
        <x:v>0.0000027105847407378716</x:v>
      </x:c>
      <x:c r="F660" s="15" t="n">
        <x:f>IF(ISNUMBER(C660),C660^4,"")</x:f>
        <x:v>3.779351790033803e-8</x:v>
      </x:c>
      <x:c r="G660" s="7" t="n">
        <x:f>IF(ISNUMBER(B660),ABS(B660),"")</x:f>
        <x:v>0.013894699748911625</x:v>
      </x:c>
      <x:c r="H660" s="7" t="n">
        <x:f>IF(ISNUMBER(B660),B660^2,"")</x:f>
        <x:v>0.0001930626811124048</x:v>
      </x:c>
      <x:c r="I660" s="7" t="n">
        <x:f>IF(AND(ISNUMBER(G660),'요약'!$B$19),G660-'요약'!$B$14,"")</x:f>
        <x:v>0.00588118312150877</x:v>
      </x:c>
      <x:c r="J660" s="7" t="n">
        <x:f>IF(AND(ISNUMBER(H660),'요약'!$B$19),H660-'요약'!$B$15,"")</x:f>
        <x:v>0.00009085298192631268</x:v>
      </x:c>
      <x:c r="K660" t="str">
        <x:f>IF(ISNUMBER(B660),IF('Hill'!$B$4=1,IF(B660&lt;0,-B660,""),IF('Hill'!$B$4=2,IF(B660&gt;0,B660,""),IF('Hill'!$B$4=3,IF(B660&lt;&gt;0,ABS(B660),""),""))),"")</x:f>
      </x:c>
    </x:row>
    <x:row r="661">
      <x:c r="A661" t="n">
        <x:f>660</x:f>
        <x:v>660</x:v>
      </x:c>
      <x:c r="B661" s="7" t="n">
        <x:f>IF('요약'!$B$4=4,IF(ISNUMBER('input'!A661),'input'!A661,""),IF(660&lt;=1000,CHOOSE('요약'!$B$4,'input'!B661,'input'!C661,'input'!D661),""))</x:f>
        <x:v>-0.007417078829285955</x:v>
      </x:c>
      <x:c r="C661" s="7" t="n">
        <x:f>IF(AND(ISNUMBER(B661),'요약'!$B$19),B661-'요약'!$B$7,"")</x:f>
        <x:v>-0.007368839502236453</x:v>
      </x:c>
      <x:c r="D661" s="7" t="n">
        <x:f>IF(ISNUMBER(C661),C661^2,"")</x:f>
        <x:v>0.00005429979560972038</x:v>
      </x:c>
      <x:c r="E661" s="15" t="n">
        <x:f>IF(ISNUMBER(C661),C661^3,"")</x:f>
        <x:v>-4.0012647885227307e-7</x:v>
      </x:c>
      <x:c r="F661" s="15" t="n">
        <x:f>IF(ISNUMBER(C661),C661^4,"")</x:f>
        <x:v>2.9484678032574087e-9</x:v>
      </x:c>
      <x:c r="G661" s="7" t="n">
        <x:f>IF(ISNUMBER(B661),ABS(B661),"")</x:f>
        <x:v>0.007417078829285955</x:v>
      </x:c>
      <x:c r="H661" s="7" t="n">
        <x:f>IF(ISNUMBER(B661),B661^2,"")</x:f>
        <x:v>0.000055013058359841905</x:v>
      </x:c>
      <x:c r="I661" s="7" t="n">
        <x:f>IF(AND(ISNUMBER(G661),'요약'!$B$19),G661-'요약'!$B$14,"")</x:f>
        <x:v>-0.0005964377981169007</x:v>
      </x:c>
      <x:c r="J661" s="7" t="n">
        <x:f>IF(AND(ISNUMBER(H661),'요약'!$B$19),H661-'요약'!$B$15,"")</x:f>
        <x:v>-0.0000471966408262502</x:v>
      </x:c>
      <x:c r="K661" t="n">
        <x:f>IF(ISNUMBER(B661),IF('Hill'!$B$4=1,IF(B661&lt;0,-B661,""),IF('Hill'!$B$4=2,IF(B661&gt;0,B661,""),IF('Hill'!$B$4=3,IF(B661&lt;&gt;0,ABS(B661),""),""))),"")</x:f>
        <x:v>0.007417078829285955</x:v>
      </x:c>
    </x:row>
    <x:row r="662">
      <x:c r="A662" t="n">
        <x:f>661</x:f>
        <x:v>661</x:v>
      </x:c>
      <x:c r="B662" s="7" t="n">
        <x:f>IF('요약'!$B$4=4,IF(ISNUMBER('input'!A662),'input'!A662,""),IF(661&lt;=1000,CHOOSE('요약'!$B$4,'input'!B662,'input'!C662,'input'!D662),""))</x:f>
        <x:v>-0.008792378989518323</x:v>
      </x:c>
      <x:c r="C662" s="7" t="n">
        <x:f>IF(AND(ISNUMBER(B662),'요약'!$B$19),B662-'요약'!$B$7,"")</x:f>
        <x:v>-0.008744139662468823</x:v>
      </x:c>
      <x:c r="D662" s="7" t="n">
        <x:f>IF(ISNUMBER(C662),C662^2,"")</x:f>
        <x:v>0.00007645997843676037</x:v>
      </x:c>
      <x:c r="E662" s="15" t="n">
        <x:f>IF(ISNUMBER(C662),C662^3,"")</x:f>
        <x:v>-6.685767300403873e-7</x:v>
      </x:c>
      <x:c r="F662" s="15" t="n">
        <x:f>IF(ISNUMBER(C662),C662^4,"")</x:f>
        <x:v>5.846128302549861e-9</x:v>
      </x:c>
      <x:c r="G662" s="7" t="n">
        <x:f>IF(ISNUMBER(B662),ABS(B662),"")</x:f>
        <x:v>0.008792378989518323</x:v>
      </x:c>
      <x:c r="H662" s="7" t="n">
        <x:f>IF(ISNUMBER(B662),B662^2,"")</x:f>
        <x:v>0.00007730592829532325</x:v>
      </x:c>
      <x:c r="I662" s="7" t="n">
        <x:f>IF(AND(ISNUMBER(G662),'요약'!$B$19),G662-'요약'!$B$14,"")</x:f>
        <x:v>0.0007788623621154678</x:v>
      </x:c>
      <x:c r="J662" s="7" t="n">
        <x:f>IF(AND(ISNUMBER(H662),'요약'!$B$19),H662-'요약'!$B$15,"")</x:f>
        <x:v>-0.00002490377089076885</x:v>
      </x:c>
      <x:c r="K662" t="n">
        <x:f>IF(ISNUMBER(B662),IF('Hill'!$B$4=1,IF(B662&lt;0,-B662,""),IF('Hill'!$B$4=2,IF(B662&gt;0,B662,""),IF('Hill'!$B$4=3,IF(B662&lt;&gt;0,ABS(B662),""),""))),"")</x:f>
        <x:v>0.008792378989518323</x:v>
      </x:c>
    </x:row>
    <x:row r="663">
      <x:c r="A663" t="n">
        <x:f>662</x:f>
        <x:v>662</x:v>
      </x:c>
      <x:c r="B663" s="7" t="n">
        <x:f>IF('요약'!$B$4=4,IF(ISNUMBER('input'!A663),'input'!A663,""),IF(662&lt;=1000,CHOOSE('요약'!$B$4,'input'!B663,'input'!C663,'input'!D663),""))</x:f>
        <x:v>-0.000192303674555758</x:v>
      </x:c>
      <x:c r="C663" s="7" t="n">
        <x:f>IF(AND(ISNUMBER(B663),'요약'!$B$19),B663-'요약'!$B$7,"")</x:f>
        <x:v>-0.0001440643475062566</x:v>
      </x:c>
      <x:c r="D663" s="7" t="n">
        <x:f>IF(ISNUMBER(C663),C663^2,"")</x:f>
        <x:v>2.0754536222403463e-8</x:v>
      </x:c>
      <x:c r="E663" s="15" t="n">
        <x:f>IF(ISNUMBER(C663),C663^3,"")</x:f>
        <x:v>-2.989988718675523e-12</x:v>
      </x:c>
      <x:c r="F663" s="15" t="n">
        <x:f>IF(ISNUMBER(C663),C663^4,"")</x:f>
        <x:v>4.307507738070575e-16</x:v>
      </x:c>
      <x:c r="G663" s="7" t="n">
        <x:f>IF(ISNUMBER(B663),ABS(B663),"")</x:f>
        <x:v>0.000192303674555758</x:v>
      </x:c>
      <x:c r="H663" s="7" t="n">
        <x:f>IF(ISNUMBER(B663),B663^2,"")</x:f>
        <x:v>3.6980703247646884e-8</x:v>
      </x:c>
      <x:c r="I663" s="7" t="n">
        <x:f>IF(AND(ISNUMBER(G663),'요약'!$B$19),G663-'요약'!$B$14,"")</x:f>
        <x:v>-0.007821212952847097</x:v>
      </x:c>
      <x:c r="J663" s="7" t="n">
        <x:f>IF(AND(ISNUMBER(H663),'요약'!$B$19),H663-'요약'!$B$15,"")</x:f>
        <x:v>-0.00010217271848284445</x:v>
      </x:c>
      <x:c r="K663" t="n">
        <x:f>IF(ISNUMBER(B663),IF('Hill'!$B$4=1,IF(B663&lt;0,-B663,""),IF('Hill'!$B$4=2,IF(B663&gt;0,B663,""),IF('Hill'!$B$4=3,IF(B663&lt;&gt;0,ABS(B663),""),""))),"")</x:f>
        <x:v>0.000192303674555758</x:v>
      </x:c>
    </x:row>
    <x:row r="664">
      <x:c r="A664" t="n">
        <x:f>663</x:f>
        <x:v>663</x:v>
      </x:c>
      <x:c r="B664" s="7" t="n">
        <x:f>IF('요약'!$B$4=4,IF(ISNUMBER('input'!A664),'input'!A664,""),IF(663&lt;=1000,CHOOSE('요약'!$B$4,'input'!B664,'input'!C664,'input'!D664),""))</x:f>
        <x:v>0.011029686056536366</x:v>
      </x:c>
      <x:c r="C664" s="7" t="n">
        <x:f>IF(AND(ISNUMBER(B664),'요약'!$B$19),B664-'요약'!$B$7,"")</x:f>
        <x:v>0.011077925383585867</x:v>
      </x:c>
      <x:c r="D664" s="7" t="n">
        <x:f>IF(ISNUMBER(C664),C664^2,"")</x:f>
        <x:v>0.00012272043080429606</x:v>
      </x:c>
      <x:c r="E664" s="15" t="n">
        <x:f>IF(ISNUMBER(C664),C664^3,"")</x:f>
        <x:v>0.0000013594877754915045</x:v>
      </x:c>
      <x:c r="F664" s="15" t="n">
        <x:f>IF(ISNUMBER(C664),C664^4,"")</x:f>
        <x:v>1.506030413679202e-8</x:v>
      </x:c>
      <x:c r="G664" s="7" t="n">
        <x:f>IF(ISNUMBER(B664),ABS(B664),"")</x:f>
        <x:v>0.011029686056536366</x:v>
      </x:c>
      <x:c r="H664" s="7" t="n">
        <x:f>IF(ISNUMBER(B664),B664^2,"")</x:f>
        <x:v>0.00012165397450575274</x:v>
      </x:c>
      <x:c r="I664" s="7" t="n">
        <x:f>IF(AND(ISNUMBER(G664),'요약'!$B$19),G664-'요약'!$B$14,"")</x:f>
        <x:v>0.003016169429133511</x:v>
      </x:c>
      <x:c r="J664" s="7" t="n">
        <x:f>IF(AND(ISNUMBER(H664),'요약'!$B$19),H664-'요약'!$B$15,"")</x:f>
        <x:v>0.000019444275319660637</x:v>
      </x:c>
      <x:c r="K664" t="str">
        <x:f>IF(ISNUMBER(B664),IF('Hill'!$B$4=1,IF(B664&lt;0,-B664,""),IF('Hill'!$B$4=2,IF(B664&gt;0,B664,""),IF('Hill'!$B$4=3,IF(B664&lt;&gt;0,ABS(B664),""),""))),"")</x:f>
      </x:c>
    </x:row>
    <x:row r="665">
      <x:c r="A665" t="n">
        <x:f>664</x:f>
        <x:v>664</x:v>
      </x:c>
      <x:c r="B665" s="7" t="n">
        <x:f>IF('요약'!$B$4=4,IF(ISNUMBER('input'!A665),'input'!A665,""),IF(664&lt;=1000,CHOOSE('요약'!$B$4,'input'!B665,'input'!C665,'input'!D665),""))</x:f>
        <x:v>-0.013250397385467905</x:v>
      </x:c>
      <x:c r="C665" s="7" t="n">
        <x:f>IF(AND(ISNUMBER(B665),'요약'!$B$19),B665-'요약'!$B$7,"")</x:f>
        <x:v>-0.013202158058418404</x:v>
      </x:c>
      <x:c r="D665" s="7" t="n">
        <x:f>IF(ISNUMBER(C665),C665^2,"")</x:f>
        <x:v>0.000174296977399462</x:v>
      </x:c>
      <x:c r="E665" s="15" t="n">
        <x:f>IF(ISNUMBER(C665),C665^3,"")</x:f>
        <x:v>-0.0000023010962447322776</x:v>
      </x:c>
      <x:c r="F665" s="15" t="n">
        <x:f>IF(ISNUMBER(C665),C665^4,"")</x:f>
        <x:v>3.037943633058857e-8</x:v>
      </x:c>
      <x:c r="G665" s="7" t="n">
        <x:f>IF(ISNUMBER(B665),ABS(B665),"")</x:f>
        <x:v>0.013250397385467905</x:v>
      </x:c>
      <x:c r="H665" s="7" t="n">
        <x:f>IF(ISNUMBER(B665),B665^2,"")</x:f>
        <x:v>0.0001755730308728147</x:v>
      </x:c>
      <x:c r="I665" s="7" t="n">
        <x:f>IF(AND(ISNUMBER(G665),'요약'!$B$19),G665-'요약'!$B$14,"")</x:f>
        <x:v>0.005236880758065049</x:v>
      </x:c>
      <x:c r="J665" s="7" t="n">
        <x:f>IF(AND(ISNUMBER(H665),'요약'!$B$19),H665-'요약'!$B$15,"")</x:f>
        <x:v>0.00007336333168672258</x:v>
      </x:c>
      <x:c r="K665" t="n">
        <x:f>IF(ISNUMBER(B665),IF('Hill'!$B$4=1,IF(B665&lt;0,-B665,""),IF('Hill'!$B$4=2,IF(B665&gt;0,B665,""),IF('Hill'!$B$4=3,IF(B665&lt;&gt;0,ABS(B665),""),""))),"")</x:f>
        <x:v>0.013250397385467905</x:v>
      </x:c>
    </x:row>
    <x:row r="666">
      <x:c r="A666" t="n">
        <x:f>665</x:f>
        <x:v>665</x:v>
      </x:c>
      <x:c r="B666" s="7" t="n">
        <x:f>IF('요약'!$B$4=4,IF(ISNUMBER('input'!A666),'input'!A666,""),IF(665&lt;=1000,CHOOSE('요약'!$B$4,'input'!B666,'input'!C666,'input'!D666),""))</x:f>
        <x:v>-0.008396441913414777</x:v>
      </x:c>
      <x:c r="C666" s="7" t="n">
        <x:f>IF(AND(ISNUMBER(B666),'요약'!$B$19),B666-'요약'!$B$7,"")</x:f>
        <x:v>-0.008348202586365277</x:v>
      </x:c>
      <x:c r="D666" s="7" t="n">
        <x:f>IF(ISNUMBER(C666),C666^2,"")</x:f>
        <x:v>0.00006969248642299589</x:v>
      </x:c>
      <x:c r="E666" s="15" t="n">
        <x:f>IF(ISNUMBER(C666),C666^3,"")</x:f>
        <x:v>-5.818069954066812e-7</x:v>
      </x:c>
      <x:c r="F666" s="15" t="n">
        <x:f>IF(ISNUMBER(C666),C666^4,"")</x:f>
        <x:v>4.857042663819467e-9</x:v>
      </x:c>
      <x:c r="G666" s="7" t="n">
        <x:f>IF(ISNUMBER(B666),ABS(B666),"")</x:f>
        <x:v>0.008396441913414777</x:v>
      </x:c>
      <x:c r="H666" s="7" t="n">
        <x:f>IF(ISNUMBER(B666),B666^2,"")</x:f>
        <x:v>0.00007050023680534841</x:v>
      </x:c>
      <x:c r="I666" s="7" t="n">
        <x:f>IF(AND(ISNUMBER(G666),'요약'!$B$19),G666-'요약'!$B$14,"")</x:f>
        <x:v>0.0003829252860119217</x:v>
      </x:c>
      <x:c r="J666" s="7" t="n">
        <x:f>IF(AND(ISNUMBER(H666),'요약'!$B$19),H666-'요약'!$B$15,"")</x:f>
        <x:v>-0.000031709462380743696</x:v>
      </x:c>
      <x:c r="K666" t="n">
        <x:f>IF(ISNUMBER(B666),IF('Hill'!$B$4=1,IF(B666&lt;0,-B666,""),IF('Hill'!$B$4=2,IF(B666&gt;0,B666,""),IF('Hill'!$B$4=3,IF(B666&lt;&gt;0,ABS(B666),""),""))),"")</x:f>
        <x:v>0.008396441913414777</x:v>
      </x:c>
    </x:row>
    <x:row r="667">
      <x:c r="A667" t="n">
        <x:f>666</x:f>
        <x:v>666</x:v>
      </x:c>
      <x:c r="B667" s="7" t="n">
        <x:f>IF('요약'!$B$4=4,IF(ISNUMBER('input'!A667),'input'!A667,""),IF(666&lt;=1000,CHOOSE('요약'!$B$4,'input'!B667,'input'!C667,'input'!D667),""))</x:f>
        <x:v>0.013873779755241377</x:v>
      </x:c>
      <x:c r="C667" s="7" t="n">
        <x:f>IF(AND(ISNUMBER(B667),'요약'!$B$19),B667-'요약'!$B$7,"")</x:f>
        <x:v>0.013922019082290878</x:v>
      </x:c>
      <x:c r="D667" s="7" t="n">
        <x:f>IF(ISNUMBER(C667),C667^2,"")</x:f>
        <x:v>0.00019382261532767135</x:v>
      </x:c>
      <x:c r="E667" s="15" t="n">
        <x:f>IF(ISNUMBER(C667),C667^3,"")</x:f>
        <x:v>0.000002698402149171365</x:v>
      </x:c>
      <x:c r="F667" s="15" t="n">
        <x:f>IF(ISNUMBER(C667),C667^4,"")</x:f>
        <x:v>3.7567206212458456e-8</x:v>
      </x:c>
      <x:c r="G667" s="7" t="n">
        <x:f>IF(ISNUMBER(B667),ABS(B667),"")</x:f>
        <x:v>0.013873779755241377</x:v>
      </x:c>
      <x:c r="H667" s="7" t="n">
        <x:f>IF(ISNUMBER(B667),B667^2,"")</x:f>
        <x:v>0.00019248176469694548</x:v>
      </x:c>
      <x:c r="I667" s="7" t="n">
        <x:f>IF(AND(ISNUMBER(G667),'요약'!$B$19),G667-'요약'!$B$14,"")</x:f>
        <x:v>0.005860263127838522</x:v>
      </x:c>
      <x:c r="J667" s="7" t="n">
        <x:f>IF(AND(ISNUMBER(H667),'요약'!$B$19),H667-'요약'!$B$15,"")</x:f>
        <x:v>0.00009027206551085338</x:v>
      </x:c>
      <x:c r="K667" t="str">
        <x:f>IF(ISNUMBER(B667),IF('Hill'!$B$4=1,IF(B667&lt;0,-B667,""),IF('Hill'!$B$4=2,IF(B667&gt;0,B667,""),IF('Hill'!$B$4=3,IF(B667&lt;&gt;0,ABS(B667),""),""))),"")</x:f>
      </x:c>
    </x:row>
    <x:row r="668">
      <x:c r="A668" t="n">
        <x:f>667</x:f>
        <x:v>667</x:v>
      </x:c>
      <x:c r="B668" s="7" t="n">
        <x:f>IF('요약'!$B$4=4,IF(ISNUMBER('input'!A668),'input'!A668,""),IF(667&lt;=1000,CHOOSE('요약'!$B$4,'input'!B668,'input'!C668,'input'!D668),""))</x:f>
        <x:v>-0.004416813833649036</x:v>
      </x:c>
      <x:c r="C668" s="7" t="n">
        <x:f>IF(AND(ISNUMBER(B668),'요약'!$B$19),B668-'요약'!$B$7,"")</x:f>
        <x:v>-0.004368574506599535</x:v>
      </x:c>
      <x:c r="D668" s="7" t="n">
        <x:f>IF(ISNUMBER(C668),C668^2,"")</x:f>
        <x:v>0.00001908444321971137</x:v>
      </x:c>
      <x:c r="E668" s="15" t="n">
        <x:f>IF(ISNUMBER(C668),C668^3,"")</x:f>
        <x:v>-8.337181212227744e-8</x:v>
      </x:c>
      <x:c r="F668" s="15" t="n">
        <x:f>IF(ISNUMBER(C668),C668^4,"")</x:f>
        <x:v>3.642159730063873e-10</x:v>
      </x:c>
      <x:c r="G668" s="7" t="n">
        <x:f>IF(ISNUMBER(B668),ABS(B668),"")</x:f>
        <x:v>0.004416813833649036</x:v>
      </x:c>
      <x:c r="H668" s="7" t="n">
        <x:f>IF(ISNUMBER(B668),B668^2,"")</x:f>
        <x:v>0.0000195082444411135</x:v>
      </x:c>
      <x:c r="I668" s="7" t="n">
        <x:f>IF(AND(ISNUMBER(G668),'요약'!$B$19),G668-'요약'!$B$14,"")</x:f>
        <x:v>-0.003596702793753819</x:v>
      </x:c>
      <x:c r="J668" s="7" t="n">
        <x:f>IF(AND(ISNUMBER(H668),'요약'!$B$19),H668-'요약'!$B$15,"")</x:f>
        <x:v>-0.0000827014547449786</x:v>
      </x:c>
      <x:c r="K668" t="n">
        <x:f>IF(ISNUMBER(B668),IF('Hill'!$B$4=1,IF(B668&lt;0,-B668,""),IF('Hill'!$B$4=2,IF(B668&gt;0,B668,""),IF('Hill'!$B$4=3,IF(B668&lt;&gt;0,ABS(B668),""),""))),"")</x:f>
        <x:v>0.004416813833649036</x:v>
      </x:c>
    </x:row>
    <x:row r="669">
      <x:c r="A669" t="n">
        <x:f>668</x:f>
        <x:v>668</x:v>
      </x:c>
      <x:c r="B669" s="7" t="n">
        <x:f>IF('요약'!$B$4=4,IF(ISNUMBER('input'!A669),'input'!A669,""),IF(668&lt;=1000,CHOOSE('요약'!$B$4,'input'!B669,'input'!C669,'input'!D669),""))</x:f>
        <x:v>0.010656512148598606</x:v>
      </x:c>
      <x:c r="C669" s="7" t="n">
        <x:f>IF(AND(ISNUMBER(B669),'요약'!$B$19),B669-'요약'!$B$7,"")</x:f>
        <x:v>0.010704751475648106</x:v>
      </x:c>
      <x:c r="D669" s="7" t="n">
        <x:f>IF(ISNUMBER(C669),C669^2,"")</x:f>
        <x:v>0.0001145917041553903</x:v>
      </x:c>
      <x:c r="E669" s="15" t="n">
        <x:f>IF(ISNUMBER(C669),C669^3,"")</x:f>
        <x:v>0.0000012266757141544457</x:v>
      </x:c>
      <x:c r="F669" s="15" t="n">
        <x:f>IF(ISNUMBER(C669),C669^4,"")</x:f>
        <x:v>1.3131258661236497e-8</x:v>
      </x:c>
      <x:c r="G669" s="7" t="n">
        <x:f>IF(ISNUMBER(B669),ABS(B669),"")</x:f>
        <x:v>0.010656512148598606</x:v>
      </x:c>
      <x:c r="H669" s="7" t="n">
        <x:f>IF(ISNUMBER(B669),B669^2,"")</x:f>
        <x:v>0.00011356125117322967</x:v>
      </x:c>
      <x:c r="I669" s="7" t="n">
        <x:f>IF(AND(ISNUMBER(G669),'요약'!$B$19),G669-'요약'!$B$14,"")</x:f>
        <x:v>0.00264299552119575</x:v>
      </x:c>
      <x:c r="J669" s="7" t="n">
        <x:f>IF(AND(ISNUMBER(H669),'요약'!$B$19),H669-'요약'!$B$15,"")</x:f>
        <x:v>0.000011351551987137564</x:v>
      </x:c>
      <x:c r="K669" t="str">
        <x:f>IF(ISNUMBER(B669),IF('Hill'!$B$4=1,IF(B669&lt;0,-B669,""),IF('Hill'!$B$4=2,IF(B669&gt;0,B669,""),IF('Hill'!$B$4=3,IF(B669&lt;&gt;0,ABS(B669),""),""))),"")</x:f>
      </x:c>
    </x:row>
    <x:row r="670">
      <x:c r="A670" t="n">
        <x:f>669</x:f>
        <x:v>669</x:v>
      </x:c>
      <x:c r="B670" s="7" t="n">
        <x:f>IF('요약'!$B$4=4,IF(ISNUMBER('input'!A670),'input'!A670,""),IF(669&lt;=1000,CHOOSE('요약'!$B$4,'input'!B670,'input'!C670,'input'!D670),""))</x:f>
        <x:v>-0.007993256619348387</x:v>
      </x:c>
      <x:c r="C670" s="7" t="n">
        <x:f>IF(AND(ISNUMBER(B670),'요약'!$B$19),B670-'요약'!$B$7,"")</x:f>
        <x:v>-0.007945017292298887</x:v>
      </x:c>
      <x:c r="D670" s="7" t="n">
        <x:f>IF(ISNUMBER(C670),C670^2,"")</x:f>
        <x:v>0.00006312329977492834</x:v>
      </x:c>
      <x:c r="E670" s="15" t="n">
        <x:f>IF(ISNUMBER(C670),C670^3,"")</x:f>
        <x:v>-5.015157082587721e-7</x:v>
      </x:c>
      <x:c r="F670" s="15" t="n">
        <x:f>IF(ISNUMBER(C670),C670^4,"")</x:f>
        <x:v>3.9845509744754676e-9</x:v>
      </x:c>
      <x:c r="G670" s="7" t="n">
        <x:f>IF(ISNUMBER(B670),ABS(B670),"")</x:f>
        <x:v>0.007993256619348387</x:v>
      </x:c>
      <x:c r="H670" s="7" t="n">
        <x:f>IF(ISNUMBER(B670),B670^2,"")</x:f>
        <x:v>0.00006389215138275681</x:v>
      </x:c>
      <x:c r="I670" s="7" t="n">
        <x:f>IF(AND(ISNUMBER(G670),'요약'!$B$19),G670-'요약'!$B$14,"")</x:f>
        <x:v>-0.000020260008054467926</x:v>
      </x:c>
      <x:c r="J670" s="7" t="n">
        <x:f>IF(AND(ISNUMBER(H670),'요약'!$B$19),H670-'요약'!$B$15,"")</x:f>
        <x:v>-0.00003831754780333529</x:v>
      </x:c>
      <x:c r="K670" t="n">
        <x:f>IF(ISNUMBER(B670),IF('Hill'!$B$4=1,IF(B670&lt;0,-B670,""),IF('Hill'!$B$4=2,IF(B670&gt;0,B670,""),IF('Hill'!$B$4=3,IF(B670&lt;&gt;0,ABS(B670),""),""))),"")</x:f>
        <x:v>0.007993256619348387</x:v>
      </x:c>
    </x:row>
    <x:row r="671">
      <x:c r="A671" t="n">
        <x:f>670</x:f>
        <x:v>670</x:v>
      </x:c>
      <x:c r="B671" s="7" t="n">
        <x:f>IF('요약'!$B$4=4,IF(ISNUMBER('input'!A671),'input'!A671,""),IF(670&lt;=1000,CHOOSE('요약'!$B$4,'input'!B671,'input'!C671,'input'!D671),""))</x:f>
        <x:v>-0.00977685738909601</x:v>
      </x:c>
      <x:c r="C671" s="7" t="n">
        <x:f>IF(AND(ISNUMBER(B671),'요약'!$B$19),B671-'요약'!$B$7,"")</x:f>
        <x:v>-0.00972861806204651</x:v>
      </x:c>
      <x:c r="D671" s="7" t="n">
        <x:f>IF(ISNUMBER(C671),C671^2,"")</x:f>
        <x:v>0.00009464600939717759</x:v>
      </x:c>
      <x:c r="E671" s="15" t="n">
        <x:f>IF(ISNUMBER(C671),C671^3,"")</x:f>
        <x:v>-9.207748765220056e-7</x:v>
      </x:c>
      <x:c r="F671" s="15" t="n">
        <x:f>IF(ISNUMBER(C671),C671^4,"")</x:f>
        <x:v>8.957867094810628e-9</x:v>
      </x:c>
      <x:c r="G671" s="7" t="n">
        <x:f>IF(ISNUMBER(B671),ABS(B671),"")</x:f>
        <x:v>0.00977685738909601</x:v>
      </x:c>
      <x:c r="H671" s="7" t="n">
        <x:f>IF(ISNUMBER(B671),B671^2,"")</x:f>
        <x:v>0.00009558694040672126</x:v>
      </x:c>
      <x:c r="I671" s="7" t="n">
        <x:f>IF(AND(ISNUMBER(G671),'요약'!$B$19),G671-'요약'!$B$14,"")</x:f>
        <x:v>0.0017633407616931551</x:v>
      </x:c>
      <x:c r="J671" s="7" t="n">
        <x:f>IF(AND(ISNUMBER(H671),'요약'!$B$19),H671-'요약'!$B$15,"")</x:f>
        <x:v>-0.000006622758779370843</x:v>
      </x:c>
      <x:c r="K671" t="n">
        <x:f>IF(ISNUMBER(B671),IF('Hill'!$B$4=1,IF(B671&lt;0,-B671,""),IF('Hill'!$B$4=2,IF(B671&gt;0,B671,""),IF('Hill'!$B$4=3,IF(B671&lt;&gt;0,ABS(B671),""),""))),"")</x:f>
        <x:v>0.00977685738909601</x:v>
      </x:c>
    </x:row>
    <x:row r="672">
      <x:c r="A672" t="n">
        <x:f>671</x:f>
        <x:v>671</x:v>
      </x:c>
      <x:c r="B672" s="7" t="n">
        <x:f>IF('요약'!$B$4=4,IF(ISNUMBER('input'!A672),'input'!A672,""),IF(671&lt;=1000,CHOOSE('요약'!$B$4,'input'!B672,'input'!C672,'input'!D672),""))</x:f>
        <x:v>-0.0009040073522944553</x:v>
      </x:c>
      <x:c r="C672" s="7" t="n">
        <x:f>IF(AND(ISNUMBER(B672),'요약'!$B$19),B672-'요약'!$B$7,"")</x:f>
        <x:v>-0.0008557680252449539</x:v>
      </x:c>
      <x:c r="D672" s="7" t="n">
        <x:f>IF(ISNUMBER(C672),C672^2,"")</x:f>
        <x:v>7.323389130316481e-7</x:v>
      </x:c>
      <x:c r="E672" s="15" t="n">
        <x:f>IF(ISNUMBER(C672),C672^3,"")</x:f>
        <x:v>-6.267122254151296e-10</x:v>
      </x:c>
      <x:c r="F672" s="15" t="n">
        <x:f>IF(ISNUMBER(C672),C672^4,"")</x:f>
        <x:v>5.363202835403759e-13</x:v>
      </x:c>
      <x:c r="G672" s="7" t="n">
        <x:f>IF(ISNUMBER(B672),ABS(B672),"")</x:f>
        <x:v>0.0009040073522944553</x:v>
      </x:c>
      <x:c r="H672" s="7" t="n">
        <x:f>IF(ISNUMBER(B672),B672^2,"")</x:f>
        <x:v>8.172292930024314e-7</x:v>
      </x:c>
      <x:c r="I672" s="7" t="n">
        <x:f>IF(AND(ISNUMBER(G672),'요약'!$B$19),G672-'요약'!$B$14,"")</x:f>
        <x:v>-0.0071095092751084004</x:v>
      </x:c>
      <x:c r="J672" s="7" t="n">
        <x:f>IF(AND(ISNUMBER(H672),'요약'!$B$19),H672-'요약'!$B$15,"")</x:f>
        <x:v>-0.00010139246989308967</x:v>
      </x:c>
      <x:c r="K672" t="n">
        <x:f>IF(ISNUMBER(B672),IF('Hill'!$B$4=1,IF(B672&lt;0,-B672,""),IF('Hill'!$B$4=2,IF(B672&gt;0,B672,""),IF('Hill'!$B$4=3,IF(B672&lt;&gt;0,ABS(B672),""),""))),"")</x:f>
        <x:v>0.0009040073522944553</x:v>
      </x:c>
    </x:row>
    <x:row r="673">
      <x:c r="A673" t="n">
        <x:f>672</x:f>
        <x:v>672</x:v>
      </x:c>
      <x:c r="B673" s="7" t="n">
        <x:f>IF('요약'!$B$4=4,IF(ISNUMBER('input'!A673),'input'!A673,""),IF(672&lt;=1000,CHOOSE('요약'!$B$4,'input'!B673,'input'!C673,'input'!D673),""))</x:f>
        <x:v>0.011856956060496422</x:v>
      </x:c>
      <x:c r="C673" s="7" t="n">
        <x:f>IF(AND(ISNUMBER(B673),'요약'!$B$19),B673-'요약'!$B$7,"")</x:f>
        <x:v>0.011905195387545923</x:v>
      </x:c>
      <x:c r="D673" s="7" t="n">
        <x:f>IF(ISNUMBER(C673),C673^2,"")</x:f>
        <x:v>0.0001417336772156447</x:v>
      </x:c>
      <x:c r="E673" s="15" t="n">
        <x:f>IF(ISNUMBER(C673),C673^3,"")</x:f>
        <x:v>0.0000016873671202476162</x:v>
      </x:c>
      <x:c r="F673" s="15" t="n">
        <x:f>IF(ISNUMBER(C673),C673^4,"")</x:f>
        <x:v>2.0088435257068564e-8</x:v>
      </x:c>
      <x:c r="G673" s="7" t="n">
        <x:f>IF(ISNUMBER(B673),ABS(B673),"")</x:f>
        <x:v>0.011856956060496422</x:v>
      </x:c>
      <x:c r="H673" s="7" t="n">
        <x:f>IF(ISNUMBER(B673),B673^2,"")</x:f>
        <x:v>0.00014058740702054283</x:v>
      </x:c>
      <x:c r="I673" s="7" t="n">
        <x:f>IF(AND(ISNUMBER(G673),'요약'!$B$19),G673-'요약'!$B$14,"")</x:f>
        <x:v>0.003843439433093567</x:v>
      </x:c>
      <x:c r="J673" s="7" t="n">
        <x:f>IF(AND(ISNUMBER(H673),'요약'!$B$19),H673-'요약'!$B$15,"")</x:f>
        <x:v>0.00003837770783445072</x:v>
      </x:c>
      <x:c r="K673" t="str">
        <x:f>IF(ISNUMBER(B673),IF('Hill'!$B$4=1,IF(B673&lt;0,-B673,""),IF('Hill'!$B$4=2,IF(B673&gt;0,B673,""),IF('Hill'!$B$4=3,IF(B673&lt;&gt;0,ABS(B673),""),""))),"")</x:f>
      </x:c>
    </x:row>
    <x:row r="674">
      <x:c r="A674" t="n">
        <x:f>673</x:f>
        <x:v>673</x:v>
      </x:c>
      <x:c r="B674" s="7" t="n">
        <x:f>IF('요약'!$B$4=4,IF(ISNUMBER('input'!A674),'input'!A674,""),IF(673&lt;=1000,CHOOSE('요약'!$B$4,'input'!B674,'input'!C674,'input'!D674),""))</x:f>
        <x:v>-0.0007719231099002098</x:v>
      </x:c>
      <x:c r="C674" s="7" t="n">
        <x:f>IF(AND(ISNUMBER(B674),'요약'!$B$19),B674-'요약'!$B$7,"")</x:f>
        <x:v>-0.0007236837828507084</x:v>
      </x:c>
      <x:c r="D674" s="7" t="n">
        <x:f>IF(ISNUMBER(C674),C674^2,"")</x:f>
        <x:v>5.237182175611113e-7</x:v>
      </x:c>
      <x:c r="E674" s="15" t="n">
        <x:f>IF(ISNUMBER(C674),C674^3,"")</x:f>
        <x:v>-3.7900638083245536e-10</x:v>
      </x:c>
      <x:c r="F674" s="15" t="n">
        <x:f>IF(ISNUMBER(C674),C674^4,"")</x:f>
        <x:v>2.7428077140538755e-13</x:v>
      </x:c>
      <x:c r="G674" s="7" t="n">
        <x:f>IF(ISNUMBER(B674),ABS(B674),"")</x:f>
        <x:v>0.0007719231099002098</x:v>
      </x:c>
      <x:c r="H674" s="7" t="n">
        <x:f>IF(ISNUMBER(B674),B674^2,"")</x:f>
        <x:v>5.958652875980114e-7</x:v>
      </x:c>
      <x:c r="I674" s="7" t="n">
        <x:f>IF(AND(ISNUMBER(G674),'요약'!$B$19),G674-'요약'!$B$14,"")</x:f>
        <x:v>-0.007241593517502646</x:v>
      </x:c>
      <x:c r="J674" s="7" t="n">
        <x:f>IF(AND(ISNUMBER(H674),'요약'!$B$19),H674-'요약'!$B$15,"")</x:f>
        <x:v>-0.0001016138338984941</x:v>
      </x:c>
      <x:c r="K674" t="n">
        <x:f>IF(ISNUMBER(B674),IF('Hill'!$B$4=1,IF(B674&lt;0,-B674,""),IF('Hill'!$B$4=2,IF(B674&gt;0,B674,""),IF('Hill'!$B$4=3,IF(B674&lt;&gt;0,ABS(B674),""),""))),"")</x:f>
        <x:v>0.0007719231099002098</x:v>
      </x:c>
    </x:row>
    <x:row r="675">
      <x:c r="A675" t="n">
        <x:f>674</x:f>
        <x:v>674</x:v>
      </x:c>
      <x:c r="B675" s="7" t="n">
        <x:f>IF('요약'!$B$4=4,IF(ISNUMBER('input'!A675),'input'!A675,""),IF(674&lt;=1000,CHOOSE('요약'!$B$4,'input'!B675,'input'!C675,'input'!D675),""))</x:f>
        <x:v>-0.010035721851599544</x:v>
      </x:c>
      <x:c r="C675" s="7" t="n">
        <x:f>IF(AND(ISNUMBER(B675),'요약'!$B$19),B675-'요약'!$B$7,"")</x:f>
        <x:v>-0.009987482524550043</x:v>
      </x:c>
      <x:c r="D675" s="7" t="n">
        <x:f>IF(ISNUMBER(C675),C675^2,"")</x:f>
        <x:v>0.0000997498071781925</x:v>
      </x:c>
      <x:c r="E675" s="15" t="n">
        <x:f>IF(ISNUMBER(C675),C675^3,"")</x:f>
        <x:v>-9.96249456019434e-7</x:v>
      </x:c>
      <x:c r="F675" s="15" t="n">
        <x:f>IF(ISNUMBER(C675),C675^4,"")</x:f>
        <x:v>9.950024032086583e-9</x:v>
      </x:c>
      <x:c r="G675" s="7" t="n">
        <x:f>IF(ISNUMBER(B675),ABS(B675),"")</x:f>
        <x:v>0.010035721851599544</x:v>
      </x:c>
      <x:c r="H675" s="7" t="n">
        <x:f>IF(ISNUMBER(B675),B675^2,"")</x:f>
        <x:v>0.00010071571308267257</x:v>
      </x:c>
      <x:c r="I675" s="7" t="n">
        <x:f>IF(AND(ISNUMBER(G675),'요약'!$B$19),G675-'요약'!$B$14,"")</x:f>
        <x:v>0.002022205224196688</x:v>
      </x:c>
      <x:c r="J675" s="7" t="n">
        <x:f>IF(AND(ISNUMBER(H675),'요약'!$B$19),H675-'요약'!$B$15,"")</x:f>
        <x:v>-0.000001493986103419536</x:v>
      </x:c>
      <x:c r="K675" t="n">
        <x:f>IF(ISNUMBER(B675),IF('Hill'!$B$4=1,IF(B675&lt;0,-B675,""),IF('Hill'!$B$4=2,IF(B675&gt;0,B675,""),IF('Hill'!$B$4=3,IF(B675&lt;&gt;0,ABS(B675),""),""))),"")</x:f>
        <x:v>0.010035721851599544</x:v>
      </x:c>
    </x:row>
    <x:row r="676">
      <x:c r="A676" t="n">
        <x:f>675</x:f>
        <x:v>675</x:v>
      </x:c>
      <x:c r="B676" s="7" t="n">
        <x:f>IF('요약'!$B$4=4,IF(ISNUMBER('input'!A676),'input'!A676,""),IF(675&lt;=1000,CHOOSE('요약'!$B$4,'input'!B676,'input'!C676,'input'!D676),""))</x:f>
        <x:v>0.004630005696511368</x:v>
      </x:c>
      <x:c r="C676" s="7" t="n">
        <x:f>IF(AND(ISNUMBER(B676),'요약'!$B$19),B676-'요약'!$B$7,"")</x:f>
        <x:v>0.0046782450235608695</x:v>
      </x:c>
      <x:c r="D676" s="7" t="n">
        <x:f>IF(ISNUMBER(C676),C676^2,"")</x:f>
        <x:v>0.00002188597650047204</x:v>
      </x:c>
      <x:c r="E676" s="15" t="n">
        <x:f>IF(ISNUMBER(C676),C676^3,"")</x:f>
        <x:v>1.0238796064910345e-7</x:v>
      </x:c>
      <x:c r="F676" s="15" t="n">
        <x:f>IF(ISNUMBER(C676),C676^4,"")</x:f>
        <x:v>4.789959673792144e-10</x:v>
      </x:c>
      <x:c r="G676" s="7" t="n">
        <x:f>IF(ISNUMBER(B676),ABS(B676),"")</x:f>
        <x:v>0.004630005696511368</x:v>
      </x:c>
      <x:c r="H676" s="7" t="n">
        <x:f>IF(ISNUMBER(B676),B676^2,"")</x:f>
        <x:v>0.00002143695274972772</x:v>
      </x:c>
      <x:c r="I676" s="7" t="n">
        <x:f>IF(AND(ISNUMBER(G676),'요약'!$B$19),G676-'요약'!$B$14,"")</x:f>
        <x:v>-0.0033835109308914873</x:v>
      </x:c>
      <x:c r="J676" s="7" t="n">
        <x:f>IF(AND(ISNUMBER(H676),'요약'!$B$19),H676-'요약'!$B$15,"")</x:f>
        <x:v>-0.00008077274643636438</x:v>
      </x:c>
      <x:c r="K676" t="str">
        <x:f>IF(ISNUMBER(B676),IF('Hill'!$B$4=1,IF(B676&lt;0,-B676,""),IF('Hill'!$B$4=2,IF(B676&gt;0,B676,""),IF('Hill'!$B$4=3,IF(B676&lt;&gt;0,ABS(B676),""),""))),"")</x:f>
      </x:c>
    </x:row>
    <x:row r="677">
      <x:c r="A677" t="n">
        <x:f>676</x:f>
        <x:v>676</x:v>
      </x:c>
      <x:c r="B677" s="7" t="n">
        <x:f>IF('요약'!$B$4=4,IF(ISNUMBER('input'!A677),'input'!A677,""),IF(676&lt;=1000,CHOOSE('요약'!$B$4,'input'!B677,'input'!C677,'input'!D677),""))</x:f>
        <x:v>0.017465706924999942</x:v>
      </x:c>
      <x:c r="C677" s="7" t="n">
        <x:f>IF(AND(ISNUMBER(B677),'요약'!$B$19),B677-'요약'!$B$7,"")</x:f>
        <x:v>0.017513946252049443</x:v>
      </x:c>
      <x:c r="D677" s="7" t="n">
        <x:f>IF(ISNUMBER(C677),C677^2,"")</x:f>
        <x:v>0.0003067383133196767</x:v>
      </x:c>
      <x:c r="E677" s="15" t="n">
        <x:f>IF(ISNUMBER(C677),C677^3,"")</x:f>
        <x:v>0.0000053721983329251195</x:v>
      </x:c>
      <x:c r="F677" s="15" t="n">
        <x:f>IF(ISNUMBER(C677),C677^4,"")</x:f>
        <x:v>9.408839285820017e-8</x:v>
      </x:c>
      <x:c r="G677" s="7" t="n">
        <x:f>IF(ISNUMBER(B677),ABS(B677),"")</x:f>
        <x:v>0.017465706924999942</x:v>
      </x:c>
      <x:c r="H677" s="7" t="n">
        <x:f>IF(ISNUMBER(B677),B677^2,"")</x:f>
        <x:v>0.0003050509183899909</x:v>
      </x:c>
      <x:c r="I677" s="7" t="n">
        <x:f>IF(AND(ISNUMBER(G677),'요약'!$B$19),G677-'요약'!$B$14,"")</x:f>
        <x:v>0.009452190297597087</x:v>
      </x:c>
      <x:c r="J677" s="7" t="n">
        <x:f>IF(AND(ISNUMBER(H677),'요약'!$B$19),H677-'요약'!$B$15,"")</x:f>
        <x:v>0.0002028412192038988</x:v>
      </x:c>
      <x:c r="K677" t="str">
        <x:f>IF(ISNUMBER(B677),IF('Hill'!$B$4=1,IF(B677&lt;0,-B677,""),IF('Hill'!$B$4=2,IF(B677&gt;0,B677,""),IF('Hill'!$B$4=3,IF(B677&lt;&gt;0,ABS(B677),""),""))),"")</x:f>
      </x:c>
    </x:row>
    <x:row r="678">
      <x:c r="A678" t="n">
        <x:f>677</x:f>
        <x:v>677</x:v>
      </x:c>
      <x:c r="B678" s="7" t="n">
        <x:f>IF('요약'!$B$4=4,IF(ISNUMBER('input'!A678),'input'!A678,""),IF(677&lt;=1000,CHOOSE('요약'!$B$4,'input'!B678,'input'!C678,'input'!D678),""))</x:f>
        <x:v>0.007550959732334497</x:v>
      </x:c>
      <x:c r="C678" s="7" t="n">
        <x:f>IF(AND(ISNUMBER(B678),'요약'!$B$19),B678-'요약'!$B$7,"")</x:f>
        <x:v>0.007599199059383999</x:v>
      </x:c>
      <x:c r="D678" s="7" t="n">
        <x:f>IF(ISNUMBER(C678),C678^2,"")</x:f>
        <x:v>0.00005774782634414265</x:v>
      </x:c>
      <x:c r="E678" s="15" t="n">
        <x:f>IF(ISNUMBER(C678),C678^3,"")</x:f>
        <x:v>4.388372276358793e-7</x:v>
      </x:c>
      <x:c r="F678" s="15" t="n">
        <x:f>IF(ISNUMBER(C678),C678^4,"")</x:f>
        <x:v>3.3348114474732557e-9</x:v>
      </x:c>
      <x:c r="G678" s="7" t="n">
        <x:f>IF(ISNUMBER(B678),ABS(B678),"")</x:f>
        <x:v>0.007550959732334497</x:v>
      </x:c>
      <x:c r="H678" s="7" t="n">
        <x:f>IF(ISNUMBER(B678),B678^2,"")</x:f>
        <x:v>0.00005701699287933706</x:v>
      </x:c>
      <x:c r="I678" s="7" t="n">
        <x:f>IF(AND(ISNUMBER(G678),'요약'!$B$19),G678-'요약'!$B$14,"")</x:f>
        <x:v>-0.0004625568950683582</x:v>
      </x:c>
      <x:c r="J678" s="7" t="n">
        <x:f>IF(AND(ISNUMBER(H678),'요약'!$B$19),H678-'요약'!$B$15,"")</x:f>
        <x:v>-0.000045192706306755043</x:v>
      </x:c>
      <x:c r="K678" t="str">
        <x:f>IF(ISNUMBER(B678),IF('Hill'!$B$4=1,IF(B678&lt;0,-B678,""),IF('Hill'!$B$4=2,IF(B678&gt;0,B678,""),IF('Hill'!$B$4=3,IF(B678&lt;&gt;0,ABS(B678),""),""))),"")</x:f>
      </x:c>
    </x:row>
    <x:row r="679">
      <x:c r="A679" t="n">
        <x:f>678</x:f>
        <x:v>678</x:v>
      </x:c>
      <x:c r="B679" s="7" t="n">
        <x:f>IF('요약'!$B$4=4,IF(ISNUMBER('input'!A679),'input'!A679,""),IF(678&lt;=1000,CHOOSE('요약'!$B$4,'input'!B679,'input'!C679,'input'!D679),""))</x:f>
        <x:v>-0.0022601221219255914</x:v>
      </x:c>
      <x:c r="C679" s="7" t="n">
        <x:f>IF(AND(ISNUMBER(B679),'요약'!$B$19),B679-'요약'!$B$7,"")</x:f>
        <x:v>-0.00221188279487609</x:v>
      </x:c>
      <x:c r="D679" s="7" t="n">
        <x:f>IF(ISNUMBER(C679),C679^2,"")</x:f>
        <x:v>0.000004892425498268863</x:v>
      </x:c>
      <x:c r="E679" s="15" t="n">
        <x:f>IF(ISNUMBER(C679),C679^3,"")</x:f>
        <x:v>-1.0821471784833979e-8</x:v>
      </x:c>
      <x:c r="F679" s="15" t="n">
        <x:f>IF(ISNUMBER(C679),C679^4,"")</x:f>
        <x:v>2.3935827256111333e-11</x:v>
      </x:c>
      <x:c r="G679" s="7" t="n">
        <x:f>IF(ISNUMBER(B679),ABS(B679),"")</x:f>
        <x:v>0.0022601221219255914</x:v>
      </x:c>
      <x:c r="H679" s="7" t="n">
        <x:f>IF(ISNUMBER(B679),B679^2,"")</x:f>
        <x:v>0.000005108152006017438</x:v>
      </x:c>
      <x:c r="I679" s="7" t="n">
        <x:f>IF(AND(ISNUMBER(G679),'요약'!$B$19),G679-'요약'!$B$14,"")</x:f>
        <x:v>-0.005753394505477264</x:v>
      </x:c>
      <x:c r="J679" s="7" t="n">
        <x:f>IF(AND(ISNUMBER(H679),'요약'!$B$19),H679-'요약'!$B$15,"")</x:f>
        <x:v>-0.00009710154718007466</x:v>
      </x:c>
      <x:c r="K679" t="n">
        <x:f>IF(ISNUMBER(B679),IF('Hill'!$B$4=1,IF(B679&lt;0,-B679,""),IF('Hill'!$B$4=2,IF(B679&gt;0,B679,""),IF('Hill'!$B$4=3,IF(B679&lt;&gt;0,ABS(B679),""),""))),"")</x:f>
        <x:v>0.0022601221219255914</x:v>
      </x:c>
    </x:row>
    <x:row r="680">
      <x:c r="A680" t="n">
        <x:f>679</x:f>
        <x:v>679</x:v>
      </x:c>
      <x:c r="B680" s="7" t="n">
        <x:f>IF('요약'!$B$4=4,IF(ISNUMBER('input'!A680),'input'!A680,""),IF(679&lt;=1000,CHOOSE('요약'!$B$4,'input'!B680,'input'!C680,'input'!D680),""))</x:f>
        <x:v>0.007948611589642968</x:v>
      </x:c>
      <x:c r="C680" s="7" t="n">
        <x:f>IF(AND(ISNUMBER(B680),'요약'!$B$19),B680-'요약'!$B$7,"")</x:f>
        <x:v>0.007996850916692468</x:v>
      </x:c>
      <x:c r="D680" s="7" t="n">
        <x:f>IF(ISNUMBER(C680),C680^2,"")</x:f>
        <x:v>0.00006394962458380517</x:v>
      </x:c>
      <x:c r="E680" s="15" t="n">
        <x:f>IF(ISNUMBER(C680),C680^3,"")</x:f>
        <x:v>5.113956139751416e-7</x:v>
      </x:c>
      <x:c r="F680" s="15" t="n">
        <x:f>IF(ISNUMBER(C680),C680^4,"")</x:f>
        <x:v>4.089554484409618e-9</x:v>
      </x:c>
      <x:c r="G680" s="7" t="n">
        <x:f>IF(ISNUMBER(B680),ABS(B680),"")</x:f>
        <x:v>0.007948611589642968</x:v>
      </x:c>
      <x:c r="H680" s="7" t="n">
        <x:f>IF(ISNUMBER(B680),B680^2,"")</x:f>
        <x:v>0.00006318042620300651</x:v>
      </x:c>
      <x:c r="I680" s="7" t="n">
        <x:f>IF(AND(ISNUMBER(G680),'요약'!$B$19),G680-'요약'!$B$14,"")</x:f>
        <x:v>-0.00006490503775988775</x:v>
      </x:c>
      <x:c r="J680" s="7" t="n">
        <x:f>IF(AND(ISNUMBER(H680),'요약'!$B$19),H680-'요약'!$B$15,"")</x:f>
        <x:v>-0.000039029272983085594</x:v>
      </x:c>
      <x:c r="K680" t="str">
        <x:f>IF(ISNUMBER(B680),IF('Hill'!$B$4=1,IF(B680&lt;0,-B680,""),IF('Hill'!$B$4=2,IF(B680&gt;0,B680,""),IF('Hill'!$B$4=3,IF(B680&lt;&gt;0,ABS(B680),""),""))),"")</x:f>
      </x:c>
    </x:row>
    <x:row r="681">
      <x:c r="A681" t="n">
        <x:f>680</x:f>
        <x:v>680</x:v>
      </x:c>
      <x:c r="B681" s="7" t="n">
        <x:f>IF('요약'!$B$4=4,IF(ISNUMBER('input'!A681),'input'!A681,""),IF(680&lt;=1000,CHOOSE('요약'!$B$4,'input'!B681,'input'!C681,'input'!D681),""))</x:f>
        <x:v>-0.011058522815023246</x:v>
      </x:c>
      <x:c r="C681" s="7" t="n">
        <x:f>IF(AND(ISNUMBER(B681),'요약'!$B$19),B681-'요약'!$B$7,"")</x:f>
        <x:v>-0.011010283487973746</x:v>
      </x:c>
      <x:c r="D681" s="7" t="n">
        <x:f>IF(ISNUMBER(C681),C681^2,"")</x:f>
        <x:v>0.00012122634248554731</x:v>
      </x:c>
      <x:c r="E681" s="15" t="n">
        <x:f>IF(ISNUMBER(C681),C681^3,"")</x:f>
        <x:v>-0.0000013347363969760716</x:v>
      </x:c>
      <x:c r="F681" s="15" t="n">
        <x:f>IF(ISNUMBER(C681),C681^4,"")</x:f>
        <x:v>1.4695826112423213e-8</x:v>
      </x:c>
      <x:c r="G681" s="7" t="n">
        <x:f>IF(ISNUMBER(B681),ABS(B681),"")</x:f>
        <x:v>0.011058522815023246</x:v>
      </x:c>
      <x:c r="H681" s="7" t="n">
        <x:f>IF(ISNUMBER(B681),B681^2,"")</x:f>
        <x:v>0.00012229092685038967</x:v>
      </x:c>
      <x:c r="I681" s="7" t="n">
        <x:f>IF(AND(ISNUMBER(G681),'요약'!$B$19),G681-'요약'!$B$14,"")</x:f>
        <x:v>0.003045006187620391</x:v>
      </x:c>
      <x:c r="J681" s="7" t="n">
        <x:f>IF(AND(ISNUMBER(H681),'요약'!$B$19),H681-'요약'!$B$15,"")</x:f>
        <x:v>0.00002008122766429757</x:v>
      </x:c>
      <x:c r="K681" t="n">
        <x:f>IF(ISNUMBER(B681),IF('Hill'!$B$4=1,IF(B681&lt;0,-B681,""),IF('Hill'!$B$4=2,IF(B681&gt;0,B681,""),IF('Hill'!$B$4=3,IF(B681&lt;&gt;0,ABS(B681),""),""))),"")</x:f>
        <x:v>0.011058522815023246</x:v>
      </x:c>
    </x:row>
    <x:row r="682">
      <x:c r="A682" t="n">
        <x:f>681</x:f>
        <x:v>681</x:v>
      </x:c>
      <x:c r="B682" s="7" t="n">
        <x:f>IF('요약'!$B$4=4,IF(ISNUMBER('input'!A682),'input'!A682,""),IF(681&lt;=1000,CHOOSE('요약'!$B$4,'input'!B682,'input'!C682,'input'!D682),""))</x:f>
        <x:v>0.01825576969398619</x:v>
      </x:c>
      <x:c r="C682" s="7" t="n">
        <x:f>IF(AND(ISNUMBER(B682),'요약'!$B$19),B682-'요약'!$B$7,"")</x:f>
        <x:v>0.01830400902103569</x:v>
      </x:c>
      <x:c r="D682" s="7" t="n">
        <x:f>IF(ISNUMBER(C682),C682^2,"")</x:f>
        <x:v>0.00033503674624215594</x:v>
      </x:c>
      <x:c r="E682" s="15" t="n">
        <x:f>IF(ISNUMBER(C682),C682^3,"")</x:f>
        <x:v>0.000006132515625594867</x:v>
      </x:c>
      <x:c r="F682" s="15" t="n">
        <x:f>IF(ISNUMBER(C682),C682^4,"")</x:f>
        <x:v>1.1224962133253078e-7</x:v>
      </x:c>
      <x:c r="G682" s="7" t="n">
        <x:f>IF(ISNUMBER(B682),ABS(B682),"")</x:f>
        <x:v>0.01825576969398619</x:v>
      </x:c>
      <x:c r="H682" s="7" t="n">
        <x:f>IF(ISNUMBER(B682),B682^2,"")</x:f>
        <x:v>0.00033327312711986463</x:v>
      </x:c>
      <x:c r="I682" s="7" t="n">
        <x:f>IF(AND(ISNUMBER(G682),'요약'!$B$19),G682-'요약'!$B$14,"")</x:f>
        <x:v>0.010242253066583334</x:v>
      </x:c>
      <x:c r="J682" s="7" t="n">
        <x:f>IF(AND(ISNUMBER(H682),'요약'!$B$19),H682-'요약'!$B$15,"")</x:f>
        <x:v>0.00023106342793377253</x:v>
      </x:c>
      <x:c r="K682" t="str">
        <x:f>IF(ISNUMBER(B682),IF('Hill'!$B$4=1,IF(B682&lt;0,-B682,""),IF('Hill'!$B$4=2,IF(B682&gt;0,B682,""),IF('Hill'!$B$4=3,IF(B682&lt;&gt;0,ABS(B682),""),""))),"")</x:f>
      </x:c>
    </x:row>
    <x:row r="683">
      <x:c r="A683" t="n">
        <x:f>682</x:f>
        <x:v>682</x:v>
      </x:c>
      <x:c r="B683" s="7" t="n">
        <x:f>IF('요약'!$B$4=4,IF(ISNUMBER('input'!A683),'input'!A683,""),IF(682&lt;=1000,CHOOSE('요약'!$B$4,'input'!B683,'input'!C683,'input'!D683),""))</x:f>
        <x:v>-0.0025183427905784254</x:v>
      </x:c>
      <x:c r="C683" s="7" t="n">
        <x:f>IF(AND(ISNUMBER(B683),'요약'!$B$19),B683-'요약'!$B$7,"")</x:f>
        <x:v>-0.002470103463528924</x:v>
      </x:c>
      <x:c r="D683" s="7" t="n">
        <x:f>IF(ISNUMBER(C683),C683^2,"")</x:f>
        <x:v>0.000006101411120537587</x:v>
      </x:c>
      <x:c r="E683" s="15" t="n">
        <x:f>IF(ISNUMBER(C683),C683^3,"")</x:f>
        <x:v>-1.5071116741253786e-8</x:v>
      </x:c>
      <x:c r="F683" s="15" t="n">
        <x:f>IF(ISNUMBER(C683),C683^4,"")</x:f>
        <x:v>3.7227217661819724e-11</x:v>
      </x:c>
      <x:c r="G683" s="7" t="n">
        <x:f>IF(ISNUMBER(B683),ABS(B683),"")</x:f>
        <x:v>0.0025183427905784254</x:v>
      </x:c>
      <x:c r="H683" s="7" t="n">
        <x:f>IF(ISNUMBER(B683),B683^2,"")</x:f>
        <x:v>0.000006342050410858331</x:v>
      </x:c>
      <x:c r="I683" s="7" t="n">
        <x:f>IF(AND(ISNUMBER(G683),'요약'!$B$19),G683-'요약'!$B$14,"")</x:f>
        <x:v>-0.00549517383682443</x:v>
      </x:c>
      <x:c r="J683" s="7" t="n">
        <x:f>IF(AND(ISNUMBER(H683),'요약'!$B$19),H683-'요약'!$B$15,"")</x:f>
        <x:v>-0.00009586764877523377</x:v>
      </x:c>
      <x:c r="K683" t="n">
        <x:f>IF(ISNUMBER(B683),IF('Hill'!$B$4=1,IF(B683&lt;0,-B683,""),IF('Hill'!$B$4=2,IF(B683&gt;0,B683,""),IF('Hill'!$B$4=3,IF(B683&lt;&gt;0,ABS(B683),""),""))),"")</x:f>
        <x:v>0.0025183427905784254</x:v>
      </x:c>
    </x:row>
    <x:row r="684">
      <x:c r="A684" t="n">
        <x:f>683</x:f>
        <x:v>683</x:v>
      </x:c>
      <x:c r="B684" s="7" t="n">
        <x:f>IF('요약'!$B$4=4,IF(ISNUMBER('input'!A684),'input'!A684,""),IF(683&lt;=1000,CHOOSE('요약'!$B$4,'input'!B684,'input'!C684,'input'!D684),""))</x:f>
        <x:v>-0.016592125068448697</x:v>
      </x:c>
      <x:c r="C684" s="7" t="n">
        <x:f>IF(AND(ISNUMBER(B684),'요약'!$B$19),B684-'요약'!$B$7,"")</x:f>
        <x:v>-0.016543885741399197</x:v>
      </x:c>
      <x:c r="D684" s="7" t="n">
        <x:f>IF(ISNUMBER(C684),C684^2,"")</x:f>
        <x:v>0.00027370015542447167</x:v>
      </x:c>
      <x:c r="E684" s="15" t="n">
        <x:f>IF(ISNUMBER(C684),C684^3,"")</x:f>
        <x:v>-0.000004528064098745661</x:v>
      </x:c>
      <x:c r="F684" s="15" t="n">
        <x:f>IF(ISNUMBER(C684),C684^4,"")</x:f>
        <x:v>7.491177507937994e-8</x:v>
      </x:c>
      <x:c r="G684" s="7" t="n">
        <x:f>IF(ISNUMBER(B684),ABS(B684),"")</x:f>
        <x:v>0.016592125068448697</x:v>
      </x:c>
      <x:c r="H684" s="7" t="n">
        <x:f>IF(ISNUMBER(B684),B684^2,"")</x:f>
        <x:v>0.0002752986142870437</x:v>
      </x:c>
      <x:c r="I684" s="7" t="n">
        <x:f>IF(AND(ISNUMBER(G684),'요약'!$B$19),G684-'요약'!$B$14,"")</x:f>
        <x:v>0.008578608441045842</x:v>
      </x:c>
      <x:c r="J684" s="7" t="n">
        <x:f>IF(AND(ISNUMBER(H684),'요약'!$B$19),H684-'요약'!$B$15,"")</x:f>
        <x:v>0.0001730889151009516</x:v>
      </x:c>
      <x:c r="K684" t="n">
        <x:f>IF(ISNUMBER(B684),IF('Hill'!$B$4=1,IF(B684&lt;0,-B684,""),IF('Hill'!$B$4=2,IF(B684&gt;0,B684,""),IF('Hill'!$B$4=3,IF(B684&lt;&gt;0,ABS(B684),""),""))),"")</x:f>
        <x:v>0.016592125068448697</x:v>
      </x:c>
    </x:row>
    <x:row r="685">
      <x:c r="A685" t="n">
        <x:f>684</x:f>
        <x:v>684</x:v>
      </x:c>
      <x:c r="B685" s="7" t="n">
        <x:f>IF('요약'!$B$4=4,IF(ISNUMBER('input'!A685),'input'!A685,""),IF(684&lt;=1000,CHOOSE('요약'!$B$4,'input'!B685,'input'!C685,'input'!D685),""))</x:f>
        <x:v>-0.0030577245886887544</x:v>
      </x:c>
      <x:c r="C685" s="7" t="n">
        <x:f>IF(AND(ISNUMBER(B685),'요약'!$B$19),B685-'요약'!$B$7,"")</x:f>
        <x:v>-0.003009485261639253</x:v>
      </x:c>
      <x:c r="D685" s="7" t="n">
        <x:f>IF(ISNUMBER(C685),C685^2,"")</x:f>
        <x:v>0.000009057001540023883</x:v>
      </x:c>
      <x:c r="E685" s="15" t="n">
        <x:f>IF(ISNUMBER(C685),C685^3,"")</x:f>
        <x:v>-2.7256912649345892e-8</x:v>
      </x:c>
      <x:c r="F685" s="15" t="n">
        <x:f>IF(ISNUMBER(C685),C685^4,"")</x:f>
        <x:v>8.202927689599498e-11</x:v>
      </x:c>
      <x:c r="G685" s="7" t="n">
        <x:f>IF(ISNUMBER(B685),ABS(B685),"")</x:f>
        <x:v>0.0030577245886887544</x:v>
      </x:c>
      <x:c r="H685" s="7" t="n">
        <x:f>IF(ISNUMBER(B685),B685^2,"")</x:f>
        <x:v>0.000009349679660271812</x:v>
      </x:c>
      <x:c r="I685" s="7" t="n">
        <x:f>IF(AND(ISNUMBER(G685),'요약'!$B$19),G685-'요약'!$B$14,"")</x:f>
        <x:v>-0.004955792038714101</x:v>
      </x:c>
      <x:c r="J685" s="7" t="n">
        <x:f>IF(AND(ISNUMBER(H685),'요약'!$B$19),H685-'요약'!$B$15,"")</x:f>
        <x:v>-0.0000928600195258203</x:v>
      </x:c>
      <x:c r="K685" t="n">
        <x:f>IF(ISNUMBER(B685),IF('Hill'!$B$4=1,IF(B685&lt;0,-B685,""),IF('Hill'!$B$4=2,IF(B685&gt;0,B685,""),IF('Hill'!$B$4=3,IF(B685&lt;&gt;0,ABS(B685),""),""))),"")</x:f>
        <x:v>0.0030577245886887544</x:v>
      </x:c>
    </x:row>
    <x:row r="686">
      <x:c r="A686" t="n">
        <x:f>685</x:f>
        <x:v>685</x:v>
      </x:c>
      <x:c r="B686" s="7" t="n">
        <x:f>IF('요약'!$B$4=4,IF(ISNUMBER('input'!A686),'input'!A686,""),IF(685&lt;=1000,CHOOSE('요약'!$B$4,'input'!B686,'input'!C686,'input'!D686),""))</x:f>
        <x:v>-0.0028831880377310467</x:v>
      </x:c>
      <x:c r="C686" s="7" t="n">
        <x:f>IF(AND(ISNUMBER(B686),'요약'!$B$19),B686-'요약'!$B$7,"")</x:f>
        <x:v>-0.002834948710681545</x:v>
      </x:c>
      <x:c r="D686" s="7" t="n">
        <x:f>IF(ISNUMBER(C686),C686^2,"")</x:f>
        <x:v>0.000008036934192194956</x:v>
      </x:c>
      <x:c r="E686" s="15" t="n">
        <x:f>IF(ISNUMBER(C686),C686^3,"")</x:f>
        <x:v>-2.2784296225995516e-8</x:v>
      </x:c>
      <x:c r="F686" s="15" t="n">
        <x:f>IF(ISNUMBER(C686),C686^4,"")</x:f>
        <x:v>6.459231120967237e-11</x:v>
      </x:c>
      <x:c r="G686" s="7" t="n">
        <x:f>IF(ISNUMBER(B686),ABS(B686),"")</x:f>
        <x:v>0.0028831880377310467</x:v>
      </x:c>
      <x:c r="H686" s="7" t="n">
        <x:f>IF(ISNUMBER(B686),B686^2,"")</x:f>
        <x:v>0.000008312773260915403</x:v>
      </x:c>
      <x:c r="I686" s="7" t="n">
        <x:f>IF(AND(ISNUMBER(G686),'요약'!$B$19),G686-'요약'!$B$14,"")</x:f>
        <x:v>-0.005130328589671809</x:v>
      </x:c>
      <x:c r="J686" s="7" t="n">
        <x:f>IF(AND(ISNUMBER(H686),'요약'!$B$19),H686-'요약'!$B$15,"")</x:f>
        <x:v>-0.0000938969259251767</x:v>
      </x:c>
      <x:c r="K686" t="n">
        <x:f>IF(ISNUMBER(B686),IF('Hill'!$B$4=1,IF(B686&lt;0,-B686,""),IF('Hill'!$B$4=2,IF(B686&gt;0,B686,""),IF('Hill'!$B$4=3,IF(B686&lt;&gt;0,ABS(B686),""),""))),"")</x:f>
        <x:v>0.0028831880377310467</x:v>
      </x:c>
    </x:row>
    <x:row r="687">
      <x:c r="A687" t="n">
        <x:f>686</x:f>
        <x:v>686</x:v>
      </x:c>
      <x:c r="B687" s="7" t="n">
        <x:f>IF('요약'!$B$4=4,IF(ISNUMBER('input'!A687),'input'!A687,""),IF(686&lt;=1000,CHOOSE('요약'!$B$4,'input'!B687,'input'!C687,'input'!D687),""))</x:f>
        <x:v>0.006306224233978328</x:v>
      </x:c>
      <x:c r="C687" s="7" t="n">
        <x:f>IF(AND(ISNUMBER(B687),'요약'!$B$19),B687-'요약'!$B$7,"")</x:f>
        <x:v>0.0063544635610278295</x:v>
      </x:c>
      <x:c r="D687" s="7" t="n">
        <x:f>IF(ISNUMBER(C687),C687^2,"")</x:f>
        <x:v>0.00004037920714843048</x:v>
      </x:c>
      <x:c r="E687" s="15" t="n">
        <x:f>IF(ISNUMBER(C687),C687^3,"")</x:f>
        <x:v>2.5658820044789597e-7</x:v>
      </x:c>
      <x:c r="F687" s="15" t="n">
        <x:f>IF(ISNUMBER(C687),C687^4,"")</x:f>
        <x:v>1.6304803699358595e-9</x:v>
      </x:c>
      <x:c r="G687" s="7" t="n">
        <x:f>IF(ISNUMBER(B687),ABS(B687),"")</x:f>
        <x:v>0.006306224233978328</x:v>
      </x:c>
      <x:c r="H687" s="7" t="n">
        <x:f>IF(ISNUMBER(B687),B687^2,"")</x:f>
        <x:v>0.00003976846408921555</x:v>
      </x:c>
      <x:c r="I687" s="7" t="n">
        <x:f>IF(AND(ISNUMBER(G687),'요약'!$B$19),G687-'요약'!$B$14,"")</x:f>
        <x:v>-0.0017072923934245273</x:v>
      </x:c>
      <x:c r="J687" s="7" t="n">
        <x:f>IF(AND(ISNUMBER(H687),'요약'!$B$19),H687-'요약'!$B$15,"")</x:f>
        <x:v>-0.00006244123509687656</x:v>
      </x:c>
      <x:c r="K687" t="str">
        <x:f>IF(ISNUMBER(B687),IF('Hill'!$B$4=1,IF(B687&lt;0,-B687,""),IF('Hill'!$B$4=2,IF(B687&gt;0,B687,""),IF('Hill'!$B$4=3,IF(B687&lt;&gt;0,ABS(B687),""),""))),"")</x:f>
      </x:c>
    </x:row>
    <x:row r="688">
      <x:c r="A688" t="n">
        <x:f>687</x:f>
        <x:v>687</x:v>
      </x:c>
      <x:c r="B688" s="7" t="n">
        <x:f>IF('요약'!$B$4=4,IF(ISNUMBER('input'!A688),'input'!A688,""),IF(687&lt;=1000,CHOOSE('요약'!$B$4,'input'!B688,'input'!C688,'input'!D688),""))</x:f>
        <x:v>0.009574553891525391</x:v>
      </x:c>
      <x:c r="C688" s="7" t="n">
        <x:f>IF(AND(ISNUMBER(B688),'요약'!$B$19),B688-'요약'!$B$7,"")</x:f>
        <x:v>0.009622793218574892</x:v>
      </x:c>
      <x:c r="D688" s="7" t="n">
        <x:f>IF(ISNUMBER(C688),C688^2,"")</x:f>
        <x:v>0.00009259814932745093</x:v>
      </x:c>
      <x:c r="E688" s="15" t="n">
        <x:f>IF(ISNUMBER(C688),C688^3,"")</x:f>
        <x:v>8.9105284340078e-7</x:v>
      </x:c>
      <x:c r="F688" s="15" t="n">
        <x:f>IF(ISNUMBER(C688),C688^4,"")</x:f>
        <x:v>8.574417258868901e-9</x:v>
      </x:c>
      <x:c r="G688" s="7" t="n">
        <x:f>IF(ISNUMBER(B688),ABS(B688),"")</x:f>
        <x:v>0.009574553891525391</x:v>
      </x:c>
      <x:c r="H688" s="7" t="n">
        <x:f>IF(ISNUMBER(B688),B688^2,"")</x:f>
        <x:v>0.00009167208222172402</x:v>
      </x:c>
      <x:c r="I688" s="7" t="n">
        <x:f>IF(AND(ISNUMBER(G688),'요약'!$B$19),G688-'요약'!$B$14,"")</x:f>
        <x:v>0.0015610372641225358</x:v>
      </x:c>
      <x:c r="J688" s="7" t="n">
        <x:f>IF(AND(ISNUMBER(H688),'요약'!$B$19),H688-'요약'!$B$15,"")</x:f>
        <x:v>-0.000010537616964368087</x:v>
      </x:c>
      <x:c r="K688" t="str">
        <x:f>IF(ISNUMBER(B688),IF('Hill'!$B$4=1,IF(B688&lt;0,-B688,""),IF('Hill'!$B$4=2,IF(B688&gt;0,B688,""),IF('Hill'!$B$4=3,IF(B688&lt;&gt;0,ABS(B688),""),""))),"")</x:f>
      </x:c>
    </x:row>
    <x:row r="689">
      <x:c r="A689" t="n">
        <x:f>688</x:f>
        <x:v>688</x:v>
      </x:c>
      <x:c r="B689" s="7" t="n">
        <x:f>IF('요약'!$B$4=4,IF(ISNUMBER('input'!A689),'input'!A689,""),IF(688&lt;=1000,CHOOSE('요약'!$B$4,'input'!B689,'input'!C689,'input'!D689),""))</x:f>
        <x:v>-0.010808632615040524</x:v>
      </x:c>
      <x:c r="C689" s="7" t="n">
        <x:f>IF(AND(ISNUMBER(B689),'요약'!$B$19),B689-'요약'!$B$7,"")</x:f>
        <x:v>-0.010760393287991023</x:v>
      </x:c>
      <x:c r="D689" s="7" t="n">
        <x:f>IF(ISNUMBER(C689),C689^2,"")</x:f>
        <x:v>0.00011578606371224227</x:v>
      </x:c>
      <x:c r="E689" s="15" t="n">
        <x:f>IF(ISNUMBER(C689),C689^3,"")</x:f>
        <x:v>-0.0000012459035828121126</x:v>
      </x:c>
      <x:c r="F689" s="15" t="n">
        <x:f>IF(ISNUMBER(C689),C689^4,"")</x:f>
        <x:v>1.3406412549975426e-8</x:v>
      </x:c>
      <x:c r="G689" s="7" t="n">
        <x:f>IF(ISNUMBER(B689),ABS(B689),"")</x:f>
        <x:v>0.010808632615040524</x:v>
      </x:c>
      <x:c r="H689" s="7" t="n">
        <x:f>IF(ISNUMBER(B689),B689^2,"")</x:f>
        <x:v>0.00011682653900691776</x:v>
      </x:c>
      <x:c r="I689" s="7" t="n">
        <x:f>IF(AND(ISNUMBER(G689),'요약'!$B$19),G689-'요약'!$B$14,"")</x:f>
        <x:v>0.0027951159876376686</x:v>
      </x:c>
      <x:c r="J689" s="7" t="n">
        <x:f>IF(AND(ISNUMBER(H689),'요약'!$B$19),H689-'요약'!$B$15,"")</x:f>
        <x:v>0.000014616839820825658</x:v>
      </x:c>
      <x:c r="K689" t="n">
        <x:f>IF(ISNUMBER(B689),IF('Hill'!$B$4=1,IF(B689&lt;0,-B689,""),IF('Hill'!$B$4=2,IF(B689&gt;0,B689,""),IF('Hill'!$B$4=3,IF(B689&lt;&gt;0,ABS(B689),""),""))),"")</x:f>
        <x:v>0.010808632615040524</x:v>
      </x:c>
    </x:row>
    <x:row r="690">
      <x:c r="A690" t="n">
        <x:f>689</x:f>
        <x:v>689</x:v>
      </x:c>
      <x:c r="B690" s="7" t="n">
        <x:f>IF('요약'!$B$4=4,IF(ISNUMBER('input'!A690),'input'!A690,""),IF(689&lt;=1000,CHOOSE('요약'!$B$4,'input'!B690,'input'!C690,'input'!D690),""))</x:f>
        <x:v>-0.0003834916255107708</x:v>
      </x:c>
      <x:c r="C690" s="7" t="n">
        <x:f>IF(AND(ISNUMBER(B690),'요약'!$B$19),B690-'요약'!$B$7,"")</x:f>
        <x:v>-0.00033525229846126945</x:v>
      </x:c>
      <x:c r="D690" s="7" t="n">
        <x:f>IF(ISNUMBER(C690),C690^2,"")</x:f>
        <x:v>1.1239410362356409e-7</x:v>
      </x:c>
      <x:c r="E690" s="15" t="n">
        <x:f>IF(ISNUMBER(C690),C690^3,"")</x:f>
        <x:v>-3.768038157329395e-11</x:v>
      </x:c>
      <x:c r="F690" s="15" t="n">
        <x:f>IF(ISNUMBER(C690),C690^4,"")</x:f>
        <x:v>1.2632434529344462e-14</x:v>
      </x:c>
      <x:c r="G690" s="7" t="n">
        <x:f>IF(ISNUMBER(B690),ABS(B690),"")</x:f>
        <x:v>0.0003834916255107708</x:v>
      </x:c>
      <x:c r="H690" s="7" t="n">
        <x:f>IF(ISNUMBER(B690),B690^2,"")</x:f>
        <x:v>1.4706582683689328e-7</x:v>
      </x:c>
      <x:c r="I690" s="7" t="n">
        <x:f>IF(AND(ISNUMBER(G690),'요약'!$B$19),G690-'요약'!$B$14,"")</x:f>
        <x:v>-0.007630025001892085</x:v>
      </x:c>
      <x:c r="J690" s="7" t="n">
        <x:f>IF(AND(ISNUMBER(H690),'요약'!$B$19),H690-'요약'!$B$15,"")</x:f>
        <x:v>-0.0001020626333592552</x:v>
      </x:c>
      <x:c r="K690" t="n">
        <x:f>IF(ISNUMBER(B690),IF('Hill'!$B$4=1,IF(B690&lt;0,-B690,""),IF('Hill'!$B$4=2,IF(B690&gt;0,B690,""),IF('Hill'!$B$4=3,IF(B690&lt;&gt;0,ABS(B690),""),""))),"")</x:f>
        <x:v>0.0003834916255107708</x:v>
      </x:c>
    </x:row>
    <x:row r="691">
      <x:c r="A691" t="n">
        <x:f>690</x:f>
        <x:v>690</x:v>
      </x:c>
      <x:c r="B691" s="7" t="n">
        <x:f>IF('요약'!$B$4=4,IF(ISNUMBER('input'!A691),'input'!A691,""),IF(690&lt;=1000,CHOOSE('요약'!$B$4,'input'!B691,'input'!C691,'input'!D691),""))</x:f>
        <x:v>-0.005082566848025149</x:v>
      </x:c>
      <x:c r="C691" s="7" t="n">
        <x:f>IF(AND(ISNUMBER(B691),'요약'!$B$19),B691-'요약'!$B$7,"")</x:f>
        <x:v>-0.005034327520975648</x:v>
      </x:c>
      <x:c r="D691" s="7" t="n">
        <x:f>IF(ISNUMBER(C691),C691^2,"")</x:f>
        <x:v>0.000025344453588452812</x:v>
      </x:c>
      <x:c r="E691" s="15" t="n">
        <x:f>IF(ISNUMBER(C691),C691^3,"")</x:f>
        <x:v>-1.2759228020443802e-7</x:v>
      </x:c>
      <x:c r="F691" s="15" t="n">
        <x:f>IF(ISNUMBER(C691),C691^4,"")</x:f>
        <x:v>6.423413276972387e-10</x:v>
      </x:c>
      <x:c r="G691" s="7" t="n">
        <x:f>IF(ISNUMBER(B691),ABS(B691),"")</x:f>
        <x:v>0.005082566848025149</x:v>
      </x:c>
      <x:c r="H691" s="7" t="n">
        <x:f>IF(ISNUMBER(B691),B691^2,"")</x:f>
        <x:v>0.0000258324857646443</x:v>
      </x:c>
      <x:c r="I691" s="7" t="n">
        <x:f>IF(AND(ISNUMBER(G691),'요약'!$B$19),G691-'요약'!$B$14,"")</x:f>
        <x:v>-0.002930949779377706</x:v>
      </x:c>
      <x:c r="J691" s="7" t="n">
        <x:f>IF(AND(ISNUMBER(H691),'요약'!$B$19),H691-'요약'!$B$15,"")</x:f>
        <x:v>-0.00007637721342144781</x:v>
      </x:c>
      <x:c r="K691" t="n">
        <x:f>IF(ISNUMBER(B691),IF('Hill'!$B$4=1,IF(B691&lt;0,-B691,""),IF('Hill'!$B$4=2,IF(B691&gt;0,B691,""),IF('Hill'!$B$4=3,IF(B691&lt;&gt;0,ABS(B691),""),""))),"")</x:f>
        <x:v>0.005082566848025149</x:v>
      </x:c>
    </x:row>
    <x:row r="692">
      <x:c r="A692" t="n">
        <x:f>691</x:f>
        <x:v>691</x:v>
      </x:c>
      <x:c r="B692" s="7" t="n">
        <x:f>IF('요약'!$B$4=4,IF(ISNUMBER('input'!A692),'input'!A692,""),IF(691&lt;=1000,CHOOSE('요약'!$B$4,'input'!B692,'input'!C692,'input'!D692),""))</x:f>
        <x:v>0.0012703782663434733</x:v>
      </x:c>
      <x:c r="C692" s="7" t="n">
        <x:f>IF(AND(ISNUMBER(B692),'요약'!$B$19),B692-'요약'!$B$7,"")</x:f>
        <x:v>0.0013186175933929747</x:v>
      </x:c>
      <x:c r="D692" s="7" t="n">
        <x:f>IF(ISNUMBER(C692),C692^2,"")</x:f>
        <x:v>0.0000017387523576054804</x:v>
      </x:c>
      <x:c r="E692" s="15" t="n">
        <x:f>IF(ISNUMBER(C692),C692^3,"")</x:f>
        <x:v>2.2927494492920995e-9</x:v>
      </x:c>
      <x:c r="F692" s="15" t="n">
        <x:f>IF(ISNUMBER(C692),C692^4,"")</x:f>
        <x:v>3.0232597610786166e-12</x:v>
      </x:c>
      <x:c r="G692" s="7" t="n">
        <x:f>IF(ISNUMBER(B692),ABS(B692),"")</x:f>
        <x:v>0.0012703782663434733</x:v>
      </x:c>
      <x:c r="H692" s="7" t="n">
        <x:f>IF(ISNUMBER(B692),B692^2,"")</x:f>
        <x:v>0.0000016138609395978488</x:v>
      </x:c>
      <x:c r="I692" s="7" t="n">
        <x:f>IF(AND(ISNUMBER(G692),'요약'!$B$19),G692-'요약'!$B$14,"")</x:f>
        <x:v>-0.006743138361059382</x:v>
      </x:c>
      <x:c r="J692" s="7" t="n">
        <x:f>IF(AND(ISNUMBER(H692),'요약'!$B$19),H692-'요약'!$B$15,"")</x:f>
        <x:v>-0.00010059583824649425</x:v>
      </x:c>
      <x:c r="K692" t="str">
        <x:f>IF(ISNUMBER(B692),IF('Hill'!$B$4=1,IF(B692&lt;0,-B692,""),IF('Hill'!$B$4=2,IF(B692&gt;0,B692,""),IF('Hill'!$B$4=3,IF(B692&lt;&gt;0,ABS(B692),""),""))),"")</x:f>
      </x:c>
    </x:row>
    <x:row r="693">
      <x:c r="A693" t="n">
        <x:f>692</x:f>
        <x:v>692</x:v>
      </x:c>
      <x:c r="B693" s="7" t="n">
        <x:f>IF('요약'!$B$4=4,IF(ISNUMBER('input'!A693),'input'!A693,""),IF(692&lt;=1000,CHOOSE('요약'!$B$4,'input'!B693,'input'!C693,'input'!D693),""))</x:f>
        <x:v>-0.006886688238085468</x:v>
      </x:c>
      <x:c r="C693" s="7" t="n">
        <x:f>IF(AND(ISNUMBER(B693),'요약'!$B$19),B693-'요약'!$B$7,"")</x:f>
        <x:v>-0.006838448911035967</x:v>
      </x:c>
      <x:c r="D693" s="7" t="n">
        <x:f>IF(ISNUMBER(C693),C693^2,"")</x:f>
        <x:v>0.000046764383508849</x:v>
      </x:c>
      <x:c r="E693" s="15" t="n">
        <x:f>IF(ISNUMBER(C693),C693^3,"")</x:f>
        <x:v>-3.1979584748135677e-7</x:v>
      </x:c>
      <x:c r="F693" s="15" t="n">
        <x:f>IF(ISNUMBER(C693),C693^4,"")</x:f>
        <x:v>2.1869075649627083e-9</x:v>
      </x:c>
      <x:c r="G693" s="7" t="n">
        <x:f>IF(ISNUMBER(B693),ABS(B693),"")</x:f>
        <x:v>0.006886688238085468</x:v>
      </x:c>
      <x:c r="H693" s="7" t="n">
        <x:f>IF(ISNUMBER(B693),B693^2,"")</x:f>
        <x:v>0.00004742647488858473</x:v>
      </x:c>
      <x:c r="I693" s="7" t="n">
        <x:f>IF(AND(ISNUMBER(G693),'요약'!$B$19),G693-'요약'!$B$14,"")</x:f>
        <x:v>-0.0011268283893173872</x:v>
      </x:c>
      <x:c r="J693" s="7" t="n">
        <x:f>IF(AND(ISNUMBER(H693),'요약'!$B$19),H693-'요약'!$B$15,"")</x:f>
        <x:v>-0.00005478322429750737</x:v>
      </x:c>
      <x:c r="K693" t="n">
        <x:f>IF(ISNUMBER(B693),IF('Hill'!$B$4=1,IF(B693&lt;0,-B693,""),IF('Hill'!$B$4=2,IF(B693&gt;0,B693,""),IF('Hill'!$B$4=3,IF(B693&lt;&gt;0,ABS(B693),""),""))),"")</x:f>
        <x:v>0.006886688238085468</x:v>
      </x:c>
    </x:row>
    <x:row r="694">
      <x:c r="A694" t="n">
        <x:f>693</x:f>
        <x:v>693</x:v>
      </x:c>
      <x:c r="B694" s="7" t="n">
        <x:f>IF('요약'!$B$4=4,IF(ISNUMBER('input'!A694),'input'!A694,""),IF(693&lt;=1000,CHOOSE('요약'!$B$4,'input'!B694,'input'!C694,'input'!D694),""))</x:f>
        <x:v>-0.0000863672877536059</x:v>
      </x:c>
      <x:c r="C694" s="7" t="n">
        <x:f>IF(AND(ISNUMBER(B694),'요약'!$B$19),B694-'요약'!$B$7,"")</x:f>
        <x:v>-0.00003812796070410453</x:v>
      </x:c>
      <x:c r="D694" s="7" t="n">
        <x:f>IF(ISNUMBER(C694),C694^2,"")</x:f>
        <x:v>1.4537413874537391e-9</x:v>
      </x:c>
      <x:c r="E694" s="15" t="n">
        <x:f>IF(ISNUMBER(C694),C694^3,"")</x:f>
        <x:v>-5.542819449476656e-14</x:v>
      </x:c>
      <x:c r="F694" s="15" t="n">
        <x:f>IF(ISNUMBER(C694),C694^4,"")</x:f>
        <x:v>2.1133640215959225e-18</x:v>
      </x:c>
      <x:c r="G694" s="7" t="n">
        <x:f>IF(ISNUMBER(B694),ABS(B694),"")</x:f>
        <x:v>0.0000863672877536059</x:v>
      </x:c>
      <x:c r="H694" s="7" t="n">
        <x:f>IF(ISNUMBER(B694),B694^2,"")</x:f>
        <x:v>7.459308393914164e-9</x:v>
      </x:c>
      <x:c r="I694" s="7" t="n">
        <x:f>IF(AND(ISNUMBER(G694),'요약'!$B$19),G694-'요약'!$B$14,"")</x:f>
        <x:v>-0.00792714933964925</x:v>
      </x:c>
      <x:c r="J694" s="7" t="n">
        <x:f>IF(AND(ISNUMBER(H694),'요약'!$B$19),H694-'요약'!$B$15,"")</x:f>
        <x:v>-0.00010220223987769818</x:v>
      </x:c>
      <x:c r="K694" t="n">
        <x:f>IF(ISNUMBER(B694),IF('Hill'!$B$4=1,IF(B694&lt;0,-B694,""),IF('Hill'!$B$4=2,IF(B694&gt;0,B694,""),IF('Hill'!$B$4=3,IF(B694&lt;&gt;0,ABS(B694),""),""))),"")</x:f>
        <x:v>0.0000863672877536059</x:v>
      </x:c>
    </x:row>
    <x:row r="695">
      <x:c r="A695" t="n">
        <x:f>694</x:f>
        <x:v>694</x:v>
      </x:c>
      <x:c r="B695" s="7" t="n">
        <x:f>IF('요약'!$B$4=4,IF(ISNUMBER('input'!A695),'input'!A695,""),IF(694&lt;=1000,CHOOSE('요약'!$B$4,'input'!B695,'input'!C695,'input'!D695),""))</x:f>
        <x:v>0.013031417115319887</x:v>
      </x:c>
      <x:c r="C695" s="7" t="n">
        <x:f>IF(AND(ISNUMBER(B695),'요약'!$B$19),B695-'요약'!$B$7,"")</x:f>
        <x:v>0.013079656442369388</x:v>
      </x:c>
      <x:c r="D695" s="7" t="n">
        <x:f>IF(ISNUMBER(C695),C695^2,"")</x:f>
        <x:v>0.00017107741265041503</x:v>
      </x:c>
      <x:c r="E695" s="15" t="n">
        <x:f>IF(ISNUMBER(C695),C695^3,"")</x:f>
        <x:v>0.0000022376337825168874</x:v>
      </x:c>
      <x:c r="F695" s="15" t="n">
        <x:f>IF(ISNUMBER(C695),C695^4,"")</x:f>
        <x:v>2.9267481119160384e-8</x:v>
      </x:c>
      <x:c r="G695" s="7" t="n">
        <x:f>IF(ISNUMBER(B695),ABS(B695),"")</x:f>
        <x:v>0.013031417115319887</x:v>
      </x:c>
      <x:c r="H695" s="7" t="n">
        <x:f>IF(ISNUMBER(B695),B695^2,"")</x:f>
        <x:v>0.0001698178320334521</x:v>
      </x:c>
      <x:c r="I695" s="7" t="n">
        <x:f>IF(AND(ISNUMBER(G695),'요약'!$B$19),G695-'요약'!$B$14,"")</x:f>
        <x:v>0.005017900487917032</x:v>
      </x:c>
      <x:c r="J695" s="7" t="n">
        <x:f>IF(AND(ISNUMBER(H695),'요약'!$B$19),H695-'요약'!$B$15,"")</x:f>
        <x:v>0.00006760813284735999</x:v>
      </x:c>
      <x:c r="K695" t="str">
        <x:f>IF(ISNUMBER(B695),IF('Hill'!$B$4=1,IF(B695&lt;0,-B695,""),IF('Hill'!$B$4=2,IF(B695&gt;0,B695,""),IF('Hill'!$B$4=3,IF(B695&lt;&gt;0,ABS(B695),""),""))),"")</x:f>
      </x:c>
    </x:row>
    <x:row r="696">
      <x:c r="A696" t="n">
        <x:f>695</x:f>
        <x:v>695</x:v>
      </x:c>
      <x:c r="B696" s="7" t="n">
        <x:f>IF('요약'!$B$4=4,IF(ISNUMBER('input'!A696),'input'!A696,""),IF(695&lt;=1000,CHOOSE('요약'!$B$4,'input'!B696,'input'!C696,'input'!D696),""))</x:f>
        <x:v>0.01398790183641143</x:v>
      </x:c>
      <x:c r="C696" s="7" t="n">
        <x:f>IF(AND(ISNUMBER(B696),'요약'!$B$19),B696-'요약'!$B$7,"")</x:f>
        <x:v>0.01403614116346093</x:v>
      </x:c>
      <x:c r="D696" s="7" t="n">
        <x:f>IF(ISNUMBER(C696),C696^2,"")</x:f>
        <x:v>0.00019701325876060236</x:v>
      </x:c>
      <x:c r="E696" s="15" t="n">
        <x:f>IF(ISNUMBER(C696),C696^3,"")</x:f>
        <x:v>0.0000027653059110372707</x:v>
      </x:c>
      <x:c r="F696" s="15" t="n">
        <x:f>IF(ISNUMBER(C696),C696^4,"")</x:f>
        <x:v>3.8814224127472064e-8</x:v>
      </x:c>
      <x:c r="G696" s="7" t="n">
        <x:f>IF(ISNUMBER(B696),ABS(B696),"")</x:f>
        <x:v>0.01398790183641143</x:v>
      </x:c>
      <x:c r="H696" s="7" t="n">
        <x:f>IF(ISNUMBER(B696),B696^2,"")</x:f>
        <x:v>0.00019566139778508227</x:v>
      </x:c>
      <x:c r="I696" s="7" t="n">
        <x:f>IF(AND(ISNUMBER(G696),'요약'!$B$19),G696-'요약'!$B$14,"")</x:f>
        <x:v>0.005974385209008575</x:v>
      </x:c>
      <x:c r="J696" s="7" t="n">
        <x:f>IF(AND(ISNUMBER(H696),'요약'!$B$19),H696-'요약'!$B$15,"")</x:f>
        <x:v>0.00009345169859899016</x:v>
      </x:c>
      <x:c r="K696" t="str">
        <x:f>IF(ISNUMBER(B696),IF('Hill'!$B$4=1,IF(B696&lt;0,-B696,""),IF('Hill'!$B$4=2,IF(B696&gt;0,B696,""),IF('Hill'!$B$4=3,IF(B696&lt;&gt;0,ABS(B696),""),""))),"")</x:f>
      </x:c>
    </x:row>
    <x:row r="697">
      <x:c r="A697" t="n">
        <x:f>696</x:f>
        <x:v>696</x:v>
      </x:c>
      <x:c r="B697" s="7" t="n">
        <x:f>IF('요약'!$B$4=4,IF(ISNUMBER('input'!A697),'input'!A697,""),IF(696&lt;=1000,CHOOSE('요약'!$B$4,'input'!B697,'input'!C697,'input'!D697),""))</x:f>
        <x:v>-0.001744541646398817</x:v>
      </x:c>
      <x:c r="C697" s="7" t="n">
        <x:f>IF(AND(ISNUMBER(B697),'요약'!$B$19),B697-'요약'!$B$7,"")</x:f>
        <x:v>-0.0016963023193493154</x:v>
      </x:c>
      <x:c r="D697" s="7" t="n">
        <x:f>IF(ISNUMBER(C697),C697^2,"")</x:f>
        <x:v>0.0000028774415586298668</x:v>
      </x:c>
      <x:c r="E697" s="15" t="n">
        <x:f>IF(ISNUMBER(C697),C697^3,"")</x:f>
        <x:v>-4.881010789695953e-9</x:v>
      </x:c>
      <x:c r="F697" s="15" t="n">
        <x:f>IF(ISNUMBER(C697),C697^4,"")</x:f>
        <x:v>8.279669923330278e-12</x:v>
      </x:c>
      <x:c r="G697" s="7" t="n">
        <x:f>IF(ISNUMBER(B697),ABS(B697),"")</x:f>
        <x:v>0.001744541646398817</x:v>
      </x:c>
      <x:c r="H697" s="7" t="n">
        <x:f>IF(ISNUMBER(B697),B697^2,"")</x:f>
        <x:v>0.0000030434255560198946</x:v>
      </x:c>
      <x:c r="I697" s="7" t="n">
        <x:f>IF(AND(ISNUMBER(G697),'요약'!$B$19),G697-'요약'!$B$14,"")</x:f>
        <x:v>-0.0062689749810040385</x:v>
      </x:c>
      <x:c r="J697" s="7" t="n">
        <x:f>IF(AND(ISNUMBER(H697),'요약'!$B$19),H697-'요약'!$B$15,"")</x:f>
        <x:v>-0.0000991662736300722</x:v>
      </x:c>
      <x:c r="K697" t="n">
        <x:f>IF(ISNUMBER(B697),IF('Hill'!$B$4=1,IF(B697&lt;0,-B697,""),IF('Hill'!$B$4=2,IF(B697&gt;0,B697,""),IF('Hill'!$B$4=3,IF(B697&lt;&gt;0,ABS(B697),""),""))),"")</x:f>
        <x:v>0.001744541646398817</x:v>
      </x:c>
    </x:row>
    <x:row r="698">
      <x:c r="A698" t="n">
        <x:f>697</x:f>
        <x:v>697</x:v>
      </x:c>
      <x:c r="B698" s="7" t="n">
        <x:f>IF('요약'!$B$4=4,IF(ISNUMBER('input'!A698),'input'!A698,""),IF(697&lt;=1000,CHOOSE('요약'!$B$4,'input'!B698,'input'!C698,'input'!D698),""))</x:f>
        <x:v>-0.0038428280509251907</x:v>
      </x:c>
      <x:c r="C698" s="7" t="n">
        <x:f>IF(AND(ISNUMBER(B698),'요약'!$B$19),B698-'요약'!$B$7,"")</x:f>
        <x:v>-0.003794588723875689</x:v>
      </x:c>
      <x:c r="D698" s="7" t="n">
        <x:f>IF(ISNUMBER(C698),C698^2,"")</x:f>
        <x:v>0.000014398903583364532</x:v>
      </x:c>
      <x:c r="E698" s="15" t="n">
        <x:f>IF(ISNUMBER(C698),C698^3,"")</x:f>
        <x:v>-5.463791717360831e-8</x:v>
      </x:c>
      <x:c r="F698" s="15" t="n">
        <x:f>IF(ISNUMBER(C698),C698^4,"")</x:f>
        <x:v>2.0732842440302795e-10</x:v>
      </x:c>
      <x:c r="G698" s="7" t="n">
        <x:f>IF(ISNUMBER(B698),ABS(B698),"")</x:f>
        <x:v>0.0038428280509251907</x:v>
      </x:c>
      <x:c r="H698" s="7" t="n">
        <x:f>IF(ISNUMBER(B698),B698^2,"")</x:f>
        <x:v>0.0000147673274289775</x:v>
      </x:c>
      <x:c r="I698" s="7" t="n">
        <x:f>IF(AND(ISNUMBER(G698),'요약'!$B$19),G698-'요약'!$B$14,"")</x:f>
        <x:v>-0.004170688576477665</x:v>
      </x:c>
      <x:c r="J698" s="7" t="n">
        <x:f>IF(AND(ISNUMBER(H698),'요약'!$B$19),H698-'요약'!$B$15,"")</x:f>
        <x:v>-0.0000874423717571146</x:v>
      </x:c>
      <x:c r="K698" t="n">
        <x:f>IF(ISNUMBER(B698),IF('Hill'!$B$4=1,IF(B698&lt;0,-B698,""),IF('Hill'!$B$4=2,IF(B698&gt;0,B698,""),IF('Hill'!$B$4=3,IF(B698&lt;&gt;0,ABS(B698),""),""))),"")</x:f>
        <x:v>0.0038428280509251907</x:v>
      </x:c>
    </x:row>
    <x:row r="699">
      <x:c r="A699" t="n">
        <x:f>698</x:f>
        <x:v>698</x:v>
      </x:c>
      <x:c r="B699" s="7" t="n">
        <x:f>IF('요약'!$B$4=4,IF(ISNUMBER('input'!A699),'input'!A699,""),IF(698&lt;=1000,CHOOSE('요약'!$B$4,'input'!B699,'input'!C699,'input'!D699),""))</x:f>
        <x:v>-0.015438437029482612</x:v>
      </x:c>
      <x:c r="C699" s="7" t="n">
        <x:f>IF(AND(ISNUMBER(B699),'요약'!$B$19),B699-'요약'!$B$7,"")</x:f>
        <x:v>-0.015390197702433111</x:v>
      </x:c>
      <x:c r="D699" s="7" t="n">
        <x:f>IF(ISNUMBER(C699),C699^2,"")</x:f>
        <x:v>0.0002368581853199774</x:v>
      </x:c>
      <x:c r="E699" s="15" t="n">
        <x:f>IF(ISNUMBER(C699),C699^3,"")</x:f>
        <x:v>-0.0000036452942995139925</x:v>
      </x:c>
      <x:c r="F699" s="15" t="n">
        <x:f>IF(ISNUMBER(C699),C699^4,"")</x:f>
        <x:v>5.6101799953072764e-8</x:v>
      </x:c>
      <x:c r="G699" s="7" t="n">
        <x:f>IF(ISNUMBER(B699),ABS(B699),"")</x:f>
        <x:v>0.015438437029482612</x:v>
      </x:c>
      <x:c r="H699" s="7" t="n">
        <x:f>IF(ISNUMBER(B699),B699^2,"")</x:f>
        <x:v>0.0002383453379132999</x:v>
      </x:c>
      <x:c r="I699" s="7" t="n">
        <x:f>IF(AND(ISNUMBER(G699),'요약'!$B$19),G699-'요약'!$B$14,"")</x:f>
        <x:v>0.007424920402079756</x:v>
      </x:c>
      <x:c r="J699" s="7" t="n">
        <x:f>IF(AND(ISNUMBER(H699),'요약'!$B$19),H699-'요약'!$B$15,"")</x:f>
        <x:v>0.0001361356387272078</x:v>
      </x:c>
      <x:c r="K699" t="n">
        <x:f>IF(ISNUMBER(B699),IF('Hill'!$B$4=1,IF(B699&lt;0,-B699,""),IF('Hill'!$B$4=2,IF(B699&gt;0,B699,""),IF('Hill'!$B$4=3,IF(B699&lt;&gt;0,ABS(B699),""),""))),"")</x:f>
        <x:v>0.015438437029482612</x:v>
      </x:c>
    </x:row>
    <x:row r="700">
      <x:c r="A700" t="n">
        <x:f>699</x:f>
        <x:v>699</x:v>
      </x:c>
      <x:c r="B700" s="7" t="n">
        <x:f>IF('요약'!$B$4=4,IF(ISNUMBER('input'!A700),'input'!A700,""),IF(699&lt;=1000,CHOOSE('요약'!$B$4,'input'!B700,'input'!C700,'input'!D700),""))</x:f>
        <x:v>0.00507331786683959</x:v>
      </x:c>
      <x:c r="C700" s="7" t="n">
        <x:f>IF(AND(ISNUMBER(B700),'요약'!$B$19),B700-'요약'!$B$7,"")</x:f>
        <x:v>0.005121557193889091</x:v>
      </x:c>
      <x:c r="D700" s="7" t="n">
        <x:f>IF(ISNUMBER(C700),C700^2,"")</x:f>
        <x:v>0.0000262303480902771</x:v>
      </x:c>
      <x:c r="E700" s="15" t="n">
        <x:f>IF(ISNUMBER(C700),C700^3,"")</x:f>
        <x:v>1.3434022795997367e-7</x:v>
      </x:c>
      <x:c r="F700" s="15" t="n">
        <x:f>IF(ISNUMBER(C700),C700^4,"")</x:f>
        <x:v>6.880311609371036e-10</x:v>
      </x:c>
      <x:c r="G700" s="7" t="n">
        <x:f>IF(ISNUMBER(B700),ABS(B700),"")</x:f>
        <x:v>0.00507331786683959</x:v>
      </x:c>
      <x:c r="H700" s="7" t="n">
        <x:f>IF(ISNUMBER(B700),B700^2,"")</x:f>
        <x:v>0.000025738554177993805</x:v>
      </x:c>
      <x:c r="I700" s="7" t="n">
        <x:f>IF(AND(ISNUMBER(G700),'요약'!$B$19),G700-'요약'!$B$14,"")</x:f>
        <x:v>-0.0029401987605632658</x:v>
      </x:c>
      <x:c r="J700" s="7" t="n">
        <x:f>IF(AND(ISNUMBER(H700),'요약'!$B$19),H700-'요약'!$B$15,"")</x:f>
        <x:v>-0.0000764711450080983</x:v>
      </x:c>
      <x:c r="K700" t="str">
        <x:f>IF(ISNUMBER(B700),IF('Hill'!$B$4=1,IF(B700&lt;0,-B700,""),IF('Hill'!$B$4=2,IF(B700&gt;0,B700,""),IF('Hill'!$B$4=3,IF(B700&lt;&gt;0,ABS(B700),""),""))),"")</x:f>
      </x:c>
    </x:row>
    <x:row r="701">
      <x:c r="A701" t="n">
        <x:f>700</x:f>
        <x:v>700</x:v>
      </x:c>
      <x:c r="B701" s="7" t="n">
        <x:f>IF('요약'!$B$4=4,IF(ISNUMBER('input'!A701),'input'!A701,""),IF(700&lt;=1000,CHOOSE('요약'!$B$4,'input'!B701,'input'!C701,'input'!D701),""))</x:f>
        <x:v>0.009696734932615777</x:v>
      </x:c>
      <x:c r="C701" s="7" t="n">
        <x:f>IF(AND(ISNUMBER(B701),'요약'!$B$19),B701-'요약'!$B$7,"")</x:f>
        <x:v>0.009744974259665277</x:v>
      </x:c>
      <x:c r="D701" s="7" t="n">
        <x:f>IF(ISNUMBER(C701),C701^2,"")</x:f>
        <x:v>0.00009496452332153882</x:v>
      </x:c>
      <x:c r="E701" s="15" t="n">
        <x:f>IF(ISNUMBER(C701),C701^3,"")</x:f>
        <x:v>9.254268353497787e-7</x:v>
      </x:c>
      <x:c r="F701" s="15" t="n">
        <x:f>IF(ISNUMBER(C701),C701^4,"")</x:f>
        <x:v>9.01826068968709e-9</x:v>
      </x:c>
      <x:c r="G701" s="7" t="n">
        <x:f>IF(ISNUMBER(B701),ABS(B701),"")</x:f>
        <x:v>0.009696734932615777</x:v>
      </x:c>
      <x:c r="H701" s="7" t="n">
        <x:f>IF(ISNUMBER(B701),B701^2,"")</x:f>
        <x:v>0.00009402666835341109</x:v>
      </x:c>
      <x:c r="I701" s="7" t="n">
        <x:f>IF(AND(ISNUMBER(G701),'요약'!$B$19),G701-'요약'!$B$14,"")</x:f>
        <x:v>0.0016832183052129211</x:v>
      </x:c>
      <x:c r="J701" s="7" t="n">
        <x:f>IF(AND(ISNUMBER(H701),'요약'!$B$19),H701-'요약'!$B$15,"")</x:f>
        <x:v>-0.000008183030832681012</x:v>
      </x:c>
      <x:c r="K701" t="str">
        <x:f>IF(ISNUMBER(B701),IF('Hill'!$B$4=1,IF(B701&lt;0,-B701,""),IF('Hill'!$B$4=2,IF(B701&gt;0,B701,""),IF('Hill'!$B$4=3,IF(B701&lt;&gt;0,ABS(B701),""),""))),"")</x:f>
      </x:c>
    </x:row>
    <x:row r="702">
      <x:c r="A702" t="n">
        <x:f>701</x:f>
        <x:v>701</x:v>
      </x:c>
      <x:c r="B702" s="7" t="n">
        <x:f>IF('요약'!$B$4=4,IF(ISNUMBER('input'!A702),'input'!A702,""),IF(701&lt;=1000,CHOOSE('요약'!$B$4,'input'!B702,'input'!C702,'input'!D702),""))</x:f>
        <x:v>0.0005667086926773988</x:v>
      </x:c>
      <x:c r="C702" s="7" t="n">
        <x:f>IF(AND(ISNUMBER(B702),'요약'!$B$19),B702-'요약'!$B$7,"")</x:f>
        <x:v>0.0006149480197269002</x:v>
      </x:c>
      <x:c r="D702" s="7" t="n">
        <x:f>IF(ISNUMBER(C702),C702^2,"")</x:f>
        <x:v>3.78161066966036e-7</x:v>
      </x:c>
      <x:c r="E702" s="15" t="n">
        <x:f>IF(ISNUMBER(C702),C702^3,"")</x:f>
        <x:v>2.3254939926857552e-10</x:v>
      </x:c>
      <x:c r="F702" s="15" t="n">
        <x:f>IF(ISNUMBER(C702),C702^4,"")</x:f>
        <x:v>1.4300579256889075e-13</x:v>
      </x:c>
      <x:c r="G702" s="7" t="n">
        <x:f>IF(ISNUMBER(B702),ABS(B702),"")</x:f>
        <x:v>0.0005667086926773988</x:v>
      </x:c>
      <x:c r="H702" s="7" t="n">
        <x:f>IF(ISNUMBER(B702),B702^2,"")</x:f>
        <x:v>3.2115874235612647e-7</x:v>
      </x:c>
      <x:c r="I702" s="7" t="n">
        <x:f>IF(AND(ISNUMBER(G702),'요약'!$B$19),G702-'요약'!$B$14,"")</x:f>
        <x:v>-0.0074468079347254565</x:v>
      </x:c>
      <x:c r="J702" s="7" t="n">
        <x:f>IF(AND(ISNUMBER(H702),'요약'!$B$19),H702-'요약'!$B$15,"")</x:f>
        <x:v>-0.00010188854044373597</x:v>
      </x:c>
      <x:c r="K702" t="str">
        <x:f>IF(ISNUMBER(B702),IF('Hill'!$B$4=1,IF(B702&lt;0,-B702,""),IF('Hill'!$B$4=2,IF(B702&gt;0,B702,""),IF('Hill'!$B$4=3,IF(B702&lt;&gt;0,ABS(B702),""),""))),"")</x:f>
      </x:c>
    </x:row>
    <x:row r="703">
      <x:c r="A703" t="n">
        <x:f>702</x:f>
        <x:v>702</x:v>
      </x:c>
      <x:c r="B703" s="7" t="n">
        <x:f>IF('요약'!$B$4=4,IF(ISNUMBER('input'!A703),'input'!A703,""),IF(702&lt;=1000,CHOOSE('요약'!$B$4,'input'!B703,'input'!C703,'input'!D703),""))</x:f>
        <x:v>-0.02007897012850595</x:v>
      </x:c>
      <x:c r="C703" s="7" t="n">
        <x:f>IF(AND(ISNUMBER(B703),'요약'!$B$19),B703-'요약'!$B$7,"")</x:f>
        <x:v>-0.02003073080145645</x:v>
      </x:c>
      <x:c r="D703" s="7" t="n">
        <x:f>IF(ISNUMBER(C703),C703^2,"")</x:f>
        <x:v>0.00040123017644041613</x:v>
      </x:c>
      <x:c r="E703" s="15" t="n">
        <x:f>IF(ISNUMBER(C703),C703^3,"")</x:f>
        <x:v>-0.00000803693365369885</x:v>
      </x:c>
      <x:c r="F703" s="15" t="n">
        <x:f>IF(ISNUMBER(C703),C703^4,"")</x:f>
        <x:v>1.6098565448640748e-7</x:v>
      </x:c>
      <x:c r="G703" s="7" t="n">
        <x:f>IF(ISNUMBER(B703),ABS(B703),"")</x:f>
        <x:v>0.02007897012850595</x:v>
      </x:c>
      <x:c r="H703" s="7" t="n">
        <x:f>IF(ISNUMBER(B703),B703^2,"")</x:f>
        <x:v>0.00040316504142143424</x:v>
      </x:c>
      <x:c r="I703" s="7" t="n">
        <x:f>IF(AND(ISNUMBER(G703),'요약'!$B$19),G703-'요약'!$B$14,"")</x:f>
        <x:v>0.012065453501103095</x:v>
      </x:c>
      <x:c r="J703" s="7" t="n">
        <x:f>IF(AND(ISNUMBER(H703),'요약'!$B$19),H703-'요약'!$B$15,"")</x:f>
        <x:v>0.00030095534223534216</x:v>
      </x:c>
      <x:c r="K703" t="n">
        <x:f>IF(ISNUMBER(B703),IF('Hill'!$B$4=1,IF(B703&lt;0,-B703,""),IF('Hill'!$B$4=2,IF(B703&gt;0,B703,""),IF('Hill'!$B$4=3,IF(B703&lt;&gt;0,ABS(B703),""),""))),"")</x:f>
        <x:v>0.02007897012850595</x:v>
      </x:c>
    </x:row>
    <x:row r="704">
      <x:c r="A704" t="n">
        <x:f>703</x:f>
        <x:v>703</x:v>
      </x:c>
      <x:c r="B704" s="7" t="n">
        <x:f>IF('요약'!$B$4=4,IF(ISNUMBER('input'!A704),'input'!A704,""),IF(703&lt;=1000,CHOOSE('요약'!$B$4,'input'!B704,'input'!C704,'input'!D704),""))</x:f>
        <x:v>0.00527495180623701</x:v>
      </x:c>
      <x:c r="C704" s="7" t="n">
        <x:f>IF(AND(ISNUMBER(B704),'요약'!$B$19),B704-'요약'!$B$7,"")</x:f>
        <x:v>0.005323191133286512</x:v>
      </x:c>
      <x:c r="D704" s="7" t="n">
        <x:f>IF(ISNUMBER(C704),C704^2,"")</x:f>
        <x:v>0.000028336363841500136</x:v>
      </x:c>
      <x:c r="E704" s="15" t="n">
        <x:f>IF(ISNUMBER(C704),C704^3,"")</x:f>
        <x:v>1.5083988075065405e-7</x:v>
      </x:c>
      <x:c r="F704" s="15" t="n">
        <x:f>IF(ISNUMBER(C704),C704^4,"")</x:f>
        <x:v>8.029495157578764e-10</x:v>
      </x:c>
      <x:c r="G704" s="7" t="n">
        <x:f>IF(ISNUMBER(B704),ABS(B704),"")</x:f>
        <x:v>0.00527495180623701</x:v>
      </x:c>
      <x:c r="H704" s="7" t="n">
        <x:f>IF(ISNUMBER(B704),B704^2,"")</x:f>
        <x:v>0.000027825116558123097</x:v>
      </x:c>
      <x:c r="I704" s="7" t="n">
        <x:f>IF(AND(ISNUMBER(G704),'요약'!$B$19),G704-'요약'!$B$14,"")</x:f>
        <x:v>-0.002738564821165845</x:v>
      </x:c>
      <x:c r="J704" s="7" t="n">
        <x:f>IF(AND(ISNUMBER(H704),'요약'!$B$19),H704-'요약'!$B$15,"")</x:f>
        <x:v>-0.00007438458262796901</x:v>
      </x:c>
      <x:c r="K704" t="str">
        <x:f>IF(ISNUMBER(B704),IF('Hill'!$B$4=1,IF(B704&lt;0,-B704,""),IF('Hill'!$B$4=2,IF(B704&gt;0,B704,""),IF('Hill'!$B$4=3,IF(B704&lt;&gt;0,ABS(B704),""),""))),"")</x:f>
      </x:c>
    </x:row>
    <x:row r="705">
      <x:c r="A705" t="n">
        <x:f>704</x:f>
        <x:v>704</x:v>
      </x:c>
      <x:c r="B705" s="7" t="n">
        <x:f>IF('요약'!$B$4=4,IF(ISNUMBER('input'!A705),'input'!A705,""),IF(704&lt;=1000,CHOOSE('요약'!$B$4,'input'!B705,'input'!C705,'input'!D705),""))</x:f>
        <x:v>0.0048636548477796</x:v>
      </x:c>
      <x:c r="C705" s="7" t="n">
        <x:f>IF(AND(ISNUMBER(B705),'요약'!$B$19),B705-'요약'!$B$7,"")</x:f>
        <x:v>0.004911894174829102</x:v>
      </x:c>
      <x:c r="D705" s="7" t="n">
        <x:f>IF(ISNUMBER(C705),C705^2,"")</x:f>
        <x:v>0.000024126704384720062</x:v>
      </x:c>
      <x:c r="E705" s="15" t="n">
        <x:f>IF(ISNUMBER(C705),C705^3,"")</x:f>
        <x:v>1.1850781872513022e-7</x:v>
      </x:c>
      <x:c r="F705" s="15" t="n">
        <x:f>IF(ISNUMBER(C705),C705^4,"")</x:f>
        <x:v>5.820978644676703e-10</x:v>
      </x:c>
      <x:c r="G705" s="7" t="n">
        <x:f>IF(ISNUMBER(B705),ABS(B705),"")</x:f>
        <x:v>0.0048636548477796</x:v>
      </x:c>
      <x:c r="H705" s="7" t="n">
        <x:f>IF(ISNUMBER(B705),B705^2,"")</x:f>
        <x:v>0.000023655138478330006</x:v>
      </x:c>
      <x:c r="I705" s="7" t="n">
        <x:f>IF(AND(ISNUMBER(G705),'요약'!$B$19),G705-'요약'!$B$14,"")</x:f>
        <x:v>-0.003149861779623255</x:v>
      </x:c>
      <x:c r="J705" s="7" t="n">
        <x:f>IF(AND(ISNUMBER(H705),'요약'!$B$19),H705-'요약'!$B$15,"")</x:f>
        <x:v>-0.0000785545607077621</x:v>
      </x:c>
      <x:c r="K705" t="str">
        <x:f>IF(ISNUMBER(B705),IF('Hill'!$B$4=1,IF(B705&lt;0,-B705,""),IF('Hill'!$B$4=2,IF(B705&gt;0,B705,""),IF('Hill'!$B$4=3,IF(B705&lt;&gt;0,ABS(B705),""),""))),"")</x:f>
      </x:c>
    </x:row>
    <x:row r="706">
      <x:c r="A706" t="n">
        <x:f>705</x:f>
        <x:v>705</x:v>
      </x:c>
      <x:c r="B706" s="7" t="n">
        <x:f>IF('요약'!$B$4=4,IF(ISNUMBER('input'!A706),'input'!A706,""),IF(705&lt;=1000,CHOOSE('요약'!$B$4,'input'!B706,'input'!C706,'input'!D706),""))</x:f>
        <x:v>-0.014692679406167915</x:v>
      </x:c>
      <x:c r="C706" s="7" t="n">
        <x:f>IF(AND(ISNUMBER(B706),'요약'!$B$19),B706-'요약'!$B$7,"")</x:f>
        <x:v>-0.014644440079118415</x:v>
      </x:c>
      <x:c r="D706" s="7" t="n">
        <x:f>IF(ISNUMBER(C706),C706^2,"")</x:f>
        <x:v>0.00021445962523088975</x:v>
      </x:c>
      <x:c r="E706" s="15" t="n">
        <x:f>IF(ISNUMBER(C706),C706^3,"")</x:f>
        <x:v>-0.000003140641131083957</x:v>
      </x:c>
      <x:c r="F706" s="15" t="n">
        <x:f>IF(ISNUMBER(C706),C706^4,"")</x:f>
        <x:v>4.599293085417369e-8</x:v>
      </x:c>
      <x:c r="G706" s="7" t="n">
        <x:f>IF(ISNUMBER(B706),ABS(B706),"")</x:f>
        <x:v>0.014692679406167915</x:v>
      </x:c>
      <x:c r="H706" s="7" t="n">
        <x:f>IF(ISNUMBER(B706),B706^2,"")</x:f>
        <x:v>0.00021587482813243078</x:v>
      </x:c>
      <x:c r="I706" s="7" t="n">
        <x:f>IF(AND(ISNUMBER(G706),'요약'!$B$19),G706-'요약'!$B$14,"")</x:f>
        <x:v>0.00667916277876506</x:v>
      </x:c>
      <x:c r="J706" s="7" t="n">
        <x:f>IF(AND(ISNUMBER(H706),'요약'!$B$19),H706-'요약'!$B$15,"")</x:f>
        <x:v>0.00011366512894633868</x:v>
      </x:c>
      <x:c r="K706" t="n">
        <x:f>IF(ISNUMBER(B706),IF('Hill'!$B$4=1,IF(B706&lt;0,-B706,""),IF('Hill'!$B$4=2,IF(B706&gt;0,B706,""),IF('Hill'!$B$4=3,IF(B706&lt;&gt;0,ABS(B706),""),""))),"")</x:f>
        <x:v>0.014692679406167915</x:v>
      </x:c>
    </x:row>
    <x:row r="707">
      <x:c r="A707" t="n">
        <x:f>706</x:f>
        <x:v>706</x:v>
      </x:c>
      <x:c r="B707" s="7" t="n">
        <x:f>IF('요약'!$B$4=4,IF(ISNUMBER('input'!A707),'input'!A707,""),IF(706&lt;=1000,CHOOSE('요약'!$B$4,'input'!B707,'input'!C707,'input'!D707),""))</x:f>
        <x:v>0.00010209358648309034</x:v>
      </x:c>
      <x:c r="C707" s="7" t="n">
        <x:f>IF(AND(ISNUMBER(B707),'요약'!$B$19),B707-'요약'!$B$7,"")</x:f>
        <x:v>0.0001503329135325917</x:v>
      </x:c>
      <x:c r="D707" s="7" t="n">
        <x:f>IF(ISNUMBER(C707),C707^2,"")</x:f>
        <x:v>2.2599984891197694e-8</x:v>
      </x:c>
      <x:c r="E707" s="15" t="n">
        <x:f>IF(ISNUMBER(C707),C707^3,"")</x:f>
        <x:v>3.397521574486302e-12</x:v>
      </x:c>
      <x:c r="F707" s="15" t="n">
        <x:f>IF(ISNUMBER(C707),C707^4,"")</x:f>
        <x:v>5.107593170823641e-16</x:v>
      </x:c>
      <x:c r="G707" s="7" t="n">
        <x:f>IF(ISNUMBER(B707),ABS(B707),"")</x:f>
        <x:v>0.00010209358648309034</x:v>
      </x:c>
      <x:c r="H707" s="7" t="n">
        <x:f>IF(ISNUMBER(B707),B707^2,"")</x:f>
        <x:v>1.0423100400980246e-8</x:v>
      </x:c>
      <x:c r="I707" s="7" t="n">
        <x:f>IF(AND(ISNUMBER(G707),'요약'!$B$19),G707-'요약'!$B$14,"")</x:f>
        <x:v>-0.007911423040919765</x:v>
      </x:c>
      <x:c r="J707" s="7" t="n">
        <x:f>IF(AND(ISNUMBER(H707),'요약'!$B$19),H707-'요약'!$B$15,"")</x:f>
        <x:v>-0.00010219927608569112</x:v>
      </x:c>
      <x:c r="K707" t="str">
        <x:f>IF(ISNUMBER(B707),IF('Hill'!$B$4=1,IF(B707&lt;0,-B707,""),IF('Hill'!$B$4=2,IF(B707&gt;0,B707,""),IF('Hill'!$B$4=3,IF(B707&lt;&gt;0,ABS(B707),""),""))),"")</x:f>
      </x:c>
    </x:row>
    <x:row r="708">
      <x:c r="A708" t="n">
        <x:f>707</x:f>
        <x:v>707</x:v>
      </x:c>
      <x:c r="B708" s="7" t="n">
        <x:f>IF('요약'!$B$4=4,IF(ISNUMBER('input'!A708),'input'!A708,""),IF(707&lt;=1000,CHOOSE('요약'!$B$4,'input'!B708,'input'!C708,'input'!D708),""))</x:f>
        <x:v>0.019974368628818757</x:v>
      </x:c>
      <x:c r="C708" s="7" t="n">
        <x:f>IF(AND(ISNUMBER(B708),'요약'!$B$19),B708-'요약'!$B$7,"")</x:f>
        <x:v>0.020022607955868257</x:v>
      </x:c>
      <x:c r="D708" s="7" t="n">
        <x:f>IF(ISNUMBER(C708),C708^2,"")</x:f>
        <x:v>0.00040090482935439885</x:v>
      </x:c>
      <x:c r="E708" s="15" t="n">
        <x:f>IF(ISNUMBER(C708),C708^3,"")</x:f>
        <x:v>0.000008027160225777392</x:v>
      </x:c>
      <x:c r="F708" s="15" t="n">
        <x:f>IF(ISNUMBER(C708),C708^4,"")</x:f>
        <x:v>1.6072468219967964e-7</x:v>
      </x:c>
      <x:c r="G708" s="7" t="n">
        <x:f>IF(ISNUMBER(B708),ABS(B708),"")</x:f>
        <x:v>0.019974368628818757</x:v>
      </x:c>
      <x:c r="H708" s="7" t="n">
        <x:f>IF(ISNUMBER(B708),B708^2,"")</x:f>
        <x:v>0.0003989754021199389</x:v>
      </x:c>
      <x:c r="I708" s="7" t="n">
        <x:f>IF(AND(ISNUMBER(G708),'요약'!$B$19),G708-'요약'!$B$14,"")</x:f>
        <x:v>0.011960852001415901</x:v>
      </x:c>
      <x:c r="J708" s="7" t="n">
        <x:f>IF(AND(ISNUMBER(H708),'요약'!$B$19),H708-'요약'!$B$15,"")</x:f>
        <x:v>0.0002967657029338468</x:v>
      </x:c>
      <x:c r="K708" t="str">
        <x:f>IF(ISNUMBER(B708),IF('Hill'!$B$4=1,IF(B708&lt;0,-B708,""),IF('Hill'!$B$4=2,IF(B708&gt;0,B708,""),IF('Hill'!$B$4=3,IF(B708&lt;&gt;0,ABS(B708),""),""))),"")</x:f>
      </x:c>
    </x:row>
    <x:row r="709">
      <x:c r="A709" t="n">
        <x:f>708</x:f>
        <x:v>708</x:v>
      </x:c>
      <x:c r="B709" s="7" t="n">
        <x:f>IF('요약'!$B$4=4,IF(ISNUMBER('input'!A709),'input'!A709,""),IF(708&lt;=1000,CHOOSE('요약'!$B$4,'input'!B709,'input'!C709,'input'!D709),""))</x:f>
        <x:v>-0.008590043760813513</x:v>
      </x:c>
      <x:c r="C709" s="7" t="n">
        <x:f>IF(AND(ISNUMBER(B709),'요약'!$B$19),B709-'요약'!$B$7,"")</x:f>
        <x:v>-0.008541804433764013</x:v>
      </x:c>
      <x:c r="D709" s="7" t="n">
        <x:f>IF(ISNUMBER(C709),C709^2,"")</x:f>
        <x:v>0.00007296242298467055</x:v>
      </x:c>
      <x:c r="E709" s="15" t="n">
        <x:f>IF(ISNUMBER(C709),C709^3,"")</x:f>
        <x:v>-6.232307481486242e-7</x:v>
      </x:c>
      <x:c r="F709" s="15" t="n">
        <x:f>IF(ISNUMBER(C709),C709^4,"")</x:f>
        <x:v>5.3235151677939805e-9</x:v>
      </x:c>
      <x:c r="G709" s="7" t="n">
        <x:f>IF(ISNUMBER(B709),ABS(B709),"")</x:f>
        <x:v>0.008590043760813513</x:v>
      </x:c>
      <x:c r="H709" s="7" t="n">
        <x:f>IF(ISNUMBER(B709),B709^2,"")</x:f>
        <x:v>0.00007378885181269116</x:v>
      </x:c>
      <x:c r="I709" s="7" t="n">
        <x:f>IF(AND(ISNUMBER(G709),'요약'!$B$19),G709-'요약'!$B$14,"")</x:f>
        <x:v>0.0005765271334106578</x:v>
      </x:c>
      <x:c r="J709" s="7" t="n">
        <x:f>IF(AND(ISNUMBER(H709),'요약'!$B$19),H709-'요약'!$B$15,"")</x:f>
        <x:v>-0.000028420847373400942</x:v>
      </x:c>
      <x:c r="K709" t="n">
        <x:f>IF(ISNUMBER(B709),IF('Hill'!$B$4=1,IF(B709&lt;0,-B709,""),IF('Hill'!$B$4=2,IF(B709&gt;0,B709,""),IF('Hill'!$B$4=3,IF(B709&lt;&gt;0,ABS(B709),""),""))),"")</x:f>
        <x:v>0.008590043760813513</x:v>
      </x:c>
    </x:row>
    <x:row r="710">
      <x:c r="A710" t="n">
        <x:f>709</x:f>
        <x:v>709</x:v>
      </x:c>
      <x:c r="B710" s="7" t="n">
        <x:f>IF('요약'!$B$4=4,IF(ISNUMBER('input'!A710),'input'!A710,""),IF(709&lt;=1000,CHOOSE('요약'!$B$4,'input'!B710,'input'!C710,'input'!D710),""))</x:f>
        <x:v>0.004029919023506228</x:v>
      </x:c>
      <x:c r="C710" s="7" t="n">
        <x:f>IF(AND(ISNUMBER(B710),'요약'!$B$19),B710-'요약'!$B$7,"")</x:f>
        <x:v>0.0040781583505557295</x:v>
      </x:c>
      <x:c r="D710" s="7" t="n">
        <x:f>IF(ISNUMBER(C710),C710^2,"")</x:f>
        <x:v>0.00001663137553220743</x:v>
      </x:c>
      <x:c r="E710" s="15" t="n">
        <x:f>IF(ISNUMBER(C710),C710^3,"")</x:f>
        <x:v>6.782538300789997e-8</x:v>
      </x:c>
      <x:c r="F710" s="15" t="n">
        <x:f>IF(ISNUMBER(C710),C710^4,"")</x:f>
        <x:v>2.7660265209330795e-10</x:v>
      </x:c>
      <x:c r="G710" s="7" t="n">
        <x:f>IF(ISNUMBER(B710),ABS(B710),"")</x:f>
        <x:v>0.004029919023506228</x:v>
      </x:c>
      <x:c r="H710" s="7" t="n">
        <x:f>IF(ISNUMBER(B710),B710^2,"")</x:f>
        <x:v>0.00001624024733601739</x:v>
      </x:c>
      <x:c r="I710" s="7" t="n">
        <x:f>IF(AND(ISNUMBER(G710),'요약'!$B$19),G710-'요약'!$B$14,"")</x:f>
        <x:v>-0.003983597603896627</x:v>
      </x:c>
      <x:c r="J710" s="7" t="n">
        <x:f>IF(AND(ISNUMBER(H710),'요약'!$B$19),H710-'요약'!$B$15,"")</x:f>
        <x:v>-0.00008596945185007472</x:v>
      </x:c>
      <x:c r="K710" t="str">
        <x:f>IF(ISNUMBER(B710),IF('Hill'!$B$4=1,IF(B710&lt;0,-B710,""),IF('Hill'!$B$4=2,IF(B710&gt;0,B710,""),IF('Hill'!$B$4=3,IF(B710&lt;&gt;0,ABS(B710),""),""))),"")</x:f>
      </x:c>
    </x:row>
    <x:row r="711">
      <x:c r="A711" t="n">
        <x:f>710</x:f>
        <x:v>710</x:v>
      </x:c>
      <x:c r="B711" s="7" t="n">
        <x:f>IF('요약'!$B$4=4,IF(ISNUMBER('input'!A711),'input'!A711,""),IF(710&lt;=1000,CHOOSE('요약'!$B$4,'input'!B711,'input'!C711,'input'!D711),""))</x:f>
        <x:v>-0.005834105854617697</x:v>
      </x:c>
      <x:c r="C711" s="7" t="n">
        <x:f>IF(AND(ISNUMBER(B711),'요약'!$B$19),B711-'요약'!$B$7,"")</x:f>
        <x:v>-0.0057858665275681955</x:v>
      </x:c>
      <x:c r="D711" s="7" t="n">
        <x:f>IF(ISNUMBER(C711),C711^2,"")</x:f>
        <x:v>0.00003347625147483405</x:v>
      </x:c>
      <x:c r="E711" s="15" t="n">
        <x:f>IF(ISNUMBER(C711),C711^3,"")</x:f>
        <x:v>-1.9368912287669776e-7</x:v>
      </x:c>
      <x:c r="F711" s="15" t="n">
        <x:f>IF(ISNUMBER(C711),C711^4,"")</x:f>
        <x:v>1.1206594128063287e-9</x:v>
      </x:c>
      <x:c r="G711" s="7" t="n">
        <x:f>IF(ISNUMBER(B711),ABS(B711),"")</x:f>
        <x:v>0.005834105854617697</x:v>
      </x:c>
      <x:c r="H711" s="7" t="n">
        <x:f>IF(ISNUMBER(B711),B711^2,"")</x:f>
        <x:v>0.000034036791122884485</x:v>
      </x:c>
      <x:c r="I711" s="7" t="n">
        <x:f>IF(AND(ISNUMBER(G711),'요약'!$B$19),G711-'요약'!$B$14,"")</x:f>
        <x:v>-0.0021794107727851585</x:v>
      </x:c>
      <x:c r="J711" s="7" t="n">
        <x:f>IF(AND(ISNUMBER(H711),'요약'!$B$19),H711-'요약'!$B$15,"")</x:f>
        <x:v>-0.00006817290806320762</x:v>
      </x:c>
      <x:c r="K711" t="n">
        <x:f>IF(ISNUMBER(B711),IF('Hill'!$B$4=1,IF(B711&lt;0,-B711,""),IF('Hill'!$B$4=2,IF(B711&gt;0,B711,""),IF('Hill'!$B$4=3,IF(B711&lt;&gt;0,ABS(B711),""),""))),"")</x:f>
        <x:v>0.005834105854617697</x:v>
      </x:c>
    </x:row>
    <x:row r="712">
      <x:c r="A712" t="n">
        <x:f>711</x:f>
        <x:v>711</x:v>
      </x:c>
      <x:c r="B712" s="7" t="n">
        <x:f>IF('요약'!$B$4=4,IF(ISNUMBER('input'!A712),'input'!A712,""),IF(711&lt;=1000,CHOOSE('요약'!$B$4,'input'!B712,'input'!C712,'input'!D712),""))</x:f>
        <x:v>-0.005001267226887378</x:v>
      </x:c>
      <x:c r="C712" s="7" t="n">
        <x:f>IF(AND(ISNUMBER(B712),'요약'!$B$19),B712-'요약'!$B$7,"")</x:f>
        <x:v>-0.0049530278998378766</x:v>
      </x:c>
      <x:c r="D712" s="7" t="n">
        <x:f>IF(ISNUMBER(C712),C712^2,"")</x:f>
        <x:v>0.000024532485376572405</x:v>
      </x:c>
      <x:c r="E712" s="15" t="n">
        <x:f>IF(ISNUMBER(C712),C712^3,"")</x:f>
        <x:v>-1.2151008452252784e-7</x:v>
      </x:c>
      <x:c r="F712" s="15" t="n">
        <x:f>IF(ISNUMBER(C712),C712^4,"")</x:f>
        <x:v>6.01842838751739e-10</x:v>
      </x:c>
      <x:c r="G712" s="7" t="n">
        <x:f>IF(ISNUMBER(B712),ABS(B712),"")</x:f>
        <x:v>0.005001267226887378</x:v>
      </x:c>
      <x:c r="H712" s="7" t="n">
        <x:f>IF(ISNUMBER(B712),B712^2,"")</x:f>
        <x:v>0.000025012673874737763</x:v>
      </x:c>
      <x:c r="I712" s="7" t="n">
        <x:f>IF(AND(ISNUMBER(G712),'요약'!$B$19),G712-'요약'!$B$14,"")</x:f>
        <x:v>-0.0030122494005154774</x:v>
      </x:c>
      <x:c r="J712" s="7" t="n">
        <x:f>IF(AND(ISNUMBER(H712),'요약'!$B$19),H712-'요약'!$B$15,"")</x:f>
        <x:v>-0.00007719702531135434</x:v>
      </x:c>
      <x:c r="K712" t="n">
        <x:f>IF(ISNUMBER(B712),IF('Hill'!$B$4=1,IF(B712&lt;0,-B712,""),IF('Hill'!$B$4=2,IF(B712&gt;0,B712,""),IF('Hill'!$B$4=3,IF(B712&lt;&gt;0,ABS(B712),""),""))),"")</x:f>
        <x:v>0.005001267226887378</x:v>
      </x:c>
    </x:row>
    <x:row r="713">
      <x:c r="A713" t="n">
        <x:f>712</x:f>
        <x:v>712</x:v>
      </x:c>
      <x:c r="B713" s="7" t="n">
        <x:f>IF('요약'!$B$4=4,IF(ISNUMBER('input'!A713),'input'!A713,""),IF(712&lt;=1000,CHOOSE('요약'!$B$4,'input'!B713,'input'!C713,'input'!D713),""))</x:f>
        <x:v>0.015282633058406941</x:v>
      </x:c>
      <x:c r="C713" s="7" t="n">
        <x:f>IF(AND(ISNUMBER(B713),'요약'!$B$19),B713-'요약'!$B$7,"")</x:f>
        <x:v>0.015330872385456442</x:v>
      </x:c>
      <x:c r="D713" s="7" t="n">
        <x:f>IF(ISNUMBER(C713),C713^2,"")</x:f>
        <x:v>0.00023503564809915087</x:v>
      </x:c>
      <x:c r="E713" s="15" t="n">
        <x:f>IF(ISNUMBER(C713),C713^3,"")</x:f>
        <x:v>0.0000036033015270411302</x:v>
      </x:c>
      <x:c r="F713" s="15" t="n">
        <x:f>IF(ISNUMBER(C713),C713^4,"")</x:f>
        <x:v>5.524175587738789e-8</x:v>
      </x:c>
      <x:c r="G713" s="7" t="n">
        <x:f>IF(ISNUMBER(B713),ABS(B713),"")</x:f>
        <x:v>0.015282633058406941</x:v>
      </x:c>
      <x:c r="H713" s="7" t="n">
        <x:f>IF(ISNUMBER(B713),B713^2,"")</x:f>
        <x:v>0.0002335588731979127</x:v>
      </x:c>
      <x:c r="I713" s="7" t="n">
        <x:f>IF(AND(ISNUMBER(G713),'요약'!$B$19),G713-'요약'!$B$14,"")</x:f>
        <x:v>0.007269116431004086</x:v>
      </x:c>
      <x:c r="J713" s="7" t="n">
        <x:f>IF(AND(ISNUMBER(H713),'요약'!$B$19),H713-'요약'!$B$15,"")</x:f>
        <x:v>0.00013134917401182058</x:v>
      </x:c>
      <x:c r="K713" t="str">
        <x:f>IF(ISNUMBER(B713),IF('Hill'!$B$4=1,IF(B713&lt;0,-B713,""),IF('Hill'!$B$4=2,IF(B713&gt;0,B713,""),IF('Hill'!$B$4=3,IF(B713&lt;&gt;0,ABS(B713),""),""))),"")</x:f>
      </x:c>
    </x:row>
    <x:row r="714">
      <x:c r="A714" t="n">
        <x:f>713</x:f>
        <x:v>713</x:v>
      </x:c>
      <x:c r="B714" s="7" t="n">
        <x:f>IF('요약'!$B$4=4,IF(ISNUMBER('input'!A714),'input'!A714,""),IF(713&lt;=1000,CHOOSE('요약'!$B$4,'input'!B714,'input'!C714,'input'!D714),""))</x:f>
        <x:v>-0.013775728794797755</x:v>
      </x:c>
      <x:c r="C714" s="7" t="n">
        <x:f>IF(AND(ISNUMBER(B714),'요약'!$B$19),B714-'요약'!$B$7,"")</x:f>
        <x:v>-0.013727489467748254</x:v>
      </x:c>
      <x:c r="D714" s="7" t="n">
        <x:f>IF(ISNUMBER(C714),C714^2,"")</x:f>
        <x:v>0.00018844396708713924</x:v>
      </x:c>
      <x:c r="E714" s="15" t="n">
        <x:f>IF(ISNUMBER(C714),C714^3,"")</x:f>
        <x:v>-0.0000025868625734494025</x:v>
      </x:c>
      <x:c r="F714" s="15" t="n">
        <x:f>IF(ISNUMBER(C714),C714^4,"")</x:f>
        <x:v>3.551112873153882e-8</x:v>
      </x:c>
      <x:c r="G714" s="7" t="n">
        <x:f>IF(ISNUMBER(B714),ABS(B714),"")</x:f>
        <x:v>0.013775728794797755</x:v>
      </x:c>
      <x:c r="H714" s="7" t="n">
        <x:f>IF(ISNUMBER(B714),B714^2,"")</x:f>
        <x:v>0.00018977070382782</x:v>
      </x:c>
      <x:c r="I714" s="7" t="n">
        <x:f>IF(AND(ISNUMBER(G714),'요약'!$B$19),G714-'요약'!$B$14,"")</x:f>
        <x:v>0.005762212167394899</x:v>
      </x:c>
      <x:c r="J714" s="7" t="n">
        <x:f>IF(AND(ISNUMBER(H714),'요약'!$B$19),H714-'요약'!$B$15,"")</x:f>
        <x:v>0.00008756100464172789</x:v>
      </x:c>
      <x:c r="K714" t="n">
        <x:f>IF(ISNUMBER(B714),IF('Hill'!$B$4=1,IF(B714&lt;0,-B714,""),IF('Hill'!$B$4=2,IF(B714&gt;0,B714,""),IF('Hill'!$B$4=3,IF(B714&lt;&gt;0,ABS(B714),""),""))),"")</x:f>
        <x:v>0.013775728794797755</x:v>
      </x:c>
    </x:row>
    <x:row r="715">
      <x:c r="A715" t="n">
        <x:f>714</x:f>
        <x:v>714</x:v>
      </x:c>
      <x:c r="B715" s="7" t="n">
        <x:f>IF('요약'!$B$4=4,IF(ISNUMBER('input'!A715),'input'!A715,""),IF(714&lt;=1000,CHOOSE('요약'!$B$4,'input'!B715,'input'!C715,'input'!D715),""))</x:f>
        <x:v>0.013777826991247015</x:v>
      </x:c>
      <x:c r="C715" s="7" t="n">
        <x:f>IF(AND(ISNUMBER(B715),'요약'!$B$19),B715-'요약'!$B$7,"")</x:f>
        <x:v>0.013826066318296516</x:v>
      </x:c>
      <x:c r="D715" s="7" t="n">
        <x:f>IF(ISNUMBER(C715),C715^2,"")</x:f>
        <x:v>0.00019116010983793338</x:v>
      </x:c>
      <x:c r="E715" s="15" t="n">
        <x:f>IF(ISNUMBER(C715),C715^3,"")</x:f>
        <x:v>0.000002642992356032113</x:v>
      </x:c>
      <x:c r="F715" s="15" t="n">
        <x:f>IF(ISNUMBER(C715),C715^4,"")</x:f>
        <x:v>3.6542187593250746e-8</x:v>
      </x:c>
      <x:c r="G715" s="7" t="n">
        <x:f>IF(ISNUMBER(B715),ABS(B715),"")</x:f>
        <x:v>0.013777826991247015</x:v>
      </x:c>
      <x:c r="H715" s="7" t="n">
        <x:f>IF(ISNUMBER(B715),B715^2,"")</x:f>
        <x:v>0.00018982851660073478</x:v>
      </x:c>
      <x:c r="I715" s="7" t="n">
        <x:f>IF(AND(ISNUMBER(G715),'요약'!$B$19),G715-'요약'!$B$14,"")</x:f>
        <x:v>0.00576431036384416</x:v>
      </x:c>
      <x:c r="J715" s="7" t="n">
        <x:f>IF(AND(ISNUMBER(H715),'요약'!$B$19),H715-'요약'!$B$15,"")</x:f>
        <x:v>0.00008761881741464267</x:v>
      </x:c>
      <x:c r="K715" t="str">
        <x:f>IF(ISNUMBER(B715),IF('Hill'!$B$4=1,IF(B715&lt;0,-B715,""),IF('Hill'!$B$4=2,IF(B715&gt;0,B715,""),IF('Hill'!$B$4=3,IF(B715&lt;&gt;0,ABS(B715),""),""))),"")</x:f>
      </x:c>
    </x:row>
    <x:row r="716">
      <x:c r="A716" t="n">
        <x:f>715</x:f>
        <x:v>715</x:v>
      </x:c>
      <x:c r="B716" s="7" t="n">
        <x:f>IF('요약'!$B$4=4,IF(ISNUMBER('input'!A716),'input'!A716,""),IF(715&lt;=1000,CHOOSE('요약'!$B$4,'input'!B716,'input'!C716,'input'!D716),""))</x:f>
        <x:v>-0.002354332306926723</x:v>
      </x:c>
      <x:c r="C716" s="7" t="n">
        <x:f>IF(AND(ISNUMBER(B716),'요약'!$B$19),B716-'요약'!$B$7,"")</x:f>
        <x:v>-0.0023060929798772215</x:v>
      </x:c>
      <x:c r="D716" s="7" t="n">
        <x:f>IF(ISNUMBER(C716),C716^2,"")</x:f>
        <x:v>0.000005318064831839003</x:v>
      </x:c>
      <x:c r="E716" s="15" t="n">
        <x:f>IF(ISNUMBER(C716),C716^3,"")</x:f>
        <x:v>-1.2263951975235861e-8</x:v>
      </x:c>
      <x:c r="F716" s="15" t="n">
        <x:f>IF(ISNUMBER(C716),C716^4,"")</x:f>
        <x:v>2.8281813555642806e-11</x:v>
      </x:c>
      <x:c r="G716" s="7" t="n">
        <x:f>IF(ISNUMBER(B716),ABS(B716),"")</x:f>
        <x:v>0.002354332306926723</x:v>
      </x:c>
      <x:c r="H716" s="7" t="n">
        <x:f>IF(ISNUMBER(B716),B716^2,"")</x:f>
        <x:v>0.000005542880611438905</x:v>
      </x:c>
      <x:c r="I716" s="7" t="n">
        <x:f>IF(AND(ISNUMBER(G716),'요약'!$B$19),G716-'요약'!$B$14,"")</x:f>
        <x:v>-0.005659184320476133</x:v>
      </x:c>
      <x:c r="J716" s="7" t="n">
        <x:f>IF(AND(ISNUMBER(H716),'요약'!$B$19),H716-'요약'!$B$15,"")</x:f>
        <x:v>-0.0000966668185746532</x:v>
      </x:c>
      <x:c r="K716" t="n">
        <x:f>IF(ISNUMBER(B716),IF('Hill'!$B$4=1,IF(B716&lt;0,-B716,""),IF('Hill'!$B$4=2,IF(B716&gt;0,B716,""),IF('Hill'!$B$4=3,IF(B716&lt;&gt;0,ABS(B716),""),""))),"")</x:f>
        <x:v>0.002354332306926723</x:v>
      </x:c>
    </x:row>
    <x:row r="717">
      <x:c r="A717" t="n">
        <x:f>716</x:f>
        <x:v>716</x:v>
      </x:c>
      <x:c r="B717" s="7" t="n">
        <x:f>IF('요약'!$B$4=4,IF(ISNUMBER('input'!A717),'input'!A717,""),IF(716&lt;=1000,CHOOSE('요약'!$B$4,'input'!B717,'input'!C717,'input'!D717),""))</x:f>
        <x:v>0.004171770387810964</x:v>
      </x:c>
      <x:c r="C717" s="7" t="n">
        <x:f>IF(AND(ISNUMBER(B717),'요약'!$B$19),B717-'요약'!$B$7,"")</x:f>
        <x:v>0.004220009714860465</x:v>
      </x:c>
      <x:c r="D717" s="7" t="n">
        <x:f>IF(ISNUMBER(C717),C717^2,"")</x:f>
        <x:v>0.000017808481993516706</x:v>
      </x:c>
      <x:c r="E717" s="15" t="n">
        <x:f>IF(ISNUMBER(C717),C717^3,"")</x:f>
        <x:v>7.515196701955817e-8</x:v>
      </x:c>
      <x:c r="F717" s="15" t="n">
        <x:f>IF(ISNUMBER(C717),C717^4,"")</x:f>
        <x:v>3.1714203091340876e-10</x:v>
      </x:c>
      <x:c r="G717" s="7" t="n">
        <x:f>IF(ISNUMBER(B717),ABS(B717),"")</x:f>
        <x:v>0.004171770387810964</x:v>
      </x:c>
      <x:c r="H717" s="7" t="n">
        <x:f>IF(ISNUMBER(B717),B717^2,"")</x:f>
        <x:v>0.00001740366816861644</x:v>
      </x:c>
      <x:c r="I717" s="7" t="n">
        <x:f>IF(AND(ISNUMBER(G717),'요약'!$B$19),G717-'요약'!$B$14,"")</x:f>
        <x:v>-0.0038417462395918915</x:v>
      </x:c>
      <x:c r="J717" s="7" t="n">
        <x:f>IF(AND(ISNUMBER(H717),'요약'!$B$19),H717-'요약'!$B$15,"")</x:f>
        <x:v>-0.00008480603101747566</x:v>
      </x:c>
      <x:c r="K717" t="str">
        <x:f>IF(ISNUMBER(B717),IF('Hill'!$B$4=1,IF(B717&lt;0,-B717,""),IF('Hill'!$B$4=2,IF(B717&gt;0,B717,""),IF('Hill'!$B$4=3,IF(B717&lt;&gt;0,ABS(B717),""),""))),"")</x:f>
      </x:c>
    </x:row>
    <x:row r="718">
      <x:c r="A718" t="n">
        <x:f>717</x:f>
        <x:v>717</x:v>
      </x:c>
      <x:c r="B718" s="7" t="n">
        <x:f>IF('요약'!$B$4=4,IF(ISNUMBER('input'!A718),'input'!A718,""),IF(717&lt;=1000,CHOOSE('요약'!$B$4,'input'!B718,'input'!C718,'input'!D718),""))</x:f>
        <x:v>-0.01607405948055355</x:v>
      </x:c>
      <x:c r="C718" s="7" t="n">
        <x:f>IF(AND(ISNUMBER(B718),'요약'!$B$19),B718-'요약'!$B$7,"")</x:f>
        <x:v>-0.01602582015350405</x:v>
      </x:c>
      <x:c r="D718" s="7" t="n">
        <x:f>IF(ISNUMBER(C718),C718^2,"")</x:f>
        <x:v>0.00025682691159245656</x:v>
      </x:c>
      <x:c r="E718" s="15" t="n">
        <x:f>IF(ISNUMBER(C718),C718^3,"")</x:f>
        <x:v>-0.000004115861895760593</x:v>
      </x:c>
      <x:c r="F718" s="15" t="n">
        <x:f>IF(ISNUMBER(C718),C718^4,"")</x:f>
        <x:v>6.59600625181195e-8</x:v>
      </x:c>
      <x:c r="G718" s="7" t="n">
        <x:f>IF(ISNUMBER(B718),ABS(B718),"")</x:f>
        <x:v>0.01607405948055355</x:v>
      </x:c>
      <x:c r="H718" s="7" t="n">
        <x:f>IF(ISNUMBER(B718),B718^2,"")</x:f>
        <x:v>0.00025837538818437346</x:v>
      </x:c>
      <x:c r="I718" s="7" t="n">
        <x:f>IF(AND(ISNUMBER(G718),'요약'!$B$19),G718-'요약'!$B$14,"")</x:f>
        <x:v>0.008060542853150695</x:v>
      </x:c>
      <x:c r="J718" s="7" t="n">
        <x:f>IF(AND(ISNUMBER(H718),'요약'!$B$19),H718-'요약'!$B$15,"")</x:f>
        <x:v>0.00015616568899828135</x:v>
      </x:c>
      <x:c r="K718" t="n">
        <x:f>IF(ISNUMBER(B718),IF('Hill'!$B$4=1,IF(B718&lt;0,-B718,""),IF('Hill'!$B$4=2,IF(B718&gt;0,B718,""),IF('Hill'!$B$4=3,IF(B718&lt;&gt;0,ABS(B718),""),""))),"")</x:f>
        <x:v>0.01607405948055355</x:v>
      </x:c>
    </x:row>
    <x:row r="719">
      <x:c r="A719" t="n">
        <x:f>718</x:f>
        <x:v>718</x:v>
      </x:c>
      <x:c r="B719" s="7" t="n">
        <x:f>IF('요약'!$B$4=4,IF(ISNUMBER('input'!A719),'input'!A719,""),IF(718&lt;=1000,CHOOSE('요약'!$B$4,'input'!B719,'input'!C719,'input'!D719),""))</x:f>
        <x:v>-0.0005458388091806941</x:v>
      </x:c>
      <x:c r="C719" s="7" t="n">
        <x:f>IF(AND(ISNUMBER(B719),'요약'!$B$19),B719-'요약'!$B$7,"")</x:f>
        <x:v>-0.0004975994821311928</x:v>
      </x:c>
      <x:c r="D719" s="7" t="n">
        <x:f>IF(ISNUMBER(C719),C719^2,"")</x:f>
        <x:v>2.476052446172312e-7</x:v>
      </x:c>
      <x:c r="E719" s="15" t="n">
        <x:f>IF(ISNUMBER(C719),C719^3,"")</x:f>
        <x:v>-1.2320824149450157e-10</x:v>
      </x:c>
      <x:c r="F719" s="15" t="n">
        <x:f>IF(ISNUMBER(C719),C719^4,"")</x:f>
        <x:v>6.130835716195892e-14</x:v>
      </x:c>
      <x:c r="G719" s="7" t="n">
        <x:f>IF(ISNUMBER(B719),ABS(B719),"")</x:f>
        <x:v>0.0005458388091806941</x:v>
      </x:c>
      <x:c r="H719" s="7" t="n">
        <x:f>IF(ISNUMBER(B719),B719^2,"")</x:f>
        <x:v>2.9794000560779823e-7</x:v>
      </x:c>
      <x:c r="I719" s="7" t="n">
        <x:f>IF(AND(ISNUMBER(G719),'요약'!$B$19),G719-'요약'!$B$14,"")</x:f>
        <x:v>-0.007467677818222161</x:v>
      </x:c>
      <x:c r="J719" s="7" t="n">
        <x:f>IF(AND(ISNUMBER(H719),'요약'!$B$19),H719-'요약'!$B$15,"")</x:f>
        <x:v>-0.0001019117591804843</x:v>
      </x:c>
      <x:c r="K719" t="n">
        <x:f>IF(ISNUMBER(B719),IF('Hill'!$B$4=1,IF(B719&lt;0,-B719,""),IF('Hill'!$B$4=2,IF(B719&gt;0,B719,""),IF('Hill'!$B$4=3,IF(B719&lt;&gt;0,ABS(B719),""),""))),"")</x:f>
        <x:v>0.0005458388091806941</x:v>
      </x:c>
    </x:row>
    <x:row r="720">
      <x:c r="A720" t="n">
        <x:f>719</x:f>
        <x:v>719</x:v>
      </x:c>
      <x:c r="B720" s="7" t="n">
        <x:f>IF('요약'!$B$4=4,IF(ISNUMBER('input'!A720),'input'!A720,""),IF(719&lt;=1000,CHOOSE('요약'!$B$4,'input'!B720,'input'!C720,'input'!D720),""))</x:f>
        <x:v>0.0010203234177441412</x:v>
      </x:c>
      <x:c r="C720" s="7" t="n">
        <x:f>IF(AND(ISNUMBER(B720),'요약'!$B$19),B720-'요약'!$B$7,"")</x:f>
        <x:v>0.0010685627447936427</x:v>
      </x:c>
      <x:c r="D720" s="7" t="n">
        <x:f>IF(ISNUMBER(C720),C720^2,"")</x:f>
        <x:v>0.0000011418263395609236</x:v>
      </x:c>
      <x:c r="E720" s="15" t="n">
        <x:f>IF(ISNUMBER(C720),C720^3,"")</x:f>
        <x:v>1.2201130874788982e-9</x:v>
      </x:c>
      <x:c r="F720" s="15" t="n">
        <x:f>IF(ISNUMBER(C720),C720^4,"")</x:f>
        <x:v>1.3037673897150975e-12</x:v>
      </x:c>
      <x:c r="G720" s="7" t="n">
        <x:f>IF(ISNUMBER(B720),ABS(B720),"")</x:f>
        <x:v>0.0010203234177441412</x:v>
      </x:c>
      <x:c r="H720" s="7" t="n">
        <x:f>IF(ISNUMBER(B720),B720^2,"")</x:f>
        <x:v>0.0000010410598767970853</x:v>
      </x:c>
      <x:c r="I720" s="7" t="n">
        <x:f>IF(AND(ISNUMBER(G720),'요약'!$B$19),G720-'요약'!$B$14,"")</x:f>
        <x:v>-0.006993193209658714</x:v>
      </x:c>
      <x:c r="J720" s="7" t="n">
        <x:f>IF(AND(ISNUMBER(H720),'요약'!$B$19),H720-'요약'!$B$15,"")</x:f>
        <x:v>-0.00010116863930929501</x:v>
      </x:c>
      <x:c r="K720" t="str">
        <x:f>IF(ISNUMBER(B720),IF('Hill'!$B$4=1,IF(B720&lt;0,-B720,""),IF('Hill'!$B$4=2,IF(B720&gt;0,B720,""),IF('Hill'!$B$4=3,IF(B720&lt;&gt;0,ABS(B720),""),""))),"")</x:f>
      </x:c>
    </x:row>
    <x:row r="721">
      <x:c r="A721" t="n">
        <x:f>720</x:f>
        <x:v>720</x:v>
      </x:c>
      <x:c r="B721" s="7" t="n">
        <x:f>IF('요약'!$B$4=4,IF(ISNUMBER('input'!A721),'input'!A721,""),IF(720&lt;=1000,CHOOSE('요약'!$B$4,'input'!B721,'input'!C721,'input'!D721),""))</x:f>
        <x:v>0.00018121228057491588</x:v>
      </x:c>
      <x:c r="C721" s="7" t="n">
        <x:f>IF(AND(ISNUMBER(B721),'요약'!$B$19),B721-'요약'!$B$7,"")</x:f>
        <x:v>0.00022945160762441726</x:v>
      </x:c>
      <x:c r="D721" s="7" t="n">
        <x:f>IF(ISNUMBER(C721),C721^2,"")</x:f>
        <x:v>5.264804024142954e-8</x:v>
      </x:c>
      <x:c r="E721" s="15" t="n">
        <x:f>IF(ISNUMBER(C721),C721^3,"")</x:f>
        <x:v>1.208017747167102e-11</x:v>
      </x:c>
      <x:c r="F721" s="15" t="n">
        <x:f>IF(ISNUMBER(C721),C721^4,"")</x:f>
        <x:v>2.771816141263184e-15</x:v>
      </x:c>
      <x:c r="G721" s="7" t="n">
        <x:f>IF(ISNUMBER(B721),ABS(B721),"")</x:f>
        <x:v>0.00018121228057491588</x:v>
      </x:c>
      <x:c r="H721" s="7" t="n">
        <x:f>IF(ISNUMBER(B721),B721^2,"")</x:f>
        <x:v>3.283789063116203e-8</x:v>
      </x:c>
      <x:c r="I721" s="7" t="n">
        <x:f>IF(AND(ISNUMBER(G721),'요약'!$B$19),G721-'요약'!$B$14,"")</x:f>
        <x:v>-0.00783230434682794</x:v>
      </x:c>
      <x:c r="J721" s="7" t="n">
        <x:f>IF(AND(ISNUMBER(H721),'요약'!$B$19),H721-'요약'!$B$15,"")</x:f>
        <x:v>-0.00010217686129546094</x:v>
      </x:c>
      <x:c r="K721" t="str">
        <x:f>IF(ISNUMBER(B721),IF('Hill'!$B$4=1,IF(B721&lt;0,-B721,""),IF('Hill'!$B$4=2,IF(B721&gt;0,B721,""),IF('Hill'!$B$4=3,IF(B721&lt;&gt;0,ABS(B721),""),""))),"")</x:f>
      </x:c>
    </x:row>
    <x:row r="722">
      <x:c r="A722" t="n">
        <x:f>721</x:f>
        <x:v>721</x:v>
      </x:c>
      <x:c r="B722" s="7" t="n">
        <x:f>IF('요약'!$B$4=4,IF(ISNUMBER('input'!A722),'input'!A722,""),IF(721&lt;=1000,CHOOSE('요약'!$B$4,'input'!B722,'input'!C722,'input'!D722),""))</x:f>
        <x:v>-0.0057897424898058405</x:v>
      </x:c>
      <x:c r="C722" s="7" t="n">
        <x:f>IF(AND(ISNUMBER(B722),'요약'!$B$19),B722-'요약'!$B$7,"")</x:f>
        <x:v>-0.005741503162756339</x:v>
      </x:c>
      <x:c r="D722" s="7" t="n">
        <x:f>IF(ISNUMBER(C722),C722^2,"")</x:f>
        <x:v>0.000032964858567941045</x:v>
      </x:c>
      <x:c r="E722" s="15" t="n">
        <x:f>IF(ISNUMBER(C722),C722^3,"")</x:f>
        <x:v>-1.8926783972764892e-7</x:v>
      </x:c>
      <x:c r="F722" s="15" t="n">
        <x:f>IF(ISNUMBER(C722),C722^4,"")</x:f>
        <x:v>1.086681900404356e-9</x:v>
      </x:c>
      <x:c r="G722" s="7" t="n">
        <x:f>IF(ISNUMBER(B722),ABS(B722),"")</x:f>
        <x:v>0.0057897424898058405</x:v>
      </x:c>
      <x:c r="H722" s="7" t="n">
        <x:f>IF(ISNUMBER(B722),B722^2,"")</x:f>
        <x:v>0.000033521118098263136</x:v>
      </x:c>
      <x:c r="I722" s="7" t="n">
        <x:f>IF(AND(ISNUMBER(G722),'요약'!$B$19),G722-'요약'!$B$14,"")</x:f>
        <x:v>-0.002223774137597015</x:v>
      </x:c>
      <x:c r="J722" s="7" t="n">
        <x:f>IF(AND(ISNUMBER(H722),'요약'!$B$19),H722-'요약'!$B$15,"")</x:f>
        <x:v>-0.00006868858108782897</x:v>
      </x:c>
      <x:c r="K722" t="n">
        <x:f>IF(ISNUMBER(B722),IF('Hill'!$B$4=1,IF(B722&lt;0,-B722,""),IF('Hill'!$B$4=2,IF(B722&gt;0,B722,""),IF('Hill'!$B$4=3,IF(B722&lt;&gt;0,ABS(B722),""),""))),"")</x:f>
        <x:v>0.0057897424898058405</x:v>
      </x:c>
    </x:row>
    <x:row r="723">
      <x:c r="A723" t="n">
        <x:f>722</x:f>
        <x:v>722</x:v>
      </x:c>
      <x:c r="B723" s="7" t="n">
        <x:f>IF('요약'!$B$4=4,IF(ISNUMBER('input'!A723),'input'!A723,""),IF(722&lt;=1000,CHOOSE('요약'!$B$4,'input'!B723,'input'!C723,'input'!D723),""))</x:f>
        <x:v>-0.010110507199385974</x:v>
      </x:c>
      <x:c r="C723" s="7" t="n">
        <x:f>IF(AND(ISNUMBER(B723),'요약'!$B$19),B723-'요약'!$B$7,"")</x:f>
        <x:v>-0.010062267872336474</x:v>
      </x:c>
      <x:c r="D723" s="7" t="n">
        <x:f>IF(ISNUMBER(C723),C723^2,"")</x:f>
        <x:v>0.00010124923473465479</x:v>
      </x:c>
      <x:c r="E723" s="15" t="n">
        <x:f>IF(ISNUMBER(C723),C723^3,"")</x:f>
        <x:v>-0.000001018796921769171</x:v>
      </x:c>
      <x:c r="F723" s="15" t="n">
        <x:f>IF(ISNUMBER(C723),C723^4,"")</x:f>
        <x:v>1.0251407534353226e-8</x:v>
      </x:c>
      <x:c r="G723" s="7" t="n">
        <x:f>IF(ISNUMBER(B723),ABS(B723),"")</x:f>
        <x:v>0.010110507199385974</x:v>
      </x:c>
      <x:c r="H723" s="7" t="n">
        <x:f>IF(ISNUMBER(B723),B723^2,"")</x:f>
        <x:v>0.00010222235582883562</x:v>
      </x:c>
      <x:c r="I723" s="7" t="n">
        <x:f>IF(AND(ISNUMBER(G723),'요약'!$B$19),G723-'요약'!$B$14,"")</x:f>
        <x:v>0.002096990571983119</x:v>
      </x:c>
      <x:c r="J723" s="7" t="n">
        <x:f>IF(AND(ISNUMBER(H723),'요약'!$B$19),H723-'요약'!$B$15,"")</x:f>
        <x:v>1.2656642743515308e-8</x:v>
      </x:c>
      <x:c r="K723" t="n">
        <x:f>IF(ISNUMBER(B723),IF('Hill'!$B$4=1,IF(B723&lt;0,-B723,""),IF('Hill'!$B$4=2,IF(B723&gt;0,B723,""),IF('Hill'!$B$4=3,IF(B723&lt;&gt;0,ABS(B723),""),""))),"")</x:f>
        <x:v>0.010110507199385974</x:v>
      </x:c>
    </x:row>
    <x:row r="724">
      <x:c r="A724" t="n">
        <x:f>723</x:f>
        <x:v>723</x:v>
      </x:c>
      <x:c r="B724" s="7" t="n">
        <x:f>IF('요약'!$B$4=4,IF(ISNUMBER('input'!A724),'input'!A724,""),IF(723&lt;=1000,CHOOSE('요약'!$B$4,'input'!B724,'input'!C724,'input'!D724),""))</x:f>
        <x:v>0.00045695634343885657</x:v>
      </x:c>
      <x:c r="C724" s="7" t="n">
        <x:f>IF(AND(ISNUMBER(B724),'요약'!$B$19),B724-'요약'!$B$7,"")</x:f>
        <x:v>0.0005051956704883579</x:v>
      </x:c>
      <x:c r="D724" s="7" t="n">
        <x:f>IF(ISNUMBER(C724),C724^2,"")</x:f>
        <x:v>2.552226654801815e-7</x:v>
      </x:c>
      <x:c r="E724" s="15" t="n">
        <x:f>IF(ISNUMBER(C724),C724^3,"")</x:f>
        <x:v>1.289373856110862e-10</x:v>
      </x:c>
      <x:c r="F724" s="15" t="n">
        <x:f>IF(ISNUMBER(C724),C724^4,"")</x:f>
        <x:v>6.513860897480863e-14</x:v>
      </x:c>
      <x:c r="G724" s="7" t="n">
        <x:f>IF(ISNUMBER(B724),ABS(B724),"")</x:f>
        <x:v>0.00045695634343885657</x:v>
      </x:c>
      <x:c r="H724" s="7" t="n">
        <x:f>IF(ISNUMBER(B724),B724^2,"")</x:f>
        <x:v>2.0880909980901024e-7</x:v>
      </x:c>
      <x:c r="I724" s="7" t="n">
        <x:f>IF(AND(ISNUMBER(G724),'요약'!$B$19),G724-'요약'!$B$14,"")</x:f>
        <x:v>-0.0075565602839639985</x:v>
      </x:c>
      <x:c r="J724" s="7" t="n">
        <x:f>IF(AND(ISNUMBER(H724),'요약'!$B$19),H724-'요약'!$B$15,"")</x:f>
        <x:v>-0.00010200089008628309</x:v>
      </x:c>
      <x:c r="K724" t="str">
        <x:f>IF(ISNUMBER(B724),IF('Hill'!$B$4=1,IF(B724&lt;0,-B724,""),IF('Hill'!$B$4=2,IF(B724&gt;0,B724,""),IF('Hill'!$B$4=3,IF(B724&lt;&gt;0,ABS(B724),""),""))),"")</x:f>
      </x:c>
    </x:row>
    <x:row r="725">
      <x:c r="A725" t="n">
        <x:f>724</x:f>
        <x:v>724</x:v>
      </x:c>
      <x:c r="B725" s="7" t="n">
        <x:f>IF('요약'!$B$4=4,IF(ISNUMBER('input'!A725),'input'!A725,""),IF(724&lt;=1000,CHOOSE('요약'!$B$4,'input'!B725,'input'!C725,'input'!D725),""))</x:f>
        <x:v>-0.016670850150673374</x:v>
      </x:c>
      <x:c r="C725" s="7" t="n">
        <x:f>IF(AND(ISNUMBER(B725),'요약'!$B$19),B725-'요약'!$B$7,"")</x:f>
        <x:v>-0.016622610823623873</x:v>
      </x:c>
      <x:c r="D725" s="7" t="n">
        <x:f>IF(ISNUMBER(C725),C725^2,"")</x:f>
        <x:v>0.00027631119059365756</x:v>
      </x:c>
      <x:c r="E725" s="15" t="n">
        <x:f>IF(ISNUMBER(C725),C725^3,"")</x:f>
        <x:v>-0.000004593013387450531</x:v>
      </x:c>
      <x:c r="F725" s="15" t="n">
        <x:f>IF(ISNUMBER(C725),C725^4,"")</x:f>
        <x:v>7.634787404728455e-8</x:v>
      </x:c>
      <x:c r="G725" s="7" t="n">
        <x:f>IF(ISNUMBER(B725),ABS(B725),"")</x:f>
        <x:v>0.016670850150673374</x:v>
      </x:c>
      <x:c r="H725" s="7" t="n">
        <x:f>IF(ISNUMBER(B725),B725^2,"")</x:f>
        <x:v>0.00027791724474620646</x:v>
      </x:c>
      <x:c r="I725" s="7" t="n">
        <x:f>IF(AND(ISNUMBER(G725),'요약'!$B$19),G725-'요약'!$B$14,"")</x:f>
        <x:v>0.008657333523270519</x:v>
      </x:c>
      <x:c r="J725" s="7" t="n">
        <x:f>IF(AND(ISNUMBER(H725),'요약'!$B$19),H725-'요약'!$B$15,"")</x:f>
        <x:v>0.00017570754556011435</x:v>
      </x:c>
      <x:c r="K725" t="n">
        <x:f>IF(ISNUMBER(B725),IF('Hill'!$B$4=1,IF(B725&lt;0,-B725,""),IF('Hill'!$B$4=2,IF(B725&gt;0,B725,""),IF('Hill'!$B$4=3,IF(B725&lt;&gt;0,ABS(B725),""),""))),"")</x:f>
        <x:v>0.016670850150673374</x:v>
      </x:c>
    </x:row>
    <x:row r="726">
      <x:c r="A726" t="n">
        <x:f>725</x:f>
        <x:v>725</x:v>
      </x:c>
      <x:c r="B726" s="7" t="n">
        <x:f>IF('요약'!$B$4=4,IF(ISNUMBER('input'!A726),'input'!A726,""),IF(725&lt;=1000,CHOOSE('요약'!$B$4,'input'!B726,'input'!C726,'input'!D726),""))</x:f>
        <x:v>-0.017037754037745403</x:v>
      </x:c>
      <x:c r="C726" s="7" t="n">
        <x:f>IF(AND(ISNUMBER(B726),'요약'!$B$19),B726-'요약'!$B$7,"")</x:f>
        <x:v>-0.016989514710695902</x:v>
      </x:c>
      <x:c r="D726" s="7" t="n">
        <x:f>IF(ISNUMBER(C726),C726^2,"")</x:f>
        <x:v>0.00028864361010495245</x:v>
      </x:c>
      <x:c r="E726" s="15" t="n">
        <x:f>IF(ISNUMBER(C726),C726^3,"")</x:f>
        <x:v>-0.000004903914860026462</x:v>
      </x:c>
      <x:c r="F726" s="15" t="n">
        <x:f>IF(ISNUMBER(C726),C726^4,"")</x:f>
        <x:v>8.331513365441982e-8</x:v>
      </x:c>
      <x:c r="G726" s="7" t="n">
        <x:f>IF(ISNUMBER(B726),ABS(B726),"")</x:f>
        <x:v>0.017037754037745403</x:v>
      </x:c>
      <x:c r="H726" s="7" t="n">
        <x:f>IF(ISNUMBER(B726),B726^2,"")</x:f>
        <x:v>0.00029028506265070975</x:v>
      </x:c>
      <x:c r="I726" s="7" t="n">
        <x:f>IF(AND(ISNUMBER(G726),'요약'!$B$19),G726-'요약'!$B$14,"")</x:f>
        <x:v>0.009024237410342547</x:v>
      </x:c>
      <x:c r="J726" s="7" t="n">
        <x:f>IF(AND(ISNUMBER(H726),'요약'!$B$19),H726-'요약'!$B$15,"")</x:f>
        <x:v>0.00018807536346461765</x:v>
      </x:c>
      <x:c r="K726" t="n">
        <x:f>IF(ISNUMBER(B726),IF('Hill'!$B$4=1,IF(B726&lt;0,-B726,""),IF('Hill'!$B$4=2,IF(B726&gt;0,B726,""),IF('Hill'!$B$4=3,IF(B726&lt;&gt;0,ABS(B726),""),""))),"")</x:f>
        <x:v>0.017037754037745403</x:v>
      </x:c>
    </x:row>
    <x:row r="727">
      <x:c r="A727" t="n">
        <x:f>726</x:f>
        <x:v>726</x:v>
      </x:c>
      <x:c r="B727" s="7" t="n">
        <x:f>IF('요약'!$B$4=4,IF(ISNUMBER('input'!A727),'input'!A727,""),IF(726&lt;=1000,CHOOSE('요약'!$B$4,'input'!B727,'input'!C727,'input'!D727),""))</x:f>
        <x:v>0.0035603147227001074</x:v>
      </x:c>
      <x:c r="C727" s="7" t="n">
        <x:f>IF(AND(ISNUMBER(B727),'요약'!$B$19),B727-'요약'!$B$7,"")</x:f>
        <x:v>0.003608554049749609</x:v>
      </x:c>
      <x:c r="D727" s="7" t="n">
        <x:f>IF(ISNUMBER(C727),C727^2,"")</x:f>
        <x:v>0.000013021662329964302</x:v>
      </x:c>
      <x:c r="E727" s="15" t="n">
        <x:f>IF(ISNUMBER(C727),C727^3,"")</x:f>
        <x:v>4.698937233526461e-8</x:v>
      </x:c>
      <x:c r="F727" s="15" t="n">
        <x:f>IF(ISNUMBER(C727),C727^4,"")</x:f>
        <x:v>1.6956368983561135e-10</x:v>
      </x:c>
      <x:c r="G727" s="7" t="n">
        <x:f>IF(ISNUMBER(B727),ABS(B727),"")</x:f>
        <x:v>0.0035603147227001074</x:v>
      </x:c>
      <x:c r="H727" s="7" t="n">
        <x:f>IF(ISNUMBER(B727),B727^2,"")</x:f>
        <x:v>0.000012675840924675142</x:v>
      </x:c>
      <x:c r="I727" s="7" t="n">
        <x:f>IF(AND(ISNUMBER(G727),'요약'!$B$19),G727-'요약'!$B$14,"")</x:f>
        <x:v>-0.004453201904702748</x:v>
      </x:c>
      <x:c r="J727" s="7" t="n">
        <x:f>IF(AND(ISNUMBER(H727),'요약'!$B$19),H727-'요약'!$B$15,"")</x:f>
        <x:v>-0.00008953385826141696</x:v>
      </x:c>
      <x:c r="K727" t="str">
        <x:f>IF(ISNUMBER(B727),IF('Hill'!$B$4=1,IF(B727&lt;0,-B727,""),IF('Hill'!$B$4=2,IF(B727&gt;0,B727,""),IF('Hill'!$B$4=3,IF(B727&lt;&gt;0,ABS(B727),""),""))),"")</x:f>
      </x:c>
    </x:row>
    <x:row r="728">
      <x:c r="A728" t="n">
        <x:f>727</x:f>
        <x:v>727</x:v>
      </x:c>
      <x:c r="B728" s="7" t="n">
        <x:f>IF('요약'!$B$4=4,IF(ISNUMBER('input'!A728),'input'!A728,""),IF(727&lt;=1000,CHOOSE('요약'!$B$4,'input'!B728,'input'!C728,'input'!D728),""))</x:f>
        <x:v>0.008979217741843099</x:v>
      </x:c>
      <x:c r="C728" s="7" t="n">
        <x:f>IF(AND(ISNUMBER(B728),'요약'!$B$19),B728-'요약'!$B$7,"")</x:f>
        <x:v>0.009027457068892599</x:v>
      </x:c>
      <x:c r="D728" s="7" t="n">
        <x:f>IF(ISNUMBER(C728),C728^2,"")</x:f>
        <x:v>0.00008149498113069896</x:v>
      </x:c>
      <x:c r="E728" s="15" t="n">
        <x:f>IF(ISNUMBER(C728),C728^3,"")</x:f>
        <x:v>7.356924434875973e-7</x:v>
      </x:c>
      <x:c r="F728" s="15" t="n">
        <x:f>IF(ISNUMBER(C728),C728^4,"")</x:f>
        <x:v>6.641431949492979e-9</x:v>
      </x:c>
      <x:c r="G728" s="7" t="n">
        <x:f>IF(ISNUMBER(B728),ABS(B728),"")</x:f>
        <x:v>0.008979217741843099</x:v>
      </x:c>
      <x:c r="H728" s="7" t="n">
        <x:f>IF(ISNUMBER(B728),B728^2,"")</x:f>
        <x:v>0.00008062635125542988</x:v>
      </x:c>
      <x:c r="I728" s="7" t="n">
        <x:f>IF(AND(ISNUMBER(G728),'요약'!$B$19),G728-'요약'!$B$14,"")</x:f>
        <x:v>0.0009657011144402431</x:v>
      </x:c>
      <x:c r="J728" s="7" t="n">
        <x:f>IF(AND(ISNUMBER(H728),'요약'!$B$19),H728-'요약'!$B$15,"")</x:f>
        <x:v>-0.000021583347930662227</x:v>
      </x:c>
      <x:c r="K728" t="str">
        <x:f>IF(ISNUMBER(B728),IF('Hill'!$B$4=1,IF(B728&lt;0,-B728,""),IF('Hill'!$B$4=2,IF(B728&gt;0,B728,""),IF('Hill'!$B$4=3,IF(B728&lt;&gt;0,ABS(B728),""),""))),"")</x:f>
      </x:c>
    </x:row>
    <x:row r="729">
      <x:c r="A729" t="n">
        <x:f>728</x:f>
        <x:v>728</x:v>
      </x:c>
      <x:c r="B729" s="7" t="n">
        <x:f>IF('요약'!$B$4=4,IF(ISNUMBER('input'!A729),'input'!A729,""),IF(728&lt;=1000,CHOOSE('요약'!$B$4,'input'!B729,'input'!C729,'input'!D729),""))</x:f>
        <x:v>-0.005567635335377267</x:v>
      </x:c>
      <x:c r="C729" s="7" t="n">
        <x:f>IF(AND(ISNUMBER(B729),'요약'!$B$19),B729-'요약'!$B$7,"")</x:f>
        <x:v>-0.005519396008327766</x:v>
      </x:c>
      <x:c r="D729" s="7" t="n">
        <x:f>IF(ISNUMBER(C729),C729^2,"")</x:f>
        <x:v>0.000030463732296744473</x:v>
      </x:c>
      <x:c r="E729" s="15" t="n">
        <x:f>IF(ISNUMBER(C729),C729^3,"")</x:f>
        <x:v>-1.6814140243741708e-7</x:v>
      </x:c>
      <x:c r="F729" s="15" t="n">
        <x:f>IF(ISNUMBER(C729),C729^4,"")</x:f>
        <x:v>9.280389854477124e-10</x:v>
      </x:c>
      <x:c r="G729" s="7" t="n">
        <x:f>IF(ISNUMBER(B729),ABS(B729),"")</x:f>
        <x:v>0.005567635335377267</x:v>
      </x:c>
      <x:c r="H729" s="7" t="n">
        <x:f>IF(ISNUMBER(B729),B729^2,"")</x:f>
        <x:v>0.000030998563227741536</x:v>
      </x:c>
      <x:c r="I729" s="7" t="n">
        <x:f>IF(AND(ISNUMBER(G729),'요약'!$B$19),G729-'요약'!$B$14,"")</x:f>
        <x:v>-0.002445881292025588</x:v>
      </x:c>
      <x:c r="J729" s="7" t="n">
        <x:f>IF(AND(ISNUMBER(H729),'요약'!$B$19),H729-'요약'!$B$15,"")</x:f>
        <x:v>-0.00007121113595835057</x:v>
      </x:c>
      <x:c r="K729" t="n">
        <x:f>IF(ISNUMBER(B729),IF('Hill'!$B$4=1,IF(B729&lt;0,-B729,""),IF('Hill'!$B$4=2,IF(B729&gt;0,B729,""),IF('Hill'!$B$4=3,IF(B729&lt;&gt;0,ABS(B729),""),""))),"")</x:f>
        <x:v>0.005567635335377267</x:v>
      </x:c>
    </x:row>
    <x:row r="730">
      <x:c r="A730" t="n">
        <x:f>729</x:f>
        <x:v>729</x:v>
      </x:c>
      <x:c r="B730" s="7" t="n">
        <x:f>IF('요약'!$B$4=4,IF(ISNUMBER('input'!A730),'input'!A730,""),IF(729&lt;=1000,CHOOSE('요약'!$B$4,'input'!B730,'input'!C730,'input'!D730),""))</x:f>
        <x:v>0.002575556422708686</x:v>
      </x:c>
      <x:c r="C730" s="7" t="n">
        <x:f>IF(AND(ISNUMBER(B730),'요약'!$B$19),B730-'요약'!$B$7,"")</x:f>
        <x:v>0.0026237957497581873</x:v>
      </x:c>
      <x:c r="D730" s="7" t="n">
        <x:f>IF(ISNUMBER(C730),C730^2,"")</x:f>
        <x:v>0.000006884304136449128</x:v>
      </x:c>
      <x:c r="E730" s="15" t="n">
        <x:f>IF(ISNUMBER(C730),C730^3,"")</x:f>
        <x:v>1.806300793325793e-8</x:v>
      </x:c>
      <x:c r="F730" s="15" t="n">
        <x:f>IF(ISNUMBER(C730),C730^4,"")</x:f>
        <x:v>4.739364344313058e-11</x:v>
      </x:c>
      <x:c r="G730" s="7" t="n">
        <x:f>IF(ISNUMBER(B730),ABS(B730),"")</x:f>
        <x:v>0.002575556422708686</x:v>
      </x:c>
      <x:c r="H730" s="7" t="n">
        <x:f>IF(ISNUMBER(B730),B730^2,"")</x:f>
        <x:v>0.000006633490886555963</x:v>
      </x:c>
      <x:c r="I730" s="7" t="n">
        <x:f>IF(AND(ISNUMBER(G730),'요약'!$B$19),G730-'요약'!$B$14,"")</x:f>
        <x:v>-0.00543796020469417</x:v>
      </x:c>
      <x:c r="J730" s="7" t="n">
        <x:f>IF(AND(ISNUMBER(H730),'요약'!$B$19),H730-'요약'!$B$15,"")</x:f>
        <x:v>-0.00009557620829953614</x:v>
      </x:c>
      <x:c r="K730" t="str">
        <x:f>IF(ISNUMBER(B730),IF('Hill'!$B$4=1,IF(B730&lt;0,-B730,""),IF('Hill'!$B$4=2,IF(B730&gt;0,B730,""),IF('Hill'!$B$4=3,IF(B730&lt;&gt;0,ABS(B730),""),""))),"")</x:f>
      </x:c>
    </x:row>
    <x:row r="731">
      <x:c r="A731" t="n">
        <x:f>730</x:f>
        <x:v>730</x:v>
      </x:c>
      <x:c r="B731" s="7" t="n">
        <x:f>IF('요약'!$B$4=4,IF(ISNUMBER('input'!A731),'input'!A731,""),IF(730&lt;=1000,CHOOSE('요약'!$B$4,'input'!B731,'input'!C731,'input'!D731),""))</x:f>
        <x:v>0.015035944242245832</x:v>
      </x:c>
      <x:c r="C731" s="7" t="n">
        <x:f>IF(AND(ISNUMBER(B731),'요약'!$B$19),B731-'요약'!$B$7,"")</x:f>
        <x:v>0.015084183569295332</x:v>
      </x:c>
      <x:c r="D731" s="7" t="n">
        <x:f>IF(ISNUMBER(C731),C731^2,"")</x:f>
        <x:v>0.00022753259395219926</x:v>
      </x:c>
      <x:c r="E731" s="15" t="n">
        <x:f>IF(ISNUMBER(C731),C731^3,"")</x:f>
        <x:v>0.000003432143415172911</x:v>
      </x:c>
      <x:c r="F731" s="15" t="n">
        <x:f>IF(ISNUMBER(C731),C731^4,"")</x:f>
        <x:v>5.177108131061639e-8</x:v>
      </x:c>
      <x:c r="G731" s="7" t="n">
        <x:f>IF(ISNUMBER(B731),ABS(B731),"")</x:f>
        <x:v>0.015035944242245832</x:v>
      </x:c>
      <x:c r="H731" s="7" t="n">
        <x:f>IF(ISNUMBER(B731),B731^2,"")</x:f>
        <x:v>0.00022607961925592558</x:v>
      </x:c>
      <x:c r="I731" s="7" t="n">
        <x:f>IF(AND(ISNUMBER(G731),'요약'!$B$19),G731-'요약'!$B$14,"")</x:f>
        <x:v>0.007022427614842976</x:v>
      </x:c>
      <x:c r="J731" s="7" t="n">
        <x:f>IF(AND(ISNUMBER(H731),'요약'!$B$19),H731-'요약'!$B$15,"")</x:f>
        <x:v>0.00012386992006983347</x:v>
      </x:c>
      <x:c r="K731" t="str">
        <x:f>IF(ISNUMBER(B731),IF('Hill'!$B$4=1,IF(B731&lt;0,-B731,""),IF('Hill'!$B$4=2,IF(B731&gt;0,B731,""),IF('Hill'!$B$4=3,IF(B731&lt;&gt;0,ABS(B731),""),""))),"")</x:f>
      </x:c>
    </x:row>
    <x:row r="732">
      <x:c r="A732" t="n">
        <x:f>731</x:f>
        <x:v>731</x:v>
      </x:c>
      <x:c r="B732" s="7" t="n">
        <x:f>IF('요약'!$B$4=4,IF(ISNUMBER('input'!A732),'input'!A732,""),IF(731&lt;=1000,CHOOSE('요약'!$B$4,'input'!B732,'input'!C732,'input'!D732),""))</x:f>
        <x:v>-0.02356588689366845</x:v>
      </x:c>
      <x:c r="C732" s="7" t="n">
        <x:f>IF(AND(ISNUMBER(B732),'요약'!$B$19),B732-'요약'!$B$7,"")</x:f>
        <x:v>-0.02351764756661895</x:v>
      </x:c>
      <x:c r="D732" s="7" t="n">
        <x:f>IF(ISNUMBER(C732),C732^2,"")</x:f>
        <x:v>0.0005530797470676981</x:v>
      </x:c>
      <x:c r="E732" s="15" t="n">
        <x:f>IF(ISNUMBER(C732),C732^3,"")</x:f>
        <x:v>-0.000013007134567772875</x:v>
      </x:c>
      <x:c r="F732" s="15" t="n">
        <x:f>IF(ISNUMBER(C732),C732^4,"")</x:f>
        <x:v>3.0589720661646897e-7</x:v>
      </x:c>
      <x:c r="G732" s="7" t="n">
        <x:f>IF(ISNUMBER(B732),ABS(B732),"")</x:f>
        <x:v>0.02356588689366845</x:v>
      </x:c>
      <x:c r="H732" s="7" t="n">
        <x:f>IF(ISNUMBER(B732),B732^2,"")</x:f>
        <x:v>0.0005553510250851744</x:v>
      </x:c>
      <x:c r="I732" s="7" t="n">
        <x:f>IF(AND(ISNUMBER(G732),'요약'!$B$19),G732-'요약'!$B$14,"")</x:f>
        <x:v>0.015552370266265594</x:v>
      </x:c>
      <x:c r="J732" s="7" t="n">
        <x:f>IF(AND(ISNUMBER(H732),'요약'!$B$19),H732-'요약'!$B$15,"")</x:f>
        <x:v>0.00045314132589908236</x:v>
      </x:c>
      <x:c r="K732" t="n">
        <x:f>IF(ISNUMBER(B732),IF('Hill'!$B$4=1,IF(B732&lt;0,-B732,""),IF('Hill'!$B$4=2,IF(B732&gt;0,B732,""),IF('Hill'!$B$4=3,IF(B732&lt;&gt;0,ABS(B732),""),""))),"")</x:f>
        <x:v>0.02356588689366845</x:v>
      </x:c>
    </x:row>
    <x:row r="733">
      <x:c r="A733" t="n">
        <x:f>732</x:f>
        <x:v>732</x:v>
      </x:c>
      <x:c r="B733" s="7" t="n">
        <x:f>IF('요약'!$B$4=4,IF(ISNUMBER('input'!A733),'input'!A733,""),IF(732&lt;=1000,CHOOSE('요약'!$B$4,'input'!B733,'input'!C733,'input'!D733),""))</x:f>
        <x:v>0.0023857689942200656</x:v>
      </x:c>
      <x:c r="C733" s="7" t="n">
        <x:f>IF(AND(ISNUMBER(B733),'요약'!$B$19),B733-'요약'!$B$7,"")</x:f>
        <x:v>0.002434008321269567</x:v>
      </x:c>
      <x:c r="D733" s="7" t="n">
        <x:f>IF(ISNUMBER(C733),C733^2,"")</x:f>
        <x:v>0.000005924396508009496</x:v>
      </x:c>
      <x:c r="E733" s="15" t="n">
        <x:f>IF(ISNUMBER(C733),C733^3,"")</x:f>
        <x:v>1.4420030398995478e-8</x:v>
      </x:c>
      <x:c r="F733" s="15" t="n">
        <x:f>IF(ISNUMBER(C733),C733^4,"")</x:f>
        <x:v>3.5098473984115106e-11</x:v>
      </x:c>
      <x:c r="G733" s="7" t="n">
        <x:f>IF(ISNUMBER(B733),ABS(B733),"")</x:f>
        <x:v>0.0023857689942200656</x:v>
      </x:c>
      <x:c r="H733" s="7" t="n">
        <x:f>IF(ISNUMBER(B733),B733^2,"")</x:f>
        <x:v>0.000005691893693781824</x:v>
      </x:c>
      <x:c r="I733" s="7" t="n">
        <x:f>IF(AND(ISNUMBER(G733),'요약'!$B$19),G733-'요약'!$B$14,"")</x:f>
        <x:v>-0.00562774763318279</x:v>
      </x:c>
      <x:c r="J733" s="7" t="n">
        <x:f>IF(AND(ISNUMBER(H733),'요약'!$B$19),H733-'요약'!$B$15,"")</x:f>
        <x:v>-0.00009651780549231029</x:v>
      </x:c>
      <x:c r="K733" t="str">
        <x:f>IF(ISNUMBER(B733),IF('Hill'!$B$4=1,IF(B733&lt;0,-B733,""),IF('Hill'!$B$4=2,IF(B733&gt;0,B733,""),IF('Hill'!$B$4=3,IF(B733&lt;&gt;0,ABS(B733),""),""))),"")</x:f>
      </x:c>
    </x:row>
    <x:row r="734">
      <x:c r="A734" t="n">
        <x:f>733</x:f>
        <x:v>733</x:v>
      </x:c>
      <x:c r="B734" s="7" t="n">
        <x:f>IF('요약'!$B$4=4,IF(ISNUMBER('input'!A734),'input'!A734,""),IF(733&lt;=1000,CHOOSE('요약'!$B$4,'input'!B734,'input'!C734,'input'!D734),""))</x:f>
        <x:v>-0.0007076713205349386</x:v>
      </x:c>
      <x:c r="C734" s="7" t="n">
        <x:f>IF(AND(ISNUMBER(B734),'요약'!$B$19),B734-'요약'!$B$7,"")</x:f>
        <x:v>-0.0006594319934854373</x:v>
      </x:c>
      <x:c r="D734" s="7" t="n">
        <x:f>IF(ISNUMBER(C734),C734^2,"")</x:f>
        <x:v>4.3485055403217783e-7</x:v>
      </x:c>
      <x:c r="E734" s="15" t="n">
        <x:f>IF(ISNUMBER(C734),C734^3,"")</x:f>
        <x:v>-2.8675436771368586e-10</x:v>
      </x:c>
      <x:c r="F734" s="15" t="n">
        <x:f>IF(ISNUMBER(C734),C734^4,"")</x:f>
        <x:v>1.8909500434209198e-13</x:v>
      </x:c>
      <x:c r="G734" s="7" t="n">
        <x:f>IF(ISNUMBER(B734),ABS(B734),"")</x:f>
        <x:v>0.0007076713205349386</x:v>
      </x:c>
      <x:c r="H734" s="7" t="n">
        <x:f>IF(ISNUMBER(B734),B734^2,"")</x:f>
        <x:v>5.007986979076639e-7</x:v>
      </x:c>
      <x:c r="I734" s="7" t="n">
        <x:f>IF(AND(ISNUMBER(G734),'요약'!$B$19),G734-'요약'!$B$14,"")</x:f>
        <x:v>-0.0073058453068679165</x:v>
      </x:c>
      <x:c r="J734" s="7" t="n">
        <x:f>IF(AND(ISNUMBER(H734),'요약'!$B$19),H734-'요약'!$B$15,"")</x:f>
        <x:v>-0.00010170890048818444</x:v>
      </x:c>
      <x:c r="K734" t="n">
        <x:f>IF(ISNUMBER(B734),IF('Hill'!$B$4=1,IF(B734&lt;0,-B734,""),IF('Hill'!$B$4=2,IF(B734&gt;0,B734,""),IF('Hill'!$B$4=3,IF(B734&lt;&gt;0,ABS(B734),""),""))),"")</x:f>
        <x:v>0.0007076713205349386</x:v>
      </x:c>
    </x:row>
    <x:row r="735">
      <x:c r="A735" t="n">
        <x:f>734</x:f>
        <x:v>734</x:v>
      </x:c>
      <x:c r="B735" s="7" t="n">
        <x:f>IF('요약'!$B$4=4,IF(ISNUMBER('input'!A735),'input'!A735,""),IF(734&lt;=1000,CHOOSE('요약'!$B$4,'input'!B735,'input'!C735,'input'!D735),""))</x:f>
        <x:v>-0.005409876655383346</x:v>
      </x:c>
      <x:c r="C735" s="7" t="n">
        <x:f>IF(AND(ISNUMBER(B735),'요약'!$B$19),B735-'요약'!$B$7,"")</x:f>
        <x:v>-0.005361637328333844</x:v>
      </x:c>
      <x:c r="D735" s="7" t="n">
        <x:f>IF(ISNUMBER(C735),C735^2,"")</x:f>
        <x:v>0.000028747154840582885</x:v>
      </x:c>
      <x:c r="E735" s="15" t="n">
        <x:f>IF(ISNUMBER(C735),C735^3,"")</x:f>
        <x:v>-1.5413181847666215e-7</x:v>
      </x:c>
      <x:c r="F735" s="15" t="n">
        <x:f>IF(ISNUMBER(C735),C735^4,"")</x:f>
        <x:v>8.263989114284479e-10</x:v>
      </x:c>
      <x:c r="G735" s="7" t="n">
        <x:f>IF(ISNUMBER(B735),ABS(B735),"")</x:f>
        <x:v>0.005409876655383346</x:v>
      </x:c>
      <x:c r="H735" s="7" t="n">
        <x:f>IF(ISNUMBER(B735),B735^2,"")</x:f>
        <x:v>0.000029266765426461695</x:v>
      </x:c>
      <x:c r="I735" s="7" t="n">
        <x:f>IF(AND(ISNUMBER(G735),'요약'!$B$19),G735-'요약'!$B$14,"")</x:f>
        <x:v>-0.0026036399720195096</x:v>
      </x:c>
      <x:c r="J735" s="7" t="n">
        <x:f>IF(AND(ISNUMBER(H735),'요약'!$B$19),H735-'요약'!$B$15,"")</x:f>
        <x:v>-0.0000729429337596304</x:v>
      </x:c>
      <x:c r="K735" t="n">
        <x:f>IF(ISNUMBER(B735),IF('Hill'!$B$4=1,IF(B735&lt;0,-B735,""),IF('Hill'!$B$4=2,IF(B735&gt;0,B735,""),IF('Hill'!$B$4=3,IF(B735&lt;&gt;0,ABS(B735),""),""))),"")</x:f>
        <x:v>0.005409876655383346</x:v>
      </x:c>
    </x:row>
    <x:row r="736">
      <x:c r="A736" t="n">
        <x:f>735</x:f>
        <x:v>735</x:v>
      </x:c>
      <x:c r="B736" s="7" t="n">
        <x:f>IF('요약'!$B$4=4,IF(ISNUMBER('input'!A736),'input'!A736,""),IF(735&lt;=1000,CHOOSE('요약'!$B$4,'input'!B736,'input'!C736,'input'!D736),""))</x:f>
        <x:v>0.009576699718043327</x:v>
      </x:c>
      <x:c r="C736" s="7" t="n">
        <x:f>IF(AND(ISNUMBER(B736),'요약'!$B$19),B736-'요약'!$B$7,"")</x:f>
        <x:v>0.009624939045092828</x:v>
      </x:c>
      <x:c r="D736" s="7" t="n">
        <x:f>IF(ISNUMBER(C736),C736^2,"")</x:f>
        <x:v>0.00009263945162175244</x:v>
      </x:c>
      <x:c r="E736" s="15" t="n">
        <x:f>IF(ISNUMBER(C736),C736^3,"")</x:f>
        <x:v>8.916490750301931e-7</x:v>
      </x:c>
      <x:c r="F736" s="15" t="n">
        <x:f>IF(ISNUMBER(C736),C736^4,"")</x:f>
        <x:v>8.58206799677901e-9</x:v>
      </x:c>
      <x:c r="G736" s="7" t="n">
        <x:f>IF(ISNUMBER(B736),ABS(B736),"")</x:f>
        <x:v>0.009576699718043327</x:v>
      </x:c>
      <x:c r="H736" s="7" t="n">
        <x:f>IF(ISNUMBER(B736),B736^2,"")</x:f>
        <x:v>0.00009171317748957114</x:v>
      </x:c>
      <x:c r="I736" s="7" t="n">
        <x:f>IF(AND(ISNUMBER(G736),'요약'!$B$19),G736-'요약'!$B$14,"")</x:f>
        <x:v>0.0015631830906404718</x:v>
      </x:c>
      <x:c r="J736" s="7" t="n">
        <x:f>IF(AND(ISNUMBER(H736),'요약'!$B$19),H736-'요약'!$B$15,"")</x:f>
        <x:v>-0.00001049652169652096</x:v>
      </x:c>
      <x:c r="K736" t="str">
        <x:f>IF(ISNUMBER(B736),IF('Hill'!$B$4=1,IF(B736&lt;0,-B736,""),IF('Hill'!$B$4=2,IF(B736&gt;0,B736,""),IF('Hill'!$B$4=3,IF(B736&lt;&gt;0,ABS(B736),""),""))),"")</x:f>
      </x:c>
    </x:row>
    <x:row r="737">
      <x:c r="A737" t="n">
        <x:f>736</x:f>
        <x:v>736</x:v>
      </x:c>
      <x:c r="B737" s="7" t="n">
        <x:f>IF('요약'!$B$4=4,IF(ISNUMBER('input'!A737),'input'!A737,""),IF(736&lt;=1000,CHOOSE('요약'!$B$4,'input'!B737,'input'!C737,'input'!D737),""))</x:f>
        <x:v>0.008284959257618076</x:v>
      </x:c>
      <x:c r="C737" s="7" t="n">
        <x:f>IF(AND(ISNUMBER(B737),'요약'!$B$19),B737-'요약'!$B$7,"")</x:f>
        <x:v>0.008333198584667577</x:v>
      </x:c>
      <x:c r="D737" s="7" t="n">
        <x:f>IF(ISNUMBER(C737),C737^2,"")</x:f>
        <x:v>0.0000694421986515057</x:v>
      </x:c>
      <x:c r="E737" s="15" t="n">
        <x:f>IF(ISNUMBER(C737),C737^3,"")</x:f>
        <x:v>5.78675631518932e-7</x:v>
      </x:c>
      <x:c r="F737" s="15" t="n">
        <x:f>IF(ISNUMBER(C737),C737^4,"")</x:f>
        <x:v>4.82221895355518e-9</x:v>
      </x:c>
      <x:c r="G737" s="7" t="n">
        <x:f>IF(ISNUMBER(B737),ABS(B737),"")</x:f>
        <x:v>0.008284959257618076</x:v>
      </x:c>
      <x:c r="H737" s="7" t="n">
        <x:f>IF(ISNUMBER(B737),B737^2,"")</x:f>
        <x:v>0.00006864054990039146</x:v>
      </x:c>
      <x:c r="I737" s="7" t="n">
        <x:f>IF(AND(ISNUMBER(G737),'요약'!$B$19),G737-'요약'!$B$14,"")</x:f>
        <x:v>0.0002714426302152205</x:v>
      </x:c>
      <x:c r="J737" s="7" t="n">
        <x:f>IF(AND(ISNUMBER(H737),'요약'!$B$19),H737-'요약'!$B$15,"")</x:f>
        <x:v>-0.00003356914928570064</x:v>
      </x:c>
      <x:c r="K737" t="str">
        <x:f>IF(ISNUMBER(B737),IF('Hill'!$B$4=1,IF(B737&lt;0,-B737,""),IF('Hill'!$B$4=2,IF(B737&gt;0,B737,""),IF('Hill'!$B$4=3,IF(B737&lt;&gt;0,ABS(B737),""),""))),"")</x:f>
      </x:c>
    </x:row>
    <x:row r="738">
      <x:c r="A738" t="n">
        <x:f>737</x:f>
        <x:v>737</x:v>
      </x:c>
      <x:c r="B738" s="7" t="n">
        <x:f>IF('요약'!$B$4=4,IF(ISNUMBER('input'!A738),'input'!A738,""),IF(737&lt;=1000,CHOOSE('요약'!$B$4,'input'!B738,'input'!C738,'input'!D738),""))</x:f>
        <x:v>0.007401112978771358</x:v>
      </x:c>
      <x:c r="C738" s="7" t="n">
        <x:f>IF(AND(ISNUMBER(B738),'요약'!$B$19),B738-'요약'!$B$7,"")</x:f>
        <x:v>0.007449352305820859</x:v>
      </x:c>
      <x:c r="D738" s="7" t="n">
        <x:f>IF(ISNUMBER(C738),C738^2,"")</x:f>
        <x:v>0.000055492849776238556</x:v>
      </x:c>
      <x:c r="E738" s="15" t="n">
        <x:f>IF(ISNUMBER(C738),C738^3,"")</x:f>
        <x:v>4.1338578843719324e-7</x:v>
      </x:c>
      <x:c r="F738" s="15" t="n">
        <x:f>IF(ISNUMBER(C738),C738^4,"")</x:f>
        <x:v>3.0794563762881792e-9</x:v>
      </x:c>
      <x:c r="G738" s="7" t="n">
        <x:f>IF(ISNUMBER(B738),ABS(B738),"")</x:f>
        <x:v>0.007401112978771358</x:v>
      </x:c>
      <x:c r="H738" s="7" t="n">
        <x:f>IF(ISNUMBER(B738),B738^2,"")</x:f>
        <x:v>0.00005477647332453784</x:v>
      </x:c>
      <x:c r="I738" s="7" t="n">
        <x:f>IF(AND(ISNUMBER(G738),'요약'!$B$19),G738-'요약'!$B$14,"")</x:f>
        <x:v>-0.0006124036486314976</x:v>
      </x:c>
      <x:c r="J738" s="7" t="n">
        <x:f>IF(AND(ISNUMBER(H738),'요약'!$B$19),H738-'요약'!$B$15,"")</x:f>
        <x:v>-0.000047433225861554263</x:v>
      </x:c>
      <x:c r="K738" t="str">
        <x:f>IF(ISNUMBER(B738),IF('Hill'!$B$4=1,IF(B738&lt;0,-B738,""),IF('Hill'!$B$4=2,IF(B738&gt;0,B738,""),IF('Hill'!$B$4=3,IF(B738&lt;&gt;0,ABS(B738),""),""))),"")</x:f>
      </x:c>
    </x:row>
    <x:row r="739">
      <x:c r="A739" t="n">
        <x:f>738</x:f>
        <x:v>738</x:v>
      </x:c>
      <x:c r="B739" s="7" t="n">
        <x:f>IF('요약'!$B$4=4,IF(ISNUMBER('input'!A739),'input'!A739,""),IF(738&lt;=1000,CHOOSE('요약'!$B$4,'input'!B739,'input'!C739,'input'!D739),""))</x:f>
        <x:v>0.006256944983234912</x:v>
      </x:c>
      <x:c r="C739" s="7" t="n">
        <x:f>IF(AND(ISNUMBER(B739),'요약'!$B$19),B739-'요약'!$B$7,"")</x:f>
        <x:v>0.006305184310284414</x:v>
      </x:c>
      <x:c r="D739" s="7" t="n">
        <x:f>IF(ISNUMBER(C739),C739^2,"")</x:f>
        <x:v>0.00003975534918665674</x:v>
      </x:c>
      <x:c r="E739" s="15" t="n">
        <x:f>IF(ISNUMBER(C739),C739^3,"")</x:f>
        <x:v>2.506648039415863e-7</x:v>
      </x:c>
      <x:c r="F739" s="15" t="n">
        <x:f>IF(ISNUMBER(C739),C739^4,"")</x:f>
        <x:v>1.5804877889530086e-9</x:v>
      </x:c>
      <x:c r="G739" s="7" t="n">
        <x:f>IF(ISNUMBER(B739),ABS(B739),"")</x:f>
        <x:v>0.006256944983234912</x:v>
      </x:c>
      <x:c r="H739" s="7" t="n">
        <x:f>IF(ISNUMBER(B739),B739^2,"")</x:f>
        <x:v>0.000039149360523228534</x:v>
      </x:c>
      <x:c r="I739" s="7" t="n">
        <x:f>IF(AND(ISNUMBER(G739),'요약'!$B$19),G739-'요약'!$B$14,"")</x:f>
        <x:v>-0.0017565716441679431</x:v>
      </x:c>
      <x:c r="J739" s="7" t="n">
        <x:f>IF(AND(ISNUMBER(H739),'요약'!$B$19),H739-'요약'!$B$15,"")</x:f>
        <x:v>-0.00006306033866286358</x:v>
      </x:c>
      <x:c r="K739" t="str">
        <x:f>IF(ISNUMBER(B739),IF('Hill'!$B$4=1,IF(B739&lt;0,-B739,""),IF('Hill'!$B$4=2,IF(B739&gt;0,B739,""),IF('Hill'!$B$4=3,IF(B739&lt;&gt;0,ABS(B739),""),""))),"")</x:f>
      </x:c>
    </x:row>
    <x:row r="740">
      <x:c r="A740" t="n">
        <x:f>739</x:f>
        <x:v>739</x:v>
      </x:c>
      <x:c r="B740" s="7" t="n">
        <x:f>IF('요약'!$B$4=4,IF(ISNUMBER('input'!A740),'input'!A740,""),IF(739&lt;=1000,CHOOSE('요약'!$B$4,'input'!B740,'input'!C740,'input'!D740),""))</x:f>
        <x:v>-0.018505373576398636</x:v>
      </x:c>
      <x:c r="C740" s="7" t="n">
        <x:f>IF(AND(ISNUMBER(B740),'요약'!$B$19),B740-'요약'!$B$7,"")</x:f>
        <x:v>-0.018457134249349135</x:v>
      </x:c>
      <x:c r="D740" s="7" t="n">
        <x:f>IF(ISNUMBER(C740),C740^2,"")</x:f>
        <x:v>0.0003406658046984969</x:v>
      </x:c>
      <x:c r="E740" s="15" t="n">
        <x:f>IF(ISNUMBER(C740),C740^3,"")</x:f>
        <x:v>-0.00000628771449148271</x:v>
      </x:c>
      <x:c r="F740" s="15" t="n">
        <x:f>IF(ISNUMBER(C740),C740^4,"")</x:f>
        <x:v>1.160531904908744e-7</x:v>
      </x:c>
      <x:c r="G740" s="7" t="n">
        <x:f>IF(ISNUMBER(B740),ABS(B740),"")</x:f>
        <x:v>0.018505373576398636</x:v>
      </x:c>
      <x:c r="H740" s="7" t="n">
        <x:f>IF(ISNUMBER(B740),B740^2,"")</x:f>
        <x:v>0.00034244885120207283</x:v>
      </x:c>
      <x:c r="I740" s="7" t="n">
        <x:f>IF(AND(ISNUMBER(G740),'요약'!$B$19),G740-'요약'!$B$14,"")</x:f>
        <x:v>0.01049185694899578</x:v>
      </x:c>
      <x:c r="J740" s="7" t="n">
        <x:f>IF(AND(ISNUMBER(H740),'요약'!$B$19),H740-'요약'!$B$15,"")</x:f>
        <x:v>0.00024023915201598072</x:v>
      </x:c>
      <x:c r="K740" t="n">
        <x:f>IF(ISNUMBER(B740),IF('Hill'!$B$4=1,IF(B740&lt;0,-B740,""),IF('Hill'!$B$4=2,IF(B740&gt;0,B740,""),IF('Hill'!$B$4=3,IF(B740&lt;&gt;0,ABS(B740),""),""))),"")</x:f>
        <x:v>0.018505373576398636</x:v>
      </x:c>
    </x:row>
    <x:row r="741">
      <x:c r="A741" t="n">
        <x:f>740</x:f>
        <x:v>740</x:v>
      </x:c>
      <x:c r="B741" s="7" t="n">
        <x:f>IF('요약'!$B$4=4,IF(ISNUMBER('input'!A741),'input'!A741,""),IF(740&lt;=1000,CHOOSE('요약'!$B$4,'input'!B741,'input'!C741,'input'!D741),""))</x:f>
        <x:v>0.01225153556134668</x:v>
      </x:c>
      <x:c r="C741" s="7" t="n">
        <x:f>IF(AND(ISNUMBER(B741),'요약'!$B$19),B741-'요약'!$B$7,"")</x:f>
        <x:v>0.01229977488839618</x:v>
      </x:c>
      <x:c r="D741" s="7" t="n">
        <x:f>IF(ISNUMBER(C741),C741^2,"")</x:f>
        <x:v>0.00015128446230522127</x:v>
      </x:c>
      <x:c r="E741" s="15" t="n">
        <x:f>IF(ISNUMBER(C741),C741^3,"")</x:f>
        <x:v>0.0000018607648304662793</x:v>
      </x:c>
      <x:c r="F741" s="15" t="n">
        <x:f>IF(ISNUMBER(C741),C741^4,"")</x:f>
        <x:v>2.288698853497992e-8</x:v>
      </x:c>
      <x:c r="G741" s="7" t="n">
        <x:f>IF(ISNUMBER(B741),ABS(B741),"")</x:f>
        <x:v>0.01225153556134668</x:v>
      </x:c>
      <x:c r="H741" s="7" t="n">
        <x:f>IF(ISNUMBER(B741),B741^2,"")</x:f>
        <x:v>0.0001501001236109423</x:v>
      </x:c>
      <x:c r="I741" s="7" t="n">
        <x:f>IF(AND(ISNUMBER(G741),'요약'!$B$19),G741-'요약'!$B$14,"")</x:f>
        <x:v>0.004238018933943825</x:v>
      </x:c>
      <x:c r="J741" s="7" t="n">
        <x:f>IF(AND(ISNUMBER(H741),'요약'!$B$19),H741-'요약'!$B$15,"")</x:f>
        <x:v>0.000047890424424850195</x:v>
      </x:c>
      <x:c r="K741" t="str">
        <x:f>IF(ISNUMBER(B741),IF('Hill'!$B$4=1,IF(B741&lt;0,-B741,""),IF('Hill'!$B$4=2,IF(B741&gt;0,B741,""),IF('Hill'!$B$4=3,IF(B741&lt;&gt;0,ABS(B741),""),""))),"")</x:f>
      </x:c>
    </x:row>
    <x:row r="742">
      <x:c r="A742" t="n">
        <x:f>741</x:f>
        <x:v>741</x:v>
      </x:c>
      <x:c r="B742" s="7" t="n">
        <x:f>IF('요약'!$B$4=4,IF(ISNUMBER('input'!A742),'input'!A742,""),IF(741&lt;=1000,CHOOSE('요약'!$B$4,'input'!B742,'input'!C742,'input'!D742),""))</x:f>
        <x:v>-0.011399391753293193</x:v>
      </x:c>
      <x:c r="C742" s="7" t="n">
        <x:f>IF(AND(ISNUMBER(B742),'요약'!$B$19),B742-'요약'!$B$7,"")</x:f>
        <x:v>-0.011351152426243693</x:v>
      </x:c>
      <x:c r="D742" s="7" t="n">
        <x:f>IF(ISNUMBER(C742),C742^2,"")</x:f>
        <x:v>0.00012884866140381806</x:v>
      </x:c>
      <x:c r="E742" s="15" t="n">
        <x:f>IF(ISNUMBER(C742),C742^3,"")</x:f>
        <x:v>-0.0000014625807955122015</x:v>
      </x:c>
      <x:c r="F742" s="15" t="n">
        <x:f>IF(ISNUMBER(C742),C742^4,"")</x:f>
        <x:v>1.6601977545555758e-8</x:v>
      </x:c>
      <x:c r="G742" s="7" t="n">
        <x:f>IF(ISNUMBER(B742),ABS(B742),"")</x:f>
        <x:v>0.011399391753293193</x:v>
      </x:c>
      <x:c r="H742" s="7" t="n">
        <x:f>IF(ISNUMBER(B742),B742^2,"")</x:f>
        <x:v>0.00012994613234504888</x:v>
      </x:c>
      <x:c r="I742" s="7" t="n">
        <x:f>IF(AND(ISNUMBER(G742),'요약'!$B$19),G742-'요약'!$B$14,"")</x:f>
        <x:v>0.003385875125890338</x:v>
      </x:c>
      <x:c r="J742" s="7" t="n">
        <x:f>IF(AND(ISNUMBER(H742),'요약'!$B$19),H742-'요약'!$B$15,"")</x:f>
        <x:v>0.000027736433158956776</x:v>
      </x:c>
      <x:c r="K742" t="n">
        <x:f>IF(ISNUMBER(B742),IF('Hill'!$B$4=1,IF(B742&lt;0,-B742,""),IF('Hill'!$B$4=2,IF(B742&gt;0,B742,""),IF('Hill'!$B$4=3,IF(B742&lt;&gt;0,ABS(B742),""),""))),"")</x:f>
        <x:v>0.011399391753293193</x:v>
      </x:c>
    </x:row>
    <x:row r="743">
      <x:c r="A743" t="n">
        <x:f>742</x:f>
        <x:v>742</x:v>
      </x:c>
      <x:c r="B743" s="7" t="n">
        <x:f>IF('요약'!$B$4=4,IF(ISNUMBER('input'!A743),'input'!A743,""),IF(742&lt;=1000,CHOOSE('요약'!$B$4,'input'!B743,'input'!C743,'input'!D743),""))</x:f>
        <x:v>0.0037556891285238205</x:v>
      </x:c>
      <x:c r="C743" s="7" t="n">
        <x:f>IF(AND(ISNUMBER(B743),'요약'!$B$19),B743-'요약'!$B$7,"")</x:f>
        <x:v>0.003803928455573322</x:v>
      </x:c>
      <x:c r="D743" s="7" t="n">
        <x:f>IF(ISNUMBER(C743),C743^2,"")</x:f>
        <x:v>0.000014469871695120438</x:v>
      </x:c>
      <x:c r="E743" s="15" t="n">
        <x:f>IF(ISNUMBER(C743),C743^3,"")</x:f>
        <x:v>5.504235668956362e-8</x:v>
      </x:c>
      <x:c r="F743" s="15" t="n">
        <x:f>IF(ISNUMBER(C743),C743^4,"")</x:f>
        <x:v>2.0937718687324762e-10</x:v>
      </x:c>
      <x:c r="G743" s="7" t="n">
        <x:f>IF(ISNUMBER(B743),ABS(B743),"")</x:f>
        <x:v>0.0037556891285238205</x:v>
      </x:c>
      <x:c r="H743" s="7" t="n">
        <x:f>IF(ISNUMBER(B743),B743^2,"")</x:f>
        <x:v>0.000014105200830112014</x:v>
      </x:c>
      <x:c r="I743" s="7" t="n">
        <x:f>IF(AND(ISNUMBER(G743),'요약'!$B$19),G743-'요약'!$B$14,"")</x:f>
        <x:v>-0.004257827498879035</x:v>
      </x:c>
      <x:c r="J743" s="7" t="n">
        <x:f>IF(AND(ISNUMBER(H743),'요약'!$B$19),H743-'요약'!$B$15,"")</x:f>
        <x:v>-0.0000881044983559801</x:v>
      </x:c>
      <x:c r="K743" t="str">
        <x:f>IF(ISNUMBER(B743),IF('Hill'!$B$4=1,IF(B743&lt;0,-B743,""),IF('Hill'!$B$4=2,IF(B743&gt;0,B743,""),IF('Hill'!$B$4=3,IF(B743&lt;&gt;0,ABS(B743),""),""))),"")</x:f>
      </x:c>
    </x:row>
    <x:row r="744">
      <x:c r="A744" t="n">
        <x:f>743</x:f>
        <x:v>743</x:v>
      </x:c>
      <x:c r="B744" s="7" t="n">
        <x:f>IF('요약'!$B$4=4,IF(ISNUMBER('input'!A744),'input'!A744,""),IF(743&lt;=1000,CHOOSE('요약'!$B$4,'input'!B744,'input'!C744,'input'!D744),""))</x:f>
        <x:v>-0.0066181082904175495</x:v>
      </x:c>
      <x:c r="C744" s="7" t="n">
        <x:f>IF(AND(ISNUMBER(B744),'요약'!$B$19),B744-'요약'!$B$7,"")</x:f>
        <x:v>-0.006569868963368048</x:v>
      </x:c>
      <x:c r="D744" s="7" t="n">
        <x:f>IF(ISNUMBER(C744),C744^2,"")</x:f>
        <x:v>0.000043163178195826753</x:v>
      </x:c>
      <x:c r="E744" s="15" t="n">
        <x:f>IF(ISNUMBER(C744),C744^3,"")</x:f>
        <x:v>-2.8357642478908663e-7</x:v>
      </x:c>
      <x:c r="F744" s="15" t="n">
        <x:f>IF(ISNUMBER(C744),C744^4,"")</x:f>
        <x:v>1.8630599519646937e-9</x:v>
      </x:c>
      <x:c r="G744" s="7" t="n">
        <x:f>IF(ISNUMBER(B744),ABS(B744),"")</x:f>
        <x:v>0.0066181082904175495</x:v>
      </x:c>
      <x:c r="H744" s="7" t="n">
        <x:f>IF(ISNUMBER(B744),B744^2,"")</x:f>
        <x:v>0.0000437993573436935</x:v>
      </x:c>
      <x:c r="I744" s="7" t="n">
        <x:f>IF(AND(ISNUMBER(G744),'요약'!$B$19),G744-'요약'!$B$14,"")</x:f>
        <x:v>-0.0013954083369853059</x:v>
      </x:c>
      <x:c r="J744" s="7" t="n">
        <x:f>IF(AND(ISNUMBER(H744),'요약'!$B$19),H744-'요약'!$B$15,"")</x:f>
        <x:v>-0.000058410341842398604</x:v>
      </x:c>
      <x:c r="K744" t="n">
        <x:f>IF(ISNUMBER(B744),IF('Hill'!$B$4=1,IF(B744&lt;0,-B744,""),IF('Hill'!$B$4=2,IF(B744&gt;0,B744,""),IF('Hill'!$B$4=3,IF(B744&lt;&gt;0,ABS(B744),""),""))),"")</x:f>
        <x:v>0.0066181082904175495</x:v>
      </x:c>
    </x:row>
    <x:row r="745">
      <x:c r="A745" t="n">
        <x:f>744</x:f>
        <x:v>744</x:v>
      </x:c>
      <x:c r="B745" s="7" t="n">
        <x:f>IF('요약'!$B$4=4,IF(ISNUMBER('input'!A745),'input'!A745,""),IF(744&lt;=1000,CHOOSE('요약'!$B$4,'input'!B745,'input'!C745,'input'!D745),""))</x:f>
        <x:v>0.01342326684712267</x:v>
      </x:c>
      <x:c r="C745" s="7" t="n">
        <x:f>IF(AND(ISNUMBER(B745),'요약'!$B$19),B745-'요약'!$B$7,"")</x:f>
        <x:v>0.013471506174172171</x:v>
      </x:c>
      <x:c r="D745" s="7" t="n">
        <x:f>IF(ISNUMBER(C745),C745^2,"")</x:f>
        <x:v>0.00018148147860075892</x:v>
      </x:c>
      <x:c r="E745" s="15" t="n">
        <x:f>IF(ISNUMBER(C745),C745^3,"")</x:f>
        <x:v>0.0000024448288594680184</x:v>
      </x:c>
      <x:c r="F745" s="15" t="n">
        <x:f>IF(ISNUMBER(C745),C745^4,"")</x:f>
        <x:v>3.293552707511772e-8</x:v>
      </x:c>
      <x:c r="G745" s="7" t="n">
        <x:f>IF(ISNUMBER(B745),ABS(B745),"")</x:f>
        <x:v>0.01342326684712267</x:v>
      </x:c>
      <x:c r="H745" s="7" t="n">
        <x:f>IF(ISNUMBER(B745),B745^2,"")</x:f>
        <x:v>0.0001801840928490626</x:v>
      </x:c>
      <x:c r="I745" s="7" t="n">
        <x:f>IF(AND(ISNUMBER(G745),'요약'!$B$19),G745-'요약'!$B$14,"")</x:f>
        <x:v>0.005409750219719815</x:v>
      </x:c>
      <x:c r="J745" s="7" t="n">
        <x:f>IF(AND(ISNUMBER(H745),'요약'!$B$19),H745-'요약'!$B$15,"")</x:f>
        <x:v>0.00007797439366297049</x:v>
      </x:c>
      <x:c r="K745" t="str">
        <x:f>IF(ISNUMBER(B745),IF('Hill'!$B$4=1,IF(B745&lt;0,-B745,""),IF('Hill'!$B$4=2,IF(B745&gt;0,B745,""),IF('Hill'!$B$4=3,IF(B745&lt;&gt;0,ABS(B745),""),""))),"")</x:f>
      </x:c>
    </x:row>
    <x:row r="746">
      <x:c r="A746" t="n">
        <x:f>745</x:f>
        <x:v>745</x:v>
      </x:c>
      <x:c r="B746" s="7" t="n">
        <x:f>IF('요약'!$B$4=4,IF(ISNUMBER('input'!A746),'input'!A746,""),IF(745&lt;=1000,CHOOSE('요약'!$B$4,'input'!B746,'input'!C746,'input'!D746),""))</x:f>
        <x:v>-0.0064610243512319655</x:v>
      </x:c>
      <x:c r="C746" s="7" t="n">
        <x:f>IF(AND(ISNUMBER(B746),'요약'!$B$19),B746-'요약'!$B$7,"")</x:f>
        <x:v>-0.006412785024182464</x:v>
      </x:c>
      <x:c r="D746" s="7" t="n">
        <x:f>IF(ISNUMBER(C746),C746^2,"")</x:f>
        <x:v>0.00004112381176637889</x:v>
      </x:c>
      <x:c r="E746" s="15" t="n">
        <x:f>IF(ISNUMBER(C746),C746^3,"")</x:f>
        <x:v>-2.6371816423273315e-7</x:v>
      </x:c>
      <x:c r="F746" s="15" t="n">
        <x:f>IF(ISNUMBER(C746),C746^4,"")</x:f>
        <x:v>1.6911678941965625e-9</x:v>
      </x:c>
      <x:c r="G746" s="7" t="n">
        <x:f>IF(ISNUMBER(B746),ABS(B746),"")</x:f>
        <x:v>0.0064610243512319655</x:v>
      </x:c>
      <x:c r="H746" s="7" t="n">
        <x:f>IF(ISNUMBER(B746),B746^2,"")</x:f>
        <x:v>0.00004174483566721244</x:v>
      </x:c>
      <x:c r="I746" s="7" t="n">
        <x:f>IF(AND(ISNUMBER(G746),'요약'!$B$19),G746-'요약'!$B$14,"")</x:f>
        <x:v>-0.00155249227617089</x:v>
      </x:c>
      <x:c r="J746" s="7" t="n">
        <x:f>IF(AND(ISNUMBER(H746),'요약'!$B$19),H746-'요약'!$B$15,"")</x:f>
        <x:v>-0.00006046486351887966</x:v>
      </x:c>
      <x:c r="K746" t="n">
        <x:f>IF(ISNUMBER(B746),IF('Hill'!$B$4=1,IF(B746&lt;0,-B746,""),IF('Hill'!$B$4=2,IF(B746&gt;0,B746,""),IF('Hill'!$B$4=3,IF(B746&lt;&gt;0,ABS(B746),""),""))),"")</x:f>
        <x:v>0.0064610243512319655</x:v>
      </x:c>
    </x:row>
    <x:row r="747">
      <x:c r="A747" t="n">
        <x:f>746</x:f>
        <x:v>746</x:v>
      </x:c>
      <x:c r="B747" s="7" t="n">
        <x:f>IF('요약'!$B$4=4,IF(ISNUMBER('input'!A747),'input'!A747,""),IF(746&lt;=1000,CHOOSE('요약'!$B$4,'input'!B747,'input'!C747,'input'!D747),""))</x:f>
        <x:v>0.003535735027419343</x:v>
      </x:c>
      <x:c r="C747" s="7" t="n">
        <x:f>IF(AND(ISNUMBER(B747),'요약'!$B$19),B747-'요약'!$B$7,"")</x:f>
        <x:v>0.0035839743544688447</x:v>
      </x:c>
      <x:c r="D747" s="7" t="n">
        <x:f>IF(ISNUMBER(C747),C747^2,"")</x:f>
        <x:v>0.000012844872173490372</x:v>
      </x:c>
      <x:c r="E747" s="15" t="n">
        <x:f>IF(ISNUMBER(C747),C747^3,"")</x:f>
        <x:v>4.603569245621998e-8</x:v>
      </x:c>
      <x:c r="F747" s="15" t="n">
        <x:f>IF(ISNUMBER(C747),C747^4,"")</x:f>
        <x:v>1.6499074115330727e-10</x:v>
      </x:c>
      <x:c r="G747" s="7" t="n">
        <x:f>IF(ISNUMBER(B747),ABS(B747),"")</x:f>
        <x:v>0.003535735027419343</x:v>
      </x:c>
      <x:c r="H747" s="7" t="n">
        <x:f>IF(ISNUMBER(B747),B747^2,"")</x:f>
        <x:v>0.000012501422184120064</x:v>
      </x:c>
      <x:c r="I747" s="7" t="n">
        <x:f>IF(AND(ISNUMBER(G747),'요약'!$B$19),G747-'요약'!$B$14,"")</x:f>
        <x:v>-0.004477781599983513</x:v>
      </x:c>
      <x:c r="J747" s="7" t="n">
        <x:f>IF(AND(ISNUMBER(H747),'요약'!$B$19),H747-'요약'!$B$15,"")</x:f>
        <x:v>-0.00008970827700197204</x:v>
      </x:c>
      <x:c r="K747" t="str">
        <x:f>IF(ISNUMBER(B747),IF('Hill'!$B$4=1,IF(B747&lt;0,-B747,""),IF('Hill'!$B$4=2,IF(B747&gt;0,B747,""),IF('Hill'!$B$4=3,IF(B747&lt;&gt;0,ABS(B747),""),""))),"")</x:f>
      </x:c>
    </x:row>
    <x:row r="748">
      <x:c r="A748" t="n">
        <x:f>747</x:f>
        <x:v>747</x:v>
      </x:c>
      <x:c r="B748" s="7" t="n">
        <x:f>IF('요약'!$B$4=4,IF(ISNUMBER('input'!A748),'input'!A748,""),IF(747&lt;=1000,CHOOSE('요약'!$B$4,'input'!B748,'input'!C748,'input'!D748),""))</x:f>
        <x:v>-0.011700217715819828</x:v>
      </x:c>
      <x:c r="C748" s="7" t="n">
        <x:f>IF(AND(ISNUMBER(B748),'요약'!$B$19),B748-'요약'!$B$7,"")</x:f>
        <x:v>-0.011651978388770327</x:v>
      </x:c>
      <x:c r="D748" s="7" t="n">
        <x:f>IF(ISNUMBER(C748),C748^2,"")</x:f>
        <x:v>0.00013576860037237075</x:v>
      </x:c>
      <x:c r="E748" s="15" t="n">
        <x:f>IF(ISNUMBER(C748),C748^3,"")</x:f>
        <x:v>-0.0000015819727974124588</x:v>
      </x:c>
      <x:c r="F748" s="15" t="n">
        <x:f>IF(ISNUMBER(C748),C748^4,"")</x:f>
        <x:v>1.843311284707251e-8</x:v>
      </x:c>
      <x:c r="G748" s="7" t="n">
        <x:f>IF(ISNUMBER(B748),ABS(B748),"")</x:f>
        <x:v>0.011700217715819828</x:v>
      </x:c>
      <x:c r="H748" s="7" t="n">
        <x:f>IF(ISNUMBER(B748),B748^2,"")</x:f>
        <x:v>0.00013689509459758416</x:v>
      </x:c>
      <x:c r="I748" s="7" t="n">
        <x:f>IF(AND(ISNUMBER(G748),'요약'!$B$19),G748-'요약'!$B$14,"")</x:f>
        <x:v>0.0036867010884169722</x:v>
      </x:c>
      <x:c r="J748" s="7" t="n">
        <x:f>IF(AND(ISNUMBER(H748),'요약'!$B$19),H748-'요약'!$B$15,"")</x:f>
        <x:v>0.00003468539541149205</x:v>
      </x:c>
      <x:c r="K748" t="n">
        <x:f>IF(ISNUMBER(B748),IF('Hill'!$B$4=1,IF(B748&lt;0,-B748,""),IF('Hill'!$B$4=2,IF(B748&gt;0,B748,""),IF('Hill'!$B$4=3,IF(B748&lt;&gt;0,ABS(B748),""),""))),"")</x:f>
        <x:v>0.011700217715819828</x:v>
      </x:c>
    </x:row>
    <x:row r="749">
      <x:c r="A749" t="n">
        <x:f>748</x:f>
        <x:v>748</x:v>
      </x:c>
      <x:c r="B749" s="7" t="n">
        <x:f>IF('요약'!$B$4=4,IF(ISNUMBER('input'!A749),'input'!A749,""),IF(748&lt;=1000,CHOOSE('요약'!$B$4,'input'!B749,'input'!C749,'input'!D749),""))</x:f>
        <x:v>-0.0025902813663348906</x:v>
      </x:c>
      <x:c r="C749" s="7" t="n">
        <x:f>IF(AND(ISNUMBER(B749),'요약'!$B$19),B749-'요약'!$B$7,"")</x:f>
        <x:v>-0.002542042039285389</x:v>
      </x:c>
      <x:c r="D749" s="7" t="n">
        <x:f>IF(ISNUMBER(C749),C749^2,"")</x:f>
        <x:v>0.00000646197772949422</x:v>
      </x:c>
      <x:c r="E749" s="15" t="n">
        <x:f>IF(ISNUMBER(C749),C749^3,"")</x:f>
        <x:v>-1.6426619045300255e-8</x:v>
      </x:c>
      <x:c r="F749" s="15" t="n">
        <x:f>IF(ISNUMBER(C749),C749^4,"")</x:f>
        <x:v>4.1757156176479274e-11</x:v>
      </x:c>
      <x:c r="G749" s="7" t="n">
        <x:f>IF(ISNUMBER(B749),ABS(B749),"")</x:f>
        <x:v>0.0025902813663348906</x:v>
      </x:c>
      <x:c r="H749" s="7" t="n">
        <x:f>IF(ISNUMBER(B749),B749^2,"")</x:f>
        <x:v>0.000006709557556781748</x:v>
      </x:c>
      <x:c r="I749" s="7" t="n">
        <x:f>IF(AND(ISNUMBER(G749),'요약'!$B$19),G749-'요약'!$B$14,"")</x:f>
        <x:v>-0.005423235261067964</x:v>
      </x:c>
      <x:c r="J749" s="7" t="n">
        <x:f>IF(AND(ISNUMBER(H749),'요약'!$B$19),H749-'요약'!$B$15,"")</x:f>
        <x:v>-0.00009550014162931036</x:v>
      </x:c>
      <x:c r="K749" t="n">
        <x:f>IF(ISNUMBER(B749),IF('Hill'!$B$4=1,IF(B749&lt;0,-B749,""),IF('Hill'!$B$4=2,IF(B749&gt;0,B749,""),IF('Hill'!$B$4=3,IF(B749&lt;&gt;0,ABS(B749),""),""))),"")</x:f>
        <x:v>0.0025902813663348906</x:v>
      </x:c>
    </x:row>
    <x:row r="750">
      <x:c r="A750" t="n">
        <x:f>749</x:f>
        <x:v>749</x:v>
      </x:c>
      <x:c r="B750" s="7" t="n">
        <x:f>IF('요약'!$B$4=4,IF(ISNUMBER('input'!A750),'input'!A750,""),IF(749&lt;=1000,CHOOSE('요약'!$B$4,'input'!B750,'input'!C750,'input'!D750),""))</x:f>
        <x:v>0.011721500980458334</x:v>
      </x:c>
      <x:c r="C750" s="7" t="n">
        <x:f>IF(AND(ISNUMBER(B750),'요약'!$B$19),B750-'요약'!$B$7,"")</x:f>
        <x:v>0.011769740307507834</x:v>
      </x:c>
      <x:c r="D750" s="7" t="n">
        <x:f>IF(ISNUMBER(C750),C750^2,"")</x:f>
        <x:v>0.00013852678690617462</x:v>
      </x:c>
      <x:c r="E750" s="15" t="n">
        <x:f>IF(ISNUMBER(C750),C750^3,"")</x:f>
        <x:v>0.0000016304243075191516</x:v>
      </x:c>
      <x:c r="F750" s="15" t="n">
        <x:f>IF(ISNUMBER(C750),C750^4,"")</x:f>
        <x:v>1.9189670690548708e-8</x:v>
      </x:c>
      <x:c r="G750" s="7" t="n">
        <x:f>IF(ISNUMBER(B750),ABS(B750),"")</x:f>
        <x:v>0.011721500980458334</x:v>
      </x:c>
      <x:c r="H750" s="7" t="n">
        <x:f>IF(ISNUMBER(B750),B750^2,"")</x:f>
        <x:v>0.00013739358523488568</x:v>
      </x:c>
      <x:c r="I750" s="7" t="n">
        <x:f>IF(AND(ISNUMBER(G750),'요약'!$B$19),G750-'요약'!$B$14,"")</x:f>
        <x:v>0.003707984353055478</x:v>
      </x:c>
      <x:c r="J750" s="7" t="n">
        <x:f>IF(AND(ISNUMBER(H750),'요약'!$B$19),H750-'요약'!$B$15,"")</x:f>
        <x:v>0.00003518388604879357</x:v>
      </x:c>
      <x:c r="K750" t="str">
        <x:f>IF(ISNUMBER(B750),IF('Hill'!$B$4=1,IF(B750&lt;0,-B750,""),IF('Hill'!$B$4=2,IF(B750&gt;0,B750,""),IF('Hill'!$B$4=3,IF(B750&lt;&gt;0,ABS(B750),""),""))),"")</x:f>
      </x:c>
    </x:row>
    <x:row r="751">
      <x:c r="A751" t="n">
        <x:f>750</x:f>
        <x:v>750</x:v>
      </x:c>
      <x:c r="B751" s="7" t="n">
        <x:f>IF('요약'!$B$4=4,IF(ISNUMBER('input'!A751),'input'!A751,""),IF(750&lt;=1000,CHOOSE('요약'!$B$4,'input'!B751,'input'!C751,'input'!D751),""))</x:f>
        <x:v>-0.005293029398187518</x:v>
      </x:c>
      <x:c r="C751" s="7" t="n">
        <x:f>IF(AND(ISNUMBER(B751),'요약'!$B$19),B751-'요약'!$B$7,"")</x:f>
        <x:v>-0.0052447900711380165</x:v>
      </x:c>
      <x:c r="D751" s="7" t="n">
        <x:f>IF(ISNUMBER(C751),C751^2,"")</x:f>
        <x:v>0.00002750782289030792</x:v>
      </x:c>
      <x:c r="E751" s="15" t="n">
        <x:f>IF(ISNUMBER(C751),C751^3,"")</x:f>
        <x:v>-1.4427275637371004e-7</x:v>
      </x:c>
      <x:c r="F751" s="15" t="n">
        <x:f>IF(ISNUMBER(C751),C751^4,"")</x:f>
        <x:v>7.566803201645483e-10</x:v>
      </x:c>
      <x:c r="G751" s="7" t="n">
        <x:f>IF(ISNUMBER(B751),ABS(B751),"")</x:f>
        <x:v>0.005293029398187518</x:v>
      </x:c>
      <x:c r="H751" s="7" t="n">
        <x:f>IF(ISNUMBER(B751),B751^2,"")</x:f>
        <x:v>0.00002801616021007732</x:v>
      </x:c>
      <x:c r="I751" s="7" t="n">
        <x:f>IF(AND(ISNUMBER(G751),'요약'!$B$19),G751-'요약'!$B$14,"")</x:f>
        <x:v>-0.0027204872292153374</x:v>
      </x:c>
      <x:c r="J751" s="7" t="n">
        <x:f>IF(AND(ISNUMBER(H751),'요약'!$B$19),H751-'요약'!$B$15,"")</x:f>
        <x:v>-0.00007419353897601479</x:v>
      </x:c>
      <x:c r="K751" t="n">
        <x:f>IF(ISNUMBER(B751),IF('Hill'!$B$4=1,IF(B751&lt;0,-B751,""),IF('Hill'!$B$4=2,IF(B751&gt;0,B751,""),IF('Hill'!$B$4=3,IF(B751&lt;&gt;0,ABS(B751),""),""))),"")</x:f>
        <x:v>0.005293029398187518</x:v>
      </x:c>
    </x:row>
    <x:row r="752">
      <x:c r="A752" t="n">
        <x:f>751</x:f>
        <x:v>751</x:v>
      </x:c>
      <x:c r="B752" s="7" t="n">
        <x:f>IF('요약'!$B$4=4,IF(ISNUMBER('input'!A752),'input'!A752,""),IF(751&lt;=1000,CHOOSE('요약'!$B$4,'input'!B752,'input'!C752,'input'!D752),""))</x:f>
        <x:v>-0.0033940898365148763</x:v>
      </x:c>
      <x:c r="C752" s="7" t="n">
        <x:f>IF(AND(ISNUMBER(B752),'요약'!$B$19),B752-'요약'!$B$7,"")</x:f>
        <x:v>-0.003345850509465375</x:v>
      </x:c>
      <x:c r="D752" s="7" t="n">
        <x:f>IF(ISNUMBER(C752),C752^2,"")</x:f>
        <x:v>0.000011194715631689709</x:v>
      </x:c>
      <x:c r="E752" s="15" t="n">
        <x:f>IF(ISNUMBER(C752),C752^3,"")</x:f>
        <x:v>-3.745584499960901e-8</x:v>
      </x:c>
      <x:c r="F752" s="15" t="n">
        <x:f>IF(ISNUMBER(C752),C752^4,"")</x:f>
        <x:v>1.2532165807439792e-10</x:v>
      </x:c>
      <x:c r="G752" s="7" t="n">
        <x:f>IF(ISNUMBER(B752),ABS(B752),"")</x:f>
        <x:v>0.0033940898365148763</x:v>
      </x:c>
      <x:c r="H752" s="7" t="n">
        <x:f>IF(ISNUMBER(B752),B752^2,"")</x:f>
        <x:v>0.00001151984581833358</x:v>
      </x:c>
      <x:c r="I752" s="7" t="n">
        <x:f>IF(AND(ISNUMBER(G752),'요약'!$B$19),G752-'요약'!$B$14,"")</x:f>
        <x:v>-0.0046194267908879795</x:v>
      </x:c>
      <x:c r="J752" s="7" t="n">
        <x:f>IF(AND(ISNUMBER(H752),'요약'!$B$19),H752-'요약'!$B$15,"")</x:f>
        <x:v>-0.00009068985336775852</x:v>
      </x:c>
      <x:c r="K752" t="n">
        <x:f>IF(ISNUMBER(B752),IF('Hill'!$B$4=1,IF(B752&lt;0,-B752,""),IF('Hill'!$B$4=2,IF(B752&gt;0,B752,""),IF('Hill'!$B$4=3,IF(B752&lt;&gt;0,ABS(B752),""),""))),"")</x:f>
        <x:v>0.0033940898365148763</x:v>
      </x:c>
    </x:row>
    <x:row r="753">
      <x:c r="A753" t="n">
        <x:f>752</x:f>
        <x:v>752</x:v>
      </x:c>
      <x:c r="B753" s="7" t="n">
        <x:f>IF('요약'!$B$4=4,IF(ISNUMBER('input'!A753),'input'!A753,""),IF(752&lt;=1000,CHOOSE('요약'!$B$4,'input'!B753,'input'!C753,'input'!D753),""))</x:f>
        <x:v>-0.004745797998132663</x:v>
      </x:c>
      <x:c r="C753" s="7" t="n">
        <x:f>IF(AND(ISNUMBER(B753),'요약'!$B$19),B753-'요약'!$B$7,"")</x:f>
        <x:v>-0.004697558671083161</x:v>
      </x:c>
      <x:c r="D753" s="7" t="n">
        <x:f>IF(ISNUMBER(C753),C753^2,"")</x:f>
        <x:v>0.0000220670574682686</x:v>
      </x:c>
      <x:c r="E753" s="15" t="n">
        <x:f>IF(ISNUMBER(C753),C753^3,"")</x:f>
        <x:v>-1.0366129715535558e-7</x:v>
      </x:c>
      <x:c r="F753" s="15" t="n">
        <x:f>IF(ISNUMBER(C753),C753^4,"")</x:f>
        <x:v>4.869550253078689e-10</x:v>
      </x:c>
      <x:c r="G753" s="7" t="n">
        <x:f>IF(ISNUMBER(B753),ABS(B753),"")</x:f>
        <x:v>0.004745797998132663</x:v>
      </x:c>
      <x:c r="H753" s="7" t="n">
        <x:f>IF(ISNUMBER(B753),B753^2,"")</x:f>
        <x:v>0.00002252259863907999</x:v>
      </x:c>
      <x:c r="I753" s="7" t="n">
        <x:f>IF(AND(ISNUMBER(G753),'요약'!$B$19),G753-'요약'!$B$14,"")</x:f>
        <x:v>-0.0032677186292701926</x:v>
      </x:c>
      <x:c r="J753" s="7" t="n">
        <x:f>IF(AND(ISNUMBER(H753),'요약'!$B$19),H753-'요약'!$B$15,"")</x:f>
        <x:v>-0.00007968710054701212</x:v>
      </x:c>
      <x:c r="K753" t="n">
        <x:f>IF(ISNUMBER(B753),IF('Hill'!$B$4=1,IF(B753&lt;0,-B753,""),IF('Hill'!$B$4=2,IF(B753&gt;0,B753,""),IF('Hill'!$B$4=3,IF(B753&lt;&gt;0,ABS(B753),""),""))),"")</x:f>
        <x:v>0.004745797998132663</x:v>
      </x:c>
    </x:row>
    <x:row r="754">
      <x:c r="A754" t="n">
        <x:f>753</x:f>
        <x:v>753</x:v>
      </x:c>
      <x:c r="B754" s="7" t="n">
        <x:f>IF('요약'!$B$4=4,IF(ISNUMBER('input'!A754),'input'!A754,""),IF(753&lt;=1000,CHOOSE('요약'!$B$4,'input'!B754,'input'!C754,'input'!D754),""))</x:f>
        <x:v>0.0026250321029374388</x:v>
      </x:c>
      <x:c r="C754" s="7" t="n">
        <x:f>IF(AND(ISNUMBER(B754),'요약'!$B$19),B754-'요약'!$B$7,"")</x:f>
        <x:v>0.0026732714299869402</x:v>
      </x:c>
      <x:c r="D754" s="7" t="n">
        <x:f>IF(ISNUMBER(C754),C754^2,"")</x:f>
        <x:v>0.0000071463801383844204</x:v>
      </x:c>
      <x:c r="E754" s="15" t="n">
        <x:f>IF(ISNUMBER(C754),C754^3,"")</x:f>
        <x:v>1.9104213851769187e-8</x:v>
      </x:c>
      <x:c r="F754" s="15" t="n">
        <x:f>IF(ISNUMBER(C754),C754^4,"")</x:f>
        <x:v>5.1070749082295324e-11</x:v>
      </x:c>
      <x:c r="G754" s="7" t="n">
        <x:f>IF(ISNUMBER(B754),ABS(B754),"")</x:f>
        <x:v>0.0026250321029374388</x:v>
      </x:c>
      <x:c r="H754" s="7" t="n">
        <x:f>IF(ISNUMBER(B754),B754^2,"")</x:f>
        <x:v>0.0000068907935414521525</x:v>
      </x:c>
      <x:c r="I754" s="7" t="n">
        <x:f>IF(AND(ISNUMBER(G754),'요약'!$B$19),G754-'요약'!$B$14,"")</x:f>
        <x:v>-0.005388484524465416</x:v>
      </x:c>
      <x:c r="J754" s="7" t="n">
        <x:f>IF(AND(ISNUMBER(H754),'요약'!$B$19),H754-'요약'!$B$15,"")</x:f>
        <x:v>-0.00009531890564463995</x:v>
      </x:c>
      <x:c r="K754" t="str">
        <x:f>IF(ISNUMBER(B754),IF('Hill'!$B$4=1,IF(B754&lt;0,-B754,""),IF('Hill'!$B$4=2,IF(B754&gt;0,B754,""),IF('Hill'!$B$4=3,IF(B754&lt;&gt;0,ABS(B754),""),""))),"")</x:f>
      </x:c>
    </x:row>
    <x:row r="755">
      <x:c r="A755" t="n">
        <x:f>754</x:f>
        <x:v>754</x:v>
      </x:c>
      <x:c r="B755" s="7" t="n">
        <x:f>IF('요약'!$B$4=4,IF(ISNUMBER('input'!A755),'input'!A755,""),IF(754&lt;=1000,CHOOSE('요약'!$B$4,'input'!B755,'input'!C755,'input'!D755),""))</x:f>
        <x:v>-0.018034626899946348</x:v>
      </x:c>
      <x:c r="C755" s="7" t="n">
        <x:f>IF(AND(ISNUMBER(B755),'요약'!$B$19),B755-'요약'!$B$7,"")</x:f>
        <x:v>-0.017986387572896848</x:v>
      </x:c>
      <x:c r="D755" s="7" t="n">
        <x:f>IF(ISNUMBER(C755),C755^2,"")</x:f>
        <x:v>0.0003235101379224582</x:v>
      </x:c>
      <x:c r="E755" s="15" t="n">
        <x:f>IF(ISNUMBER(C755),C755^3,"")</x:f>
        <x:v>-0.000005818778724434646</x:v>
      </x:c>
      <x:c r="F755" s="15" t="n">
        <x:f>IF(ISNUMBER(C755),C755^4,"")</x:f>
        <x:v>1.046588093386079e-7</x:v>
      </x:c>
      <x:c r="G755" s="7" t="n">
        <x:f>IF(ISNUMBER(B755),ABS(B755),"")</x:f>
        <x:v>0.018034626899946348</x:v>
      </x:c>
      <x:c r="H755" s="7" t="n">
        <x:f>IF(ISNUMBER(B755),B755^2,"")</x:f>
        <x:v>0.0003252477674202684</x:v>
      </x:c>
      <x:c r="I755" s="7" t="n">
        <x:f>IF(AND(ISNUMBER(G755),'요약'!$B$19),G755-'요약'!$B$14,"")</x:f>
        <x:v>0.010021110272543493</x:v>
      </x:c>
      <x:c r="J755" s="7" t="n">
        <x:f>IF(AND(ISNUMBER(H755),'요약'!$B$19),H755-'요약'!$B$15,"")</x:f>
        <x:v>0.0002230380682341763</x:v>
      </x:c>
      <x:c r="K755" t="n">
        <x:f>IF(ISNUMBER(B755),IF('Hill'!$B$4=1,IF(B755&lt;0,-B755,""),IF('Hill'!$B$4=2,IF(B755&gt;0,B755,""),IF('Hill'!$B$4=3,IF(B755&lt;&gt;0,ABS(B755),""),""))),"")</x:f>
        <x:v>0.018034626899946348</x:v>
      </x:c>
    </x:row>
    <x:row r="756">
      <x:c r="A756" t="n">
        <x:f>755</x:f>
        <x:v>755</x:v>
      </x:c>
      <x:c r="B756" s="7" t="n">
        <x:f>IF('요약'!$B$4=4,IF(ISNUMBER('input'!A756),'input'!A756,""),IF(755&lt;=1000,CHOOSE('요약'!$B$4,'input'!B756,'input'!C756,'input'!D756),""))</x:f>
        <x:v>-0.00961855981909022</x:v>
      </x:c>
      <x:c r="C756" s="7" t="n">
        <x:f>IF(AND(ISNUMBER(B756),'요약'!$B$19),B756-'요약'!$B$7,"")</x:f>
        <x:v>-0.00957032049204072</x:v>
      </x:c>
      <x:c r="D756" s="7" t="n">
        <x:f>IF(ISNUMBER(C756),C756^2,"")</x:f>
        <x:v>0.00009159103432037452</x:v>
      </x:c>
      <x:c r="E756" s="15" t="n">
        <x:f>IF(ISNUMBER(C756),C756^3,"")</x:f>
        <x:v>-8.76555552643485e-7</x:v>
      </x:c>
      <x:c r="F756" s="15" t="n">
        <x:f>IF(ISNUMBER(C756),C756^4,"")</x:f>
        <x:v>8.388917567876022e-9</x:v>
      </x:c>
      <x:c r="G756" s="7" t="n">
        <x:f>IF(ISNUMBER(B756),ABS(B756),"")</x:f>
        <x:v>0.00961855981909022</x:v>
      </x:c>
      <x:c r="H756" s="7" t="n">
        <x:f>IF(ISNUMBER(B756),B756^2,"")</x:f>
        <x:v>0.00009251669299341688</x:v>
      </x:c>
      <x:c r="I756" s="7" t="n">
        <x:f>IF(AND(ISNUMBER(G756),'요약'!$B$19),G756-'요약'!$B$14,"")</x:f>
        <x:v>0.0016050431916873643</x:v>
      </x:c>
      <x:c r="J756" s="7" t="n">
        <x:f>IF(AND(ISNUMBER(H756),'요약'!$B$19),H756-'요약'!$B$15,"")</x:f>
        <x:v>-0.000009693006192675228</x:v>
      </x:c>
      <x:c r="K756" t="n">
        <x:f>IF(ISNUMBER(B756),IF('Hill'!$B$4=1,IF(B756&lt;0,-B756,""),IF('Hill'!$B$4=2,IF(B756&gt;0,B756,""),IF('Hill'!$B$4=3,IF(B756&lt;&gt;0,ABS(B756),""),""))),"")</x:f>
        <x:v>0.00961855981909022</x:v>
      </x:c>
    </x:row>
    <x:row r="757">
      <x:c r="A757" t="n">
        <x:f>756</x:f>
        <x:v>756</x:v>
      </x:c>
      <x:c r="B757" s="7" t="n">
        <x:f>IF('요약'!$B$4=4,IF(ISNUMBER('input'!A757),'input'!A757,""),IF(756&lt;=1000,CHOOSE('요약'!$B$4,'input'!B757,'input'!C757,'input'!D757),""))</x:f>
        <x:v>0.008990530386964173</x:v>
      </x:c>
      <x:c r="C757" s="7" t="n">
        <x:f>IF(AND(ISNUMBER(B757),'요약'!$B$19),B757-'요약'!$B$7,"")</x:f>
        <x:v>0.009038769714013673</x:v>
      </x:c>
      <x:c r="D757" s="7" t="n">
        <x:f>IF(ISNUMBER(C757),C757^2,"")</x:f>
        <x:v>0.00008169935794297081</x:v>
      </x:c>
      <x:c r="E757" s="15" t="n">
        <x:f>IF(ISNUMBER(C757),C757^3,"")</x:f>
        <x:v>7.384616822292871e-7</x:v>
      </x:c>
      <x:c r="F757" s="15" t="n">
        <x:f>IF(ISNUMBER(C757),C757^4,"")</x:f>
        <x:v>6.674785088293669e-9</x:v>
      </x:c>
      <x:c r="G757" s="7" t="n">
        <x:f>IF(ISNUMBER(B757),ABS(B757),"")</x:f>
        <x:v>0.008990530386964173</x:v>
      </x:c>
      <x:c r="H757" s="7" t="n">
        <x:f>IF(ISNUMBER(B757),B757^2,"")</x:f>
        <x:v>0.00008082963663892616</x:v>
      </x:c>
      <x:c r="I757" s="7" t="n">
        <x:f>IF(AND(ISNUMBER(G757),'요약'!$B$19),G757-'요약'!$B$14,"")</x:f>
        <x:v>0.0009770137595613172</x:v>
      </x:c>
      <x:c r="J757" s="7" t="n">
        <x:f>IF(AND(ISNUMBER(H757),'요약'!$B$19),H757-'요약'!$B$15,"")</x:f>
        <x:v>-0.00002138006254716595</x:v>
      </x:c>
      <x:c r="K757" t="str">
        <x:f>IF(ISNUMBER(B757),IF('Hill'!$B$4=1,IF(B757&lt;0,-B757,""),IF('Hill'!$B$4=2,IF(B757&gt;0,B757,""),IF('Hill'!$B$4=3,IF(B757&lt;&gt;0,ABS(B757),""),""))),"")</x:f>
      </x:c>
    </x:row>
    <x:row r="758">
      <x:c r="A758" t="n">
        <x:f>757</x:f>
        <x:v>757</x:v>
      </x:c>
      <x:c r="B758" s="7" t="n">
        <x:f>IF('요약'!$B$4=4,IF(ISNUMBER('input'!A758),'input'!A758,""),IF(757&lt;=1000,CHOOSE('요약'!$B$4,'input'!B758,'input'!C758,'input'!D758),""))</x:f>
        <x:v>0.001351902063555141</x:v>
      </x:c>
      <x:c r="C758" s="7" t="n">
        <x:f>IF(AND(ISNUMBER(B758),'요약'!$B$19),B758-'요약'!$B$7,"")</x:f>
        <x:v>0.0014001413906046425</x:v>
      </x:c>
      <x:c r="D758" s="7" t="n">
        <x:f>IF(ISNUMBER(C758),C758^2,"")</x:f>
        <x:v>0.000001960395913684302</x:v>
      </x:c>
      <x:c r="E758" s="15" t="n">
        <x:f>IF(ISNUMBER(C758),C758^3,"")</x:f>
        <x:v>2.7448314607215974e-9</x:v>
      </x:c>
      <x:c r="F758" s="15" t="n">
        <x:f>IF(ISNUMBER(C758),C758^4,"")</x:f>
        <x:v>3.84315213839011e-12</x:v>
      </x:c>
      <x:c r="G758" s="7" t="n">
        <x:f>IF(ISNUMBER(B758),ABS(B758),"")</x:f>
        <x:v>0.001351902063555141</x:v>
      </x:c>
      <x:c r="H758" s="7" t="n">
        <x:f>IF(ISNUMBER(B758),B758^2,"")</x:f>
        <x:v>0.0000018276391894446487</x:v>
      </x:c>
      <x:c r="I758" s="7" t="n">
        <x:f>IF(AND(ISNUMBER(G758),'요약'!$B$19),G758-'요약'!$B$14,"")</x:f>
        <x:v>-0.006661614563847715</x:v>
      </x:c>
      <x:c r="J758" s="7" t="n">
        <x:f>IF(AND(ISNUMBER(H758),'요약'!$B$19),H758-'요약'!$B$15,"")</x:f>
        <x:v>-0.00010038205999664745</x:v>
      </x:c>
      <x:c r="K758" t="str">
        <x:f>IF(ISNUMBER(B758),IF('Hill'!$B$4=1,IF(B758&lt;0,-B758,""),IF('Hill'!$B$4=2,IF(B758&gt;0,B758,""),IF('Hill'!$B$4=3,IF(B758&lt;&gt;0,ABS(B758),""),""))),"")</x:f>
      </x:c>
    </x:row>
    <x:row r="759">
      <x:c r="A759" t="n">
        <x:f>758</x:f>
        <x:v>758</x:v>
      </x:c>
      <x:c r="B759" s="7" t="n">
        <x:f>IF('요약'!$B$4=4,IF(ISNUMBER('input'!A759),'input'!A759,""),IF(758&lt;=1000,CHOOSE('요약'!$B$4,'input'!B759,'input'!C759,'input'!D759),""))</x:f>
        <x:v>-0.015253759390740178</x:v>
      </x:c>
      <x:c r="C759" s="7" t="n">
        <x:f>IF(AND(ISNUMBER(B759),'요약'!$B$19),B759-'요약'!$B$7,"")</x:f>
        <x:v>-0.015205520063690678</x:v>
      </x:c>
      <x:c r="D759" s="7" t="n">
        <x:f>IF(ISNUMBER(C759),C759^2,"")</x:f>
        <x:v>0.00023120784040729975</x:v>
      </x:c>
      <x:c r="E759" s="15" t="n">
        <x:f>IF(ISNUMBER(C759),C759^3,"")</x:f>
        <x:v>-0.000003515635456195789</x:v>
      </x:c>
      <x:c r="F759" s="15" t="n">
        <x:f>IF(ISNUMBER(C759),C759^4,"")</x:f>
        <x:v>5.34570654658074e-8</x:v>
      </x:c>
      <x:c r="G759" s="7" t="n">
        <x:f>IF(ISNUMBER(B759),ABS(B759),"")</x:f>
        <x:v>0.015253759390740178</x:v>
      </x:c>
      <x:c r="H759" s="7" t="n">
        <x:f>IF(ISNUMBER(B759),B759^2,"")</x:f>
        <x:v>0.00023267717555059417</x:v>
      </x:c>
      <x:c r="I759" s="7" t="n">
        <x:f>IF(AND(ISNUMBER(G759),'요약'!$B$19),G759-'요약'!$B$14,"")</x:f>
        <x:v>0.007240242763337323</x:v>
      </x:c>
      <x:c r="J759" s="7" t="n">
        <x:f>IF(AND(ISNUMBER(H759),'요약'!$B$19),H759-'요약'!$B$15,"")</x:f>
        <x:v>0.00013046747636450207</x:v>
      </x:c>
      <x:c r="K759" t="n">
        <x:f>IF(ISNUMBER(B759),IF('Hill'!$B$4=1,IF(B759&lt;0,-B759,""),IF('Hill'!$B$4=2,IF(B759&gt;0,B759,""),IF('Hill'!$B$4=3,IF(B759&lt;&gt;0,ABS(B759),""),""))),"")</x:f>
        <x:v>0.015253759390740178</x:v>
      </x:c>
    </x:row>
    <x:row r="760">
      <x:c r="A760" t="n">
        <x:f>759</x:f>
        <x:v>759</x:v>
      </x:c>
      <x:c r="B760" s="7" t="n">
        <x:f>IF('요약'!$B$4=4,IF(ISNUMBER('input'!A760),'input'!A760,""),IF(759&lt;=1000,CHOOSE('요약'!$B$4,'input'!B760,'input'!C760,'input'!D760),""))</x:f>
        <x:v>-0.0025132040198492943</x:v>
      </x:c>
      <x:c r="C760" s="7" t="n">
        <x:f>IF(AND(ISNUMBER(B760),'요약'!$B$19),B760-'요약'!$B$7,"")</x:f>
        <x:v>-0.002464964692799793</x:v>
      </x:c>
      <x:c r="D760" s="7" t="n">
        <x:f>IF(ISNUMBER(C760),C760^2,"")</x:f>
        <x:v>0.000006076050936749577</x:v>
      </x:c>
      <x:c r="E760" s="15" t="n">
        <x:f>IF(ISNUMBER(C760),C760^3,"")</x:f>
        <x:v>-1.4977251030740814e-8</x:v>
      </x:c>
      <x:c r="F760" s="15" t="n">
        <x:f>IF(ISNUMBER(C760),C760^4,"")</x:f>
        <x:v>3.6918394985975415e-11</x:v>
      </x:c>
      <x:c r="G760" s="7" t="n">
        <x:f>IF(ISNUMBER(B760),ABS(B760),"")</x:f>
        <x:v>0.0025132040198492943</x:v>
      </x:c>
      <x:c r="H760" s="7" t="n">
        <x:f>IF(ISNUMBER(B760),B760^2,"")</x:f>
        <x:v>0.000006316194445386652</x:v>
      </x:c>
      <x:c r="I760" s="7" t="n">
        <x:f>IF(AND(ISNUMBER(G760),'요약'!$B$19),G760-'요약'!$B$14,"")</x:f>
        <x:v>-0.0055003126075535615</x:v>
      </x:c>
      <x:c r="J760" s="7" t="n">
        <x:f>IF(AND(ISNUMBER(H760),'요약'!$B$19),H760-'요약'!$B$15,"")</x:f>
        <x:v>-0.00009589350474070545</x:v>
      </x:c>
      <x:c r="K760" t="n">
        <x:f>IF(ISNUMBER(B760),IF('Hill'!$B$4=1,IF(B760&lt;0,-B760,""),IF('Hill'!$B$4=2,IF(B760&gt;0,B760,""),IF('Hill'!$B$4=3,IF(B760&lt;&gt;0,ABS(B760),""),""))),"")</x:f>
        <x:v>0.0025132040198492943</x:v>
      </x:c>
    </x:row>
    <x:row r="761">
      <x:c r="A761" t="n">
        <x:f>760</x:f>
        <x:v>760</x:v>
      </x:c>
      <x:c r="B761" s="7" t="n">
        <x:f>IF('요약'!$B$4=4,IF(ISNUMBER('input'!A761),'input'!A761,""),IF(760&lt;=1000,CHOOSE('요약'!$B$4,'input'!B761,'input'!C761,'input'!D761),""))</x:f>
        <x:v>0.011946617560093884</x:v>
      </x:c>
      <x:c r="C761" s="7" t="n">
        <x:f>IF(AND(ISNUMBER(B761),'요약'!$B$19),B761-'요약'!$B$7,"")</x:f>
        <x:v>0.011994856887143385</x:v>
      </x:c>
      <x:c r="D761" s="7" t="n">
        <x:f>IF(ISNUMBER(C761),C761^2,"")</x:f>
        <x:v>0.0001438765917430511</x:v>
      </x:c>
      <x:c r="E761" s="15" t="n">
        <x:f>IF(ISNUMBER(C761),C761^3,"")</x:f>
        <x:v>0.0000017257791273678533</x:v>
      </x:c>
      <x:c r="F761" s="15" t="n">
        <x:f>IF(ISNUMBER(C761),C761^4,"")</x:f>
        <x:v>2.0700473651596597e-8</x:v>
      </x:c>
      <x:c r="G761" s="7" t="n">
        <x:f>IF(ISNUMBER(B761),ABS(B761),"")</x:f>
        <x:v>0.011946617560093884</x:v>
      </x:c>
      <x:c r="H761" s="7" t="n">
        <x:f>IF(ISNUMBER(B761),B761^2,"")</x:f>
        <x:v>0.00014272167112714356</x:v>
      </x:c>
      <x:c r="I761" s="7" t="n">
        <x:f>IF(AND(ISNUMBER(G761),'요약'!$B$19),G761-'요약'!$B$14,"")</x:f>
        <x:v>0.003933100932691029</x:v>
      </x:c>
      <x:c r="J761" s="7" t="n">
        <x:f>IF(AND(ISNUMBER(H761),'요약'!$B$19),H761-'요약'!$B$15,"")</x:f>
        <x:v>0.00004051197194105145</x:v>
      </x:c>
      <x:c r="K761" t="str">
        <x:f>IF(ISNUMBER(B761),IF('Hill'!$B$4=1,IF(B761&lt;0,-B761,""),IF('Hill'!$B$4=2,IF(B761&gt;0,B761,""),IF('Hill'!$B$4=3,IF(B761&lt;&gt;0,ABS(B761),""),""))),"")</x:f>
      </x:c>
    </x:row>
    <x:row r="762">
      <x:c r="A762" t="n">
        <x:f>761</x:f>
        <x:v>761</x:v>
      </x:c>
      <x:c r="B762" s="7" t="n">
        <x:f>IF('요약'!$B$4=4,IF(ISNUMBER('input'!A762),'input'!A762,""),IF(761&lt;=1000,CHOOSE('요약'!$B$4,'input'!B762,'input'!C762,'input'!D762),""))</x:f>
        <x:v>0.007866521648161439</x:v>
      </x:c>
      <x:c r="C762" s="7" t="n">
        <x:f>IF(AND(ISNUMBER(B762),'요약'!$B$19),B762-'요약'!$B$7,"")</x:f>
        <x:v>0.00791476097521094</x:v>
      </x:c>
      <x:c r="D762" s="7" t="n">
        <x:f>IF(ISNUMBER(C762),C762^2,"")</x:f>
        <x:v>0.00006264344129472203</x:v>
      </x:c>
      <x:c r="E762" s="15" t="n">
        <x:f>IF(ISNUMBER(C762),C762^3,"")</x:f>
        <x:v>4.958078645123834e-7</x:v>
      </x:c>
      <x:c r="F762" s="15" t="n">
        <x:f>IF(ISNUMBER(C762),C762^4,"")</x:f>
        <x:v>3.924200737245285e-9</x:v>
      </x:c>
      <x:c r="G762" s="7" t="n">
        <x:f>IF(ISNUMBER(B762),ABS(B762),"")</x:f>
        <x:v>0.007866521648161439</x:v>
      </x:c>
      <x:c r="H762" s="7" t="n">
        <x:f>IF(ISNUMBER(B762),B762^2,"")</x:f>
        <x:v>0.00006188216284099256</x:v>
      </x:c>
      <x:c r="I762" s="7" t="n">
        <x:f>IF(AND(ISNUMBER(G762),'요약'!$B$19),G762-'요약'!$B$14,"")</x:f>
        <x:v>-0.00014699497924141637</x:v>
      </x:c>
      <x:c r="J762" s="7" t="n">
        <x:f>IF(AND(ISNUMBER(H762),'요약'!$B$19),H762-'요약'!$B$15,"")</x:f>
        <x:v>-0.00004032753634509954</x:v>
      </x:c>
      <x:c r="K762" t="str">
        <x:f>IF(ISNUMBER(B762),IF('Hill'!$B$4=1,IF(B762&lt;0,-B762,""),IF('Hill'!$B$4=2,IF(B762&gt;0,B762,""),IF('Hill'!$B$4=3,IF(B762&lt;&gt;0,ABS(B762),""),""))),"")</x:f>
      </x:c>
    </x:row>
    <x:row r="763">
      <x:c r="A763" t="n">
        <x:f>762</x:f>
        <x:v>762</x:v>
      </x:c>
      <x:c r="B763" s="7" t="n">
        <x:f>IF('요약'!$B$4=4,IF(ISNUMBER('input'!A763),'input'!A763,""),IF(762&lt;=1000,CHOOSE('요약'!$B$4,'input'!B763,'input'!C763,'input'!D763),""))</x:f>
        <x:v>-0.016391178897796593</x:v>
      </x:c>
      <x:c r="C763" s="7" t="n">
        <x:f>IF(AND(ISNUMBER(B763),'요약'!$B$19),B763-'요약'!$B$7,"")</x:f>
        <x:v>-0.016342939570747093</x:v>
      </x:c>
      <x:c r="D763" s="7" t="n">
        <x:f>IF(ISNUMBER(C763),C763^2,"")</x:f>
        <x:v>0.00026709167381309116</x:v>
      </x:c>
      <x:c r="E763" s="15" t="n">
        <x:f>IF(ISNUMBER(C763),C763^3,"")</x:f>
        <x:v>-0.000004365063084977043</x:v>
      </x:c>
      <x:c r="F763" s="15" t="n">
        <x:f>IF(ISNUMBER(C763),C763^4,"")</x:f>
        <x:v>7.13379622202787e-8</x:v>
      </x:c>
      <x:c r="G763" s="7" t="n">
        <x:f>IF(ISNUMBER(B763),ABS(B763),"")</x:f>
        <x:v>0.016391178897796593</x:v>
      </x:c>
      <x:c r="H763" s="7" t="n">
        <x:f>IF(ISNUMBER(B763),B763^2,"")</x:f>
        <x:v>0.0002686707456595723</x:v>
      </x:c>
      <x:c r="I763" s="7" t="n">
        <x:f>IF(AND(ISNUMBER(G763),'요약'!$B$19),G763-'요약'!$B$14,"")</x:f>
        <x:v>0.008377662270393738</x:v>
      </x:c>
      <x:c r="J763" s="7" t="n">
        <x:f>IF(AND(ISNUMBER(H763),'요약'!$B$19),H763-'요약'!$B$15,"")</x:f>
        <x:v>0.00016646104647348022</x:v>
      </x:c>
      <x:c r="K763" t="n">
        <x:f>IF(ISNUMBER(B763),IF('Hill'!$B$4=1,IF(B763&lt;0,-B763,""),IF('Hill'!$B$4=2,IF(B763&gt;0,B763,""),IF('Hill'!$B$4=3,IF(B763&lt;&gt;0,ABS(B763),""),""))),"")</x:f>
        <x:v>0.016391178897796593</x:v>
      </x:c>
    </x:row>
    <x:row r="764">
      <x:c r="A764" t="n">
        <x:f>763</x:f>
        <x:v>763</x:v>
      </x:c>
      <x:c r="B764" s="7" t="n">
        <x:f>IF('요약'!$B$4=4,IF(ISNUMBER('input'!A764),'input'!A764,""),IF(763&lt;=1000,CHOOSE('요약'!$B$4,'input'!B764,'input'!C764,'input'!D764),""))</x:f>
        <x:v>0.002911932888975145</x:v>
      </x:c>
      <x:c r="C764" s="7" t="n">
        <x:f>IF(AND(ISNUMBER(B764),'요약'!$B$19),B764-'요약'!$B$7,"")</x:f>
        <x:v>0.0029601722160246466</x:v>
      </x:c>
      <x:c r="D764" s="7" t="n">
        <x:f>IF(ISNUMBER(C764),C764^2,"")</x:f>
        <x:v>0.000008762619548524268</x:v>
      </x:c>
      <x:c r="E764" s="15" t="n">
        <x:f>IF(ISNUMBER(C764),C764^3,"")</x:f>
        <x:v>2.5938862927135967e-8</x:v>
      </x:c>
      <x:c r="F764" s="15" t="n">
        <x:f>IF(ISNUMBER(C764),C764^4,"")</x:f>
        <x:v>7.678350135217963e-11</x:v>
      </x:c>
      <x:c r="G764" s="7" t="n">
        <x:f>IF(ISNUMBER(B764),ABS(B764),"")</x:f>
        <x:v>0.002911932888975145</x:v>
      </x:c>
      <x:c r="H764" s="7" t="n">
        <x:f>IF(ISNUMBER(B764),B764^2,"")</x:f>
        <x:v>0.000008479353149895135</x:v>
      </x:c>
      <x:c r="I764" s="7" t="n">
        <x:f>IF(AND(ISNUMBER(G764),'요약'!$B$19),G764-'요약'!$B$14,"")</x:f>
        <x:v>-0.00510158373842771</x:v>
      </x:c>
      <x:c r="J764" s="7" t="n">
        <x:f>IF(AND(ISNUMBER(H764),'요약'!$B$19),H764-'요약'!$B$15,"")</x:f>
        <x:v>-0.00009373034603619697</x:v>
      </x:c>
      <x:c r="K764" t="str">
        <x:f>IF(ISNUMBER(B764),IF('Hill'!$B$4=1,IF(B764&lt;0,-B764,""),IF('Hill'!$B$4=2,IF(B764&gt;0,B764,""),IF('Hill'!$B$4=3,IF(B764&lt;&gt;0,ABS(B764),""),""))),"")</x:f>
      </x:c>
    </x:row>
    <x:row r="765">
      <x:c r="A765" t="n">
        <x:f>764</x:f>
        <x:v>764</x:v>
      </x:c>
      <x:c r="B765" s="7" t="n">
        <x:f>IF('요약'!$B$4=4,IF(ISNUMBER('input'!A765),'input'!A765,""),IF(764&lt;=1000,CHOOSE('요약'!$B$4,'input'!B765,'input'!C765,'input'!D765),""))</x:f>
        <x:v>0.0029760253463920906</x:v>
      </x:c>
      <x:c r="C765" s="7" t="n">
        <x:f>IF(AND(ISNUMBER(B765),'요약'!$B$19),B765-'요약'!$B$7,"")</x:f>
        <x:v>0.003024264673441592</x:v>
      </x:c>
      <x:c r="D765" s="7" t="n">
        <x:f>IF(ISNUMBER(C765),C765^2,"")</x:f>
        <x:v>0.000009146176815026779</x:v>
      </x:c>
      <x:c r="E765" s="15" t="n">
        <x:f>IF(ISNUMBER(C765),C765^3,"")</x:f>
        <x:v>2.7660459438736023e-8</x:v>
      </x:c>
      <x:c r="F765" s="15" t="n">
        <x:f>IF(ISNUMBER(C765),C765^4,"")</x:f>
        <x:v>8.36525503317334e-11</x:v>
      </x:c>
      <x:c r="G765" s="7" t="n">
        <x:f>IF(ISNUMBER(B765),ABS(B765),"")</x:f>
        <x:v>0.0029760253463920906</x:v>
      </x:c>
      <x:c r="H765" s="7" t="n">
        <x:f>IF(ISNUMBER(B765),B765^2,"")</x:f>
        <x:v>0.000008856726862368163</x:v>
      </x:c>
      <x:c r="I765" s="7" t="n">
        <x:f>IF(AND(ISNUMBER(G765),'요약'!$B$19),G765-'요약'!$B$14,"")</x:f>
        <x:v>-0.005037491281010765</x:v>
      </x:c>
      <x:c r="J765" s="7" t="n">
        <x:f>IF(AND(ISNUMBER(H765),'요약'!$B$19),H765-'요약'!$B$15,"")</x:f>
        <x:v>-0.00009335297232372395</x:v>
      </x:c>
      <x:c r="K765" t="str">
        <x:f>IF(ISNUMBER(B765),IF('Hill'!$B$4=1,IF(B765&lt;0,-B765,""),IF('Hill'!$B$4=2,IF(B765&gt;0,B765,""),IF('Hill'!$B$4=3,IF(B765&lt;&gt;0,ABS(B765),""),""))),"")</x:f>
      </x:c>
    </x:row>
    <x:row r="766">
      <x:c r="A766" t="n">
        <x:f>765</x:f>
        <x:v>765</x:v>
      </x:c>
      <x:c r="B766" s="7" t="n">
        <x:f>IF('요약'!$B$4=4,IF(ISNUMBER('input'!A766),'input'!A766,""),IF(765&lt;=1000,CHOOSE('요약'!$B$4,'input'!B766,'input'!C766,'input'!D766),""))</x:f>
        <x:v>-0.018085246645736845</x:v>
      </x:c>
      <x:c r="C766" s="7" t="n">
        <x:f>IF(AND(ISNUMBER(B766),'요약'!$B$19),B766-'요약'!$B$7,"")</x:f>
        <x:v>-0.018037007318687345</x:v>
      </x:c>
      <x:c r="D766" s="7" t="n">
        <x:f>IF(ISNUMBER(C766),C766^2,"")</x:f>
        <x:v>0.00032533363301438085</x:v>
      </x:c>
      <x:c r="E766" s="15" t="n">
        <x:f>IF(ISNUMBER(C766),C766^3,"")</x:f>
        <x:v>-0.0000058680451196955295</x:v>
      </x:c>
      <x:c r="F766" s="15" t="n">
        <x:f>IF(ISNUMBER(C766),C766^4,"")</x:f>
        <x:v>1.0584197277033583e-7</x:v>
      </x:c>
      <x:c r="G766" s="7" t="n">
        <x:f>IF(ISNUMBER(B766),ABS(B766),"")</x:f>
        <x:v>0.018085246645736845</x:v>
      </x:c>
      <x:c r="H766" s="7" t="n">
        <x:f>IF(ISNUMBER(B766),B766^2,"")</x:f>
        <x:v>0.00032707614623713583</x:v>
      </x:c>
      <x:c r="I766" s="7" t="n">
        <x:f>IF(AND(ISNUMBER(G766),'요약'!$B$19),G766-'요약'!$B$14,"")</x:f>
        <x:v>0.01007173001833399</x:v>
      </x:c>
      <x:c r="J766" s="7" t="n">
        <x:f>IF(AND(ISNUMBER(H766),'요약'!$B$19),H766-'요약'!$B$15,"")</x:f>
        <x:v>0.00022486644705104372</x:v>
      </x:c>
      <x:c r="K766" t="n">
        <x:f>IF(ISNUMBER(B766),IF('Hill'!$B$4=1,IF(B766&lt;0,-B766,""),IF('Hill'!$B$4=2,IF(B766&gt;0,B766,""),IF('Hill'!$B$4=3,IF(B766&lt;&gt;0,ABS(B766),""),""))),"")</x:f>
        <x:v>0.018085246645736845</x:v>
      </x:c>
    </x:row>
    <x:row r="767">
      <x:c r="A767" t="n">
        <x:f>766</x:f>
        <x:v>766</x:v>
      </x:c>
      <x:c r="B767" s="7" t="n">
        <x:f>IF('요약'!$B$4=4,IF(ISNUMBER('input'!A767),'input'!A767,""),IF(766&lt;=1000,CHOOSE('요약'!$B$4,'input'!B767,'input'!C767,'input'!D767),""))</x:f>
        <x:v>0.019037559925598652</x:v>
      </x:c>
      <x:c r="C767" s="7" t="n">
        <x:f>IF(AND(ISNUMBER(B767),'요약'!$B$19),B767-'요약'!$B$7,"")</x:f>
        <x:v>0.019085799252648153</x:v>
      </x:c>
      <x:c r="D767" s="7" t="n">
        <x:f>IF(ISNUMBER(C767),C767^2,"")</x:f>
        <x:v>0.0003642677331123848</x:v>
      </x:c>
      <x:c r="E767" s="15" t="n">
        <x:f>IF(ISNUMBER(C767),C767^3,"")</x:f>
        <x:v>0.000006952340828400191</x:v>
      </x:c>
      <x:c r="F767" s="15" t="n">
        <x:f>IF(ISNUMBER(C767),C767^4,"")</x:f>
        <x:v>1.326909813868356e-7</x:v>
      </x:c>
      <x:c r="G767" s="7" t="n">
        <x:f>IF(ISNUMBER(B767),ABS(B767),"")</x:f>
        <x:v>0.019037559925598652</x:v>
      </x:c>
      <x:c r="H767" s="7" t="n">
        <x:f>IF(ISNUMBER(B767),B767^2,"")</x:f>
        <x:v>0.0003624286879207598</x:v>
      </x:c>
      <x:c r="I767" s="7" t="n">
        <x:f>IF(AND(ISNUMBER(G767),'요약'!$B$19),G767-'요약'!$B$14,"")</x:f>
        <x:v>0.011024043298195797</x:v>
      </x:c>
      <x:c r="J767" s="7" t="n">
        <x:f>IF(AND(ISNUMBER(H767),'요약'!$B$19),H767-'요약'!$B$15,"")</x:f>
        <x:v>0.0002602189887346677</x:v>
      </x:c>
      <x:c r="K767" t="str">
        <x:f>IF(ISNUMBER(B767),IF('Hill'!$B$4=1,IF(B767&lt;0,-B767,""),IF('Hill'!$B$4=2,IF(B767&gt;0,B767,""),IF('Hill'!$B$4=3,IF(B767&lt;&gt;0,ABS(B767),""),""))),"")</x:f>
      </x:c>
    </x:row>
    <x:row r="768">
      <x:c r="A768" t="n">
        <x:f>767</x:f>
        <x:v>767</x:v>
      </x:c>
      <x:c r="B768" s="7" t="n">
        <x:f>IF('요약'!$B$4=4,IF(ISNUMBER('input'!A768),'input'!A768,""),IF(767&lt;=1000,CHOOSE('요약'!$B$4,'input'!B768,'input'!C768,'input'!D768),""))</x:f>
        <x:v>0.0014936960453344628</x:v>
      </x:c>
      <x:c r="C768" s="7" t="n">
        <x:f>IF(AND(ISNUMBER(B768),'요약'!$B$19),B768-'요약'!$B$7,"")</x:f>
        <x:v>0.0015419353723839643</x:v>
      </x:c>
      <x:c r="D768" s="7" t="n">
        <x:f>IF(ISNUMBER(C768),C768^2,"")</x:f>
        <x:v>0.0000023775646926088745</x:v>
      </x:c>
      <x:c r="E768" s="15" t="n">
        <x:f>IF(ISNUMBER(C768),C768^3,"")</x:f>
        <x:v>3.6660510996648307e-9</x:v>
      </x:c>
      <x:c r="F768" s="15" t="n">
        <x:f>IF(ISNUMBER(C768),C768^4,"")</x:f>
        <x:v>5.652813867540333e-12</x:v>
      </x:c>
      <x:c r="G768" s="7" t="n">
        <x:f>IF(ISNUMBER(B768),ABS(B768),"")</x:f>
        <x:v>0.0014936960453344628</x:v>
      </x:c>
      <x:c r="H768" s="7" t="n">
        <x:f>IF(ISNUMBER(B768),B768^2,"")</x:f>
        <x:v>0.0000022311278758478136</x:v>
      </x:c>
      <x:c r="I768" s="7" t="n">
        <x:f>IF(AND(ISNUMBER(G768),'요약'!$B$19),G768-'요약'!$B$14,"")</x:f>
        <x:v>-0.006519820582068393</x:v>
      </x:c>
      <x:c r="J768" s="7" t="n">
        <x:f>IF(AND(ISNUMBER(H768),'요약'!$B$19),H768-'요약'!$B$15,"")</x:f>
        <x:v>-0.0000999785713102443</x:v>
      </x:c>
      <x:c r="K768" t="str">
        <x:f>IF(ISNUMBER(B768),IF('Hill'!$B$4=1,IF(B768&lt;0,-B768,""),IF('Hill'!$B$4=2,IF(B768&gt;0,B768,""),IF('Hill'!$B$4=3,IF(B768&lt;&gt;0,ABS(B768),""),""))),"")</x:f>
      </x:c>
    </x:row>
    <x:row r="769">
      <x:c r="A769" t="n">
        <x:f>768</x:f>
        <x:v>768</x:v>
      </x:c>
      <x:c r="B769" s="7" t="n">
        <x:f>IF('요약'!$B$4=4,IF(ISNUMBER('input'!A769),'input'!A769,""),IF(768&lt;=1000,CHOOSE('요약'!$B$4,'input'!B769,'input'!C769,'input'!D769),""))</x:f>
        <x:v>0.006709545733138368</x:v>
      </x:c>
      <x:c r="C769" s="7" t="n">
        <x:f>IF(AND(ISNUMBER(B769),'요약'!$B$19),B769-'요약'!$B$7,"")</x:f>
        <x:v>0.006757785060187869</x:v>
      </x:c>
      <x:c r="D769" s="7" t="n">
        <x:f>IF(ISNUMBER(C769),C769^2,"")</x:f>
        <x:v>0.00004566765891969836</x:v>
      </x:c>
      <x:c r="E769" s="15" t="n">
        <x:f>IF(ISNUMBER(C769),C769^3,"")</x:f>
        <x:v>3.0861222318129287e-7</x:v>
      </x:c>
      <x:c r="F769" s="15" t="n">
        <x:f>IF(ISNUMBER(C769),C769^4,"")</x:f>
        <x:v>2.0855350712059052e-9</x:v>
      </x:c>
      <x:c r="G769" s="7" t="n">
        <x:f>IF(ISNUMBER(B769),ABS(B769),"")</x:f>
        <x:v>0.006709545733138368</x:v>
      </x:c>
      <x:c r="H769" s="7" t="n">
        <x:f>IF(ISNUMBER(B769),B769^2,"")</x:f>
        <x:v>0.00004501800394507527</x:v>
      </x:c>
      <x:c r="I769" s="7" t="n">
        <x:f>IF(AND(ISNUMBER(G769),'요약'!$B$19),G769-'요약'!$B$14,"")</x:f>
        <x:v>-0.0013039708942644878</x:v>
      </x:c>
      <x:c r="J769" s="7" t="n">
        <x:f>IF(AND(ISNUMBER(H769),'요약'!$B$19),H769-'요약'!$B$15,"")</x:f>
        <x:v>-0.00005719169524101683</x:v>
      </x:c>
      <x:c r="K769" t="str">
        <x:f>IF(ISNUMBER(B769),IF('Hill'!$B$4=1,IF(B769&lt;0,-B769,""),IF('Hill'!$B$4=2,IF(B769&gt;0,B769,""),IF('Hill'!$B$4=3,IF(B769&lt;&gt;0,ABS(B769),""),""))),"")</x:f>
      </x:c>
    </x:row>
    <x:row r="770">
      <x:c r="A770" t="n">
        <x:f>769</x:f>
        <x:v>769</x:v>
      </x:c>
      <x:c r="B770" s="7" t="n">
        <x:f>IF('요약'!$B$4=4,IF(ISNUMBER('input'!A770),'input'!A770,""),IF(769&lt;=1000,CHOOSE('요약'!$B$4,'input'!B770,'input'!C770,'input'!D770),""))</x:f>
        <x:v>-0.0038184077088340234</x:v>
      </x:c>
      <x:c r="C770" s="7" t="n">
        <x:f>IF(AND(ISNUMBER(B770),'요약'!$B$19),B770-'요약'!$B$7,"")</x:f>
        <x:v>-0.003770168381784522</x:v>
      </x:c>
      <x:c r="D770" s="7" t="n">
        <x:f>IF(ISNUMBER(C770),C770^2,"")</x:f>
        <x:v>0.00001421416962700772</x:v>
      </x:c>
      <x:c r="E770" s="15" t="n">
        <x:f>IF(ISNUMBER(C770),C770^3,"")</x:f>
        <x:v>-5.35898129010664e-8</x:v>
      </x:c>
      <x:c r="F770" s="15" t="n">
        <x:f>IF(ISNUMBER(C770),C770^4,"")</x:f>
        <x:v>2.020426181853488e-10</x:v>
      </x:c>
      <x:c r="G770" s="7" t="n">
        <x:f>IF(ISNUMBER(B770),ABS(B770),"")</x:f>
        <x:v>0.0038184077088340234</x:v>
      </x:c>
      <x:c r="H770" s="7" t="n">
        <x:f>IF(ISNUMBER(B770),B770^2,"")</x:f>
        <x:v>0.000014580237430883096</x:v>
      </x:c>
      <x:c r="I770" s="7" t="n">
        <x:f>IF(AND(ISNUMBER(G770),'요약'!$B$19),G770-'요약'!$B$14,"")</x:f>
        <x:v>-0.004195108918568832</x:v>
      </x:c>
      <x:c r="J770" s="7" t="n">
        <x:f>IF(AND(ISNUMBER(H770),'요약'!$B$19),H770-'요약'!$B$15,"")</x:f>
        <x:v>-0.000087629461755209</x:v>
      </x:c>
      <x:c r="K770" t="n">
        <x:f>IF(ISNUMBER(B770),IF('Hill'!$B$4=1,IF(B770&lt;0,-B770,""),IF('Hill'!$B$4=2,IF(B770&gt;0,B770,""),IF('Hill'!$B$4=3,IF(B770&lt;&gt;0,ABS(B770),""),""))),"")</x:f>
        <x:v>0.0038184077088340234</x:v>
      </x:c>
    </x:row>
    <x:row r="771">
      <x:c r="A771" t="n">
        <x:f>770</x:f>
        <x:v>770</x:v>
      </x:c>
      <x:c r="B771" s="7" t="n">
        <x:f>IF('요약'!$B$4=4,IF(ISNUMBER('input'!A771),'input'!A771,""),IF(770&lt;=1000,CHOOSE('요약'!$B$4,'input'!B771,'input'!C771,'input'!D771),""))</x:f>
        <x:v>0.02061917893689466</x:v>
      </x:c>
      <x:c r="C771" s="7" t="n">
        <x:f>IF(AND(ISNUMBER(B771),'요약'!$B$19),B771-'요약'!$B$7,"")</x:f>
        <x:v>0.02066741826394416</x:v>
      </x:c>
      <x:c r="D771" s="7" t="n">
        <x:f>IF(ISNUMBER(C771),C771^2,"")</x:f>
        <x:v>0.0004271421776968127</x:v>
      </x:c>
      <x:c r="E771" s="15" t="n">
        <x:f>IF(ISNUMBER(C771),C771^3,"")</x:f>
        <x:v>0.000008827926044631989</x:v>
      </x:c>
      <x:c r="F771" s="15" t="n">
        <x:f>IF(ISNUMBER(C771),C771^4,"")</x:f>
        <x:v>1.8245043996757553e-7</x:v>
      </x:c>
      <x:c r="G771" s="7" t="n">
        <x:f>IF(ISNUMBER(B771),ABS(B771),"")</x:f>
        <x:v>0.02061917893689466</x:v>
      </x:c>
      <x:c r="H771" s="7" t="n">
        <x:f>IF(ISNUMBER(B771),B771^2,"")</x:f>
        <x:v>0.00042515054003168046</x:v>
      </x:c>
      <x:c r="I771" s="7" t="n">
        <x:f>IF(AND(ISNUMBER(G771),'요약'!$B$19),G771-'요약'!$B$14,"")</x:f>
        <x:v>0.012605662309491806</x:v>
      </x:c>
      <x:c r="J771" s="7" t="n">
        <x:f>IF(AND(ISNUMBER(H771),'요약'!$B$19),H771-'요약'!$B$15,"")</x:f>
        <x:v>0.00032294084084558833</x:v>
      </x:c>
      <x:c r="K771" t="str">
        <x:f>IF(ISNUMBER(B771),IF('Hill'!$B$4=1,IF(B771&lt;0,-B771,""),IF('Hill'!$B$4=2,IF(B771&gt;0,B771,""),IF('Hill'!$B$4=3,IF(B771&lt;&gt;0,ABS(B771),""),""))),"")</x:f>
      </x:c>
    </x:row>
    <x:row r="772">
      <x:c r="A772" t="n">
        <x:f>771</x:f>
        <x:v>771</x:v>
      </x:c>
      <x:c r="B772" s="7" t="n">
        <x:f>IF('요약'!$B$4=4,IF(ISNUMBER('input'!A772),'input'!A772,""),IF(771&lt;=1000,CHOOSE('요약'!$B$4,'input'!B772,'input'!C772,'input'!D772),""))</x:f>
        <x:v>-0.007922188547745606</x:v>
      </x:c>
      <x:c r="C772" s="7" t="n">
        <x:f>IF(AND(ISNUMBER(B772),'요약'!$B$19),B772-'요약'!$B$7,"")</x:f>
        <x:v>-0.007873949220696105</x:v>
      </x:c>
      <x:c r="D772" s="7" t="n">
        <x:f>IF(ISNUMBER(C772),C772^2,"")</x:f>
        <x:v>0.00006199907633010081</x:v>
      </x:c>
      <x:c r="E772" s="15" t="n">
        <x:f>IF(ISNUMBER(C772),C772^3,"")</x:f>
        <x:v>-4.881775787532756e-7</x:v>
      </x:c>
      <x:c r="F772" s="15" t="n">
        <x:f>IF(ISNUMBER(C772),C772^4,"")</x:f>
        <x:v>3.843885465785666e-9</x:v>
      </x:c>
      <x:c r="G772" s="7" t="n">
        <x:f>IF(ISNUMBER(B772),ABS(B772),"")</x:f>
        <x:v>0.007922188547745606</x:v>
      </x:c>
      <x:c r="H772" s="7" t="n">
        <x:f>IF(ISNUMBER(B772),B772^2,"")</x:f>
        <x:v>0.00006276107138603164</x:v>
      </x:c>
      <x:c r="I772" s="7" t="n">
        <x:f>IF(AND(ISNUMBER(G772),'요약'!$B$19),G772-'요약'!$B$14,"")</x:f>
        <x:v>-0.00009132807965724944</x:v>
      </x:c>
      <x:c r="J772" s="7" t="n">
        <x:f>IF(AND(ISNUMBER(H772),'요약'!$B$19),H772-'요약'!$B$15,"")</x:f>
        <x:v>-0.000039448627800060465</x:v>
      </x:c>
      <x:c r="K772" t="n">
        <x:f>IF(ISNUMBER(B772),IF('Hill'!$B$4=1,IF(B772&lt;0,-B772,""),IF('Hill'!$B$4=2,IF(B772&gt;0,B772,""),IF('Hill'!$B$4=3,IF(B772&lt;&gt;0,ABS(B772),""),""))),"")</x:f>
        <x:v>0.007922188547745606</x:v>
      </x:c>
    </x:row>
    <x:row r="773">
      <x:c r="A773" t="n">
        <x:f>772</x:f>
        <x:v>772</x:v>
      </x:c>
      <x:c r="B773" s="7" t="n">
        <x:f>IF('요약'!$B$4=4,IF(ISNUMBER('input'!A773),'input'!A773,""),IF(772&lt;=1000,CHOOSE('요약'!$B$4,'input'!B773,'input'!C773,'input'!D773),""))</x:f>
        <x:v>0.004043917112999335</x:v>
      </x:c>
      <x:c r="C773" s="7" t="n">
        <x:f>IF(AND(ISNUMBER(B773),'요약'!$B$19),B773-'요약'!$B$7,"")</x:f>
        <x:v>0.004092156440048836</x:v>
      </x:c>
      <x:c r="D773" s="7" t="n">
        <x:f>IF(ISNUMBER(C773),C773^2,"")</x:f>
        <x:v>0.000016745744329833164</x:v>
      </x:c>
      <x:c r="E773" s="15" t="n">
        <x:f>IF(ISNUMBER(C773),C773^3,"")</x:f>
        <x:v>6.852620550273808e-8</x:v>
      </x:c>
      <x:c r="F773" s="15" t="n">
        <x:f>IF(ISNUMBER(C773),C773^4,"")</x:f>
        <x:v>2.804199531601396e-10</x:v>
      </x:c>
      <x:c r="G773" s="7" t="n">
        <x:f>IF(ISNUMBER(B773),ABS(B773),"")</x:f>
        <x:v>0.004043917112999335</x:v>
      </x:c>
      <x:c r="H773" s="7" t="n">
        <x:f>IF(ISNUMBER(B773),B773^2,"")</x:f>
        <x:v>0.000016353265616808876</x:v>
      </x:c>
      <x:c r="I773" s="7" t="n">
        <x:f>IF(AND(ISNUMBER(G773),'요약'!$B$19),G773-'요약'!$B$14,"")</x:f>
        <x:v>-0.0039695995144035205</x:v>
      </x:c>
      <x:c r="J773" s="7" t="n">
        <x:f>IF(AND(ISNUMBER(H773),'요약'!$B$19),H773-'요약'!$B$15,"")</x:f>
        <x:v>-0.00008585643356928323</x:v>
      </x:c>
      <x:c r="K773" t="str">
        <x:f>IF(ISNUMBER(B773),IF('Hill'!$B$4=1,IF(B773&lt;0,-B773,""),IF('Hill'!$B$4=2,IF(B773&gt;0,B773,""),IF('Hill'!$B$4=3,IF(B773&lt;&gt;0,ABS(B773),""),""))),"")</x:f>
      </x:c>
    </x:row>
    <x:row r="774">
      <x:c r="A774" t="n">
        <x:f>773</x:f>
        <x:v>773</x:v>
      </x:c>
      <x:c r="B774" s="7" t="n">
        <x:f>IF('요약'!$B$4=4,IF(ISNUMBER('input'!A774),'input'!A774,""),IF(773&lt;=1000,CHOOSE('요약'!$B$4,'input'!B774,'input'!C774,'input'!D774),""))</x:f>
        <x:v>0.00041906221071937955</x:v>
      </x:c>
      <x:c r="C774" s="7" t="n">
        <x:f>IF(AND(ISNUMBER(B774),'요약'!$B$19),B774-'요약'!$B$7,"")</x:f>
        <x:v>0.0004673015377688809</x:v>
      </x:c>
      <x:c r="D774" s="7" t="n">
        <x:f>IF(ISNUMBER(C774),C774^2,"")</x:f>
        <x:v>2.1837072720116083e-7</x:v>
      </x:c>
      <x:c r="E774" s="15" t="n">
        <x:f>IF(ISNUMBER(C774),C774^3,"")</x:f>
        <x:v>1.0204497662481124e-10</x:v>
      </x:c>
      <x:c r="F774" s="15" t="n">
        <x:f>IF(ISNUMBER(C774),C774^4,"")</x:f>
        <x:v>4.76857744983638e-14</x:v>
      </x:c>
      <x:c r="G774" s="7" t="n">
        <x:f>IF(ISNUMBER(B774),ABS(B774),"")</x:f>
        <x:v>0.00041906221071937955</x:v>
      </x:c>
      <x:c r="H774" s="7" t="n">
        <x:f>IF(ISNUMBER(B774),B774^2,"")</x:f>
        <x:v>1.7561313645301367e-7</x:v>
      </x:c>
      <x:c r="I774" s="7" t="n">
        <x:f>IF(AND(ISNUMBER(G774),'요약'!$B$19),G774-'요약'!$B$14,"")</x:f>
        <x:v>-0.0075944544166834755</x:v>
      </x:c>
      <x:c r="J774" s="7" t="n">
        <x:f>IF(AND(ISNUMBER(H774),'요약'!$B$19),H774-'요약'!$B$15,"")</x:f>
        <x:v>-0.00010203408604963909</x:v>
      </x:c>
      <x:c r="K774" t="str">
        <x:f>IF(ISNUMBER(B774),IF('Hill'!$B$4=1,IF(B774&lt;0,-B774,""),IF('Hill'!$B$4=2,IF(B774&gt;0,B774,""),IF('Hill'!$B$4=3,IF(B774&lt;&gt;0,ABS(B774),""),""))),"")</x:f>
      </x:c>
    </x:row>
    <x:row r="775">
      <x:c r="A775" t="n">
        <x:f>774</x:f>
        <x:v>774</x:v>
      </x:c>
      <x:c r="B775" s="7" t="n">
        <x:f>IF('요약'!$B$4=4,IF(ISNUMBER('input'!A775),'input'!A775,""),IF(774&lt;=1000,CHOOSE('요약'!$B$4,'input'!B775,'input'!C775,'input'!D775),""))</x:f>
        <x:v>0.00955556188663714</x:v>
      </x:c>
      <x:c r="C775" s="7" t="n">
        <x:f>IF(AND(ISNUMBER(B775),'요약'!$B$19),B775-'요약'!$B$7,"")</x:f>
        <x:v>0.00960380121368664</x:v>
      </x:c>
      <x:c r="D775" s="7" t="n">
        <x:f>IF(ISNUMBER(C775),C775^2,"")</x:f>
        <x:v>0.00009223299775200898</x:v>
      </x:c>
      <x:c r="E775" s="15" t="n">
        <x:f>IF(ISNUMBER(C775),C775^3,"")</x:f>
        <x:v>8.857873757527009e-7</x:v>
      </x:c>
      <x:c r="F775" s="15" t="n">
        <x:f>IF(ISNUMBER(C775),C775^4,"")</x:f>
        <x:v>8.506925874322093e-9</x:v>
      </x:c>
      <x:c r="G775" s="7" t="n">
        <x:f>IF(ISNUMBER(B775),ABS(B775),"")</x:f>
        <x:v>0.00955556188663714</x:v>
      </x:c>
      <x:c r="H775" s="7" t="n">
        <x:f>IF(ISNUMBER(B775),B775^2,"")</x:f>
        <x:v>0.00009130876296935233</x:v>
      </x:c>
      <x:c r="I775" s="7" t="n">
        <x:f>IF(AND(ISNUMBER(G775),'요약'!$B$19),G775-'요약'!$B$14,"")</x:f>
        <x:v>0.001542045259234284</x:v>
      </x:c>
      <x:c r="J775" s="7" t="n">
        <x:f>IF(AND(ISNUMBER(H775),'요약'!$B$19),H775-'요약'!$B$15,"")</x:f>
        <x:v>-0.000010900936216739774</x:v>
      </x:c>
      <x:c r="K775" t="str">
        <x:f>IF(ISNUMBER(B775),IF('Hill'!$B$4=1,IF(B775&lt;0,-B775,""),IF('Hill'!$B$4=2,IF(B775&gt;0,B775,""),IF('Hill'!$B$4=3,IF(B775&lt;&gt;0,ABS(B775),""),""))),"")</x:f>
      </x:c>
    </x:row>
    <x:row r="776">
      <x:c r="A776" t="n">
        <x:f>775</x:f>
        <x:v>775</x:v>
      </x:c>
      <x:c r="B776" s="7" t="n">
        <x:f>IF('요약'!$B$4=4,IF(ISNUMBER('input'!A776),'input'!A776,""),IF(775&lt;=1000,CHOOSE('요약'!$B$4,'input'!B776,'input'!C776,'input'!D776),""))</x:f>
        <x:v>-0.0016923338602274527</x:v>
      </x:c>
      <x:c r="C776" s="7" t="n">
        <x:f>IF(AND(ISNUMBER(B776),'요약'!$B$19),B776-'요약'!$B$7,"")</x:f>
        <x:v>-0.0016440945331779512</x:v>
      </x:c>
      <x:c r="D776" s="7" t="n">
        <x:f>IF(ISNUMBER(C776),C776^2,"")</x:f>
        <x:v>0.0000027030468340256253</x:v>
      </x:c>
      <x:c r="E776" s="15" t="n">
        <x:f>IF(ISNUMBER(C776),C776^3,"")</x:f>
        <x:v>-4.4440645227455e-9</x:v>
      </x:c>
      <x:c r="F776" s="15" t="n">
        <x:f>IF(ISNUMBER(C776),C776^4,"")</x:f>
        <x:v>7.306462186935957e-12</x:v>
      </x:c>
      <x:c r="G776" s="7" t="n">
        <x:f>IF(ISNUMBER(B776),ABS(B776),"")</x:f>
        <x:v>0.0016923338602274527</x:v>
      </x:c>
      <x:c r="H776" s="7" t="n">
        <x:f>IF(ISNUMBER(B776),B776^2,"")</x:f>
        <x:v>0.0000028639938944723514</x:v>
      </x:c>
      <x:c r="I776" s="7" t="n">
        <x:f>IF(AND(ISNUMBER(G776),'요약'!$B$19),G776-'요약'!$B$14,"")</x:f>
        <x:v>-0.006321182767175403</x:v>
      </x:c>
      <x:c r="J776" s="7" t="n">
        <x:f>IF(AND(ISNUMBER(H776),'요약'!$B$19),H776-'요약'!$B$15,"")</x:f>
        <x:v>-0.00009934570529161975</x:v>
      </x:c>
      <x:c r="K776" t="n">
        <x:f>IF(ISNUMBER(B776),IF('Hill'!$B$4=1,IF(B776&lt;0,-B776,""),IF('Hill'!$B$4=2,IF(B776&gt;0,B776,""),IF('Hill'!$B$4=3,IF(B776&lt;&gt;0,ABS(B776),""),""))),"")</x:f>
        <x:v>0.0016923338602274527</x:v>
      </x:c>
    </x:row>
    <x:row r="777">
      <x:c r="A777" t="n">
        <x:f>776</x:f>
        <x:v>776</x:v>
      </x:c>
      <x:c r="B777" s="7" t="n">
        <x:f>IF('요약'!$B$4=4,IF(ISNUMBER('input'!A777),'input'!A777,""),IF(776&lt;=1000,CHOOSE('요약'!$B$4,'input'!B777,'input'!C777,'input'!D777),""))</x:f>
        <x:v>0.002712797582736632</x:v>
      </x:c>
      <x:c r="C777" s="7" t="n">
        <x:f>IF(AND(ISNUMBER(B777),'요약'!$B$19),B777-'요약'!$B$7,"")</x:f>
        <x:v>0.0027610369097861333</x:v>
      </x:c>
      <x:c r="D777" s="7" t="n">
        <x:f>IF(ISNUMBER(C777),C777^2,"")</x:f>
        <x:v>0.00000762332481720136</x:v>
      </x:c>
      <x:c r="E777" s="15" t="n">
        <x:f>IF(ISNUMBER(C777),C777^3,"")</x:f>
        <x:v>2.1048281195581583e-8</x:v>
      </x:c>
      <x:c r="F777" s="15" t="n">
        <x:f>IF(ISNUMBER(C777),C777^4,"")</x:f>
        <x:v>5.811508126855815e-11</x:v>
      </x:c>
      <x:c r="G777" s="7" t="n">
        <x:f>IF(ISNUMBER(B777),ABS(B777),"")</x:f>
        <x:v>0.002712797582736632</x:v>
      </x:c>
      <x:c r="H777" s="7" t="n">
        <x:f>IF(ISNUMBER(B777),B777^2,"")</x:f>
        <x:v>0.000007359270724901712</x:v>
      </x:c>
      <x:c r="I777" s="7" t="n">
        <x:f>IF(AND(ISNUMBER(G777),'요약'!$B$19),G777-'요약'!$B$14,"")</x:f>
        <x:v>-0.005300719044666224</x:v>
      </x:c>
      <x:c r="J777" s="7" t="n">
        <x:f>IF(AND(ISNUMBER(H777),'요약'!$B$19),H777-'요약'!$B$15,"")</x:f>
        <x:v>-0.0000948504284611904</x:v>
      </x:c>
      <x:c r="K777" t="str">
        <x:f>IF(ISNUMBER(B777),IF('Hill'!$B$4=1,IF(B777&lt;0,-B777,""),IF('Hill'!$B$4=2,IF(B777&gt;0,B777,""),IF('Hill'!$B$4=3,IF(B777&lt;&gt;0,ABS(B777),""),""))),"")</x:f>
      </x:c>
    </x:row>
    <x:row r="778">
      <x:c r="A778" t="n">
        <x:f>777</x:f>
        <x:v>777</x:v>
      </x:c>
      <x:c r="B778" s="7" t="n">
        <x:f>IF('요약'!$B$4=4,IF(ISNUMBER('input'!A778),'input'!A778,""),IF(777&lt;=1000,CHOOSE('요약'!$B$4,'input'!B778,'input'!C778,'input'!D778),""))</x:f>
        <x:v>-0.012910366510437475</x:v>
      </x:c>
      <x:c r="C778" s="7" t="n">
        <x:f>IF(AND(ISNUMBER(B778),'요약'!$B$19),B778-'요약'!$B$7,"")</x:f>
        <x:v>-0.012862127183387974</x:v>
      </x:c>
      <x:c r="D778" s="7" t="n">
        <x:f>IF(ISNUMBER(C778),C778^2,"")</x:f>
        <x:v>0.00016543431568164787</x:v>
      </x:c>
      <x:c r="E778" s="15" t="n">
        <x:f>IF(ISNUMBER(C778),C778^3,"")</x:f>
        <x:v>-0.0000021278372087941104</x:v>
      </x:c>
      <x:c r="F778" s="15" t="n">
        <x:f>IF(ISNUMBER(C778),C778^4,"")</x:f>
        <x:v>2.736851280505512e-8</x:v>
      </x:c>
      <x:c r="G778" s="7" t="n">
        <x:f>IF(ISNUMBER(B778),ABS(B778),"")</x:f>
        <x:v>0.012910366510437475</x:v>
      </x:c>
      <x:c r="H778" s="7" t="n">
        <x:f>IF(ISNUMBER(B778),B778^2,"")</x:f>
        <x:v>0.0001666775634338255</x:v>
      </x:c>
      <x:c r="I778" s="7" t="n">
        <x:f>IF(AND(ISNUMBER(G778),'요약'!$B$19),G778-'요약'!$B$14,"")</x:f>
        <x:v>0.004896849883034619</x:v>
      </x:c>
      <x:c r="J778" s="7" t="n">
        <x:f>IF(AND(ISNUMBER(H778),'요약'!$B$19),H778-'요약'!$B$15,"")</x:f>
        <x:v>0.0000644678642477334</x:v>
      </x:c>
      <x:c r="K778" t="n">
        <x:f>IF(ISNUMBER(B778),IF('Hill'!$B$4=1,IF(B778&lt;0,-B778,""),IF('Hill'!$B$4=2,IF(B778&gt;0,B778,""),IF('Hill'!$B$4=3,IF(B778&lt;&gt;0,ABS(B778),""),""))),"")</x:f>
        <x:v>0.012910366510437475</x:v>
      </x:c>
    </x:row>
    <x:row r="779">
      <x:c r="A779" t="n">
        <x:f>778</x:f>
        <x:v>778</x:v>
      </x:c>
      <x:c r="B779" s="7" t="n">
        <x:f>IF('요약'!$B$4=4,IF(ISNUMBER('input'!A779),'input'!A779,""),IF(778&lt;=1000,CHOOSE('요약'!$B$4,'input'!B779,'input'!C779,'input'!D779),""))</x:f>
        <x:v>-0.012035719684470297</x:v>
      </x:c>
      <x:c r="C779" s="7" t="n">
        <x:f>IF(AND(ISNUMBER(B779),'요약'!$B$19),B779-'요약'!$B$7,"")</x:f>
        <x:v>-0.011987480357420796</x:v>
      </x:c>
      <x:c r="D779" s="7" t="n">
        <x:f>IF(ISNUMBER(C779),C779^2,"")</x:f>
        <x:v>0.0001436996853195494</x:v>
      </x:c>
      <x:c r="E779" s="15" t="n">
        <x:f>IF(ISNUMBER(C779),C779^3,"")</x:f>
        <x:v>-0.000001722597155135648</x:v>
      </x:c>
      <x:c r="F779" s="15" t="n">
        <x:f>IF(ISNUMBER(C779),C779^4,"")</x:f>
        <x:v>2.0649599560937525e-8</x:v>
      </x:c>
      <x:c r="G779" s="7" t="n">
        <x:f>IF(ISNUMBER(B779),ABS(B779),"")</x:f>
        <x:v>0.012035719684470297</x:v>
      </x:c>
      <x:c r="H779" s="7" t="n">
        <x:f>IF(ISNUMBER(B779),B779^2,"")</x:f>
        <x:v>0.00014485854832314577</x:v>
      </x:c>
      <x:c r="I779" s="7" t="n">
        <x:f>IF(AND(ISNUMBER(G779),'요약'!$B$19),G779-'요약'!$B$14,"")</x:f>
        <x:v>0.004022203057067441</x:v>
      </x:c>
      <x:c r="J779" s="7" t="n">
        <x:f>IF(AND(ISNUMBER(H779),'요약'!$B$19),H779-'요약'!$B$15,"")</x:f>
        <x:v>0.00004264884913705367</x:v>
      </x:c>
      <x:c r="K779" t="n">
        <x:f>IF(ISNUMBER(B779),IF('Hill'!$B$4=1,IF(B779&lt;0,-B779,""),IF('Hill'!$B$4=2,IF(B779&gt;0,B779,""),IF('Hill'!$B$4=3,IF(B779&lt;&gt;0,ABS(B779),""),""))),"")</x:f>
        <x:v>0.012035719684470297</x:v>
      </x:c>
    </x:row>
    <x:row r="780">
      <x:c r="A780" t="n">
        <x:f>779</x:f>
        <x:v>779</x:v>
      </x:c>
      <x:c r="B780" s="7" t="n">
        <x:f>IF('요약'!$B$4=4,IF(ISNUMBER('input'!A780),'input'!A780,""),IF(779&lt;=1000,CHOOSE('요약'!$B$4,'input'!B780,'input'!C780,'input'!D780),""))</x:f>
        <x:v>0.0008468327292140769</x:v>
      </x:c>
      <x:c r="C780" s="7" t="n">
        <x:f>IF(AND(ISNUMBER(B780),'요약'!$B$19),B780-'요약'!$B$7,"")</x:f>
        <x:v>0.0008950720562635782</x:v>
      </x:c>
      <x:c r="D780" s="7" t="n">
        <x:f>IF(ISNUMBER(C780),C780^2,"")</x:f>
        <x:v>8.011539859039102e-7</x:v>
      </x:c>
      <x:c r="E780" s="15" t="n">
        <x:f>IF(ISNUMBER(C780),C780^3,"")</x:f>
        <x:v>7.170905455467747e-10</x:v>
      </x:c>
      <x:c r="F780" s="15" t="n">
        <x:f>IF(ISNUMBER(C780),C780^4,"")</x:f>
        <x:v>6.418477091297227e-13</x:v>
      </x:c>
      <x:c r="G780" s="7" t="n">
        <x:f>IF(ISNUMBER(B780),ABS(B780),"")</x:f>
        <x:v>0.0008468327292140769</x:v>
      </x:c>
      <x:c r="H780" s="7" t="n">
        <x:f>IF(ISNUMBER(B780),B780^2,"")</x:f>
        <x:v>7.171256712681621e-7</x:v>
      </x:c>
      <x:c r="I780" s="7" t="n">
        <x:f>IF(AND(ISNUMBER(G780),'요약'!$B$19),G780-'요약'!$B$14,"")</x:f>
        <x:v>-0.007166683898188779</x:v>
      </x:c>
      <x:c r="J780" s="7" t="n">
        <x:f>IF(AND(ISNUMBER(H780),'요약'!$B$19),H780-'요약'!$B$15,"")</x:f>
        <x:v>-0.00010149257351482394</x:v>
      </x:c>
      <x:c r="K780" t="str">
        <x:f>IF(ISNUMBER(B780),IF('Hill'!$B$4=1,IF(B780&lt;0,-B780,""),IF('Hill'!$B$4=2,IF(B780&gt;0,B780,""),IF('Hill'!$B$4=3,IF(B780&lt;&gt;0,ABS(B780),""),""))),"")</x:f>
      </x:c>
    </x:row>
    <x:row r="781">
      <x:c r="A781" t="n">
        <x:f>780</x:f>
        <x:v>780</x:v>
      </x:c>
      <x:c r="B781" s="7" t="n">
        <x:f>IF('요약'!$B$4=4,IF(ISNUMBER('input'!A781),'input'!A781,""),IF(780&lt;=1000,CHOOSE('요약'!$B$4,'input'!B781,'input'!C781,'input'!D781),""))</x:f>
        <x:v>-0.0004008078294282397</x:v>
      </x:c>
      <x:c r="C781" s="7" t="n">
        <x:f>IF(AND(ISNUMBER(B781),'요약'!$B$19),B781-'요약'!$B$7,"")</x:f>
        <x:v>-0.00035256850237873837</x:v>
      </x:c>
      <x:c r="D781" s="7" t="n">
        <x:f>IF(ISNUMBER(C781),C781^2,"")</x:f>
        <x:v>1.2430454886958645e-7</x:v>
      </x:c>
      <x:c r="E781" s="15" t="n">
        <x:f>IF(ISNUMBER(C781),C781^3,"")</x:f>
        <x:v>-4.3825868633814787e-11</x:v>
      </x:c>
      <x:c r="F781" s="15" t="n">
        <x:f>IF(ISNUMBER(C781),C781^4,"")</x:f>
        <x:v>1.5451620869671405e-14</x:v>
      </x:c>
      <x:c r="G781" s="7" t="n">
        <x:f>IF(ISNUMBER(B781),ABS(B781),"")</x:f>
        <x:v>0.0004008078294282397</x:v>
      </x:c>
      <x:c r="H781" s="7" t="n">
        <x:f>IF(ISNUMBER(B781),B781^2,"")</x:f>
        <x:v>1.606469161309769e-7</x:v>
      </x:c>
      <x:c r="I781" s="7" t="n">
        <x:f>IF(AND(ISNUMBER(G781),'요약'!$B$19),G781-'요약'!$B$14,"")</x:f>
        <x:v>-0.007612708797974615</x:v>
      </x:c>
      <x:c r="J781" s="7" t="n">
        <x:f>IF(AND(ISNUMBER(H781),'요약'!$B$19),H781-'요약'!$B$15,"")</x:f>
        <x:v>-0.00010204905226996113</x:v>
      </x:c>
      <x:c r="K781" t="n">
        <x:f>IF(ISNUMBER(B781),IF('Hill'!$B$4=1,IF(B781&lt;0,-B781,""),IF('Hill'!$B$4=2,IF(B781&gt;0,B781,""),IF('Hill'!$B$4=3,IF(B781&lt;&gt;0,ABS(B781),""),""))),"")</x:f>
        <x:v>0.0004008078294282397</x:v>
      </x:c>
    </x:row>
    <x:row r="782">
      <x:c r="A782" t="n">
        <x:f>781</x:f>
        <x:v>781</x:v>
      </x:c>
      <x:c r="B782" s="7" t="n">
        <x:f>IF('요약'!$B$4=4,IF(ISNUMBER('input'!A782),'input'!A782,""),IF(781&lt;=1000,CHOOSE('요약'!$B$4,'input'!B782,'input'!C782,'input'!D782),""))</x:f>
        <x:v>0.0188627427458827</x:v>
      </x:c>
      <x:c r="C782" s="7" t="n">
        <x:f>IF(AND(ISNUMBER(B782),'요약'!$B$19),B782-'요약'!$B$7,"")</x:f>
        <x:v>0.018910982072932202</x:v>
      </x:c>
      <x:c r="D782" s="7" t="n">
        <x:f>IF(ISNUMBER(C782),C782^2,"")</x:f>
        <x:v>0.0003576252429627631</x:v>
      </x:c>
      <x:c r="E782" s="15" t="n">
        <x:f>IF(ISNUMBER(C782),C782^3,"")</x:f>
        <x:v>0.000006763044558496836</x:v>
      </x:c>
      <x:c r="F782" s="15" t="n">
        <x:f>IF(ISNUMBER(C782),C782^4,"")</x:f>
        <x:v>1.2789581440417536e-7</x:v>
      </x:c>
      <x:c r="G782" s="7" t="n">
        <x:f>IF(ISNUMBER(B782),ABS(B782),"")</x:f>
        <x:v>0.0188627427458827</x:v>
      </x:c>
      <x:c r="H782" s="7" t="n">
        <x:f>IF(ISNUMBER(B782),B782^2,"")</x:f>
        <x:v>0.0003558030638973505</x:v>
      </x:c>
      <x:c r="I782" s="7" t="n">
        <x:f>IF(AND(ISNUMBER(G782),'요약'!$B$19),G782-'요약'!$B$14,"")</x:f>
        <x:v>0.010849226118479846</x:v>
      </x:c>
      <x:c r="J782" s="7" t="n">
        <x:f>IF(AND(ISNUMBER(H782),'요약'!$B$19),H782-'요약'!$B$15,"")</x:f>
        <x:v>0.00025359336471125836</x:v>
      </x:c>
      <x:c r="K782" t="str">
        <x:f>IF(ISNUMBER(B782),IF('Hill'!$B$4=1,IF(B782&lt;0,-B782,""),IF('Hill'!$B$4=2,IF(B782&gt;0,B782,""),IF('Hill'!$B$4=3,IF(B782&lt;&gt;0,ABS(B782),""),""))),"")</x:f>
      </x:c>
    </x:row>
    <x:row r="783">
      <x:c r="A783" t="n">
        <x:f>782</x:f>
        <x:v>782</x:v>
      </x:c>
      <x:c r="B783" s="7" t="n">
        <x:f>IF('요약'!$B$4=4,IF(ISNUMBER('input'!A783),'input'!A783,""),IF(782&lt;=1000,CHOOSE('요약'!$B$4,'input'!B783,'input'!C783,'input'!D783),""))</x:f>
        <x:v>-0.0009153489523653442</x:v>
      </x:c>
      <x:c r="C783" s="7" t="n">
        <x:f>IF(AND(ISNUMBER(B783),'요약'!$B$19),B783-'요약'!$B$7,"")</x:f>
        <x:v>-0.0008671096253158429</x:v>
      </x:c>
      <x:c r="D783" s="7" t="n">
        <x:f>IF(ISNUMBER(C783),C783^2,"")</x:f>
        <x:v>7.518791023153813e-7</x:v>
      </x:c>
      <x:c r="E783" s="15" t="n">
        <x:f>IF(ISNUMBER(C783),C783^3,"")</x:f>
        <x:v>-6.519616066915027e-10</x:v>
      </x:c>
      <x:c r="F783" s="15" t="n">
        <x:f>IF(ISNUMBER(C783),C783^4,"")</x:f>
        <x:v>5.653221844985837e-13</x:v>
      </x:c>
      <x:c r="G783" s="7" t="n">
        <x:f>IF(ISNUMBER(B783),ABS(B783),"")</x:f>
        <x:v>0.0009153489523653442</x:v>
      </x:c>
      <x:c r="H783" s="7" t="n">
        <x:f>IF(ISNUMBER(B783),B783^2,"")</x:f>
        <x:v>8.378637045963332e-7</x:v>
      </x:c>
      <x:c r="I783" s="7" t="n">
        <x:f>IF(AND(ISNUMBER(G783),'요약'!$B$19),G783-'요약'!$B$14,"")</x:f>
        <x:v>-0.007098167675037511</x:v>
      </x:c>
      <x:c r="J783" s="7" t="n">
        <x:f>IF(AND(ISNUMBER(H783),'요약'!$B$19),H783-'요약'!$B$15,"")</x:f>
        <x:v>-0.00010137183548149577</x:v>
      </x:c>
      <x:c r="K783" t="n">
        <x:f>IF(ISNUMBER(B783),IF('Hill'!$B$4=1,IF(B783&lt;0,-B783,""),IF('Hill'!$B$4=2,IF(B783&gt;0,B783,""),IF('Hill'!$B$4=3,IF(B783&lt;&gt;0,ABS(B783),""),""))),"")</x:f>
        <x:v>0.0009153489523653442</x:v>
      </x:c>
    </x:row>
    <x:row r="784">
      <x:c r="A784" t="n">
        <x:f>783</x:f>
        <x:v>783</x:v>
      </x:c>
      <x:c r="B784" s="7" t="n">
        <x:f>IF('요약'!$B$4=4,IF(ISNUMBER('input'!A784),'input'!A784,""),IF(783&lt;=1000,CHOOSE('요약'!$B$4,'input'!B784,'input'!C784,'input'!D784),""))</x:f>
        <x:v>-0.0003554354914365791</x:v>
      </x:c>
      <x:c r="C784" s="7" t="n">
        <x:f>IF(AND(ISNUMBER(B784),'요약'!$B$19),B784-'요약'!$B$7,"")</x:f>
        <x:v>-0.00030719616438707777</x:v>
      </x:c>
      <x:c r="D784" s="7" t="n">
        <x:f>IF(ISNUMBER(C784),C784^2,"")</x:f>
        <x:v>9.436948341413251e-8</x:v>
      </x:c>
      <x:c r="E784" s="15" t="n">
        <x:f>IF(ISNUMBER(C784),C784^3,"")</x:f>
        <x:v>-2.8989943340011458e-11</x:v>
      </x:c>
      <x:c r="F784" s="15" t="n">
        <x:f>IF(ISNUMBER(C784),C784^4,"")</x:f>
        <x:v>8.90559939985023e-15</x:v>
      </x:c>
      <x:c r="G784" s="7" t="n">
        <x:f>IF(ISNUMBER(B784),ABS(B784),"")</x:f>
        <x:v>0.0003554354914365791</x:v>
      </x:c>
      <x:c r="H784" s="7" t="n">
        <x:f>IF(ISNUMBER(B784),B784^2,"")</x:f>
        <x:v>1.2633438857276252e-7</x:v>
      </x:c>
      <x:c r="I784" s="7" t="n">
        <x:f>IF(AND(ISNUMBER(G784),'요약'!$B$19),G784-'요약'!$B$14,"")</x:f>
        <x:v>-0.007658081135966276</x:v>
      </x:c>
      <x:c r="J784" s="7" t="n">
        <x:f>IF(AND(ISNUMBER(H784),'요약'!$B$19),H784-'요약'!$B$15,"")</x:f>
        <x:v>-0.00010208336479751935</x:v>
      </x:c>
      <x:c r="K784" t="n">
        <x:f>IF(ISNUMBER(B784),IF('Hill'!$B$4=1,IF(B784&lt;0,-B784,""),IF('Hill'!$B$4=2,IF(B784&gt;0,B784,""),IF('Hill'!$B$4=3,IF(B784&lt;&gt;0,ABS(B784),""),""))),"")</x:f>
        <x:v>0.0003554354914365791</x:v>
      </x:c>
    </x:row>
    <x:row r="785">
      <x:c r="A785" t="n">
        <x:f>784</x:f>
        <x:v>784</x:v>
      </x:c>
      <x:c r="B785" s="7" t="n">
        <x:f>IF('요약'!$B$4=4,IF(ISNUMBER('input'!A785),'input'!A785,""),IF(784&lt;=1000,CHOOSE('요약'!$B$4,'input'!B785,'input'!C785,'input'!D785),""))</x:f>
        <x:v>-0.001761477443182183</x:v>
      </x:c>
      <x:c r="C785" s="7" t="n">
        <x:f>IF(AND(ISNUMBER(B785),'요약'!$B$19),B785-'요약'!$B$7,"")</x:f>
        <x:v>-0.0017132381161326816</x:v>
      </x:c>
      <x:c r="D785" s="7" t="n">
        <x:f>IF(ISNUMBER(C785),C785^2,"")</x:f>
        <x:v>0.0000029351848425698598</x:v>
      </x:c>
      <x:c r="E785" s="15" t="n">
        <x:f>IF(ISNUMBER(C785),C785^3,"")</x:f>
        <x:v>-5.028670550185588e-9</x:v>
      </x:c>
      <x:c r="F785" s="15" t="n">
        <x:f>IF(ISNUMBER(C785),C785^4,"")</x:f>
        <x:v>8.615310060051852e-12</x:v>
      </x:c>
      <x:c r="G785" s="7" t="n">
        <x:f>IF(ISNUMBER(B785),ABS(B785),"")</x:f>
        <x:v>0.001761477443182183</x:v>
      </x:c>
      <x:c r="H785" s="7" t="n">
        <x:f>IF(ISNUMBER(B785),B785^2,"")</x:f>
        <x:v>0.0000031028027828396408</x:v>
      </x:c>
      <x:c r="I785" s="7" t="n">
        <x:f>IF(AND(ISNUMBER(G785),'요약'!$B$19),G785-'요약'!$B$14,"")</x:f>
        <x:v>-0.006252039184220673</x:v>
      </x:c>
      <x:c r="J785" s="7" t="n">
        <x:f>IF(AND(ISNUMBER(H785),'요약'!$B$19),H785-'요약'!$B$15,"")</x:f>
        <x:v>-0.00009910689640325246</x:v>
      </x:c>
      <x:c r="K785" t="n">
        <x:f>IF(ISNUMBER(B785),IF('Hill'!$B$4=1,IF(B785&lt;0,-B785,""),IF('Hill'!$B$4=2,IF(B785&gt;0,B785,""),IF('Hill'!$B$4=3,IF(B785&lt;&gt;0,ABS(B785),""),""))),"")</x:f>
        <x:v>0.001761477443182183</x:v>
      </x:c>
    </x:row>
    <x:row r="786">
      <x:c r="A786" t="n">
        <x:f>785</x:f>
        <x:v>785</x:v>
      </x:c>
      <x:c r="B786" s="7" t="n">
        <x:f>IF('요약'!$B$4=4,IF(ISNUMBER('input'!A786),'input'!A786,""),IF(785&lt;=1000,CHOOSE('요약'!$B$4,'input'!B786,'input'!C786,'input'!D786),""))</x:f>
        <x:v>0.0058730839649083575</x:v>
      </x:c>
      <x:c r="C786" s="7" t="n">
        <x:f>IF(AND(ISNUMBER(B786),'요약'!$B$19),B786-'요약'!$B$7,"")</x:f>
        <x:v>0.005921323291957859</x:v>
      </x:c>
      <x:c r="D786" s="7" t="n">
        <x:f>IF(ISNUMBER(C786),C786^2,"")</x:f>
        <x:v>0.000035062069527882655</x:v>
      </x:c>
      <x:c r="E786" s="15" t="n">
        <x:f>IF(ISNUMBER(C786),C786^3,"")</x:f>
        <x:v>2.0761384895969746e-7</x:v>
      </x:c>
      <x:c r="F786" s="15" t="n">
        <x:f>IF(ISNUMBER(C786),C786^4,"")</x:f>
        <x:v>1.2293487195780775e-9</x:v>
      </x:c>
      <x:c r="G786" s="7" t="n">
        <x:f>IF(ISNUMBER(B786),ABS(B786),"")</x:f>
        <x:v>0.0058730839649083575</x:v>
      </x:c>
      <x:c r="H786" s="7" t="n">
        <x:f>IF(ISNUMBER(B786),B786^2,"")</x:f>
        <x:v>0.000034493115258863675</x:v>
      </x:c>
      <x:c r="I786" s="7" t="n">
        <x:f>IF(AND(ISNUMBER(G786),'요약'!$B$19),G786-'요약'!$B$14,"")</x:f>
        <x:v>-0.002140432662494498</x:v>
      </x:c>
      <x:c r="J786" s="7" t="n">
        <x:f>IF(AND(ISNUMBER(H786),'요약'!$B$19),H786-'요약'!$B$15,"")</x:f>
        <x:v>-0.00006771658392722843</x:v>
      </x:c>
      <x:c r="K786" t="str">
        <x:f>IF(ISNUMBER(B786),IF('Hill'!$B$4=1,IF(B786&lt;0,-B786,""),IF('Hill'!$B$4=2,IF(B786&gt;0,B786,""),IF('Hill'!$B$4=3,IF(B786&lt;&gt;0,ABS(B786),""),""))),"")</x:f>
      </x:c>
    </x:row>
    <x:row r="787">
      <x:c r="A787" t="n">
        <x:f>786</x:f>
        <x:v>786</x:v>
      </x:c>
      <x:c r="B787" s="7" t="n">
        <x:f>IF('요약'!$B$4=4,IF(ISNUMBER('input'!A787),'input'!A787,""),IF(786&lt;=1000,CHOOSE('요약'!$B$4,'input'!B787,'input'!C787,'input'!D787),""))</x:f>
        <x:v>-0.005697022555550598</x:v>
      </x:c>
      <x:c r="C787" s="7" t="n">
        <x:f>IF(AND(ISNUMBER(B787),'요약'!$B$19),B787-'요약'!$B$7,"")</x:f>
        <x:v>-0.005648783228501097</x:v>
      </x:c>
      <x:c r="D787" s="7" t="n">
        <x:f>IF(ISNUMBER(C787),C787^2,"")</x:f>
        <x:v>0.00003190875196259527</x:v>
      </x:c>
      <x:c r="E787" s="15" t="n">
        <x:f>IF(ISNUMBER(C787),C787^3,"")</x:f>
        <x:v>-1.8024562292870962e-7</x:v>
      </x:c>
      <x:c r="F787" s="15" t="n">
        <x:f>IF(ISNUMBER(C787),C787^4,"")</x:f>
        <x:v>1.0181684518104276e-9</x:v>
      </x:c>
      <x:c r="G787" s="7" t="n">
        <x:f>IF(ISNUMBER(B787),ABS(B787),"")</x:f>
        <x:v>0.005697022555550598</x:v>
      </x:c>
      <x:c r="H787" s="7" t="n">
        <x:f>IF(ISNUMBER(B787),B787^2,"")</x:f>
        <x:v>0.00003245606599845227</x:v>
      </x:c>
      <x:c r="I787" s="7" t="n">
        <x:f>IF(AND(ISNUMBER(G787),'요약'!$B$19),G787-'요약'!$B$14,"")</x:f>
        <x:v>-0.0023164940718522573</x:v>
      </x:c>
      <x:c r="J787" s="7" t="n">
        <x:f>IF(AND(ISNUMBER(H787),'요약'!$B$19),H787-'요약'!$B$15,"")</x:f>
        <x:v>-0.00006975363318763983</x:v>
      </x:c>
      <x:c r="K787" t="n">
        <x:f>IF(ISNUMBER(B787),IF('Hill'!$B$4=1,IF(B787&lt;0,-B787,""),IF('Hill'!$B$4=2,IF(B787&gt;0,B787,""),IF('Hill'!$B$4=3,IF(B787&lt;&gt;0,ABS(B787),""),""))),"")</x:f>
        <x:v>0.005697022555550598</x:v>
      </x:c>
    </x:row>
    <x:row r="788">
      <x:c r="A788" t="n">
        <x:f>787</x:f>
        <x:v>787</x:v>
      </x:c>
      <x:c r="B788" s="7" t="n">
        <x:f>IF('요약'!$B$4=4,IF(ISNUMBER('input'!A788),'input'!A788,""),IF(787&lt;=1000,CHOOSE('요약'!$B$4,'input'!B788,'input'!C788,'input'!D788),""))</x:f>
        <x:v>-0.008595677849985824</x:v>
      </x:c>
      <x:c r="C788" s="7" t="n">
        <x:f>IF(AND(ISNUMBER(B788),'요약'!$B$19),B788-'요약'!$B$7,"")</x:f>
        <x:v>-0.008547438522936324</x:v>
      </x:c>
      <x:c r="D788" s="7" t="n">
        <x:f>IF(ISNUMBER(C788),C788^2,"")</x:f>
        <x:v>0.00007305870530337589</x:v>
      </x:c>
      <x:c r="E788" s="15" t="n">
        <x:f>IF(ISNUMBER(C788),C788^3,"")</x:f>
        <x:v>-6.244647921459274e-7</x:v>
      </x:c>
      <x:c r="F788" s="15" t="n">
        <x:f>IF(ISNUMBER(C788),C788^4,"")</x:f>
        <x:v>5.3375744206055236e-9</x:v>
      </x:c>
      <x:c r="G788" s="7" t="n">
        <x:f>IF(ISNUMBER(B788),ABS(B788),"")</x:f>
        <x:v>0.008595677849985824</x:v>
      </x:c>
      <x:c r="H788" s="7" t="n">
        <x:f>IF(ISNUMBER(B788),B788^2,"")</x:f>
        <x:v>0.00007388567770073692</x:v>
      </x:c>
      <x:c r="I788" s="7" t="n">
        <x:f>IF(AND(ISNUMBER(G788),'요약'!$B$19),G788-'요약'!$B$14,"")</x:f>
        <x:v>0.0005821612225829689</x:v>
      </x:c>
      <x:c r="J788" s="7" t="n">
        <x:f>IF(AND(ISNUMBER(H788),'요약'!$B$19),H788-'요약'!$B$15,"")</x:f>
        <x:v>-0.000028324021485355184</x:v>
      </x:c>
      <x:c r="K788" t="n">
        <x:f>IF(ISNUMBER(B788),IF('Hill'!$B$4=1,IF(B788&lt;0,-B788,""),IF('Hill'!$B$4=2,IF(B788&gt;0,B788,""),IF('Hill'!$B$4=3,IF(B788&lt;&gt;0,ABS(B788),""),""))),"")</x:f>
        <x:v>0.008595677849985824</x:v>
      </x:c>
    </x:row>
    <x:row r="789">
      <x:c r="A789" t="n">
        <x:f>788</x:f>
        <x:v>788</x:v>
      </x:c>
      <x:c r="B789" s="7" t="n">
        <x:f>IF('요약'!$B$4=4,IF(ISNUMBER('input'!A789),'input'!A789,""),IF(788&lt;=1000,CHOOSE('요약'!$B$4,'input'!B789,'input'!C789,'input'!D789),""))</x:f>
        <x:v>-0.016219940947093354</x:v>
      </x:c>
      <x:c r="C789" s="7" t="n">
        <x:f>IF(AND(ISNUMBER(B789),'요약'!$B$19),B789-'요약'!$B$7,"")</x:f>
        <x:v>-0.016171701620043853</x:v>
      </x:c>
      <x:c r="D789" s="7" t="n">
        <x:f>IF(ISNUMBER(C789),C789^2,"")</x:f>
        <x:v>0.000261523933287729</x:v>
      </x:c>
      <x:c r="E789" s="15" t="n">
        <x:f>IF(ISNUMBER(C789),C789^3,"")</x:f>
        <x:v>-0.000004229287015629408</x:v>
      </x:c>
      <x:c r="F789" s="15" t="n">
        <x:f>IF(ISNUMBER(C789),C789^4,"")</x:f>
        <x:v>6.839476768228452e-8</x:v>
      </x:c>
      <x:c r="G789" s="7" t="n">
        <x:f>IF(ISNUMBER(B789),ABS(B789),"")</x:f>
        <x:v>0.016219940947093354</x:v>
      </x:c>
      <x:c r="H789" s="7" t="n">
        <x:f>IF(ISNUMBER(B789),B789^2,"")</x:f>
        <x:v>0.00026308648432719564</x:v>
      </x:c>
      <x:c r="I789" s="7" t="n">
        <x:f>IF(AND(ISNUMBER(G789),'요약'!$B$19),G789-'요약'!$B$14,"")</x:f>
        <x:v>0.008206424319690498</x:v>
      </x:c>
      <x:c r="J789" s="7" t="n">
        <x:f>IF(AND(ISNUMBER(H789),'요약'!$B$19),H789-'요약'!$B$15,"")</x:f>
        <x:v>0.00016087678514110354</x:v>
      </x:c>
      <x:c r="K789" t="n">
        <x:f>IF(ISNUMBER(B789),IF('Hill'!$B$4=1,IF(B789&lt;0,-B789,""),IF('Hill'!$B$4=2,IF(B789&gt;0,B789,""),IF('Hill'!$B$4=3,IF(B789&lt;&gt;0,ABS(B789),""),""))),"")</x:f>
        <x:v>0.016219940947093354</x:v>
      </x:c>
    </x:row>
    <x:row r="790">
      <x:c r="A790" t="n">
        <x:f>789</x:f>
        <x:v>789</x:v>
      </x:c>
      <x:c r="B790" s="7" t="n">
        <x:f>IF('요약'!$B$4=4,IF(ISNUMBER('input'!A790),'input'!A790,""),IF(789&lt;=1000,CHOOSE('요약'!$B$4,'input'!B790,'input'!C790,'input'!D790),""))</x:f>
        <x:v>-0.003972720292914435</x:v>
      </x:c>
      <x:c r="C790" s="7" t="n">
        <x:f>IF(AND(ISNUMBER(B790),'요약'!$B$19),B790-'요약'!$B$7,"")</x:f>
        <x:v>-0.003924480965864933</x:v>
      </x:c>
      <x:c r="D790" s="7" t="n">
        <x:f>IF(ISNUMBER(C790),C790^2,"")</x:f>
        <x:v>0.00001540155085143616</x:v>
      </x:c>
      <x:c r="E790" s="15" t="n">
        <x:f>IF(ISNUMBER(C790),C790^3,"")</x:f>
        <x:v>-6.044309316126206e-8</x:v>
      </x:c>
      <x:c r="F790" s="15" t="n">
        <x:f>IF(ISNUMBER(C790),C790^4,"")</x:f>
        <x:v>2.372077686293739e-10</x:v>
      </x:c>
      <x:c r="G790" s="7" t="n">
        <x:f>IF(ISNUMBER(B790),ABS(B790),"")</x:f>
        <x:v>0.003972720292914435</x:v>
      </x:c>
      <x:c r="H790" s="7" t="n">
        <x:f>IF(ISNUMBER(B790),B790^2,"")</x:f>
        <x:v>0.000015782506525734153</x:v>
      </x:c>
      <x:c r="I790" s="7" t="n">
        <x:f>IF(AND(ISNUMBER(G790),'요약'!$B$19),G790-'요약'!$B$14,"")</x:f>
        <x:v>-0.004040796334488421</x:v>
      </x:c>
      <x:c r="J790" s="7" t="n">
        <x:f>IF(AND(ISNUMBER(H790),'요약'!$B$19),H790-'요약'!$B$15,"")</x:f>
        <x:v>-0.00008642719266035795</x:v>
      </x:c>
      <x:c r="K790" t="n">
        <x:f>IF(ISNUMBER(B790),IF('Hill'!$B$4=1,IF(B790&lt;0,-B790,""),IF('Hill'!$B$4=2,IF(B790&gt;0,B790,""),IF('Hill'!$B$4=3,IF(B790&lt;&gt;0,ABS(B790),""),""))),"")</x:f>
        <x:v>0.003972720292914435</x:v>
      </x:c>
    </x:row>
    <x:row r="791">
      <x:c r="A791" t="n">
        <x:f>790</x:f>
        <x:v>790</x:v>
      </x:c>
      <x:c r="B791" s="7" t="n">
        <x:f>IF('요약'!$B$4=4,IF(ISNUMBER('input'!A791),'input'!A791,""),IF(790&lt;=1000,CHOOSE('요약'!$B$4,'input'!B791,'input'!C791,'input'!D791),""))</x:f>
        <x:v>0.00033245978155536877</x:v>
      </x:c>
      <x:c r="C791" s="7" t="n">
        <x:f>IF(AND(ISNUMBER(B791),'요약'!$B$19),B791-'요약'!$B$7,"")</x:f>
        <x:v>0.00038069910860487013</x:v>
      </x:c>
      <x:c r="D791" s="7" t="n">
        <x:f>IF(ISNUMBER(C791),C791^2,"")</x:f>
        <x:v>1.449318112925427e-7</x:v>
      </x:c>
      <x:c r="E791" s="15" t="n">
        <x:f>IF(ISNUMBER(C791),C791^3,"")</x:f>
        <x:v>5.5175411367560255e-11</x:v>
      </x:c>
      <x:c r="F791" s="15" t="n">
        <x:f>IF(ISNUMBER(C791),C791^4,"")</x:f>
        <x:v>2.1005229924537207e-14</x:v>
      </x:c>
      <x:c r="G791" s="7" t="n">
        <x:f>IF(ISNUMBER(B791),ABS(B791),"")</x:f>
        <x:v>0.00033245978155536877</x:v>
      </x:c>
      <x:c r="H791" s="7" t="n">
        <x:f>IF(ISNUMBER(B791),B791^2,"")</x:f>
        <x:v>1.1052950635184352e-7</x:v>
      </x:c>
      <x:c r="I791" s="7" t="n">
        <x:f>IF(AND(ISNUMBER(G791),'요약'!$B$19),G791-'요약'!$B$14,"")</x:f>
        <x:v>-0.007681056845847487</x:v>
      </x:c>
      <x:c r="J791" s="7" t="n">
        <x:f>IF(AND(ISNUMBER(H791),'요약'!$B$19),H791-'요약'!$B$15,"")</x:f>
        <x:v>-0.00010209916967974026</x:v>
      </x:c>
      <x:c r="K791" t="str">
        <x:f>IF(ISNUMBER(B791),IF('Hill'!$B$4=1,IF(B791&lt;0,-B791,""),IF('Hill'!$B$4=2,IF(B791&gt;0,B791,""),IF('Hill'!$B$4=3,IF(B791&lt;&gt;0,ABS(B791),""),""))),"")</x:f>
      </x:c>
    </x:row>
    <x:row r="792">
      <x:c r="A792" t="n">
        <x:f>791</x:f>
        <x:v>791</x:v>
      </x:c>
      <x:c r="B792" s="7" t="n">
        <x:f>IF('요약'!$B$4=4,IF(ISNUMBER('input'!A792),'input'!A792,""),IF(791&lt;=1000,CHOOSE('요약'!$B$4,'input'!B792,'input'!C792,'input'!D792),""))</x:f>
        <x:v>-0.008574695036646074</x:v>
      </x:c>
      <x:c r="C792" s="7" t="n">
        <x:f>IF(AND(ISNUMBER(B792),'요약'!$B$19),B792-'요약'!$B$7,"")</x:f>
        <x:v>-0.008526455709596573</x:v>
      </x:c>
      <x:c r="D792" s="7" t="n">
        <x:f>IF(ISNUMBER(C792),C792^2,"")</x:f>
        <x:v>0.00007270044696771199</x:v>
      </x:c>
      <x:c r="E792" s="15" t="n">
        <x:f>IF(ISNUMBER(C792),C792^3,"")</x:f>
        <x:v>-6.198771411380708e-7</x:v>
      </x:c>
      <x:c r="F792" s="15" t="n">
        <x:f>IF(ISNUMBER(C792),C792^4,"")</x:f>
        <x:v>5.2853549893051044e-9</x:v>
      </x:c>
      <x:c r="G792" s="7" t="n">
        <x:f>IF(ISNUMBER(B792),ABS(B792),"")</x:f>
        <x:v>0.008574695036646074</x:v>
      </x:c>
      <x:c r="H792" s="7" t="n">
        <x:f>IF(ISNUMBER(B792),B792^2,"")</x:f>
        <x:v>0.0000735253949714828</x:v>
      </x:c>
      <x:c r="I792" s="7" t="n">
        <x:f>IF(AND(ISNUMBER(G792),'요약'!$B$19),G792-'요약'!$B$14,"")</x:f>
        <x:v>0.0005611784092432182</x:v>
      </x:c>
      <x:c r="J792" s="7" t="n">
        <x:f>IF(AND(ISNUMBER(H792),'요약'!$B$19),H792-'요약'!$B$15,"")</x:f>
        <x:v>-0.0000286843042146093</x:v>
      </x:c>
      <x:c r="K792" t="n">
        <x:f>IF(ISNUMBER(B792),IF('Hill'!$B$4=1,IF(B792&lt;0,-B792,""),IF('Hill'!$B$4=2,IF(B792&gt;0,B792,""),IF('Hill'!$B$4=3,IF(B792&lt;&gt;0,ABS(B792),""),""))),"")</x:f>
        <x:v>0.008574695036646074</x:v>
      </x:c>
    </x:row>
    <x:row r="793">
      <x:c r="A793" t="n">
        <x:f>792</x:f>
        <x:v>792</x:v>
      </x:c>
      <x:c r="B793" s="7" t="n">
        <x:f>IF('요약'!$B$4=4,IF(ISNUMBER('input'!A793),'input'!A793,""),IF(792&lt;=1000,CHOOSE('요약'!$B$4,'input'!B793,'input'!C793,'input'!D793),""))</x:f>
        <x:v>0.024822203960244767</x:v>
      </x:c>
      <x:c r="C793" s="7" t="n">
        <x:f>IF(AND(ISNUMBER(B793),'요약'!$B$19),B793-'요약'!$B$7,"")</x:f>
        <x:v>0.024870443287294267</x:v>
      </x:c>
      <x:c r="D793" s="7" t="n">
        <x:f>IF(ISNUMBER(C793),C793^2,"")</x:f>
        <x:v>0.0006185389493065205</x:v>
      </x:c>
      <x:c r="E793" s="15" t="n">
        <x:f>IF(ISNUMBER(C793),C793^3,"")</x:f>
        <x:v>0.0000153833378597104</x:v>
      </x:c>
      <x:c r="F793" s="15" t="n">
        <x:f>IF(ISNUMBER(C793),C793^4,"")</x:f>
        <x:v>3.825904318092143e-7</x:v>
      </x:c>
      <x:c r="G793" s="7" t="n">
        <x:f>IF(ISNUMBER(B793),ABS(B793),"")</x:f>
        <x:v>0.024822203960244767</x:v>
      </x:c>
      <x:c r="H793" s="7" t="n">
        <x:f>IF(ISNUMBER(B793),B793^2,"")</x:f>
        <x:v>0.000616141809443991</x:v>
      </x:c>
      <x:c r="I793" s="7" t="n">
        <x:f>IF(AND(ISNUMBER(G793),'요약'!$B$19),G793-'요약'!$B$14,"")</x:f>
        <x:v>0.01680868733284191</x:v>
      </x:c>
      <x:c r="J793" s="7" t="n">
        <x:f>IF(AND(ISNUMBER(H793),'요약'!$B$19),H793-'요약'!$B$15,"")</x:f>
        <x:v>0.0005139321102578989</x:v>
      </x:c>
      <x:c r="K793" t="str">
        <x:f>IF(ISNUMBER(B793),IF('Hill'!$B$4=1,IF(B793&lt;0,-B793,""),IF('Hill'!$B$4=2,IF(B793&gt;0,B793,""),IF('Hill'!$B$4=3,IF(B793&lt;&gt;0,ABS(B793),""),""))),"")</x:f>
      </x:c>
    </x:row>
    <x:row r="794">
      <x:c r="A794" t="n">
        <x:f>793</x:f>
        <x:v>793</x:v>
      </x:c>
      <x:c r="B794" s="7" t="n">
        <x:f>IF('요약'!$B$4=4,IF(ISNUMBER('input'!A794),'input'!A794,""),IF(793&lt;=1000,CHOOSE('요약'!$B$4,'input'!B794,'input'!C794,'input'!D794),""))</x:f>
        <x:v>0.009217435064282171</x:v>
      </x:c>
      <x:c r="C794" s="7" t="n">
        <x:f>IF(AND(ISNUMBER(B794),'요약'!$B$19),B794-'요약'!$B$7,"")</x:f>
        <x:v>0.009265674391331672</x:v>
      </x:c>
      <x:c r="D794" s="7" t="n">
        <x:f>IF(ISNUMBER(C794),C794^2,"")</x:f>
        <x:v>0.00008585272192617954</x:v>
      </x:c>
      <x:c r="E794" s="15" t="n">
        <x:f>IF(ISNUMBER(C794),C794^3,"")</x:f>
        <x:v>7.95483366977521e-7</x:v>
      </x:c>
      <x:c r="F794" s="15" t="n">
        <x:f>IF(ISNUMBER(C794),C794^4,"")</x:f>
        <x:v>7.37068986213391e-9</x:v>
      </x:c>
      <x:c r="G794" s="7" t="n">
        <x:f>IF(ISNUMBER(B794),ABS(B794),"")</x:f>
        <x:v>0.009217435064282171</x:v>
      </x:c>
      <x:c r="H794" s="7" t="n">
        <x:f>IF(ISNUMBER(B794),B794^2,"")</x:f>
        <x:v>0.00008496110916425847</x:v>
      </x:c>
      <x:c r="I794" s="7" t="n">
        <x:f>IF(AND(ISNUMBER(G794),'요약'!$B$19),G794-'요약'!$B$14,"")</x:f>
        <x:v>0.0012039184368793157</x:v>
      </x:c>
      <x:c r="J794" s="7" t="n">
        <x:f>IF(AND(ISNUMBER(H794),'요약'!$B$19),H794-'요약'!$B$15,"")</x:f>
        <x:v>-0.00001724859002183363</x:v>
      </x:c>
      <x:c r="K794" t="str">
        <x:f>IF(ISNUMBER(B794),IF('Hill'!$B$4=1,IF(B794&lt;0,-B794,""),IF('Hill'!$B$4=2,IF(B794&gt;0,B794,""),IF('Hill'!$B$4=3,IF(B794&lt;&gt;0,ABS(B794),""),""))),"")</x:f>
      </x:c>
    </x:row>
    <x:row r="795">
      <x:c r="A795" t="n">
        <x:f>794</x:f>
        <x:v>794</x:v>
      </x:c>
      <x:c r="B795" s="7" t="n">
        <x:f>IF('요약'!$B$4=4,IF(ISNUMBER('input'!A795),'input'!A795,""),IF(794&lt;=1000,CHOOSE('요약'!$B$4,'input'!B795,'input'!C795,'input'!D795),""))</x:f>
        <x:v>0.012793281108714654</x:v>
      </x:c>
      <x:c r="C795" s="7" t="n">
        <x:f>IF(AND(ISNUMBER(B795),'요약'!$B$19),B795-'요약'!$B$7,"")</x:f>
        <x:v>0.012841520435764154</x:v>
      </x:c>
      <x:c r="D795" s="7" t="n">
        <x:f>IF(ISNUMBER(C795),C795^2,"")</x:f>
        <x:v>0.0001649046471021484</x:v>
      </x:c>
      <x:c r="E795" s="15" t="n">
        <x:f>IF(ISNUMBER(C795),C795^3,"")</x:f>
        <x:v>0.0000021176263957147145</x:v>
      </x:c>
      <x:c r="F795" s="15" t="n">
        <x:f>IF(ISNUMBER(C795),C795^4,"")</x:f>
        <x:v>2.71935426358841e-8</x:v>
      </x:c>
      <x:c r="G795" s="7" t="n">
        <x:f>IF(ISNUMBER(B795),ABS(B795),"")</x:f>
        <x:v>0.012793281108714654</x:v>
      </x:c>
      <x:c r="H795" s="7" t="n">
        <x:f>IF(ISNUMBER(B795),B795^2,"")</x:f>
        <x:v>0.00016366804152659524</x:v>
      </x:c>
      <x:c r="I795" s="7" t="n">
        <x:f>IF(AND(ISNUMBER(G795),'요약'!$B$19),G795-'요약'!$B$14,"")</x:f>
        <x:v>0.004779764481311798</x:v>
      </x:c>
      <x:c r="J795" s="7" t="n">
        <x:f>IF(AND(ISNUMBER(H795),'요약'!$B$19),H795-'요약'!$B$15,"")</x:f>
        <x:v>0.00006145834234050313</x:v>
      </x:c>
      <x:c r="K795" t="str">
        <x:f>IF(ISNUMBER(B795),IF('Hill'!$B$4=1,IF(B795&lt;0,-B795,""),IF('Hill'!$B$4=2,IF(B795&gt;0,B795,""),IF('Hill'!$B$4=3,IF(B795&lt;&gt;0,ABS(B795),""),""))),"")</x:f>
      </x:c>
    </x:row>
    <x:row r="796">
      <x:c r="A796" t="n">
        <x:f>795</x:f>
        <x:v>795</x:v>
      </x:c>
      <x:c r="B796" s="7" t="n">
        <x:f>IF('요약'!$B$4=4,IF(ISNUMBER('input'!A796),'input'!A796,""),IF(795&lt;=1000,CHOOSE('요약'!$B$4,'input'!B796,'input'!C796,'input'!D796),""))</x:f>
        <x:v>-0.008289062808404937</x:v>
      </x:c>
      <x:c r="C796" s="7" t="n">
        <x:f>IF(AND(ISNUMBER(B796),'요약'!$B$19),B796-'요약'!$B$7,"")</x:f>
        <x:v>-0.008240823481355436</x:v>
      </x:c>
      <x:c r="D796" s="7" t="n">
        <x:f>IF(ISNUMBER(C796),C796^2,"")</x:f>
        <x:v>0.00006791117165085913</x:v>
      </x:c>
      <x:c r="E796" s="15" t="n">
        <x:f>IF(ISNUMBER(C796),C796^3,"")</x:f>
        <x:v>-5.596439779867595e-7</x:v>
      </x:c>
      <x:c r="F796" s="15" t="n">
        <x:f>IF(ISNUMBER(C796),C796^4,"")</x:f>
        <x:v>4.611927234992452e-9</x:v>
      </x:c>
      <x:c r="G796" s="7" t="n">
        <x:f>IF(ISNUMBER(B796),ABS(B796),"")</x:f>
        <x:v>0.008289062808404937</x:v>
      </x:c>
      <x:c r="H796" s="7" t="n">
        <x:f>IF(ISNUMBER(B796),B796^2,"")</x:f>
        <x:v>0.00006870856224168193</x:v>
      </x:c>
      <x:c r="I796" s="7" t="n">
        <x:f>IF(AND(ISNUMBER(G796),'요약'!$B$19),G796-'요약'!$B$14,"")</x:f>
        <x:v>0.00027554618100208116</x:v>
      </x:c>
      <x:c r="J796" s="7" t="n">
        <x:f>IF(AND(ISNUMBER(H796),'요약'!$B$19),H796-'요약'!$B$15,"")</x:f>
        <x:v>-0.000033501136944410174</x:v>
      </x:c>
      <x:c r="K796" t="n">
        <x:f>IF(ISNUMBER(B796),IF('Hill'!$B$4=1,IF(B796&lt;0,-B796,""),IF('Hill'!$B$4=2,IF(B796&gt;0,B796,""),IF('Hill'!$B$4=3,IF(B796&lt;&gt;0,ABS(B796),""),""))),"")</x:f>
        <x:v>0.008289062808404937</x:v>
      </x:c>
    </x:row>
    <x:row r="797">
      <x:c r="A797" t="n">
        <x:f>796</x:f>
        <x:v>796</x:v>
      </x:c>
      <x:c r="B797" s="7" t="n">
        <x:f>IF('요약'!$B$4=4,IF(ISNUMBER('input'!A797),'input'!A797,""),IF(796&lt;=1000,CHOOSE('요약'!$B$4,'input'!B797,'input'!C797,'input'!D797),""))</x:f>
        <x:v>-0.012657816939224598</x:v>
      </x:c>
      <x:c r="C797" s="7" t="n">
        <x:f>IF(AND(ISNUMBER(B797),'요약'!$B$19),B797-'요약'!$B$7,"")</x:f>
        <x:v>-0.012609577612175097</x:v>
      </x:c>
      <x:c r="D797" s="7" t="n">
        <x:f>IF(ISNUMBER(C797),C797^2,"")</x:f>
        <x:v>0.00015900144755746744</x:v>
      </x:c>
      <x:c r="E797" s="15" t="n">
        <x:f>IF(ISNUMBER(C797),C797^3,"")</x:f>
        <x:v>-0.000002004941093424074</x:v>
      </x:c>
      <x:c r="F797" s="15" t="n">
        <x:f>IF(ISNUMBER(C797),C797^4,"")</x:f>
        <x:v>2.5281460325370065e-8</x:v>
      </x:c>
      <x:c r="G797" s="7" t="n">
        <x:f>IF(ISNUMBER(B797),ABS(B797),"")</x:f>
        <x:v>0.012657816939224598</x:v>
      </x:c>
      <x:c r="H797" s="7" t="n">
        <x:f>IF(ISNUMBER(B797),B797^2,"")</x:f>
        <x:v>0.00016022032966692116</x:v>
      </x:c>
      <x:c r="I797" s="7" t="n">
        <x:f>IF(AND(ISNUMBER(G797),'요약'!$B$19),G797-'요약'!$B$14,"")</x:f>
        <x:v>0.0046443003118217425</x:v>
      </x:c>
      <x:c r="J797" s="7" t="n">
        <x:f>IF(AND(ISNUMBER(H797),'요약'!$B$19),H797-'요약'!$B$15,"")</x:f>
        <x:v>0.00005801063048082905</x:v>
      </x:c>
      <x:c r="K797" t="n">
        <x:f>IF(ISNUMBER(B797),IF('Hill'!$B$4=1,IF(B797&lt;0,-B797,""),IF('Hill'!$B$4=2,IF(B797&gt;0,B797,""),IF('Hill'!$B$4=3,IF(B797&lt;&gt;0,ABS(B797),""),""))),"")</x:f>
        <x:v>0.012657816939224598</x:v>
      </x:c>
    </x:row>
    <x:row r="798">
      <x:c r="A798" t="n">
        <x:f>797</x:f>
        <x:v>797</x:v>
      </x:c>
      <x:c r="B798" s="7" t="n">
        <x:f>IF('요약'!$B$4=4,IF(ISNUMBER('input'!A798),'input'!A798,""),IF(797&lt;=1000,CHOOSE('요약'!$B$4,'input'!B798,'input'!C798,'input'!D798),""))</x:f>
        <x:v>0.007066688626041808</x:v>
      </x:c>
      <x:c r="C798" s="7" t="n">
        <x:f>IF(AND(ISNUMBER(B798),'요약'!$B$19),B798-'요약'!$B$7,"")</x:f>
        <x:v>0.007114927953091309</x:v>
      </x:c>
      <x:c r="D798" s="7" t="n">
        <x:f>IF(ISNUMBER(C798),C798^2,"")</x:f>
        <x:v>0.00005062219977768009</x:v>
      </x:c>
      <x:c r="E798" s="15" t="n">
        <x:f>IF(ISNUMBER(C798),C798^3,"")</x:f>
        <x:v>3.6017330424518866e-7</x:v>
      </x:c>
      <x:c r="F798" s="15" t="n">
        <x:f>IF(ISNUMBER(C798),C798^4,"")</x:f>
        <x:v>2.5626071103313535e-9</x:v>
      </x:c>
      <x:c r="G798" s="7" t="n">
        <x:f>IF(ISNUMBER(B798),ABS(B798),"")</x:f>
        <x:v>0.007066688626041808</x:v>
      </x:c>
      <x:c r="H798" s="7" t="n">
        <x:f>IF(ISNUMBER(B798),B798^2,"")</x:f>
        <x:v>0.00004993808813742865</x:v>
      </x:c>
      <x:c r="I798" s="7" t="n">
        <x:f>IF(AND(ISNUMBER(G798),'요약'!$B$19),G798-'요약'!$B$14,"")</x:f>
        <x:v>-0.0009468280013610478</x:v>
      </x:c>
      <x:c r="J798" s="7" t="n">
        <x:f>IF(AND(ISNUMBER(H798),'요약'!$B$19),H798-'요약'!$B$15,"")</x:f>
        <x:v>-0.00005227161104866345</x:v>
      </x:c>
      <x:c r="K798" t="str">
        <x:f>IF(ISNUMBER(B798),IF('Hill'!$B$4=1,IF(B798&lt;0,-B798,""),IF('Hill'!$B$4=2,IF(B798&gt;0,B798,""),IF('Hill'!$B$4=3,IF(B798&lt;&gt;0,ABS(B798),""),""))),"")</x:f>
      </x:c>
    </x:row>
    <x:row r="799">
      <x:c r="A799" t="n">
        <x:f>798</x:f>
        <x:v>798</x:v>
      </x:c>
      <x:c r="B799" s="7" t="n">
        <x:f>IF('요약'!$B$4=4,IF(ISNUMBER('input'!A799),'input'!A799,""),IF(798&lt;=1000,CHOOSE('요약'!$B$4,'input'!B799,'input'!C799,'input'!D799),""))</x:f>
        <x:v>0.006752945208341593</x:v>
      </x:c>
      <x:c r="C799" s="7" t="n">
        <x:f>IF(AND(ISNUMBER(B799),'요약'!$B$19),B799-'요약'!$B$7,"")</x:f>
        <x:v>0.006801184535391094</x:v>
      </x:c>
      <x:c r="D799" s="7" t="n">
        <x:f>IF(ISNUMBER(C799),C799^2,"")</x:f>
        <x:v>0.000046256111084442974</x:v>
      </x:c>
      <x:c r="E799" s="15" t="n">
        <x:f>IF(ISNUMBER(C799),C799^3,"")</x:f>
        <x:v>3.1459634737484613e-7</x:v>
      </x:c>
      <x:c r="F799" s="15" t="n">
        <x:f>IF(ISNUMBER(C799),C799^4,"")</x:f>
        <x:v>2.1396278126563284e-9</x:v>
      </x:c>
      <x:c r="G799" s="7" t="n">
        <x:f>IF(ISNUMBER(B799),ABS(B799),"")</x:f>
        <x:v>0.006752945208341593</x:v>
      </x:c>
      <x:c r="H799" s="7" t="n">
        <x:f>IF(ISNUMBER(B799),B799^2,"")</x:f>
        <x:v>0.00004560226898686368</x:v>
      </x:c>
      <x:c r="I799" s="7" t="n">
        <x:f>IF(AND(ISNUMBER(G799),'요약'!$B$19),G799-'요약'!$B$14,"")</x:f>
        <x:v>-0.0012605714190612625</x:v>
      </x:c>
      <x:c r="J799" s="7" t="n">
        <x:f>IF(AND(ISNUMBER(H799),'요약'!$B$19),H799-'요약'!$B$15,"")</x:f>
        <x:v>-0.00005660743019922842</x:v>
      </x:c>
      <x:c r="K799" t="str">
        <x:f>IF(ISNUMBER(B799),IF('Hill'!$B$4=1,IF(B799&lt;0,-B799,""),IF('Hill'!$B$4=2,IF(B799&gt;0,B799,""),IF('Hill'!$B$4=3,IF(B799&lt;&gt;0,ABS(B799),""),""))),"")</x:f>
      </x:c>
    </x:row>
    <x:row r="800">
      <x:c r="A800" t="n">
        <x:f>799</x:f>
        <x:v>799</x:v>
      </x:c>
      <x:c r="B800" s="7" t="n">
        <x:f>IF('요약'!$B$4=4,IF(ISNUMBER('input'!A800),'input'!A800,""),IF(799&lt;=1000,CHOOSE('요약'!$B$4,'input'!B800,'input'!C800,'input'!D800),""))</x:f>
        <x:v>-0.0004971134711074458</x:v>
      </x:c>
      <x:c r="C800" s="7" t="n">
        <x:f>IF(AND(ISNUMBER(B800),'요약'!$B$19),B800-'요약'!$B$7,"")</x:f>
        <x:v>-0.00044887414405794443</x:v>
      </x:c>
      <x:c r="D800" s="7" t="n">
        <x:f>IF(ISNUMBER(C800),C800^2,"")</x:f>
        <x:v>2.0148799720375224e-7</x:v>
      </x:c>
      <x:c r="E800" s="15" t="n">
        <x:f>IF(ISNUMBER(C800),C800^3,"")</x:f>
        <x:v>-9.044275228278379e-11</x:v>
      </x:c>
      <x:c r="F800" s="15" t="n">
        <x:f>IF(ISNUMBER(C800),C800^4,"")</x:f>
        <x:v>4.0597413017179274e-14</x:v>
      </x:c>
      <x:c r="G800" s="7" t="n">
        <x:f>IF(ISNUMBER(B800),ABS(B800),"")</x:f>
        <x:v>0.0004971134711074458</x:v>
      </x:c>
      <x:c r="H800" s="7" t="n">
        <x:f>IF(ISNUMBER(B800),B800^2,"")</x:f>
        <x:v>2.4712180315649334e-7</x:v>
      </x:c>
      <x:c r="I800" s="7" t="n">
        <x:f>IF(AND(ISNUMBER(G800),'요약'!$B$19),G800-'요약'!$B$14,"")</x:f>
        <x:v>-0.007516403156295409</x:v>
      </x:c>
      <x:c r="J800" s="7" t="n">
        <x:f>IF(AND(ISNUMBER(H800),'요약'!$B$19),H800-'요약'!$B$15,"")</x:f>
        <x:v>-0.00010196257738293561</x:v>
      </x:c>
      <x:c r="K800" t="n">
        <x:f>IF(ISNUMBER(B800),IF('Hill'!$B$4=1,IF(B800&lt;0,-B800,""),IF('Hill'!$B$4=2,IF(B800&gt;0,B800,""),IF('Hill'!$B$4=3,IF(B800&lt;&gt;0,ABS(B800),""),""))),"")</x:f>
        <x:v>0.0004971134711074458</x:v>
      </x:c>
    </x:row>
    <x:row r="801">
      <x:c r="A801" t="n">
        <x:f>800</x:f>
        <x:v>800</x:v>
      </x:c>
      <x:c r="B801" s="7" t="n">
        <x:f>IF('요약'!$B$4=4,IF(ISNUMBER('input'!A801),'input'!A801,""),IF(800&lt;=1000,CHOOSE('요약'!$B$4,'input'!B801,'input'!C801,'input'!D801),""))</x:f>
        <x:v>-0.012281149017812439</x:v>
      </x:c>
      <x:c r="C801" s="7" t="n">
        <x:f>IF(AND(ISNUMBER(B801),'요약'!$B$19),B801-'요약'!$B$7,"")</x:f>
        <x:v>-0.012232909690762938</x:v>
      </x:c>
      <x:c r="D801" s="7" t="n">
        <x:f>IF(ISNUMBER(C801),C801^2,"")</x:f>
        <x:v>0.0001496440795023618</x:v>
      </x:c>
      <x:c r="E801" s="15" t="n">
        <x:f>IF(ISNUMBER(C801),C801^3,"")</x:f>
        <x:v>-0.0000018305825103097413</x:v>
      </x:c>
      <x:c r="F801" s="15" t="n">
        <x:f>IF(ISNUMBER(C801),C801^4,"")</x:f>
        <x:v>2.239335053010918e-8</x:v>
      </x:c>
      <x:c r="G801" s="7" t="n">
        <x:f>IF(ISNUMBER(B801),ABS(B801),"")</x:f>
        <x:v>0.012281149017812439</x:v>
      </x:c>
      <x:c r="H801" s="7" t="n">
        <x:f>IF(ISNUMBER(B801),B801^2,"")</x:f>
        <x:v>0.00015082662119771543</x:v>
      </x:c>
      <x:c r="I801" s="7" t="n">
        <x:f>IF(AND(ISNUMBER(G801),'요약'!$B$19),G801-'요약'!$B$14,"")</x:f>
        <x:v>0.0042676323904095835</x:v>
      </x:c>
      <x:c r="J801" s="7" t="n">
        <x:f>IF(AND(ISNUMBER(H801),'요약'!$B$19),H801-'요약'!$B$15,"")</x:f>
        <x:v>0.000048616922011623324</x:v>
      </x:c>
      <x:c r="K801" t="n">
        <x:f>IF(ISNUMBER(B801),IF('Hill'!$B$4=1,IF(B801&lt;0,-B801,""),IF('Hill'!$B$4=2,IF(B801&gt;0,B801,""),IF('Hill'!$B$4=3,IF(B801&lt;&gt;0,ABS(B801),""),""))),"")</x:f>
        <x:v>0.012281149017812439</x:v>
      </x:c>
    </x:row>
    <x:row r="802">
      <x:c r="A802" t="n">
        <x:f>801</x:f>
        <x:v>801</x:v>
      </x:c>
      <x:c r="B802" s="7" t="n">
        <x:f>IF('요약'!$B$4=4,IF(ISNUMBER('input'!A802),'input'!A802,""),IF(801&lt;=1000,CHOOSE('요약'!$B$4,'input'!B802,'input'!C802,'input'!D802),""))</x:f>
        <x:v>0.016075744640564597</x:v>
      </x:c>
      <x:c r="C802" s="7" t="n">
        <x:f>IF(AND(ISNUMBER(B802),'요약'!$B$19),B802-'요약'!$B$7,"")</x:f>
        <x:v>0.016123983967614098</x:v>
      </x:c>
      <x:c r="D802" s="7" t="n">
        <x:f>IF(ISNUMBER(C802),C802^2,"")</x:f>
        <x:v>0.00025998285898787645</x:v>
      </x:c>
      <x:c r="E802" s="15" t="n">
        <x:f>IF(ISNUMBER(C802),C802^3,"")</x:f>
        <x:v>0.000004191959450174997</x:v>
      </x:c>
      <x:c r="F802" s="15" t="n">
        <x:f>IF(ISNUMBER(C802),C802^4,"")</x:f>
        <x:v>6.759108696751006e-8</x:v>
      </x:c>
      <x:c r="G802" s="7" t="n">
        <x:f>IF(ISNUMBER(B802),ABS(B802),"")</x:f>
        <x:v>0.016075744640564597</x:v>
      </x:c>
      <x:c r="H802" s="7" t="n">
        <x:f>IF(ISNUMBER(B802),B802^2,"")</x:f>
        <x:v>0.00025842956574864136</x:v>
      </x:c>
      <x:c r="I802" s="7" t="n">
        <x:f>IF(AND(ISNUMBER(G802),'요약'!$B$19),G802-'요약'!$B$14,"")</x:f>
        <x:v>0.008062228013161742</x:v>
      </x:c>
      <x:c r="J802" s="7" t="n">
        <x:f>IF(AND(ISNUMBER(H802),'요약'!$B$19),H802-'요약'!$B$15,"")</x:f>
        <x:v>0.00015621986656254926</x:v>
      </x:c>
      <x:c r="K802" t="str">
        <x:f>IF(ISNUMBER(B802),IF('Hill'!$B$4=1,IF(B802&lt;0,-B802,""),IF('Hill'!$B$4=2,IF(B802&gt;0,B802,""),IF('Hill'!$B$4=3,IF(B802&lt;&gt;0,ABS(B802),""),""))),"")</x:f>
      </x:c>
    </x:row>
    <x:row r="803">
      <x:c r="A803" t="n">
        <x:f>802</x:f>
        <x:v>802</x:v>
      </x:c>
      <x:c r="B803" s="7" t="n">
        <x:f>IF('요약'!$B$4=4,IF(ISNUMBER('input'!A803),'input'!A803,""),IF(802&lt;=1000,CHOOSE('요약'!$B$4,'input'!B803,'input'!C803,'input'!D803),""))</x:f>
        <x:v>0.007349153194581311</x:v>
      </x:c>
      <x:c r="C803" s="7" t="n">
        <x:f>IF(AND(ISNUMBER(B803),'요약'!$B$19),B803-'요약'!$B$7,"")</x:f>
        <x:v>0.007397392521630812</x:v>
      </x:c>
      <x:c r="D803" s="7" t="n">
        <x:f>IF(ISNUMBER(C803),C803^2,"")</x:f>
        <x:v>0.00005472141611907947</x:v>
      </x:c>
      <x:c r="E803" s="15" t="n">
        <x:f>IF(ISNUMBER(C803),C803^3,"")</x:f>
        <x:v>4.0479579437232626e-7</x:v>
      </x:c>
      <x:c r="F803" s="15" t="n">
        <x:f>IF(ISNUMBER(C803),C803^4,"")</x:f>
        <x:v>2.99443338207745e-9</x:v>
      </x:c>
      <x:c r="G803" s="7" t="n">
        <x:f>IF(ISNUMBER(B803),ABS(B803),"")</x:f>
        <x:v>0.007349153194581311</x:v>
      </x:c>
      <x:c r="H803" s="7" t="n">
        <x:f>IF(ISNUMBER(B803),B803^2,"")</x:f>
        <x:v>0.000054010052677424685</x:v>
      </x:c>
      <x:c r="I803" s="7" t="n">
        <x:f>IF(AND(ISNUMBER(G803),'요약'!$B$19),G803-'요약'!$B$14,"")</x:f>
        <x:v>-0.0006643634328215445</x:v>
      </x:c>
      <x:c r="J803" s="7" t="n">
        <x:f>IF(AND(ISNUMBER(H803),'요약'!$B$19),H803-'요약'!$B$15,"")</x:f>
        <x:v>-0.00004819964650866742</x:v>
      </x:c>
      <x:c r="K803" t="str">
        <x:f>IF(ISNUMBER(B803),IF('Hill'!$B$4=1,IF(B803&lt;0,-B803,""),IF('Hill'!$B$4=2,IF(B803&gt;0,B803,""),IF('Hill'!$B$4=3,IF(B803&lt;&gt;0,ABS(B803),""),""))),"")</x:f>
      </x:c>
    </x:row>
    <x:row r="804">
      <x:c r="A804" t="n">
        <x:f>803</x:f>
        <x:v>803</x:v>
      </x:c>
      <x:c r="B804" s="7" t="n">
        <x:f>IF('요약'!$B$4=4,IF(ISNUMBER('input'!A804),'input'!A804,""),IF(803&lt;=1000,CHOOSE('요약'!$B$4,'input'!B804,'input'!C804,'input'!D804),""))</x:f>
        <x:v>0.0017044071652408208</x:v>
      </x:c>
      <x:c r="C804" s="7" t="n">
        <x:f>IF(AND(ISNUMBER(B804),'요약'!$B$19),B804-'요약'!$B$7,"")</x:f>
        <x:v>0.0017526464922903223</x:v>
      </x:c>
      <x:c r="D804" s="7" t="n">
        <x:f>IF(ISNUMBER(C804),C804^2,"")</x:f>
        <x:v>0.0000030717697269375707</x:v>
      </x:c>
      <x:c r="E804" s="15" t="n">
        <x:f>IF(ISNUMBER(C804),C804^3,"")</x:f>
        <x:v>5.383726437040734e-9</x:v>
      </x:c>
      <x:c r="F804" s="15" t="n">
        <x:f>IF(ISNUMBER(C804),C804^4,"")</x:f>
        <x:v>9.435769255330118e-12</x:v>
      </x:c>
      <x:c r="G804" s="7" t="n">
        <x:f>IF(ISNUMBER(B804),ABS(B804),"")</x:f>
        <x:v>0.0017044071652408208</x:v>
      </x:c>
      <x:c r="H804" s="7" t="n">
        <x:f>IF(ISNUMBER(B804),B804^2,"")</x:f>
        <x:v>0.000002905003784924251</x:v>
      </x:c>
      <x:c r="I804" s="7" t="n">
        <x:f>IF(AND(ISNUMBER(G804),'요약'!$B$19),G804-'요약'!$B$14,"")</x:f>
        <x:v>-0.006309109462162035</x:v>
      </x:c>
      <x:c r="J804" s="7" t="n">
        <x:f>IF(AND(ISNUMBER(H804),'요약'!$B$19),H804-'요약'!$B$15,"")</x:f>
        <x:v>-0.00009930469540116785</x:v>
      </x:c>
      <x:c r="K804" t="str">
        <x:f>IF(ISNUMBER(B804),IF('Hill'!$B$4=1,IF(B804&lt;0,-B804,""),IF('Hill'!$B$4=2,IF(B804&gt;0,B804,""),IF('Hill'!$B$4=3,IF(B804&lt;&gt;0,ABS(B804),""),""))),"")</x:f>
      </x:c>
    </x:row>
    <x:row r="805">
      <x:c r="A805" t="n">
        <x:f>804</x:f>
        <x:v>804</x:v>
      </x:c>
      <x:c r="B805" s="7" t="n">
        <x:f>IF('요약'!$B$4=4,IF(ISNUMBER('input'!A805),'input'!A805,""),IF(804&lt;=1000,CHOOSE('요약'!$B$4,'input'!B805,'input'!C805,'input'!D805),""))</x:f>
        <x:v>0.009234979697386595</x:v>
      </x:c>
      <x:c r="C805" s="7" t="n">
        <x:f>IF(AND(ISNUMBER(B805),'요약'!$B$19),B805-'요약'!$B$7,"")</x:f>
        <x:v>0.009283219024436096</x:v>
      </x:c>
      <x:c r="D805" s="7" t="n">
        <x:f>IF(ISNUMBER(C805),C805^2,"")</x:f>
        <x:v>0.00008617815545565226</x:v>
      </x:c>
      <x:c r="E805" s="15" t="n">
        <x:f>IF(ISNUMBER(C805),C805^3,"")</x:f>
        <x:v>8.000106922167224e-7</x:v>
      </x:c>
      <x:c r="F805" s="15" t="n">
        <x:f>IF(ISNUMBER(C805),C805^4,"")</x:f>
        <x:v>7.426674477738568e-9</x:v>
      </x:c>
      <x:c r="G805" s="7" t="n">
        <x:f>IF(ISNUMBER(B805),ABS(B805),"")</x:f>
        <x:v>0.009234979697386595</x:v>
      </x:c>
      <x:c r="H805" s="7" t="n">
        <x:f>IF(ISNUMBER(B805),B805^2,"")</x:f>
        <x:v>0.00008528485001114261</x:v>
      </x:c>
      <x:c r="I805" s="7" t="n">
        <x:f>IF(AND(ISNUMBER(G805),'요약'!$B$19),G805-'요약'!$B$14,"")</x:f>
        <x:v>0.00122146306998374</x:v>
      </x:c>
      <x:c r="J805" s="7" t="n">
        <x:f>IF(AND(ISNUMBER(H805),'요약'!$B$19),H805-'요약'!$B$15,"")</x:f>
        <x:v>-0.00001692484917494949</x:v>
      </x:c>
      <x:c r="K805" t="str">
        <x:f>IF(ISNUMBER(B805),IF('Hill'!$B$4=1,IF(B805&lt;0,-B805,""),IF('Hill'!$B$4=2,IF(B805&gt;0,B805,""),IF('Hill'!$B$4=3,IF(B805&lt;&gt;0,ABS(B805),""),""))),"")</x:f>
      </x:c>
    </x:row>
    <x:row r="806">
      <x:c r="A806" t="n">
        <x:f>805</x:f>
        <x:v>805</x:v>
      </x:c>
      <x:c r="B806" s="7" t="n">
        <x:f>IF('요약'!$B$4=4,IF(ISNUMBER('input'!A806),'input'!A806,""),IF(805&lt;=1000,CHOOSE('요약'!$B$4,'input'!B806,'input'!C806,'input'!D806),""))</x:f>
        <x:v>0.004960925402172275</x:v>
      </x:c>
      <x:c r="C806" s="7" t="n">
        <x:f>IF(AND(ISNUMBER(B806),'요약'!$B$19),B806-'요약'!$B$7,"")</x:f>
        <x:v>0.005009164729221777</x:v>
      </x:c>
      <x:c r="D806" s="7" t="n">
        <x:f>IF(ISNUMBER(C806),C806^2,"")</x:f>
        <x:v>0.000025091731284479475</x:v>
      </x:c>
      <x:c r="E806" s="15" t="n">
        <x:f>IF(ISNUMBER(C806),C806^3,"")</x:f>
        <x:v>1.256886153453252e-7</x:v>
      </x:c>
      <x:c r="F806" s="15" t="n">
        <x:f>IF(ISNUMBER(C806),C806^4,"")</x:f>
        <x:v>6.29594978852526e-10</x:v>
      </x:c>
      <x:c r="G806" s="7" t="n">
        <x:f>IF(ISNUMBER(B806),ABS(B806),"")</x:f>
        <x:v>0.004960925402172275</x:v>
      </x:c>
      <x:c r="H806" s="7" t="n">
        <x:f>IF(ISNUMBER(B806),B806^2,"")</x:f>
        <x:v>0.00002461078084591815</x:v>
      </x:c>
      <x:c r="I806" s="7" t="n">
        <x:f>IF(AND(ISNUMBER(G806),'요약'!$B$19),G806-'요약'!$B$14,"")</x:f>
        <x:v>-0.00305259122523058</x:v>
      </x:c>
      <x:c r="J806" s="7" t="n">
        <x:f>IF(AND(ISNUMBER(H806),'요약'!$B$19),H806-'요약'!$B$15,"")</x:f>
        <x:v>-0.00007759891834017395</x:v>
      </x:c>
      <x:c r="K806" t="str">
        <x:f>IF(ISNUMBER(B806),IF('Hill'!$B$4=1,IF(B806&lt;0,-B806,""),IF('Hill'!$B$4=2,IF(B806&gt;0,B806,""),IF('Hill'!$B$4=3,IF(B806&lt;&gt;0,ABS(B806),""),""))),"")</x:f>
      </x:c>
    </x:row>
    <x:row r="807">
      <x:c r="A807" t="n">
        <x:f>806</x:f>
        <x:v>806</x:v>
      </x:c>
      <x:c r="B807" s="7" t="n">
        <x:f>IF('요약'!$B$4=4,IF(ISNUMBER('input'!A807),'input'!A807,""),IF(806&lt;=1000,CHOOSE('요약'!$B$4,'input'!B807,'input'!C807,'input'!D807),""))</x:f>
        <x:v>0.001852282352547547</x:v>
      </x:c>
      <x:c r="C807" s="7" t="n">
        <x:f>IF(AND(ISNUMBER(B807),'요약'!$B$19),B807-'요약'!$B$7,"")</x:f>
        <x:v>0.0019005216795970484</x:v>
      </x:c>
      <x:c r="D807" s="7" t="n">
        <x:f>IF(ISNUMBER(C807),C807^2,"")</x:f>
        <x:v>0.000003611982654618386</x:v>
      </x:c>
      <x:c r="E807" s="15" t="n">
        <x:f>IF(ISNUMBER(C807),C807^3,"")</x:f>
        <x:v>6.86465134143074e-9</x:v>
      </x:c>
      <x:c r="F807" s="15" t="n">
        <x:f>IF(ISNUMBER(C807),C807^4,"")</x:f>
        <x:v>1.3046418697264082e-11</x:v>
      </x:c>
      <x:c r="G807" s="7" t="n">
        <x:f>IF(ISNUMBER(B807),ABS(B807),"")</x:f>
        <x:v>0.001852282352547547</x:v>
      </x:c>
      <x:c r="H807" s="7" t="n">
        <x:f>IF(ISNUMBER(B807),B807^2,"")</x:f>
        <x:v>0.000003430949913559075</x:v>
      </x:c>
      <x:c r="I807" s="7" t="n">
        <x:f>IF(AND(ISNUMBER(G807),'요약'!$B$19),G807-'요약'!$B$14,"")</x:f>
        <x:v>-0.0061612342748553085</x:v>
      </x:c>
      <x:c r="J807" s="7" t="n">
        <x:f>IF(AND(ISNUMBER(H807),'요약'!$B$19),H807-'요약'!$B$15,"")</x:f>
        <x:v>-0.00009877874927253302</x:v>
      </x:c>
      <x:c r="K807" t="str">
        <x:f>IF(ISNUMBER(B807),IF('Hill'!$B$4=1,IF(B807&lt;0,-B807,""),IF('Hill'!$B$4=2,IF(B807&gt;0,B807,""),IF('Hill'!$B$4=3,IF(B807&lt;&gt;0,ABS(B807),""),""))),"")</x:f>
      </x:c>
    </x:row>
    <x:row r="808">
      <x:c r="A808" t="n">
        <x:f>807</x:f>
        <x:v>807</x:v>
      </x:c>
      <x:c r="B808" s="7" t="n">
        <x:f>IF('요약'!$B$4=4,IF(ISNUMBER('input'!A808),'input'!A808,""),IF(807&lt;=1000,CHOOSE('요약'!$B$4,'input'!B808,'input'!C808,'input'!D808),""))</x:f>
        <x:v>-0.01153211691131885</x:v>
      </x:c>
      <x:c r="C808" s="7" t="n">
        <x:f>IF(AND(ISNUMBER(B808),'요약'!$B$19),B808-'요약'!$B$7,"")</x:f>
        <x:v>-0.01148387758426935</x:v>
      </x:c>
      <x:c r="D808" s="7" t="n">
        <x:f>IF(ISNUMBER(C808),C808^2,"")</x:f>
        <x:v>0.00013187944437048404</x:v>
      </x:c>
      <x:c r="E808" s="15" t="n">
        <x:f>IF(ISNUMBER(C808),C808^3,"")</x:f>
        <x:v>-0.0000015144873950320983</x:v>
      </x:c>
      <x:c r="F808" s="15" t="n">
        <x:f>IF(ISNUMBER(C808),C808^4,"")</x:f>
        <x:v>1.7392187847467595e-8</x:v>
      </x:c>
      <x:c r="G808" s="7" t="n">
        <x:f>IF(ISNUMBER(B808),ABS(B808),"")</x:f>
        <x:v>0.01153211691131885</x:v>
      </x:c>
      <x:c r="H808" s="7" t="n">
        <x:f>IF(ISNUMBER(B808),B808^2,"")</x:f>
        <x:v>0.0001329897204563262</x:v>
      </x:c>
      <x:c r="I808" s="7" t="n">
        <x:f>IF(AND(ISNUMBER(G808),'요약'!$B$19),G808-'요약'!$B$14,"")</x:f>
        <x:v>0.003518600283915995</x:v>
      </x:c>
      <x:c r="J808" s="7" t="n">
        <x:f>IF(AND(ISNUMBER(H808),'요약'!$B$19),H808-'요약'!$B$15,"")</x:f>
        <x:v>0.00003078002127023411</x:v>
      </x:c>
      <x:c r="K808" t="n">
        <x:f>IF(ISNUMBER(B808),IF('Hill'!$B$4=1,IF(B808&lt;0,-B808,""),IF('Hill'!$B$4=2,IF(B808&gt;0,B808,""),IF('Hill'!$B$4=3,IF(B808&lt;&gt;0,ABS(B808),""),""))),"")</x:f>
        <x:v>0.01153211691131885</x:v>
      </x:c>
    </x:row>
    <x:row r="809">
      <x:c r="A809" t="n">
        <x:f>808</x:f>
        <x:v>808</x:v>
      </x:c>
      <x:c r="B809" s="7" t="n">
        <x:f>IF('요약'!$B$4=4,IF(ISNUMBER('input'!A809),'input'!A809,""),IF(808&lt;=1000,CHOOSE('요약'!$B$4,'input'!B809,'input'!C809,'input'!D809),""))</x:f>
        <x:v>-0.008258985331493787</x:v>
      </x:c>
      <x:c r="C809" s="7" t="n">
        <x:f>IF(AND(ISNUMBER(B809),'요약'!$B$19),B809-'요약'!$B$7,"")</x:f>
        <x:v>-0.008210746004444287</x:v>
      </x:c>
      <x:c r="D809" s="7" t="n">
        <x:f>IF(ISNUMBER(C809),C809^2,"")</x:f>
        <x:v>0.00006741634994949781</x:v>
      </x:c>
      <x:c r="E809" s="15" t="n">
        <x:f>IF(ISNUMBER(C809),C809^3,"")</x:f>
        <x:v>-5.53538525982057e-7</x:v>
      </x:c>
      <x:c r="F809" s="15" t="n">
        <x:f>IF(ISNUMBER(C809),C809^4,"")</x:f>
        <x:v>4.5449642405131546e-9</x:v>
      </x:c>
      <x:c r="G809" s="7" t="n">
        <x:f>IF(ISNUMBER(B809),ABS(B809),"")</x:f>
        <x:v>0.008258985331493787</x:v>
      </x:c>
      <x:c r="H809" s="7" t="n">
        <x:f>IF(ISNUMBER(B809),B809^2,"")</x:f>
        <x:v>0.00006821083870582954</x:v>
      </x:c>
      <x:c r="I809" s="7" t="n">
        <x:f>IF(AND(ISNUMBER(G809),'요약'!$B$19),G809-'요약'!$B$14,"")</x:f>
        <x:v>0.0002454687040909318</x:v>
      </x:c>
      <x:c r="J809" s="7" t="n">
        <x:f>IF(AND(ISNUMBER(H809),'요약'!$B$19),H809-'요약'!$B$15,"")</x:f>
        <x:v>-0.00003399886048026256</x:v>
      </x:c>
      <x:c r="K809" t="n">
        <x:f>IF(ISNUMBER(B809),IF('Hill'!$B$4=1,IF(B809&lt;0,-B809,""),IF('Hill'!$B$4=2,IF(B809&gt;0,B809,""),IF('Hill'!$B$4=3,IF(B809&lt;&gt;0,ABS(B809),""),""))),"")</x:f>
        <x:v>0.008258985331493787</x:v>
      </x:c>
    </x:row>
    <x:row r="810">
      <x:c r="A810" t="n">
        <x:f>809</x:f>
        <x:v>809</x:v>
      </x:c>
      <x:c r="B810" s="7" t="n">
        <x:f>IF('요약'!$B$4=4,IF(ISNUMBER('input'!A810),'input'!A810,""),IF(809&lt;=1000,CHOOSE('요약'!$B$4,'input'!B810,'input'!C810,'input'!D810),""))</x:f>
        <x:v>0.008327515426863887</x:v>
      </x:c>
      <x:c r="C810" s="7" t="n">
        <x:f>IF(AND(ISNUMBER(B810),'요약'!$B$19),B810-'요약'!$B$7,"")</x:f>
        <x:v>0.008375754753913387</x:v>
      </x:c>
      <x:c r="D810" s="7" t="n">
        <x:f>IF(ISNUMBER(C810),C810^2,"")</x:f>
        <x:v>0.00007015326769770271</x:v>
      </x:c>
      <x:c r="E810" s="15" t="n">
        <x:f>IF(ISNUMBER(C810),C810^3,"")</x:f>
        <x:v>5.87586565421592e-7</x:v>
      </x:c>
      <x:c r="F810" s="15" t="n">
        <x:f>IF(ISNUMBER(C810),C810^4,"")</x:f>
        <x:v>4.921480968665538e-9</x:v>
      </x:c>
      <x:c r="G810" s="7" t="n">
        <x:f>IF(ISNUMBER(B810),ABS(B810),"")</x:f>
        <x:v>0.008327515426863887</x:v>
      </x:c>
      <x:c r="H810" s="7" t="n">
        <x:f>IF(ISNUMBER(B810),B810^2,"")</x:f>
        <x:v>0.00006934751318465602</x:v>
      </x:c>
      <x:c r="I810" s="7" t="n">
        <x:f>IF(AND(ISNUMBER(G810),'요약'!$B$19),G810-'요약'!$B$14,"")</x:f>
        <x:v>0.00031399879946103146</x:v>
      </x:c>
      <x:c r="J810" s="7" t="n">
        <x:f>IF(AND(ISNUMBER(H810),'요약'!$B$19),H810-'요약'!$B$15,"")</x:f>
        <x:v>-0.00003286218600143608</x:v>
      </x:c>
      <x:c r="K810" t="str">
        <x:f>IF(ISNUMBER(B810),IF('Hill'!$B$4=1,IF(B810&lt;0,-B810,""),IF('Hill'!$B$4=2,IF(B810&gt;0,B810,""),IF('Hill'!$B$4=3,IF(B810&lt;&gt;0,ABS(B810),""),""))),"")</x:f>
      </x:c>
    </x:row>
    <x:row r="811">
      <x:c r="A811" t="n">
        <x:f>810</x:f>
        <x:v>810</x:v>
      </x:c>
      <x:c r="B811" s="7" t="n">
        <x:f>IF('요약'!$B$4=4,IF(ISNUMBER('input'!A811),'input'!A811,""),IF(810&lt;=1000,CHOOSE('요약'!$B$4,'input'!B811,'input'!C811,'input'!D811),""))</x:f>
        <x:v>0.00033929472905359996</x:v>
      </x:c>
      <x:c r="C811" s="7" t="n">
        <x:f>IF(AND(ISNUMBER(B811),'요약'!$B$19),B811-'요약'!$B$7,"")</x:f>
        <x:v>0.0003875340561031013</x:v>
      </x:c>
      <x:c r="D811" s="7" t="n">
        <x:f>IF(ISNUMBER(C811),C811^2,"")</x:f>
        <x:v>1.5018264463972168e-7</x:v>
      </x:c>
      <x:c r="E811" s="15" t="n">
        <x:f>IF(ISNUMBER(C811),C811^3,"")</x:f>
        <x:v>5.8200889433522024e-11</x:v>
      </x:c>
      <x:c r="F811" s="15" t="n">
        <x:f>IF(ISNUMBER(C811),C811^4,"")</x:f>
        <x:v>2.2554826750980923e-14</x:v>
      </x:c>
      <x:c r="G811" s="7" t="n">
        <x:f>IF(ISNUMBER(B811),ABS(B811),"")</x:f>
        <x:v>0.00033929472905359996</x:v>
      </x:c>
      <x:c r="H811" s="7" t="n">
        <x:f>IF(ISNUMBER(B811),B811^2,"")</x:f>
        <x:v>1.151209131635558e-7</x:v>
      </x:c>
      <x:c r="I811" s="7" t="n">
        <x:f>IF(AND(ISNUMBER(G811),'요약'!$B$19),G811-'요약'!$B$14,"")</x:f>
        <x:v>-0.007674221898349255</x:v>
      </x:c>
      <x:c r="J811" s="7" t="n">
        <x:f>IF(AND(ISNUMBER(H811),'요약'!$B$19),H811-'요약'!$B$15,"")</x:f>
        <x:v>-0.00010209457827292855</x:v>
      </x:c>
      <x:c r="K811" t="str">
        <x:f>IF(ISNUMBER(B811),IF('Hill'!$B$4=1,IF(B811&lt;0,-B811,""),IF('Hill'!$B$4=2,IF(B811&gt;0,B811,""),IF('Hill'!$B$4=3,IF(B811&lt;&gt;0,ABS(B811),""),""))),"")</x:f>
      </x:c>
    </x:row>
    <x:row r="812">
      <x:c r="A812" t="n">
        <x:f>811</x:f>
        <x:v>811</x:v>
      </x:c>
      <x:c r="B812" s="7" t="n">
        <x:f>IF('요약'!$B$4=4,IF(ISNUMBER('input'!A812),'input'!A812,""),IF(811&lt;=1000,CHOOSE('요약'!$B$4,'input'!B812,'input'!C812,'input'!D812),""))</x:f>
        <x:v>0.0037717852625008238</x:v>
      </x:c>
      <x:c r="C812" s="7" t="n">
        <x:f>IF(AND(ISNUMBER(B812),'요약'!$B$19),B812-'요약'!$B$7,"")</x:f>
        <x:v>0.003820024589550325</x:v>
      </x:c>
      <x:c r="D812" s="7" t="n">
        <x:f>IF(ISNUMBER(C812),C812^2,"")</x:f>
        <x:v>0.00001459258786476913</x:v>
      </x:c>
      <x:c r="E812" s="15" t="n">
        <x:f>IF(ISNUMBER(C812),C812^3,"")</x:f>
        <x:v>5.5744044468591756e-8</x:v>
      </x:c>
      <x:c r="F812" s="15" t="n">
        <x:f>IF(ISNUMBER(C812),C812^4,"")</x:f>
        <x:v>2.129436205910073e-10</x:v>
      </x:c>
      <x:c r="G812" s="7" t="n">
        <x:f>IF(ISNUMBER(B812),ABS(B812),"")</x:f>
        <x:v>0.0037717852625008238</x:v>
      </x:c>
      <x:c r="H812" s="7" t="n">
        <x:f>IF(ISNUMBER(B812),B812^2,"")</x:f>
        <x:v>0.000014226364066418408</x:v>
      </x:c>
      <x:c r="I812" s="7" t="n">
        <x:f>IF(AND(ISNUMBER(G812),'요약'!$B$19),G812-'요약'!$B$14,"")</x:f>
        <x:v>-0.004241731364902032</x:v>
      </x:c>
      <x:c r="J812" s="7" t="n">
        <x:f>IF(AND(ISNUMBER(H812),'요약'!$B$19),H812-'요약'!$B$15,"")</x:f>
        <x:v>-0.0000879833351196737</x:v>
      </x:c>
      <x:c r="K812" t="str">
        <x:f>IF(ISNUMBER(B812),IF('Hill'!$B$4=1,IF(B812&lt;0,-B812,""),IF('Hill'!$B$4=2,IF(B812&gt;0,B812,""),IF('Hill'!$B$4=3,IF(B812&lt;&gt;0,ABS(B812),""),""))),"")</x:f>
      </x:c>
    </x:row>
    <x:row r="813">
      <x:c r="A813" t="n">
        <x:f>812</x:f>
        <x:v>812</x:v>
      </x:c>
      <x:c r="B813" s="7" t="n">
        <x:f>IF('요약'!$B$4=4,IF(ISNUMBER('input'!A813),'input'!A813,""),IF(812&lt;=1000,CHOOSE('요약'!$B$4,'input'!B813,'input'!C813,'input'!D813),""))</x:f>
        <x:v>-0.0015665227434560388</x:v>
      </x:c>
      <x:c r="C813" s="7" t="n">
        <x:f>IF(AND(ISNUMBER(B813),'요약'!$B$19),B813-'요약'!$B$7,"")</x:f>
        <x:v>-0.0015182834164065373</x:v>
      </x:c>
      <x:c r="D813" s="7" t="n">
        <x:f>IF(ISNUMBER(C813),C813^2,"")</x:f>
        <x:v>0.000002305184532535107</x:v>
      </x:c>
      <x:c r="E813" s="15" t="n">
        <x:f>IF(ISNUMBER(C813),C813^3,"")</x:f>
        <x:v>-3.499923447504909e-9</x:v>
      </x:c>
      <x:c r="F813" s="15" t="n">
        <x:f>IF(ISNUMBER(C813),C813^4,"")</x:f>
        <x:v>5.313875729039099e-12</x:v>
      </x:c>
      <x:c r="G813" s="7" t="n">
        <x:f>IF(ISNUMBER(B813),ABS(B813),"")</x:f>
        <x:v>0.0015665227434560388</x:v>
      </x:c>
      <x:c r="H813" s="7" t="n">
        <x:f>IF(ISNUMBER(B813),B813^2,"")</x:f>
        <x:v>0.0000024539935057650344</x:v>
      </x:c>
      <x:c r="I813" s="7" t="n">
        <x:f>IF(AND(ISNUMBER(G813),'요약'!$B$19),G813-'요약'!$B$14,"")</x:f>
        <x:v>-0.006446993883946817</x:v>
      </x:c>
      <x:c r="J813" s="7" t="n">
        <x:f>IF(AND(ISNUMBER(H813),'요약'!$B$19),H813-'요약'!$B$15,"")</x:f>
        <x:v>-0.00009975570568032706</x:v>
      </x:c>
      <x:c r="K813" t="n">
        <x:f>IF(ISNUMBER(B813),IF('Hill'!$B$4=1,IF(B813&lt;0,-B813,""),IF('Hill'!$B$4=2,IF(B813&gt;0,B813,""),IF('Hill'!$B$4=3,IF(B813&lt;&gt;0,ABS(B813),""),""))),"")</x:f>
        <x:v>0.0015665227434560388</x:v>
      </x:c>
    </x:row>
    <x:row r="814">
      <x:c r="A814" t="n">
        <x:f>813</x:f>
        <x:v>813</x:v>
      </x:c>
      <x:c r="B814" s="7" t="n">
        <x:f>IF('요약'!$B$4=4,IF(ISNUMBER('input'!A814),'input'!A814,""),IF(813&lt;=1000,CHOOSE('요약'!$B$4,'input'!B814,'input'!C814,'input'!D814),""))</x:f>
        <x:v>0.0074431840858504355</x:v>
      </x:c>
      <x:c r="C814" s="7" t="n">
        <x:f>IF(AND(ISNUMBER(B814),'요약'!$B$19),B814-'요약'!$B$7,"")</x:f>
        <x:v>0.007491423412899937</x:v>
      </x:c>
      <x:c r="D814" s="7" t="n">
        <x:f>IF(ISNUMBER(C814),C814^2,"")</x:f>
        <x:v>0.00005612142475134534</x:v>
      </x:c>
      <x:c r="E814" s="15" t="n">
        <x:f>IF(ISNUMBER(C814),C814^3,"")</x:f>
        <x:v>4.2042935534753053e-7</x:v>
      </x:c>
      <x:c r="F814" s="15" t="n">
        <x:f>IF(ISNUMBER(C814),C814^4,"")</x:f>
        <x:v>3.149614316120917e-9</x:v>
      </x:c>
      <x:c r="G814" s="7" t="n">
        <x:f>IF(ISNUMBER(B814),ABS(B814),"")</x:f>
        <x:v>0.0074431840858504355</x:v>
      </x:c>
      <x:c r="H814" s="7" t="n">
        <x:f>IF(ISNUMBER(B814),B814^2,"")</x:f>
        <x:v>0.000055400989335857187</x:v>
      </x:c>
      <x:c r="I814" s="7" t="n">
        <x:f>IF(AND(ISNUMBER(G814),'요약'!$B$19),G814-'요약'!$B$14,"")</x:f>
        <x:v>-0.0005703325415524199</x:v>
      </x:c>
      <x:c r="J814" s="7" t="n">
        <x:f>IF(AND(ISNUMBER(H814),'요약'!$B$19),H814-'요약'!$B$15,"")</x:f>
        <x:v>-0.00004680870985023492</x:v>
      </x:c>
      <x:c r="K814" t="str">
        <x:f>IF(ISNUMBER(B814),IF('Hill'!$B$4=1,IF(B814&lt;0,-B814,""),IF('Hill'!$B$4=2,IF(B814&gt;0,B814,""),IF('Hill'!$B$4=3,IF(B814&lt;&gt;0,ABS(B814),""),""))),"")</x:f>
      </x:c>
    </x:row>
    <x:row r="815">
      <x:c r="A815" t="n">
        <x:f>814</x:f>
        <x:v>814</x:v>
      </x:c>
      <x:c r="B815" s="7" t="n">
        <x:f>IF('요약'!$B$4=4,IF(ISNUMBER('input'!A815),'input'!A815,""),IF(814&lt;=1000,CHOOSE('요약'!$B$4,'input'!B815,'input'!C815,'input'!D815),""))</x:f>
        <x:v>-0.001745226015299739</x:v>
      </x:c>
      <x:c r="C815" s="7" t="n">
        <x:f>IF(AND(ISNUMBER(B815),'요약'!$B$19),B815-'요약'!$B$7,"")</x:f>
        <x:v>-0.0016969866882502376</x:v>
      </x:c>
      <x:c r="D815" s="7" t="n">
        <x:f>IF(ISNUMBER(C815),C815^2,"")</x:f>
        <x:v>0.000002879763820098509</x:v>
      </x:c>
      <x:c r="E815" s="15" t="n">
        <x:f>IF(ISNUMBER(C815),C815^3,"")</x:f>
        <x:v>-4.886920868011821e-9</x:v>
      </x:c>
      <x:c r="F815" s="15" t="n">
        <x:f>IF(ISNUMBER(C815),C815^4,"")</x:f>
        <x:v>8.293039659548357e-12</x:v>
      </x:c>
      <x:c r="G815" s="7" t="n">
        <x:f>IF(ISNUMBER(B815),ABS(B815),"")</x:f>
        <x:v>0.001745226015299739</x:v>
      </x:c>
      <x:c r="H815" s="7" t="n">
        <x:f>IF(ISNUMBER(B815),B815^2,"")</x:f>
        <x:v>0.0000030458138444790047</x:v>
      </x:c>
      <x:c r="I815" s="7" t="n">
        <x:f>IF(AND(ISNUMBER(G815),'요약'!$B$19),G815-'요약'!$B$14,"")</x:f>
        <x:v>-0.006268290612103117</x:v>
      </x:c>
      <x:c r="J815" s="7" t="n">
        <x:f>IF(AND(ISNUMBER(H815),'요약'!$B$19),H815-'요약'!$B$15,"")</x:f>
        <x:v>-0.0000991638853416131</x:v>
      </x:c>
      <x:c r="K815" t="n">
        <x:f>IF(ISNUMBER(B815),IF('Hill'!$B$4=1,IF(B815&lt;0,-B815,""),IF('Hill'!$B$4=2,IF(B815&gt;0,B815,""),IF('Hill'!$B$4=3,IF(B815&lt;&gt;0,ABS(B815),""),""))),"")</x:f>
        <x:v>0.001745226015299739</x:v>
      </x:c>
    </x:row>
    <x:row r="816">
      <x:c r="A816" t="n">
        <x:f>815</x:f>
        <x:v>815</x:v>
      </x:c>
      <x:c r="B816" s="7" t="n">
        <x:f>IF('요약'!$B$4=4,IF(ISNUMBER('input'!A816),'input'!A816,""),IF(815&lt;=1000,CHOOSE('요약'!$B$4,'input'!B816,'input'!C816,'input'!D816),""))</x:f>
        <x:v>-0.006185430945076251</x:v>
      </x:c>
      <x:c r="C816" s="7" t="n">
        <x:f>IF(AND(ISNUMBER(B816),'요약'!$B$19),B816-'요약'!$B$7,"")</x:f>
        <x:v>-0.00613719161802675</x:v>
      </x:c>
      <x:c r="D816" s="7" t="n">
        <x:f>IF(ISNUMBER(C816),C816^2,"")</x:f>
        <x:v>0.000037665120956377793</x:v>
      </x:c>
      <x:c r="E816" s="15" t="n">
        <x:f>IF(ISNUMBER(C816),C816^3,"")</x:f>
        <x:v>-2.3115806462544548e-7</x:v>
      </x:c>
      <x:c r="F816" s="15" t="n">
        <x:f>IF(ISNUMBER(C816),C816^4,"")</x:f>
        <x:v>1.4186613366585697e-9</x:v>
      </x:c>
      <x:c r="G816" s="7" t="n">
        <x:f>IF(ISNUMBER(B816),ABS(B816),"")</x:f>
        <x:v>0.006185430945076251</x:v>
      </x:c>
      <x:c r="H816" s="7" t="n">
        <x:f>IF(ISNUMBER(B816),B816^2,"")</x:f>
        <x:v>0.000038259555976306884</x:v>
      </x:c>
      <x:c r="I816" s="7" t="n">
        <x:f>IF(AND(ISNUMBER(G816),'요약'!$B$19),G816-'요약'!$B$14,"")</x:f>
        <x:v>-0.0018280856823266042</x:v>
      </x:c>
      <x:c r="J816" s="7" t="n">
        <x:f>IF(AND(ISNUMBER(H816),'요약'!$B$19),H816-'요약'!$B$15,"")</x:f>
        <x:v>-0.00006395014320978521</x:v>
      </x:c>
      <x:c r="K816" t="n">
        <x:f>IF(ISNUMBER(B816),IF('Hill'!$B$4=1,IF(B816&lt;0,-B816,""),IF('Hill'!$B$4=2,IF(B816&gt;0,B816,""),IF('Hill'!$B$4=3,IF(B816&lt;&gt;0,ABS(B816),""),""))),"")</x:f>
        <x:v>0.006185430945076251</x:v>
      </x:c>
    </x:row>
    <x:row r="817">
      <x:c r="A817" t="n">
        <x:f>816</x:f>
        <x:v>816</x:v>
      </x:c>
      <x:c r="B817" s="7" t="n">
        <x:f>IF('요약'!$B$4=4,IF(ISNUMBER('input'!A817),'input'!A817,""),IF(816&lt;=1000,CHOOSE('요약'!$B$4,'input'!B817,'input'!C817,'input'!D817),""))</x:f>
        <x:v>-0.004623375552676866</x:v>
      </x:c>
      <x:c r="C817" s="7" t="n">
        <x:f>IF(AND(ISNUMBER(B817),'요약'!$B$19),B817-'요약'!$B$7,"")</x:f>
        <x:v>-0.0045751362256273645</x:v>
      </x:c>
      <x:c r="D817" s="7" t="n">
        <x:f>IF(ISNUMBER(C817),C817^2,"")</x:f>
        <x:v>0.000020931871483047805</x:v>
      </x:c>
      <x:c r="E817" s="15" t="n">
        <x:f>IF(ISNUMBER(C817),C817^3,"")</x:f>
        <x:v>-9.576616349226841e-8</x:v>
      </x:c>
      <x:c r="F817" s="15" t="n">
        <x:f>IF(ISNUMBER(C817),C817^4,"")</x:f>
        <x:v>4.3814324378282997e-10</x:v>
      </x:c>
      <x:c r="G817" s="7" t="n">
        <x:f>IF(ISNUMBER(B817),ABS(B817),"")</x:f>
        <x:v>0.004623375552676866</x:v>
      </x:c>
      <x:c r="H817" s="7" t="n">
        <x:f>IF(ISNUMBER(B817),B817^2,"")</x:f>
        <x:v>0.000021375601501090114</x:v>
      </x:c>
      <x:c r="I817" s="7" t="n">
        <x:f>IF(AND(ISNUMBER(G817),'요약'!$B$19),G817-'요약'!$B$14,"")</x:f>
        <x:v>-0.0033901410747259894</x:v>
      </x:c>
      <x:c r="J817" s="7" t="n">
        <x:f>IF(AND(ISNUMBER(H817),'요약'!$B$19),H817-'요약'!$B$15,"")</x:f>
        <x:v>-0.00008083409768500199</x:v>
      </x:c>
      <x:c r="K817" t="n">
        <x:f>IF(ISNUMBER(B817),IF('Hill'!$B$4=1,IF(B817&lt;0,-B817,""),IF('Hill'!$B$4=2,IF(B817&gt;0,B817,""),IF('Hill'!$B$4=3,IF(B817&lt;&gt;0,ABS(B817),""),""))),"")</x:f>
        <x:v>0.004623375552676866</x:v>
      </x:c>
    </x:row>
    <x:row r="818">
      <x:c r="A818" t="n">
        <x:f>817</x:f>
        <x:v>817</x:v>
      </x:c>
      <x:c r="B818" s="7" t="n">
        <x:f>IF('요약'!$B$4=4,IF(ISNUMBER('input'!A818),'input'!A818,""),IF(817&lt;=1000,CHOOSE('요약'!$B$4,'input'!B818,'input'!C818,'input'!D818),""))</x:f>
        <x:v>-0.005908581046529403</x:v>
      </x:c>
      <x:c r="C818" s="7" t="n">
        <x:f>IF(AND(ISNUMBER(B818),'요약'!$B$19),B818-'요약'!$B$7,"")</x:f>
        <x:v>-0.005860341719479902</x:v>
      </x:c>
      <x:c r="D818" s="7" t="n">
        <x:f>IF(ISNUMBER(C818),C818^2,"")</x:f>
        <x:v>0.00003434360506907665</x:v>
      </x:c>
      <x:c r="E818" s="15" t="n">
        <x:f>IF(ISNUMBER(C818),C818^3,"")</x:f>
        <x:v>-2.0126526158365132e-7</x:v>
      </x:c>
      <x:c r="F818" s="15" t="n">
        <x:f>IF(ISNUMBER(C818),C818^4,"")</x:f>
        <x:v>1.1794832091407074e-9</x:v>
      </x:c>
      <x:c r="G818" s="7" t="n">
        <x:f>IF(ISNUMBER(B818),ABS(B818),"")</x:f>
        <x:v>0.005908581046529403</x:v>
      </x:c>
      <x:c r="H818" s="7" t="n">
        <x:f>IF(ISNUMBER(B818),B818^2,"")</x:f>
        <x:v>0.0000349113299834065</x:v>
      </x:c>
      <x:c r="I818" s="7" t="n">
        <x:f>IF(AND(ISNUMBER(G818),'요약'!$B$19),G818-'요약'!$B$14,"")</x:f>
        <x:v>-0.0021049355808734523</x:v>
      </x:c>
      <x:c r="J818" s="7" t="n">
        <x:f>IF(AND(ISNUMBER(H818),'요약'!$B$19),H818-'요약'!$B$15,"")</x:f>
        <x:v>-0.0000672983692026856</x:v>
      </x:c>
      <x:c r="K818" t="n">
        <x:f>IF(ISNUMBER(B818),IF('Hill'!$B$4=1,IF(B818&lt;0,-B818,""),IF('Hill'!$B$4=2,IF(B818&gt;0,B818,""),IF('Hill'!$B$4=3,IF(B818&lt;&gt;0,ABS(B818),""),""))),"")</x:f>
        <x:v>0.005908581046529403</x:v>
      </x:c>
    </x:row>
    <x:row r="819">
      <x:c r="A819" t="n">
        <x:f>818</x:f>
        <x:v>818</x:v>
      </x:c>
      <x:c r="B819" s="7" t="n">
        <x:f>IF('요약'!$B$4=4,IF(ISNUMBER('input'!A819),'input'!A819,""),IF(818&lt;=1000,CHOOSE('요약'!$B$4,'input'!B819,'input'!C819,'input'!D819),""))</x:f>
        <x:v>-0.007630320758926683</x:v>
      </x:c>
      <x:c r="C819" s="7" t="n">
        <x:f>IF(AND(ISNUMBER(B819),'요약'!$B$19),B819-'요약'!$B$7,"")</x:f>
        <x:v>-0.007582081431877182</x:v>
      </x:c>
      <x:c r="D819" s="7" t="n">
        <x:f>IF(ISNUMBER(C819),C819^2,"")</x:f>
        <x:v>0.000057487958839616734</x:v>
      </x:c>
      <x:c r="E819" s="15" t="n">
        <x:f>IF(ISNUMBER(C819),C819^3,"")</x:f>
        <x:v>-4.358783852743777e-7</x:v>
      </x:c>
      <x:c r="F819" s="15" t="n">
        <x:f>IF(ISNUMBER(C819),C819^4,"")</x:f>
        <x:v>3.304865411545468e-9</x:v>
      </x:c>
      <x:c r="G819" s="7" t="n">
        <x:f>IF(ISNUMBER(B819),ABS(B819),"")</x:f>
        <x:v>0.007630320758926683</x:v>
      </x:c>
      <x:c r="H819" s="7" t="n">
        <x:f>IF(ISNUMBER(B819),B819^2,"")</x:f>
        <x:v>0.00005822179488410747</x:v>
      </x:c>
      <x:c r="I819" s="7" t="n">
        <x:f>IF(AND(ISNUMBER(G819),'요약'!$B$19),G819-'요약'!$B$14,"")</x:f>
        <x:v>-0.0003831958684761723</x:v>
      </x:c>
      <x:c r="J819" s="7" t="n">
        <x:f>IF(AND(ISNUMBER(H819),'요약'!$B$19),H819-'요약'!$B$15,"")</x:f>
        <x:v>-0.00004398790430198463</x:v>
      </x:c>
      <x:c r="K819" t="n">
        <x:f>IF(ISNUMBER(B819),IF('Hill'!$B$4=1,IF(B819&lt;0,-B819,""),IF('Hill'!$B$4=2,IF(B819&gt;0,B819,""),IF('Hill'!$B$4=3,IF(B819&lt;&gt;0,ABS(B819),""),""))),"")</x:f>
        <x:v>0.007630320758926683</x:v>
      </x:c>
    </x:row>
    <x:row r="820">
      <x:c r="A820" t="n">
        <x:f>819</x:f>
        <x:v>819</x:v>
      </x:c>
      <x:c r="B820" s="7" t="n">
        <x:f>IF('요약'!$B$4=4,IF(ISNUMBER('input'!A820),'input'!A820,""),IF(819&lt;=1000,CHOOSE('요약'!$B$4,'input'!B820,'input'!C820,'input'!D820),""))</x:f>
        <x:v>-0.0015467897680957474</x:v>
      </x:c>
      <x:c r="C820" s="7" t="n">
        <x:f>IF(AND(ISNUMBER(B820),'요약'!$B$19),B820-'요약'!$B$7,"")</x:f>
        <x:v>-0.001498550441046246</x:v>
      </x:c>
      <x:c r="D820" s="7" t="n">
        <x:f>IF(ISNUMBER(C820),C820^2,"")</x:f>
        <x:v>0.0000022456534243598983</x:v>
      </x:c>
      <x:c r="E820" s="15" t="n">
        <x:f>IF(ISNUMBER(C820),C820^3,"")</x:f>
        <x:v>-3.3652249295115378e-9</x:v>
      </x:c>
      <x:c r="F820" s="15" t="n">
        <x:f>IF(ISNUMBER(C820),C820^4,"")</x:f>
        <x:v>5.042959302339337e-12</x:v>
      </x:c>
      <x:c r="G820" s="7" t="n">
        <x:f>IF(ISNUMBER(B820),ABS(B820),"")</x:f>
        <x:v>0.0015467897680957474</x:v>
      </x:c>
      <x:c r="H820" s="7" t="n">
        <x:f>IF(ISNUMBER(B820),B820^2,"")</x:f>
        <x:v>0.000002392558586685696</x:v>
      </x:c>
      <x:c r="I820" s="7" t="n">
        <x:f>IF(AND(ISNUMBER(G820),'요약'!$B$19),G820-'요약'!$B$14,"")</x:f>
        <x:v>-0.006466726859307108</x:v>
      </x:c>
      <x:c r="J820" s="7" t="n">
        <x:f>IF(AND(ISNUMBER(H820),'요약'!$B$19),H820-'요약'!$B$15,"")</x:f>
        <x:v>-0.00009981714059940641</x:v>
      </x:c>
      <x:c r="K820" t="n">
        <x:f>IF(ISNUMBER(B820),IF('Hill'!$B$4=1,IF(B820&lt;0,-B820,""),IF('Hill'!$B$4=2,IF(B820&gt;0,B820,""),IF('Hill'!$B$4=3,IF(B820&lt;&gt;0,ABS(B820),""),""))),"")</x:f>
        <x:v>0.0015467897680957474</x:v>
      </x:c>
    </x:row>
    <x:row r="821">
      <x:c r="A821" t="n">
        <x:f>820</x:f>
        <x:v>820</x:v>
      </x:c>
      <x:c r="B821" s="7" t="n">
        <x:f>IF('요약'!$B$4=4,IF(ISNUMBER('input'!A821),'input'!A821,""),IF(820&lt;=1000,CHOOSE('요약'!$B$4,'input'!B821,'input'!C821,'input'!D821),""))</x:f>
        <x:v>-0.0011583654511348493</x:v>
      </x:c>
      <x:c r="C821" s="7" t="n">
        <x:f>IF(AND(ISNUMBER(B821),'요약'!$B$19),B821-'요약'!$B$7,"")</x:f>
        <x:v>-0.0011101261240853478</x:v>
      </x:c>
      <x:c r="D821" s="7" t="n">
        <x:f>IF(ISNUMBER(C821),C821^2,"")</x:f>
        <x:v>0.000001232380011376757</x:v>
      </x:c>
      <x:c r="E821" s="15" t="n">
        <x:f>IF(ISNUMBER(C821),C821^3,"")</x:f>
        <x:v>-1.3680972454299361e-9</x:v>
      </x:c>
      <x:c r="F821" s="15" t="n">
        <x:f>IF(ISNUMBER(C821),C821^4,"")</x:f>
        <x:v>1.5187604924409757e-12</x:v>
      </x:c>
      <x:c r="G821" s="7" t="n">
        <x:f>IF(ISNUMBER(B821),ABS(B821),"")</x:f>
        <x:v>0.0011583654511348493</x:v>
      </x:c>
      <x:c r="H821" s="7" t="n">
        <x:f>IF(ISNUMBER(B821),B821^2,"")</x:f>
        <x:v>0.0000013418105183828428</x:v>
      </x:c>
      <x:c r="I821" s="7" t="n">
        <x:f>IF(AND(ISNUMBER(G821),'요약'!$B$19),G821-'요약'!$B$14,"")</x:f>
        <x:v>-0.006855151176268006</x:v>
      </x:c>
      <x:c r="J821" s="7" t="n">
        <x:f>IF(AND(ISNUMBER(H821),'요약'!$B$19),H821-'요약'!$B$15,"")</x:f>
        <x:v>-0.00010086788866770927</x:v>
      </x:c>
      <x:c r="K821" t="n">
        <x:f>IF(ISNUMBER(B821),IF('Hill'!$B$4=1,IF(B821&lt;0,-B821,""),IF('Hill'!$B$4=2,IF(B821&gt;0,B821,""),IF('Hill'!$B$4=3,IF(B821&lt;&gt;0,ABS(B821),""),""))),"")</x:f>
        <x:v>0.0011583654511348493</x:v>
      </x:c>
    </x:row>
    <x:row r="822">
      <x:c r="A822" t="n">
        <x:f>821</x:f>
        <x:v>821</x:v>
      </x:c>
      <x:c r="B822" s="7" t="n">
        <x:f>IF('요약'!$B$4=4,IF(ISNUMBER('input'!A822),'input'!A822,""),IF(821&lt;=1000,CHOOSE('요약'!$B$4,'input'!B822,'input'!C822,'input'!D822),""))</x:f>
        <x:v>0.00417088347742785</x:v>
      </x:c>
      <x:c r="C822" s="7" t="n">
        <x:f>IF(AND(ISNUMBER(B822),'요약'!$B$19),B822-'요약'!$B$7,"")</x:f>
        <x:v>0.0042191228044773516</x:v>
      </x:c>
      <x:c r="D822" s="7" t="n">
        <x:f>IF(ISNUMBER(C822),C822^2,"")</x:f>
        <x:v>0.00001780099723926083</x:v>
      </x:c>
      <x:c r="E822" s="15" t="n">
        <x:f>IF(ISNUMBER(C822),C822^3,"")</x:f>
        <x:v>7.510459339460376e-8</x:v>
      </x:c>
      <x:c r="F822" s="15" t="n">
        <x:f>IF(ISNUMBER(C822),C822^4,"")</x:f>
        <x:v>3.1687550271217174e-10</x:v>
      </x:c>
      <x:c r="G822" s="7" t="n">
        <x:f>IF(ISNUMBER(B822),ABS(B822),"")</x:f>
        <x:v>0.00417088347742785</x:v>
      </x:c>
      <x:c r="H822" s="7" t="n">
        <x:f>IF(ISNUMBER(B822),B822^2,"")</x:f>
        <x:v>0.000017396268982280637</x:v>
      </x:c>
      <x:c r="I822" s="7" t="n">
        <x:f>IF(AND(ISNUMBER(G822),'요약'!$B$19),G822-'요약'!$B$14,"")</x:f>
        <x:v>-0.0038426331499750053</x:v>
      </x:c>
      <x:c r="J822" s="7" t="n">
        <x:f>IF(AND(ISNUMBER(H822),'요약'!$B$19),H822-'요약'!$B$15,"")</x:f>
        <x:v>-0.00008481343020381147</x:v>
      </x:c>
      <x:c r="K822" t="str">
        <x:f>IF(ISNUMBER(B822),IF('Hill'!$B$4=1,IF(B822&lt;0,-B822,""),IF('Hill'!$B$4=2,IF(B822&gt;0,B822,""),IF('Hill'!$B$4=3,IF(B822&lt;&gt;0,ABS(B822),""),""))),"")</x:f>
      </x:c>
    </x:row>
    <x:row r="823">
      <x:c r="A823" t="n">
        <x:f>822</x:f>
        <x:v>822</x:v>
      </x:c>
      <x:c r="B823" s="7" t="n">
        <x:f>IF('요약'!$B$4=4,IF(ISNUMBER('input'!A823),'input'!A823,""),IF(822&lt;=1000,CHOOSE('요약'!$B$4,'input'!B823,'input'!C823,'input'!D823),""))</x:f>
        <x:v>-0.0027836475460032346</x:v>
      </x:c>
      <x:c r="C823" s="7" t="n">
        <x:f>IF(AND(ISNUMBER(B823),'요약'!$B$19),B823-'요약'!$B$7,"")</x:f>
        <x:v>-0.002735408218953733</x:v>
      </x:c>
      <x:c r="D823" s="7" t="n">
        <x:f>IF(ISNUMBER(C823),C823^2,"")</x:f>
        <x:v>0.000007482458124319635</x:v>
      </x:c>
      <x:c r="E823" s="15" t="n">
        <x:f>IF(ISNUMBER(C823),C823^3,"")</x:f>
        <x:v>-2.0467577451241062e-8</x:v>
      </x:c>
      <x:c r="F823" s="15" t="n">
        <x:f>IF(ISNUMBER(C823),C823^4,"")</x:f>
        <x:v>5.59871795821969e-11</x:v>
      </x:c>
      <x:c r="G823" s="7" t="n">
        <x:f>IF(ISNUMBER(B823),ABS(B823),"")</x:f>
        <x:v>0.0027836475460032346</x:v>
      </x:c>
      <x:c r="H823" s="7" t="n">
        <x:f>IF(ISNUMBER(B823),B823^2,"")</x:f>
        <x:v>0.00000774869366036983</x:v>
      </x:c>
      <x:c r="I823" s="7" t="n">
        <x:f>IF(AND(ISNUMBER(G823),'요약'!$B$19),G823-'요약'!$B$14,"")</x:f>
        <x:v>-0.005229869081399621</x:v>
      </x:c>
      <x:c r="J823" s="7" t="n">
        <x:f>IF(AND(ISNUMBER(H823),'요약'!$B$19),H823-'요약'!$B$15,"")</x:f>
        <x:v>-0.00009446100552572227</x:v>
      </x:c>
      <x:c r="K823" t="n">
        <x:f>IF(ISNUMBER(B823),IF('Hill'!$B$4=1,IF(B823&lt;0,-B823,""),IF('Hill'!$B$4=2,IF(B823&gt;0,B823,""),IF('Hill'!$B$4=3,IF(B823&lt;&gt;0,ABS(B823),""),""))),"")</x:f>
        <x:v>0.0027836475460032346</x:v>
      </x:c>
    </x:row>
    <x:row r="824">
      <x:c r="A824" t="n">
        <x:f>823</x:f>
        <x:v>823</x:v>
      </x:c>
      <x:c r="B824" s="7" t="n">
        <x:f>IF('요약'!$B$4=4,IF(ISNUMBER('input'!A824),'input'!A824,""),IF(823&lt;=1000,CHOOSE('요약'!$B$4,'input'!B824,'input'!C824,'input'!D824),""))</x:f>
        <x:v>0.015508636711103514</x:v>
      </x:c>
      <x:c r="C824" s="7" t="n">
        <x:f>IF(AND(ISNUMBER(B824),'요약'!$B$19),B824-'요약'!$B$7,"")</x:f>
        <x:v>0.015556876038153014</x:v>
      </x:c>
      <x:c r="D824" s="7" t="n">
        <x:f>IF(ISNUMBER(C824),C824^2,"")</x:f>
        <x:v>0.00024201639206645944</x:v>
      </x:c>
      <x:c r="E824" s="15" t="n">
        <x:f>IF(ISNUMBER(C824),C824^3,"")</x:f>
        <x:v>0.000003765019010578948</x:v>
      </x:c>
      <x:c r="F824" s="15" t="n">
        <x:f>IF(ISNUMBER(C824),C824^4,"")</x:f>
        <x:v>5.857193402886621e-8</x:v>
      </x:c>
      <x:c r="G824" s="7" t="n">
        <x:f>IF(ISNUMBER(B824),ABS(B824),"")</x:f>
        <x:v>0.015508636711103514</x:v>
      </x:c>
      <x:c r="H824" s="7" t="n">
        <x:f>IF(ISNUMBER(B824),B824^2,"")</x:f>
        <x:v>0.0002405178126369876</x:v>
      </x:c>
      <x:c r="I824" s="7" t="n">
        <x:f>IF(AND(ISNUMBER(G824),'요약'!$B$19),G824-'요약'!$B$14,"")</x:f>
        <x:v>0.0074951200837006585</x:v>
      </x:c>
      <x:c r="J824" s="7" t="n">
        <x:f>IF(AND(ISNUMBER(H824),'요약'!$B$19),H824-'요약'!$B$15,"")</x:f>
        <x:v>0.0001383081134508955</x:v>
      </x:c>
      <x:c r="K824" t="str">
        <x:f>IF(ISNUMBER(B824),IF('Hill'!$B$4=1,IF(B824&lt;0,-B824,""),IF('Hill'!$B$4=2,IF(B824&gt;0,B824,""),IF('Hill'!$B$4=3,IF(B824&lt;&gt;0,ABS(B824),""),""))),"")</x:f>
      </x:c>
    </x:row>
    <x:row r="825">
      <x:c r="A825" t="n">
        <x:f>824</x:f>
        <x:v>824</x:v>
      </x:c>
      <x:c r="B825" s="7" t="n">
        <x:f>IF('요약'!$B$4=4,IF(ISNUMBER('input'!A825),'input'!A825,""),IF(824&lt;=1000,CHOOSE('요약'!$B$4,'input'!B825,'input'!C825,'input'!D825),""))</x:f>
        <x:v>-0.0025775213335819634</x:v>
      </x:c>
      <x:c r="C825" s="7" t="n">
        <x:f>IF(AND(ISNUMBER(B825),'요약'!$B$19),B825-'요약'!$B$7,"")</x:f>
        <x:v>-0.002529282006532462</x:v>
      </x:c>
      <x:c r="D825" s="7" t="n">
        <x:f>IF(ISNUMBER(C825),C825^2,"")</x:f>
        <x:v>0.0000063972674685688765</x:v>
      </x:c>
      <x:c r="E825" s="15" t="n">
        <x:f>IF(ISNUMBER(C825),C825^3,"")</x:f>
        <x:v>-1.6180493499226732e-8</x:v>
      </x:c>
      <x:c r="F825" s="15" t="n">
        <x:f>IF(ISNUMBER(C825),C825^4,"")</x:f>
        <x:v>4.092503106440965e-11</x:v>
      </x:c>
      <x:c r="G825" s="7" t="n">
        <x:f>IF(ISNUMBER(B825),ABS(B825),"")</x:f>
        <x:v>0.0025775213335819634</x:v>
      </x:c>
      <x:c r="H825" s="7" t="n">
        <x:f>IF(ISNUMBER(B825),B825^2,"")</x:f>
        <x:v>0.000006643616225070143</x:v>
      </x:c>
      <x:c r="I825" s="7" t="n">
        <x:f>IF(AND(ISNUMBER(G825),'요약'!$B$19),G825-'요약'!$B$14,"")</x:f>
        <x:v>-0.005435995293820892</x:v>
      </x:c>
      <x:c r="J825" s="7" t="n">
        <x:f>IF(AND(ISNUMBER(H825),'요약'!$B$19),H825-'요약'!$B$15,"")</x:f>
        <x:v>-0.00009556608296102196</x:v>
      </x:c>
      <x:c r="K825" t="n">
        <x:f>IF(ISNUMBER(B825),IF('Hill'!$B$4=1,IF(B825&lt;0,-B825,""),IF('Hill'!$B$4=2,IF(B825&gt;0,B825,""),IF('Hill'!$B$4=3,IF(B825&lt;&gt;0,ABS(B825),""),""))),"")</x:f>
        <x:v>0.0025775213335819634</x:v>
      </x:c>
    </x:row>
    <x:row r="826">
      <x:c r="A826" t="n">
        <x:f>825</x:f>
        <x:v>825</x:v>
      </x:c>
      <x:c r="B826" s="7" t="n">
        <x:f>IF('요약'!$B$4=4,IF(ISNUMBER('input'!A826),'input'!A826,""),IF(825&lt;=1000,CHOOSE('요약'!$B$4,'input'!B826,'input'!C826,'input'!D826),""))</x:f>
        <x:v>-0.0068454659014370745</x:v>
      </x:c>
      <x:c r="C826" s="7" t="n">
        <x:f>IF(AND(ISNUMBER(B826),'요약'!$B$19),B826-'요약'!$B$7,"")</x:f>
        <x:v>-0.006797226574387573</x:v>
      </x:c>
      <x:c r="D826" s="7" t="n">
        <x:f>IF(ISNUMBER(C826),C826^2,"")</x:f>
        <x:v>0.00004620228910356062</x:v>
      </x:c>
      <x:c r="E826" s="15" t="n">
        <x:f>IF(ISNUMBER(C826),C826^3,"")</x:f>
        <x:v>-3.1404742729225963e-7</x:v>
      </x:c>
      <x:c r="F826" s="15" t="n">
        <x:f>IF(ISNUMBER(C826),C826^4,"")</x:f>
        <x:v>2.1346515184089967e-9</x:v>
      </x:c>
      <x:c r="G826" s="7" t="n">
        <x:f>IF(ISNUMBER(B826),ABS(B826),"")</x:f>
        <x:v>0.0068454659014370745</x:v>
      </x:c>
      <x:c r="H826" s="7" t="n">
        <x:f>IF(ISNUMBER(B826),B826^2,"")</x:f>
        <x:v>0.0000468604034077377</x:v>
      </x:c>
      <x:c r="I826" s="7" t="n">
        <x:f>IF(AND(ISNUMBER(G826),'요약'!$B$19),G826-'요약'!$B$14,"")</x:f>
        <x:v>-0.0011680507259657809</x:v>
      </x:c>
      <x:c r="J826" s="7" t="n">
        <x:f>IF(AND(ISNUMBER(H826),'요약'!$B$19),H826-'요약'!$B$15,"")</x:f>
        <x:v>-0.000055349295778354406</x:v>
      </x:c>
      <x:c r="K826" t="n">
        <x:f>IF(ISNUMBER(B826),IF('Hill'!$B$4=1,IF(B826&lt;0,-B826,""),IF('Hill'!$B$4=2,IF(B826&gt;0,B826,""),IF('Hill'!$B$4=3,IF(B826&lt;&gt;0,ABS(B826),""),""))),"")</x:f>
        <x:v>0.0068454659014370745</x:v>
      </x:c>
    </x:row>
    <x:row r="827">
      <x:c r="A827" t="n">
        <x:f>826</x:f>
        <x:v>826</x:v>
      </x:c>
      <x:c r="B827" s="7" t="n">
        <x:f>IF('요약'!$B$4=4,IF(ISNUMBER('input'!A827),'input'!A827,""),IF(826&lt;=1000,CHOOSE('요약'!$B$4,'input'!B827,'input'!C827,'input'!D827),""))</x:f>
        <x:v>-0.0028446887006135634</x:v>
      </x:c>
      <x:c r="C827" s="7" t="n">
        <x:f>IF(AND(ISNUMBER(B827),'요약'!$B$19),B827-'요약'!$B$7,"")</x:f>
        <x:v>-0.002796449373564062</x:v>
      </x:c>
      <x:c r="D827" s="7" t="n">
        <x:f>IF(ISNUMBER(C827),C827^2,"")</x:f>
        <x:v>0.000007820129098906835</x:v>
      </x:c>
      <x:c r="E827" s="15" t="n">
        <x:f>IF(ISNUMBER(C827),C827^3,"")</x:f>
        <x:v>-2.186859511982811e-8</x:v>
      </x:c>
      <x:c r="F827" s="15" t="n">
        <x:f>IF(ISNUMBER(C827),C827^4,"")</x:f>
        <x:v>6.115441912356942e-11</x:v>
      </x:c>
      <x:c r="G827" s="7" t="n">
        <x:f>IF(ISNUMBER(B827),ABS(B827),"")</x:f>
        <x:v>0.0028446887006135634</x:v>
      </x:c>
      <x:c r="H827" s="7" t="n">
        <x:f>IF(ISNUMBER(B827),B827^2,"")</x:f>
        <x:v>0.000008092253803398484</x:v>
      </x:c>
      <x:c r="I827" s="7" t="n">
        <x:f>IF(AND(ISNUMBER(G827),'요약'!$B$19),G827-'요약'!$B$14,"")</x:f>
        <x:v>-0.005168827926789292</x:v>
      </x:c>
      <x:c r="J827" s="7" t="n">
        <x:f>IF(AND(ISNUMBER(H827),'요약'!$B$19),H827-'요약'!$B$15,"")</x:f>
        <x:v>-0.00009411744538269362</x:v>
      </x:c>
      <x:c r="K827" t="n">
        <x:f>IF(ISNUMBER(B827),IF('Hill'!$B$4=1,IF(B827&lt;0,-B827,""),IF('Hill'!$B$4=2,IF(B827&gt;0,B827,""),IF('Hill'!$B$4=3,IF(B827&lt;&gt;0,ABS(B827),""),""))),"")</x:f>
        <x:v>0.0028446887006135634</x:v>
      </x:c>
    </x:row>
    <x:row r="828">
      <x:c r="A828" t="n">
        <x:f>827</x:f>
        <x:v>827</x:v>
      </x:c>
      <x:c r="B828" s="7" t="n">
        <x:f>IF('요약'!$B$4=4,IF(ISNUMBER('input'!A828),'input'!A828,""),IF(827&lt;=1000,CHOOSE('요약'!$B$4,'input'!B828,'input'!C828,'input'!D828),""))</x:f>
        <x:v>0.010443084416756199</x:v>
      </x:c>
      <x:c r="C828" s="7" t="n">
        <x:f>IF(AND(ISNUMBER(B828),'요약'!$B$19),B828-'요약'!$B$7,"")</x:f>
        <x:v>0.0104913237438057</x:v>
      </x:c>
      <x:c r="D828" s="7" t="n">
        <x:f>IF(ISNUMBER(C828),C828^2,"")</x:f>
        <x:v>0.00011006787389734124</x:v>
      </x:c>
      <x:c r="E828" s="15" t="n">
        <x:f>IF(ISNUMBER(C828),C828^3,"")</x:f>
        <x:v>0.0000011547576988493877</x:v>
      </x:c>
      <x:c r="F828" s="15" t="n">
        <x:f>IF(ISNUMBER(C828),C828^4,"")</x:f>
        <x:v>1.2114936864281014e-8</x:v>
      </x:c>
      <x:c r="G828" s="7" t="n">
        <x:f>IF(ISNUMBER(B828),ABS(B828),"")</x:f>
        <x:v>0.010443084416756199</x:v>
      </x:c>
      <x:c r="H828" s="7" t="n">
        <x:f>IF(ISNUMBER(B828),B828^2,"")</x:f>
        <x:v>0.00010905801213549617</x:v>
      </x:c>
      <x:c r="I828" s="7" t="n">
        <x:f>IF(AND(ISNUMBER(G828),'요약'!$B$19),G828-'요약'!$B$14,"")</x:f>
        <x:v>0.0024295677893533436</x:v>
      </x:c>
      <x:c r="J828" s="7" t="n">
        <x:f>IF(AND(ISNUMBER(H828),'요약'!$B$19),H828-'요약'!$B$15,"")</x:f>
        <x:v>0.000006848312949404061</x:v>
      </x:c>
      <x:c r="K828" t="str">
        <x:f>IF(ISNUMBER(B828),IF('Hill'!$B$4=1,IF(B828&lt;0,-B828,""),IF('Hill'!$B$4=2,IF(B828&gt;0,B828,""),IF('Hill'!$B$4=3,IF(B828&lt;&gt;0,ABS(B828),""),""))),"")</x:f>
      </x:c>
    </x:row>
    <x:row r="829">
      <x:c r="A829" t="n">
        <x:f>828</x:f>
        <x:v>828</x:v>
      </x:c>
      <x:c r="B829" s="7" t="n">
        <x:f>IF('요약'!$B$4=4,IF(ISNUMBER('input'!A829),'input'!A829,""),IF(828&lt;=1000,CHOOSE('요약'!$B$4,'input'!B829,'input'!C829,'input'!D829),""))</x:f>
        <x:v>0.0005806713014454478</x:v>
      </x:c>
      <x:c r="C829" s="7" t="n">
        <x:f>IF(AND(ISNUMBER(B829),'요약'!$B$19),B829-'요약'!$B$7,"")</x:f>
        <x:v>0.0006289106284949491</x:v>
      </x:c>
      <x:c r="D829" s="7" t="n">
        <x:f>IF(ISNUMBER(C829),C829^2,"")</x:f>
        <x:v>3.955285786339119e-7</x:v>
      </x:c>
      <x:c r="E829" s="15" t="n">
        <x:f>IF(ISNUMBER(C829),C829^3,"")</x:f>
        <x:v>2.4875212697636744e-10</x:v>
      </x:c>
      <x:c r="F829" s="15" t="n">
        <x:f>IF(ISNUMBER(C829),C829^4,"")</x:f>
        <x:v>1.5644285651616262e-13</x:v>
      </x:c>
      <x:c r="G829" s="7" t="n">
        <x:f>IF(ISNUMBER(B829),ABS(B829),"")</x:f>
        <x:v>0.0005806713014454478</x:v>
      </x:c>
      <x:c r="H829" s="7" t="n">
        <x:f>IF(ISNUMBER(B829),B829^2,"")</x:f>
        <x:v>3.3717916032235006e-7</x:v>
      </x:c>
      <x:c r="I829" s="7" t="n">
        <x:f>IF(AND(ISNUMBER(G829),'요약'!$B$19),G829-'요약'!$B$14,"")</x:f>
        <x:v>-0.007432845325957407</x:v>
      </x:c>
      <x:c r="J829" s="7" t="n">
        <x:f>IF(AND(ISNUMBER(H829),'요약'!$B$19),H829-'요약'!$B$15,"")</x:f>
        <x:v>-0.00010187252002576975</x:v>
      </x:c>
      <x:c r="K829" t="str">
        <x:f>IF(ISNUMBER(B829),IF('Hill'!$B$4=1,IF(B829&lt;0,-B829,""),IF('Hill'!$B$4=2,IF(B829&gt;0,B829,""),IF('Hill'!$B$4=3,IF(B829&lt;&gt;0,ABS(B829),""),""))),"")</x:f>
      </x:c>
    </x:row>
    <x:row r="830">
      <x:c r="A830" t="n">
        <x:f>829</x:f>
        <x:v>829</x:v>
      </x:c>
      <x:c r="B830" s="7" t="n">
        <x:f>IF('요약'!$B$4=4,IF(ISNUMBER('input'!A830),'input'!A830,""),IF(829&lt;=1000,CHOOSE('요약'!$B$4,'input'!B830,'input'!C830,'input'!D830),""))</x:f>
        <x:v>-0.003331363329018371</x:v>
      </x:c>
      <x:c r="C830" s="7" t="n">
        <x:f>IF(AND(ISNUMBER(B830),'요약'!$B$19),B830-'요약'!$B$7,"")</x:f>
        <x:v>-0.0032831240019688696</x:v>
      </x:c>
      <x:c r="D830" s="7" t="n">
        <x:f>IF(ISNUMBER(C830),C830^2,"")</x:f>
        <x:v>0.000010778903212304086</x:v>
      </x:c>
      <x:c r="E830" s="15" t="n">
        <x:f>IF(ISNUMBER(C830),C830^3,"")</x:f>
        <x:v>-3.5388475851214896e-8</x:v>
      </x:c>
      <x:c r="F830" s="15" t="n">
        <x:f>IF(ISNUMBER(C830),C830^4,"")</x:f>
        <x:v>1.1618475446021935e-10</x:v>
      </x:c>
      <x:c r="G830" s="7" t="n">
        <x:f>IF(ISNUMBER(B830),ABS(B830),"")</x:f>
        <x:v>0.003331363329018371</x:v>
      </x:c>
      <x:c r="H830" s="7" t="n">
        <x:f>IF(ISNUMBER(B830),B830^2,"")</x:f>
        <x:v>0.000011097981629928363</x:v>
      </x:c>
      <x:c r="I830" s="7" t="n">
        <x:f>IF(AND(ISNUMBER(G830),'요약'!$B$19),G830-'요약'!$B$14,"")</x:f>
        <x:v>-0.004682153298384484</x:v>
      </x:c>
      <x:c r="J830" s="7" t="n">
        <x:f>IF(AND(ISNUMBER(H830),'요약'!$B$19),H830-'요약'!$B$15,"")</x:f>
        <x:v>-0.00009111171755616374</x:v>
      </x:c>
      <x:c r="K830" t="n">
        <x:f>IF(ISNUMBER(B830),IF('Hill'!$B$4=1,IF(B830&lt;0,-B830,""),IF('Hill'!$B$4=2,IF(B830&gt;0,B830,""),IF('Hill'!$B$4=3,IF(B830&lt;&gt;0,ABS(B830),""),""))),"")</x:f>
        <x:v>0.003331363329018371</x:v>
      </x:c>
    </x:row>
    <x:row r="831">
      <x:c r="A831" t="n">
        <x:f>830</x:f>
        <x:v>830</x:v>
      </x:c>
      <x:c r="B831" s="7" t="n">
        <x:f>IF('요약'!$B$4=4,IF(ISNUMBER('input'!A831),'input'!A831,""),IF(830&lt;=1000,CHOOSE('요약'!$B$4,'input'!B831,'input'!C831,'input'!D831),""))</x:f>
        <x:v>0.010883277043929962</x:v>
      </x:c>
      <x:c r="C831" s="7" t="n">
        <x:f>IF(AND(ISNUMBER(B831),'요약'!$B$19),B831-'요약'!$B$7,"")</x:f>
        <x:v>0.010931516370979463</x:v>
      </x:c>
      <x:c r="D831" s="7" t="n">
        <x:f>IF(ISNUMBER(C831),C831^2,"")</x:f>
        <x:v>0.00011949805016899201</x:v>
      </x:c>
      <x:c r="E831" s="15" t="n">
        <x:f>IF(ISNUMBER(C831),C831^3,"")</x:f>
        <x:v>0.0000013062948917224614</x:v>
      </x:c>
      <x:c r="F831" s="15" t="n">
        <x:f>IF(ISNUMBER(C831),C831^4,"")</x:f>
        <x:v>1.427978399419093e-8</x:v>
      </x:c>
      <x:c r="G831" s="7" t="n">
        <x:f>IF(ISNUMBER(B831),ABS(B831),"")</x:f>
        <x:v>0.010883277043929962</x:v>
      </x:c>
      <x:c r="H831" s="7" t="n">
        <x:f>IF(ISNUMBER(B831),B831^2,"")</x:f>
        <x:v>0.0001184457192149329</x:v>
      </x:c>
      <x:c r="I831" s="7" t="n">
        <x:f>IF(AND(ISNUMBER(G831),'요약'!$B$19),G831-'요약'!$B$14,"")</x:f>
        <x:v>0.002869760416527107</x:v>
      </x:c>
      <x:c r="J831" s="7" t="n">
        <x:f>IF(AND(ISNUMBER(H831),'요약'!$B$19),H831-'요약'!$B$15,"")</x:f>
        <x:v>0.000016236020028840794</x:v>
      </x:c>
      <x:c r="K831" t="str">
        <x:f>IF(ISNUMBER(B831),IF('Hill'!$B$4=1,IF(B831&lt;0,-B831,""),IF('Hill'!$B$4=2,IF(B831&gt;0,B831,""),IF('Hill'!$B$4=3,IF(B831&lt;&gt;0,ABS(B831),""),""))),"")</x:f>
      </x:c>
    </x:row>
    <x:row r="832">
      <x:c r="A832" t="n">
        <x:f>831</x:f>
        <x:v>831</x:v>
      </x:c>
      <x:c r="B832" s="7" t="n">
        <x:f>IF('요약'!$B$4=4,IF(ISNUMBER('input'!A832),'input'!A832,""),IF(831&lt;=1000,CHOOSE('요약'!$B$4,'input'!B832,'input'!C832,'input'!D832),""))</x:f>
        <x:v>0.0037265233178225728</x:v>
      </x:c>
      <x:c r="C832" s="7" t="n">
        <x:f>IF(AND(ISNUMBER(B832),'요약'!$B$19),B832-'요약'!$B$7,"")</x:f>
        <x:v>0.0037747626448720742</x:v>
      </x:c>
      <x:c r="D832" s="7" t="n">
        <x:f>IF(ISNUMBER(C832),C832^2,"")</x:f>
        <x:v>0.000014248833025121617</x:v>
      </x:c>
      <x:c r="E832" s="15" t="n">
        <x:f>IF(ISNUMBER(C832),C832^3,"")</x:f>
        <x:v>5.3785962636248637e-8</x:v>
      </x:c>
      <x:c r="F832" s="15" t="n">
        <x:f>IF(ISNUMBER(C832),C832^4,"")</x:f>
        <x:v>2.0302924257779645e-10</x:v>
      </x:c>
      <x:c r="G832" s="7" t="n">
        <x:f>IF(ISNUMBER(B832),ABS(B832),"")</x:f>
        <x:v>0.0037265233178225728</x:v>
      </x:c>
      <x:c r="H832" s="7" t="n">
        <x:f>IF(ISNUMBER(B832),B832^2,"")</x:f>
        <x:v>0.000013886976038275356</x:v>
      </x:c>
      <x:c r="I832" s="7" t="n">
        <x:f>IF(AND(ISNUMBER(G832),'요약'!$B$19),G832-'요약'!$B$14,"")</x:f>
        <x:v>-0.004286993309580283</x:v>
      </x:c>
      <x:c r="J832" s="7" t="n">
        <x:f>IF(AND(ISNUMBER(H832),'요약'!$B$19),H832-'요약'!$B$15,"")</x:f>
        <x:v>-0.00008832272314781675</x:v>
      </x:c>
      <x:c r="K832" t="str">
        <x:f>IF(ISNUMBER(B832),IF('Hill'!$B$4=1,IF(B832&lt;0,-B832,""),IF('Hill'!$B$4=2,IF(B832&gt;0,B832,""),IF('Hill'!$B$4=3,IF(B832&lt;&gt;0,ABS(B832),""),""))),"")</x:f>
      </x:c>
    </x:row>
    <x:row r="833">
      <x:c r="A833" t="n">
        <x:f>832</x:f>
        <x:v>832</x:v>
      </x:c>
      <x:c r="B833" s="7" t="n">
        <x:f>IF('요약'!$B$4=4,IF(ISNUMBER('input'!A833),'input'!A833,""),IF(832&lt;=1000,CHOOSE('요약'!$B$4,'input'!B833,'input'!C833,'input'!D833),""))</x:f>
        <x:v>-0.013953404880829254</x:v>
      </x:c>
      <x:c r="C833" s="7" t="n">
        <x:f>IF(AND(ISNUMBER(B833),'요약'!$B$19),B833-'요약'!$B$7,"")</x:f>
        <x:v>-0.013905165553779754</x:v>
      </x:c>
      <x:c r="D833" s="7" t="n">
        <x:f>IF(ISNUMBER(C833),C833^2,"")</x:f>
        <x:v>0.000193353629078023</x:v>
      </x:c>
      <x:c r="E833" s="15" t="n">
        <x:f>IF(ISNUMBER(C833),C833^3,"")</x:f>
        <x:v>-0.0000026886142227540326</x:v>
      </x:c>
      <x:c r="F833" s="15" t="n">
        <x:f>IF(ISNUMBER(C833),C833^4,"")</x:f>
        <x:v>3.73856258776417e-8</x:v>
      </x:c>
      <x:c r="G833" s="7" t="n">
        <x:f>IF(ISNUMBER(B833),ABS(B833),"")</x:f>
        <x:v>0.013953404880829254</x:v>
      </x:c>
      <x:c r="H833" s="7" t="n">
        <x:f>IF(ISNUMBER(B833),B833^2,"")</x:f>
        <x:v>0.00019469750776834966</x:v>
      </x:c>
      <x:c r="I833" s="7" t="n">
        <x:f>IF(AND(ISNUMBER(G833),'요약'!$B$19),G833-'요약'!$B$14,"")</x:f>
        <x:v>0.005939888253426399</x:v>
      </x:c>
      <x:c r="J833" s="7" t="n">
        <x:f>IF(AND(ISNUMBER(H833),'요약'!$B$19),H833-'요약'!$B$15,"")</x:f>
        <x:v>0.00009248780858225756</x:v>
      </x:c>
      <x:c r="K833" t="n">
        <x:f>IF(ISNUMBER(B833),IF('Hill'!$B$4=1,IF(B833&lt;0,-B833,""),IF('Hill'!$B$4=2,IF(B833&gt;0,B833,""),IF('Hill'!$B$4=3,IF(B833&lt;&gt;0,ABS(B833),""),""))),"")</x:f>
        <x:v>0.013953404880829254</x:v>
      </x:c>
    </x:row>
    <x:row r="834">
      <x:c r="A834" t="n">
        <x:f>833</x:f>
        <x:v>833</x:v>
      </x:c>
      <x:c r="B834" s="7" t="n">
        <x:f>IF('요약'!$B$4=4,IF(ISNUMBER('input'!A834),'input'!A834,""),IF(833&lt;=1000,CHOOSE('요약'!$B$4,'input'!B834,'input'!C834,'input'!D834),""))</x:f>
        <x:v>0.017746243099492413</x:v>
      </x:c>
      <x:c r="C834" s="7" t="n">
        <x:f>IF(AND(ISNUMBER(B834),'요약'!$B$19),B834-'요약'!$B$7,"")</x:f>
        <x:v>0.017794482426541913</x:v>
      </x:c>
      <x:c r="D834" s="7" t="n">
        <x:f>IF(ISNUMBER(C834),C834^2,"")</x:f>
        <x:v>0.00031664360482850897</x:v>
      </x:c>
      <x:c r="E834" s="15" t="n">
        <x:f>IF(ISNUMBER(C834),C834^3,"")</x:f>
        <x:v>0.000005634509061597785</x:v>
      </x:c>
      <x:c r="F834" s="15" t="n">
        <x:f>IF(ISNUMBER(C834),C834^4,"")</x:f>
        <x:v>1.0026317247879295e-7</x:v>
      </x:c>
      <x:c r="G834" s="7" t="n">
        <x:f>IF(ISNUMBER(B834),ABS(B834),"")</x:f>
        <x:v>0.017746243099492413</x:v>
      </x:c>
      <x:c r="H834" s="7" t="n">
        <x:f>IF(ISNUMBER(B834),B834^2,"")</x:f>
        <x:v>0.0003149291441462821</x:v>
      </x:c>
      <x:c r="I834" s="7" t="n">
        <x:f>IF(AND(ISNUMBER(G834),'요약'!$B$19),G834-'요약'!$B$14,"")</x:f>
        <x:v>0.009732726472089557</x:v>
      </x:c>
      <x:c r="J834" s="7" t="n">
        <x:f>IF(AND(ISNUMBER(H834),'요약'!$B$19),H834-'요약'!$B$15,"")</x:f>
        <x:v>0.00021271944496018997</x:v>
      </x:c>
      <x:c r="K834" t="str">
        <x:f>IF(ISNUMBER(B834),IF('Hill'!$B$4=1,IF(B834&lt;0,-B834,""),IF('Hill'!$B$4=2,IF(B834&gt;0,B834,""),IF('Hill'!$B$4=3,IF(B834&lt;&gt;0,ABS(B834),""),""))),"")</x:f>
      </x:c>
    </x:row>
    <x:row r="835">
      <x:c r="A835" t="n">
        <x:f>834</x:f>
        <x:v>834</x:v>
      </x:c>
      <x:c r="B835" s="7" t="n">
        <x:f>IF('요약'!$B$4=4,IF(ISNUMBER('input'!A835),'input'!A835,""),IF(834&lt;=1000,CHOOSE('요약'!$B$4,'input'!B835,'input'!C835,'input'!D835),""))</x:f>
        <x:v>0.020867322128812104</x:v>
      </x:c>
      <x:c r="C835" s="7" t="n">
        <x:f>IF(AND(ISNUMBER(B835),'요약'!$B$19),B835-'요약'!$B$7,"")</x:f>
        <x:v>0.020915561455861605</x:v>
      </x:c>
      <x:c r="D835" s="7" t="n">
        <x:f>IF(ISNUMBER(C835),C835^2,"")</x:f>
        <x:v>0.0004374607110139236</x:v>
      </x:c>
      <x:c r="E835" s="15" t="n">
        <x:f>IF(ISNUMBER(C835),C835^3,"")</x:f>
        <x:v>0.000009149736385736632</x:v>
      </x:c>
      <x:c r="F835" s="15" t="n">
        <x:f>IF(ISNUMBER(C835),C835^4,"")</x:f>
        <x:v>1.913718736808076e-7</x:v>
      </x:c>
      <x:c r="G835" s="7" t="n">
        <x:f>IF(ISNUMBER(B835),ABS(B835),"")</x:f>
        <x:v>0.020867322128812104</x:v>
      </x:c>
      <x:c r="H835" s="7" t="n">
        <x:f>IF(ISNUMBER(B835),B835^2,"")</x:f>
        <x:v>0.00043544513282761134</x:v>
      </x:c>
      <x:c r="I835" s="7" t="n">
        <x:f>IF(AND(ISNUMBER(G835),'요약'!$B$19),G835-'요약'!$B$14,"")</x:f>
        <x:v>0.012853805501409249</x:v>
      </x:c>
      <x:c r="J835" s="7" t="n">
        <x:f>IF(AND(ISNUMBER(H835),'요약'!$B$19),H835-'요약'!$B$15,"")</x:f>
        <x:v>0.00033323543364151926</x:v>
      </x:c>
      <x:c r="K835" t="str">
        <x:f>IF(ISNUMBER(B835),IF('Hill'!$B$4=1,IF(B835&lt;0,-B835,""),IF('Hill'!$B$4=2,IF(B835&gt;0,B835,""),IF('Hill'!$B$4=3,IF(B835&lt;&gt;0,ABS(B835),""),""))),"")</x:f>
      </x:c>
    </x:row>
    <x:row r="836">
      <x:c r="A836" t="n">
        <x:f>835</x:f>
        <x:v>835</x:v>
      </x:c>
      <x:c r="B836" s="7" t="n">
        <x:f>IF('요약'!$B$4=4,IF(ISNUMBER('input'!A836),'input'!A836,""),IF(835&lt;=1000,CHOOSE('요약'!$B$4,'input'!B836,'input'!C836,'input'!D836),""))</x:f>
        <x:v>-0.0038117715128138854</x:v>
      </x:c>
      <x:c r="C836" s="7" t="n">
        <x:f>IF(AND(ISNUMBER(B836),'요약'!$B$19),B836-'요약'!$B$7,"")</x:f>
        <x:v>-0.003763532185764384</x:v>
      </x:c>
      <x:c r="D836" s="7" t="n">
        <x:f>IF(ISNUMBER(C836),C836^2,"")</x:f>
        <x:v>0.00001416417451328444</x:v>
      </x:c>
      <x:c r="E836" s="15" t="n">
        <x:f>IF(ISNUMBER(C836),C836^3,"")</x:f>
        <x:v>-5.330732666552957e-8</x:v>
      </x:c>
      <x:c r="F836" s="15" t="n">
        <x:f>IF(ISNUMBER(C836),C836^4,"")</x:f>
        <x:v>2.0062383964277654e-10</x:v>
      </x:c>
      <x:c r="G836" s="7" t="n">
        <x:f>IF(ISNUMBER(B836),ABS(B836),"")</x:f>
        <x:v>0.0038117715128138854</x:v>
      </x:c>
      <x:c r="H836" s="7" t="n">
        <x:f>IF(ISNUMBER(B836),B836^2,"")</x:f>
        <x:v>0.000014529602065899456</x:v>
      </x:c>
      <x:c r="I836" s="7" t="n">
        <x:f>IF(AND(ISNUMBER(G836),'요약'!$B$19),G836-'요약'!$B$14,"")</x:f>
        <x:v>-0.00420174511458897</x:v>
      </x:c>
      <x:c r="J836" s="7" t="n">
        <x:f>IF(AND(ISNUMBER(H836),'요약'!$B$19),H836-'요약'!$B$15,"")</x:f>
        <x:v>-0.00008768009712019265</x:v>
      </x:c>
      <x:c r="K836" t="n">
        <x:f>IF(ISNUMBER(B836),IF('Hill'!$B$4=1,IF(B836&lt;0,-B836,""),IF('Hill'!$B$4=2,IF(B836&gt;0,B836,""),IF('Hill'!$B$4=3,IF(B836&lt;&gt;0,ABS(B836),""),""))),"")</x:f>
        <x:v>0.0038117715128138854</x:v>
      </x:c>
    </x:row>
    <x:row r="837">
      <x:c r="A837" t="n">
        <x:f>836</x:f>
        <x:v>836</x:v>
      </x:c>
      <x:c r="B837" s="7" t="n">
        <x:f>IF('요약'!$B$4=4,IF(ISNUMBER('input'!A837),'input'!A837,""),IF(836&lt;=1000,CHOOSE('요약'!$B$4,'input'!B837,'input'!C837,'input'!D837),""))</x:f>
        <x:v>0.004040396508908695</x:v>
      </x:c>
      <x:c r="C837" s="7" t="n">
        <x:f>IF(AND(ISNUMBER(B837),'요약'!$B$19),B837-'요약'!$B$7,"")</x:f>
        <x:v>0.004088635835958196</x:v>
      </x:c>
      <x:c r="D837" s="7" t="n">
        <x:f>IF(ISNUMBER(C837),C837^2,"")</x:f>
        <x:v>0.000016716942999081576</x:v>
      </x:c>
      <x:c r="E837" s="15" t="n">
        <x:f>IF(ISNUMBER(C837),C837^3,"")</x:f>
        <x:v>6.834949221371542e-8</x:v>
      </x:c>
      <x:c r="F837" s="15" t="n">
        <x:f>IF(ISNUMBER(C837),C837^4,"")</x:f>
        <x:v>2.794561832345425e-10</x:v>
      </x:c>
      <x:c r="G837" s="7" t="n">
        <x:f>IF(ISNUMBER(B837),ABS(B837),"")</x:f>
        <x:v>0.004040396508908695</x:v>
      </x:c>
      <x:c r="H837" s="7" t="n">
        <x:f>IF(ISNUMBER(B837),B837^2,"")</x:f>
        <x:v>0.000016324803949201568</x:v>
      </x:c>
      <x:c r="I837" s="7" t="n">
        <x:f>IF(AND(ISNUMBER(G837),'요약'!$B$19),G837-'요약'!$B$14,"")</x:f>
        <x:v>-0.003973120118494161</x:v>
      </x:c>
      <x:c r="J837" s="7" t="n">
        <x:f>IF(AND(ISNUMBER(H837),'요약'!$B$19),H837-'요약'!$B$15,"")</x:f>
        <x:v>-0.00008588489523689054</x:v>
      </x:c>
      <x:c r="K837" t="str">
        <x:f>IF(ISNUMBER(B837),IF('Hill'!$B$4=1,IF(B837&lt;0,-B837,""),IF('Hill'!$B$4=2,IF(B837&gt;0,B837,""),IF('Hill'!$B$4=3,IF(B837&lt;&gt;0,ABS(B837),""),""))),"")</x:f>
      </x:c>
    </x:row>
    <x:row r="838">
      <x:c r="A838" t="n">
        <x:f>837</x:f>
        <x:v>837</x:v>
      </x:c>
      <x:c r="B838" s="7" t="n">
        <x:f>IF('요약'!$B$4=4,IF(ISNUMBER('input'!A838),'input'!A838,""),IF(837&lt;=1000,CHOOSE('요약'!$B$4,'input'!B838,'input'!C838,'input'!D838),""))</x:f>
        <x:v>-0.012192515091625097</x:v>
      </x:c>
      <x:c r="C838" s="7" t="n">
        <x:f>IF(AND(ISNUMBER(B838),'요약'!$B$19),B838-'요약'!$B$7,"")</x:f>
        <x:v>-0.012144275764575597</x:v>
      </x:c>
      <x:c r="D838" s="7" t="n">
        <x:f>IF(ISNUMBER(C838),C838^2,"")</x:f>
        <x:v>0.00014748343384605818</x:v>
      </x:c>
      <x:c r="E838" s="15" t="n">
        <x:f>IF(ISNUMBER(C838),C838^3,"")</x:f>
        <x:v>-0.0000017910794913330728</x:v>
      </x:c>
      <x:c r="F838" s="15" t="n">
        <x:f>IF(ISNUMBER(C838),C838^4,"")</x:f>
        <x:v>2.1751363259024625e-8</x:v>
      </x:c>
      <x:c r="G838" s="7" t="n">
        <x:f>IF(ISNUMBER(B838),ABS(B838),"")</x:f>
        <x:v>0.012192515091625097</x:v>
      </x:c>
      <x:c r="H838" s="7" t="n">
        <x:f>IF(ISNUMBER(B838),B838^2,"")</x:f>
        <x:v>0.00014865742425950576</x:v>
      </x:c>
      <x:c r="I838" s="7" t="n">
        <x:f>IF(AND(ISNUMBER(G838),'요약'!$B$19),G838-'요약'!$B$14,"")</x:f>
        <x:v>0.004178998464222242</x:v>
      </x:c>
      <x:c r="J838" s="7" t="n">
        <x:f>IF(AND(ISNUMBER(H838),'요약'!$B$19),H838-'요약'!$B$15,"")</x:f>
        <x:v>0.00004644772507341366</x:v>
      </x:c>
      <x:c r="K838" t="n">
        <x:f>IF(ISNUMBER(B838),IF('Hill'!$B$4=1,IF(B838&lt;0,-B838,""),IF('Hill'!$B$4=2,IF(B838&gt;0,B838,""),IF('Hill'!$B$4=3,IF(B838&lt;&gt;0,ABS(B838),""),""))),"")</x:f>
        <x:v>0.012192515091625097</x:v>
      </x:c>
    </x:row>
    <x:row r="839">
      <x:c r="A839" t="n">
        <x:f>838</x:f>
        <x:v>838</x:v>
      </x:c>
      <x:c r="B839" s="7" t="n">
        <x:f>IF('요약'!$B$4=4,IF(ISNUMBER('input'!A839),'input'!A839,""),IF(838&lt;=1000,CHOOSE('요약'!$B$4,'input'!B839,'input'!C839,'input'!D839),""))</x:f>
        <x:v>-0.009630961632016401</x:v>
      </x:c>
      <x:c r="C839" s="7" t="n">
        <x:f>IF(AND(ISNUMBER(B839),'요약'!$B$19),B839-'요약'!$B$7,"")</x:f>
        <x:v>-0.0095827223049669</x:v>
      </x:c>
      <x:c r="D839" s="7" t="n">
        <x:f>IF(ISNUMBER(C839),C839^2,"")</x:f>
        <x:v>0.00009182856677411015</x:v>
      </x:c>
      <x:c r="E839" s="15" t="n">
        <x:f>IF(ISNUMBER(C839),C839^3,"")</x:f>
        <x:v>-8.799676550594078e-7</x:v>
      </x:c>
      <x:c r="F839" s="15" t="n">
        <x:f>IF(ISNUMBER(C839),C839^4,"")</x:f>
        <x:v>8.432485675787207e-9</x:v>
      </x:c>
      <x:c r="G839" s="7" t="n">
        <x:f>IF(ISNUMBER(B839),ABS(B839),"")</x:f>
        <x:v>0.009630961632016401</x:v>
      </x:c>
      <x:c r="H839" s="7" t="n">
        <x:f>IF(ISNUMBER(B839),B839^2,"")</x:f>
        <x:v>0.00009275542195737203</x:v>
      </x:c>
      <x:c r="I839" s="7" t="n">
        <x:f>IF(AND(ISNUMBER(G839),'요약'!$B$19),G839-'요약'!$B$14,"")</x:f>
        <x:v>0.001617445004613546</x:v>
      </x:c>
      <x:c r="J839" s="7" t="n">
        <x:f>IF(AND(ISNUMBER(H839),'요약'!$B$19),H839-'요약'!$B$15,"")</x:f>
        <x:v>-0.000009454277228720077</x:v>
      </x:c>
      <x:c r="K839" t="n">
        <x:f>IF(ISNUMBER(B839),IF('Hill'!$B$4=1,IF(B839&lt;0,-B839,""),IF('Hill'!$B$4=2,IF(B839&gt;0,B839,""),IF('Hill'!$B$4=3,IF(B839&lt;&gt;0,ABS(B839),""),""))),"")</x:f>
        <x:v>0.009630961632016401</x:v>
      </x:c>
    </x:row>
    <x:row r="840">
      <x:c r="A840" t="n">
        <x:f>839</x:f>
        <x:v>839</x:v>
      </x:c>
      <x:c r="B840" s="7" t="n">
        <x:f>IF('요약'!$B$4=4,IF(ISNUMBER('input'!A840),'input'!A840,""),IF(839&lt;=1000,CHOOSE('요약'!$B$4,'input'!B840,'input'!C840,'input'!D840),""))</x:f>
        <x:v>0.0013860855204065345</x:v>
      </x:c>
      <x:c r="C840" s="7" t="n">
        <x:f>IF(AND(ISNUMBER(B840),'요약'!$B$19),B840-'요약'!$B$7,"")</x:f>
        <x:v>0.001434324847456036</x:v>
      </x:c>
      <x:c r="D840" s="7" t="n">
        <x:f>IF(ISNUMBER(C840),C840^2,"")</x:f>
        <x:v>0.0000020572877680297807</x:v>
      </x:c>
      <x:c r="E840" s="15" t="n">
        <x:f>IF(ISNUMBER(C840),C840^3,"")</x:f>
        <x:v>2.9508189640524842e-9</x:v>
      </x:c>
      <x:c r="F840" s="15" t="n">
        <x:f>IF(ISNUMBER(C840),C840^4,"")</x:f>
        <x:v>4.232432960484957e-12</x:v>
      </x:c>
      <x:c r="G840" s="7" t="n">
        <x:f>IF(ISNUMBER(B840),ABS(B840),"")</x:f>
        <x:v>0.0013860855204065345</x:v>
      </x:c>
      <x:c r="H840" s="7" t="n">
        <x:f>IF(ISNUMBER(B840),B840^2,"")</x:f>
        <x:v>0.0000019212330698806537</x:v>
      </x:c>
      <x:c r="I840" s="7" t="n">
        <x:f>IF(AND(ISNUMBER(G840),'요약'!$B$19),G840-'요약'!$B$14,"")</x:f>
        <x:v>-0.006627431106996321</x:v>
      </x:c>
      <x:c r="J840" s="7" t="n">
        <x:f>IF(AND(ISNUMBER(H840),'요약'!$B$19),H840-'요약'!$B$15,"")</x:f>
        <x:v>-0.00010028846611621145</x:v>
      </x:c>
      <x:c r="K840" t="str">
        <x:f>IF(ISNUMBER(B840),IF('Hill'!$B$4=1,IF(B840&lt;0,-B840,""),IF('Hill'!$B$4=2,IF(B840&gt;0,B840,""),IF('Hill'!$B$4=3,IF(B840&lt;&gt;0,ABS(B840),""),""))),"")</x:f>
      </x:c>
    </x:row>
    <x:row r="841">
      <x:c r="A841" t="n">
        <x:f>840</x:f>
        <x:v>840</x:v>
      </x:c>
      <x:c r="B841" s="7" t="n">
        <x:f>IF('요약'!$B$4=4,IF(ISNUMBER('input'!A841),'input'!A841,""),IF(840&lt;=1000,CHOOSE('요약'!$B$4,'input'!B841,'input'!C841,'input'!D841),""))</x:f>
        <x:v>-0.027135698469351075</x:v>
      </x:c>
      <x:c r="C841" s="7" t="n">
        <x:f>IF(AND(ISNUMBER(B841),'요약'!$B$19),B841-'요약'!$B$7,"")</x:f>
        <x:v>-0.027087459142301575</x:v>
      </x:c>
      <x:c r="D841" s="7" t="n">
        <x:f>IF(ISNUMBER(C841),C841^2,"")</x:f>
        <x:v>0.0007337304427858572</x:v>
      </x:c>
      <x:c r="E841" s="15" t="n">
        <x:f>IF(ISNUMBER(C841),C841^3,"")</x:f>
        <x:v>-0.00001987489339042475</x:v>
      </x:c>
      <x:c r="F841" s="15" t="n">
        <x:f>IF(ISNUMBER(C841),C841^4,"")</x:f>
        <x:v>5.3836036267073e-7</x:v>
      </x:c>
      <x:c r="G841" s="7" t="n">
        <x:f>IF(ISNUMBER(B841),ABS(B841),"")</x:f>
        <x:v>0.027135698469351075</x:v>
      </x:c>
      <x:c r="H841" s="7" t="n">
        <x:f>IF(ISNUMBER(B841),B841^2,"")</x:f>
        <x:v>0.0007363461314195423</x:v>
      </x:c>
      <x:c r="I841" s="7" t="n">
        <x:f>IF(AND(ISNUMBER(G841),'요약'!$B$19),G841-'요약'!$B$14,"")</x:f>
        <x:v>0.01912218184194822</x:v>
      </x:c>
      <x:c r="J841" s="7" t="n">
        <x:f>IF(AND(ISNUMBER(H841),'요약'!$B$19),H841-'요약'!$B$15,"")</x:f>
        <x:v>0.0006341364322334502</x:v>
      </x:c>
      <x:c r="K841" t="n">
        <x:f>IF(ISNUMBER(B841),IF('Hill'!$B$4=1,IF(B841&lt;0,-B841,""),IF('Hill'!$B$4=2,IF(B841&gt;0,B841,""),IF('Hill'!$B$4=3,IF(B841&lt;&gt;0,ABS(B841),""),""))),"")</x:f>
        <x:v>0.027135698469351075</x:v>
      </x:c>
    </x:row>
    <x:row r="842">
      <x:c r="A842" t="n">
        <x:f>841</x:f>
        <x:v>841</x:v>
      </x:c>
      <x:c r="B842" s="7" t="n">
        <x:f>IF('요약'!$B$4=4,IF(ISNUMBER('input'!A842),'input'!A842,""),IF(841&lt;=1000,CHOOSE('요약'!$B$4,'input'!B842,'input'!C842,'input'!D842),""))</x:f>
        <x:v>-0.009022689607352995</x:v>
      </x:c>
      <x:c r="C842" s="7" t="n">
        <x:f>IF(AND(ISNUMBER(B842),'요약'!$B$19),B842-'요약'!$B$7,"")</x:f>
        <x:v>-0.008974450280303494</x:v>
      </x:c>
      <x:c r="D842" s="7" t="n">
        <x:f>IF(ISNUMBER(C842),C842^2,"")</x:f>
        <x:v>0.00008054075783363947</x:v>
      </x:c>
      <x:c r="E842" s="15" t="n">
        <x:f>IF(ISNUMBER(C842),C842^3,"")</x:f>
        <x:v>-7.228090267159615e-7</x:v>
      </x:c>
      <x:c r="F842" s="15" t="n">
        <x:f>IF(ISNUMBER(C842),C842^4,"")</x:f>
        <x:v>6.486813672416957e-9</x:v>
      </x:c>
      <x:c r="G842" s="7" t="n">
        <x:f>IF(ISNUMBER(B842),ABS(B842),"")</x:f>
        <x:v>0.009022689607352995</x:v>
      </x:c>
      <x:c r="H842" s="7" t="n">
        <x:f>IF(ISNUMBER(B842),B842^2,"")</x:f>
        <x:v>0.00008140892775063573</x:v>
      </x:c>
      <x:c r="I842" s="7" t="n">
        <x:f>IF(AND(ISNUMBER(G842),'요약'!$B$19),G842-'요약'!$B$14,"")</x:f>
        <x:v>0.0010091729799501393</x:v>
      </x:c>
      <x:c r="J842" s="7" t="n">
        <x:f>IF(AND(ISNUMBER(H842),'요약'!$B$19),H842-'요약'!$B$15,"")</x:f>
        <x:v>-0.000020800771435456372</x:v>
      </x:c>
      <x:c r="K842" t="n">
        <x:f>IF(ISNUMBER(B842),IF('Hill'!$B$4=1,IF(B842&lt;0,-B842,""),IF('Hill'!$B$4=2,IF(B842&gt;0,B842,""),IF('Hill'!$B$4=3,IF(B842&lt;&gt;0,ABS(B842),""),""))),"")</x:f>
        <x:v>0.009022689607352995</x:v>
      </x:c>
    </x:row>
    <x:row r="843">
      <x:c r="A843" t="n">
        <x:f>842</x:f>
        <x:v>842</x:v>
      </x:c>
      <x:c r="B843" s="7" t="n">
        <x:f>IF('요약'!$B$4=4,IF(ISNUMBER('input'!A843),'input'!A843,""),IF(842&lt;=1000,CHOOSE('요약'!$B$4,'input'!B843,'input'!C843,'input'!D843),""))</x:f>
        <x:v>-0.021917215332908774</x:v>
      </x:c>
      <x:c r="C843" s="7" t="n">
        <x:f>IF(AND(ISNUMBER(B843),'요약'!$B$19),B843-'요약'!$B$7,"")</x:f>
        <x:v>-0.021868976005859273</x:v>
      </x:c>
      <x:c r="D843" s="7" t="n">
        <x:f>IF(ISNUMBER(C843),C843^2,"")</x:f>
        <x:v>0.00047825211154484864</x:v>
      </x:c>
      <x:c r="E843" s="15" t="n">
        <x:f>IF(ISNUMBER(C843),C843^3,"")</x:f>
        <x:v>-0.000010458883952125827</x:v>
      </x:c>
      <x:c r="F843" s="15" t="n">
        <x:f>IF(ISNUMBER(C843),C843^4,"")</x:f>
        <x:v>2.2872508219710633e-7</x:v>
      </x:c>
      <x:c r="G843" s="7" t="n">
        <x:f>IF(ISNUMBER(B843),ABS(B843),"")</x:f>
        <x:v>0.021917215332908774</x:v>
      </x:c>
      <x:c r="H843" s="7" t="n">
        <x:f>IF(ISNUMBER(B843),B843^2,"")</x:f>
        <x:v>0.00048036432794909144</x:v>
      </x:c>
      <x:c r="I843" s="7" t="n">
        <x:f>IF(AND(ISNUMBER(G843),'요약'!$B$19),G843-'요약'!$B$14,"")</x:f>
        <x:v>0.013903698705505918</x:v>
      </x:c>
      <x:c r="J843" s="7" t="n">
        <x:f>IF(AND(ISNUMBER(H843),'요약'!$B$19),H843-'요약'!$B$15,"")</x:f>
        <x:v>0.00037815462876299936</x:v>
      </x:c>
      <x:c r="K843" t="n">
        <x:f>IF(ISNUMBER(B843),IF('Hill'!$B$4=1,IF(B843&lt;0,-B843,""),IF('Hill'!$B$4=2,IF(B843&gt;0,B843,""),IF('Hill'!$B$4=3,IF(B843&lt;&gt;0,ABS(B843),""),""))),"")</x:f>
        <x:v>0.021917215332908774</x:v>
      </x:c>
    </x:row>
    <x:row r="844">
      <x:c r="A844" t="n">
        <x:f>843</x:f>
        <x:v>843</x:v>
      </x:c>
      <x:c r="B844" s="7" t="n">
        <x:f>IF('요약'!$B$4=4,IF(ISNUMBER('input'!A844),'input'!A844,""),IF(843&lt;=1000,CHOOSE('요약'!$B$4,'input'!B844,'input'!C844,'input'!D844),""))</x:f>
        <x:v>0.002719232693552686</x:v>
      </x:c>
      <x:c r="C844" s="7" t="n">
        <x:f>IF(AND(ISNUMBER(B844),'요약'!$B$19),B844-'요약'!$B$7,"")</x:f>
        <x:v>0.0027674720206021875</x:v>
      </x:c>
      <x:c r="D844" s="7" t="n">
        <x:f>IF(ISNUMBER(C844),C844^2,"")</x:f>
        <x:v>0.000007658901384815955</x:v>
      </x:c>
      <x:c r="E844" s="15" t="n">
        <x:f>IF(ISNUMBER(C844),C844^3,"")</x:f>
        <x:v>2.11957952910295e-8</x:v>
      </x:c>
      <x:c r="F844" s="15" t="n">
        <x:f>IF(ISNUMBER(C844),C844^4,"")</x:f>
        <x:v>5.865877042233575e-11</x:v>
      </x:c>
      <x:c r="G844" s="7" t="n">
        <x:f>IF(ISNUMBER(B844),ABS(B844),"")</x:f>
        <x:v>0.002719232693552686</x:v>
      </x:c>
      <x:c r="H844" s="7" t="n">
        <x:f>IF(ISNUMBER(B844),B844^2,"")</x:f>
        <x:v>0.000007394226441685796</x:v>
      </x:c>
      <x:c r="I844" s="7" t="n">
        <x:f>IF(AND(ISNUMBER(G844),'요약'!$B$19),G844-'요약'!$B$14,"")</x:f>
        <x:v>-0.005294283933850169</x:v>
      </x:c>
      <x:c r="J844" s="7" t="n">
        <x:f>IF(AND(ISNUMBER(H844),'요약'!$B$19),H844-'요약'!$B$15,"")</x:f>
        <x:v>-0.0000948154727444063</x:v>
      </x:c>
      <x:c r="K844" t="str">
        <x:f>IF(ISNUMBER(B844),IF('Hill'!$B$4=1,IF(B844&lt;0,-B844,""),IF('Hill'!$B$4=2,IF(B844&gt;0,B844,""),IF('Hill'!$B$4=3,IF(B844&lt;&gt;0,ABS(B844),""),""))),"")</x:f>
      </x:c>
    </x:row>
    <x:row r="845">
      <x:c r="A845" t="n">
        <x:f>844</x:f>
        <x:v>844</x:v>
      </x:c>
      <x:c r="B845" s="7" t="n">
        <x:f>IF('요약'!$B$4=4,IF(ISNUMBER('input'!A845),'input'!A845,""),IF(844&lt;=1000,CHOOSE('요약'!$B$4,'input'!B845,'input'!C845,'input'!D845),""))</x:f>
        <x:v>-0.0023059546606393868</x:v>
      </x:c>
      <x:c r="C845" s="7" t="n">
        <x:f>IF(AND(ISNUMBER(B845),'요약'!$B$19),B845-'요약'!$B$7,"")</x:f>
        <x:v>-0.0022577153335898853</x:v>
      </x:c>
      <x:c r="D845" s="7" t="n">
        <x:f>IF(ISNUMBER(C845),C845^2,"")</x:f>
        <x:v>0.000005097278527526887</x:v>
      </x:c>
      <x:c r="E845" s="15" t="n">
        <x:f>IF(ISNUMBER(C845),C845^3,"")</x:f>
        <x:v>-1.1508203891175925e-8</x:v>
      </x:c>
      <x:c r="F845" s="15" t="n">
        <x:f>IF(ISNUMBER(C845),C845^4,"")</x:f>
        <x:v>2.598224838718667e-11</x:v>
      </x:c>
      <x:c r="G845" s="7" t="n">
        <x:f>IF(ISNUMBER(B845),ABS(B845),"")</x:f>
        <x:v>0.0023059546606393868</x:v>
      </x:c>
      <x:c r="H845" s="7" t="n">
        <x:f>IF(ISNUMBER(B845),B845^2,"")</x:f>
        <x:v>0.00000531742689692451</x:v>
      </x:c>
      <x:c r="I845" s="7" t="n">
        <x:f>IF(AND(ISNUMBER(G845),'요약'!$B$19),G845-'요약'!$B$14,"")</x:f>
        <x:v>-0.005707561966763469</x:v>
      </x:c>
      <x:c r="J845" s="7" t="n">
        <x:f>IF(AND(ISNUMBER(H845),'요약'!$B$19),H845-'요약'!$B$15,"")</x:f>
        <x:v>-0.00009689227228916759</x:v>
      </x:c>
      <x:c r="K845" t="n">
        <x:f>IF(ISNUMBER(B845),IF('Hill'!$B$4=1,IF(B845&lt;0,-B845,""),IF('Hill'!$B$4=2,IF(B845&gt;0,B845,""),IF('Hill'!$B$4=3,IF(B845&lt;&gt;0,ABS(B845),""),""))),"")</x:f>
        <x:v>0.0023059546606393868</x:v>
      </x:c>
    </x:row>
    <x:row r="846">
      <x:c r="A846" t="n">
        <x:f>845</x:f>
        <x:v>845</x:v>
      </x:c>
      <x:c r="B846" s="7" t="n">
        <x:f>IF('요약'!$B$4=4,IF(ISNUMBER('input'!A846),'input'!A846,""),IF(845&lt;=1000,CHOOSE('요약'!$B$4,'input'!B846,'input'!C846,'input'!D846),""))</x:f>
        <x:v>0.0108012076545309</x:v>
      </x:c>
      <x:c r="C846" s="7" t="n">
        <x:f>IF(AND(ISNUMBER(B846),'요약'!$B$19),B846-'요약'!$B$7,"")</x:f>
        <x:v>0.0108494469815804</x:v>
      </x:c>
      <x:c r="D846" s="7" t="n">
        <x:f>IF(ISNUMBER(C846),C846^2,"")</x:f>
        <x:v>0.00011771049980612407</x:v>
      </x:c>
      <x:c r="E846" s="15" t="n">
        <x:f>IF(ISNUMBER(C846),C846^3,"")</x:f>
        <x:v>0.0000012770938268218732</x:v>
      </x:c>
      <x:c r="F846" s="15" t="n">
        <x:f>IF(ISNUMBER(C846),C846^4,"")</x:f>
        <x:v>1.3855761764607534e-8</x:v>
      </x:c>
      <x:c r="G846" s="7" t="n">
        <x:f>IF(ISNUMBER(B846),ABS(B846),"")</x:f>
        <x:v>0.0108012076545309</x:v>
      </x:c>
      <x:c r="H846" s="7" t="n">
        <x:f>IF(ISNUMBER(B846),B846^2,"")</x:f>
        <x:v>0.00011666608679629691</x:v>
      </x:c>
      <x:c r="I846" s="7" t="n">
        <x:f>IF(AND(ISNUMBER(G846),'요약'!$B$19),G846-'요약'!$B$14,"")</x:f>
        <x:v>0.0027876910271280447</x:v>
      </x:c>
      <x:c r="J846" s="7" t="n">
        <x:f>IF(AND(ISNUMBER(H846),'요약'!$B$19),H846-'요약'!$B$15,"")</x:f>
        <x:v>0.000014456387610204809</x:v>
      </x:c>
      <x:c r="K846" t="str">
        <x:f>IF(ISNUMBER(B846),IF('Hill'!$B$4=1,IF(B846&lt;0,-B846,""),IF('Hill'!$B$4=2,IF(B846&gt;0,B846,""),IF('Hill'!$B$4=3,IF(B846&lt;&gt;0,ABS(B846),""),""))),"")</x:f>
      </x:c>
    </x:row>
    <x:row r="847">
      <x:c r="A847" t="n">
        <x:f>846</x:f>
        <x:v>846</x:v>
      </x:c>
      <x:c r="B847" s="7" t="n">
        <x:f>IF('요약'!$B$4=4,IF(ISNUMBER('input'!A847),'input'!A847,""),IF(846&lt;=1000,CHOOSE('요약'!$B$4,'input'!B847,'input'!C847,'input'!D847),""))</x:f>
        <x:v>-0.0054032635298660895</x:v>
      </x:c>
      <x:c r="C847" s="7" t="n">
        <x:f>IF(AND(ISNUMBER(B847),'요약'!$B$19),B847-'요약'!$B$7,"")</x:f>
        <x:v>-0.005355024202816588</x:v>
      </x:c>
      <x:c r="D847" s="7" t="n">
        <x:f>IF(ISNUMBER(C847),C847^2,"")</x:f>
        <x:v>0.000028676284212751435</x:v>
      </x:c>
      <x:c r="E847" s="15" t="n">
        <x:f>IF(ISNUMBER(C847),C847^3,"")</x:f>
        <x:v>-1.5356219600613117e-7</x:v>
      </x:c>
      <x:c r="F847" s="15" t="n">
        <x:f>IF(ISNUMBER(C847),C847^4,"")</x:f>
        <x:v>8.223292762504972e-10</x:v>
      </x:c>
      <x:c r="G847" s="7" t="n">
        <x:f>IF(ISNUMBER(B847),ABS(B847),"")</x:f>
        <x:v>0.0054032635298660895</x:v>
      </x:c>
      <x:c r="H847" s="7" t="n">
        <x:f>IF(ISNUMBER(B847),B847^2,"")</x:f>
        <x:v>0.000029195256773180955</x:v>
      </x:c>
      <x:c r="I847" s="7" t="n">
        <x:f>IF(AND(ISNUMBER(G847),'요약'!$B$19),G847-'요약'!$B$14,"")</x:f>
        <x:v>-0.002610253097536766</x:v>
      </x:c>
      <x:c r="J847" s="7" t="n">
        <x:f>IF(AND(ISNUMBER(H847),'요약'!$B$19),H847-'요약'!$B$15,"")</x:f>
        <x:v>-0.00007301444241291115</x:v>
      </x:c>
      <x:c r="K847" t="n">
        <x:f>IF(ISNUMBER(B847),IF('Hill'!$B$4=1,IF(B847&lt;0,-B847,""),IF('Hill'!$B$4=2,IF(B847&gt;0,B847,""),IF('Hill'!$B$4=3,IF(B847&lt;&gt;0,ABS(B847),""),""))),"")</x:f>
        <x:v>0.0054032635298660895</x:v>
      </x:c>
    </x:row>
    <x:row r="848">
      <x:c r="A848" t="n">
        <x:f>847</x:f>
        <x:v>847</x:v>
      </x:c>
      <x:c r="B848" s="7" t="n">
        <x:f>IF('요약'!$B$4=4,IF(ISNUMBER('input'!A848),'input'!A848,""),IF(847&lt;=1000,CHOOSE('요약'!$B$4,'input'!B848,'input'!C848,'input'!D848),""))</x:f>
        <x:v>0.00007641479607975786</x:v>
      </x:c>
      <x:c r="C848" s="7" t="n">
        <x:f>IF(AND(ISNUMBER(B848),'요약'!$B$19),B848-'요약'!$B$7,"")</x:f>
        <x:v>0.00012465412312925923</x:v>
      </x:c>
      <x:c r="D848" s="7" t="n">
        <x:f>IF(ISNUMBER(C848),C848^2,"")</x:f>
        <x:v>1.5538650413124523e-8</x:v>
      </x:c>
      <x:c r="E848" s="15" t="n">
        <x:f>IF(ISNUMBER(C848),C848^3,"")</x:f>
        <x:v>1.936956841860139e-12</x:v>
      </x:c>
      <x:c r="F848" s="15" t="n">
        <x:f>IF(ISNUMBER(C848),C848^4,"")</x:f>
        <x:v>2.414496566612949e-16</x:v>
      </x:c>
      <x:c r="G848" s="7" t="n">
        <x:f>IF(ISNUMBER(B848),ABS(B848),"")</x:f>
        <x:v>0.00007641479607975786</x:v>
      </x:c>
      <x:c r="H848" s="7" t="n">
        <x:f>IF(ISNUMBER(B848),B848^2,"")</x:f>
        <x:v>5.839221059910977e-9</x:v>
      </x:c>
      <x:c r="I848" s="7" t="n">
        <x:f>IF(AND(ISNUMBER(G848),'요약'!$B$19),G848-'요약'!$B$14,"")</x:f>
        <x:v>-0.007937101831323097</x:v>
      </x:c>
      <x:c r="J848" s="7" t="n">
        <x:f>IF(AND(ISNUMBER(H848),'요약'!$B$19),H848-'요약'!$B$15,"")</x:f>
        <x:v>-0.00010220385996503219</x:v>
      </x:c>
      <x:c r="K848" t="str">
        <x:f>IF(ISNUMBER(B848),IF('Hill'!$B$4=1,IF(B848&lt;0,-B848,""),IF('Hill'!$B$4=2,IF(B848&gt;0,B848,""),IF('Hill'!$B$4=3,IF(B848&lt;&gt;0,ABS(B848),""),""))),"")</x:f>
      </x:c>
    </x:row>
    <x:row r="849">
      <x:c r="A849" t="n">
        <x:f>848</x:f>
        <x:v>848</x:v>
      </x:c>
      <x:c r="B849" s="7" t="n">
        <x:f>IF('요약'!$B$4=4,IF(ISNUMBER('input'!A849),'input'!A849,""),IF(848&lt;=1000,CHOOSE('요약'!$B$4,'input'!B849,'input'!C849,'input'!D849),""))</x:f>
        <x:v>0.007917794432662176</x:v>
      </x:c>
      <x:c r="C849" s="7" t="n">
        <x:f>IF(AND(ISNUMBER(B849),'요약'!$B$19),B849-'요약'!$B$7,"")</x:f>
        <x:v>0.007966033759711676</x:v>
      </x:c>
      <x:c r="D849" s="7" t="n">
        <x:f>IF(ISNUMBER(C849),C849^2,"")</x:f>
        <x:v>0.00006345769386086614</x:v>
      </x:c>
      <x:c r="E849" s="15" t="n">
        <x:f>IF(ISNUMBER(C849),C849^3,"")</x:f>
        <x:v>5.055061316091081e-7</x:v>
      </x:c>
      <x:c r="F849" s="15" t="n">
        <x:f>IF(ISNUMBER(C849),C849^4,"")</x:f>
        <x:v>4.026878910139409e-9</x:v>
      </x:c>
      <x:c r="G849" s="7" t="n">
        <x:f>IF(ISNUMBER(B849),ABS(B849),"")</x:f>
        <x:v>0.007917794432662176</x:v>
      </x:c>
      <x:c r="H849" s="7" t="n">
        <x:f>IF(ISNUMBER(B849),B849^2,"")</x:f>
        <x:v>0.00006269146867789615</x:v>
      </x:c>
      <x:c r="I849" s="7" t="n">
        <x:f>IF(AND(ISNUMBER(G849),'요약'!$B$19),G849-'요약'!$B$14,"")</x:f>
        <x:v>-0.00009572219474067965</x:v>
      </x:c>
      <x:c r="J849" s="7" t="n">
        <x:f>IF(AND(ISNUMBER(H849),'요약'!$B$19),H849-'요약'!$B$15,"")</x:f>
        <x:v>-0.000039518230508195956</x:v>
      </x:c>
      <x:c r="K849" t="str">
        <x:f>IF(ISNUMBER(B849),IF('Hill'!$B$4=1,IF(B849&lt;0,-B849,""),IF('Hill'!$B$4=2,IF(B849&gt;0,B849,""),IF('Hill'!$B$4=3,IF(B849&lt;&gt;0,ABS(B849),""),""))),"")</x:f>
      </x:c>
    </x:row>
    <x:row r="850">
      <x:c r="A850" t="n">
        <x:f>849</x:f>
        <x:v>849</x:v>
      </x:c>
      <x:c r="B850" s="7" t="n">
        <x:f>IF('요약'!$B$4=4,IF(ISNUMBER('input'!A850),'input'!A850,""),IF(849&lt;=1000,CHOOSE('요약'!$B$4,'input'!B850,'input'!C850,'input'!D850),""))</x:f>
        <x:v>0.006076590590351012</x:v>
      </x:c>
      <x:c r="C850" s="7" t="n">
        <x:f>IF(AND(ISNUMBER(B850),'요약'!$B$19),B850-'요약'!$B$7,"")</x:f>
        <x:v>0.006124829917400513</x:v>
      </x:c>
      <x:c r="D850" s="7" t="n">
        <x:f>IF(ISNUMBER(C850),C850^2,"")</x:f>
        <x:v>0.00003751354151708438</x:v>
      </x:c>
      <x:c r="E850" s="15" t="n">
        <x:f>IF(ISNUMBER(C850),C850^3,"")</x:f>
        <x:v>2.2976406139148463e-7</x:v>
      </x:c>
      <x:c r="F850" s="15" t="n">
        <x:f>IF(ISNUMBER(C850),C850^4,"")</x:f>
        <x:v>1.4072657971540133e-9</x:v>
      </x:c>
      <x:c r="G850" s="7" t="n">
        <x:f>IF(ISNUMBER(B850),ABS(B850),"")</x:f>
        <x:v>0.006076590590351012</x:v>
      </x:c>
      <x:c r="H850" s="7" t="n">
        <x:f>IF(ISNUMBER(B850),B850^2,"")</x:f>
        <x:v>0.00003692495320274246</x:v>
      </x:c>
      <x:c r="I850" s="7" t="n">
        <x:f>IF(AND(ISNUMBER(G850),'요약'!$B$19),G850-'요약'!$B$14,"")</x:f>
        <x:v>-0.0019369260370518436</x:v>
      </x:c>
      <x:c r="J850" s="7" t="n">
        <x:f>IF(AND(ISNUMBER(H850),'요약'!$B$19),H850-'요약'!$B$15,"")</x:f>
        <x:v>-0.00006528474598334964</x:v>
      </x:c>
      <x:c r="K850" t="str">
        <x:f>IF(ISNUMBER(B850),IF('Hill'!$B$4=1,IF(B850&lt;0,-B850,""),IF('Hill'!$B$4=2,IF(B850&gt;0,B850,""),IF('Hill'!$B$4=3,IF(B850&lt;&gt;0,ABS(B850),""),""))),"")</x:f>
      </x:c>
    </x:row>
    <x:row r="851">
      <x:c r="A851" t="n">
        <x:f>850</x:f>
        <x:v>850</x:v>
      </x:c>
      <x:c r="B851" s="7" t="n">
        <x:f>IF('요약'!$B$4=4,IF(ISNUMBER('input'!A851),'input'!A851,""),IF(850&lt;=1000,CHOOSE('요약'!$B$4,'input'!B851,'input'!C851,'input'!D851),""))</x:f>
        <x:v>0.00423986732356877</x:v>
      </x:c>
      <x:c r="C851" s="7" t="n">
        <x:f>IF(AND(ISNUMBER(B851),'요약'!$B$19),B851-'요약'!$B$7,"")</x:f>
        <x:v>0.004288106650618272</x:v>
      </x:c>
      <x:c r="D851" s="7" t="n">
        <x:f>IF(ISNUMBER(C851),C851^2,"")</x:f>
        <x:v>0.000018387858647076653</x:v>
      </x:c>
      <x:c r="E851" s="15" t="n">
        <x:f>IF(ISNUMBER(C851),C851^3,"")</x:f>
        <x:v>7.88490989551581e-8</x:v>
      </x:c>
      <x:c r="F851" s="15" t="n">
        <x:f>IF(ISNUMBER(C851),C851^4,"")</x:f>
        <x:v>3.3811334562487167e-10</x:v>
      </x:c>
      <x:c r="G851" s="7" t="n">
        <x:f>IF(ISNUMBER(B851),ABS(B851),"")</x:f>
        <x:v>0.00423986732356877</x:v>
      </x:c>
      <x:c r="H851" s="7" t="n">
        <x:f>IF(ISNUMBER(B851),B851^2,"")</x:f>
        <x:v>0.000017976474921466207</x:v>
      </x:c>
      <x:c r="I851" s="7" t="n">
        <x:f>IF(AND(ISNUMBER(G851),'요약'!$B$19),G851-'요약'!$B$14,"")</x:f>
        <x:v>-0.003773649303834085</x:v>
      </x:c>
      <x:c r="J851" s="7" t="n">
        <x:f>IF(AND(ISNUMBER(H851),'요약'!$B$19),H851-'요약'!$B$15,"")</x:f>
        <x:v>-0.0000842332242646259</x:v>
      </x:c>
      <x:c r="K851" t="str">
        <x:f>IF(ISNUMBER(B851),IF('Hill'!$B$4=1,IF(B851&lt;0,-B851,""),IF('Hill'!$B$4=2,IF(B851&gt;0,B851,""),IF('Hill'!$B$4=3,IF(B851&lt;&gt;0,ABS(B851),""),""))),"")</x:f>
      </x:c>
    </x:row>
    <x:row r="852">
      <x:c r="A852" t="n">
        <x:f>851</x:f>
        <x:v>851</x:v>
      </x:c>
      <x:c r="B852" s="7" t="n">
        <x:f>IF('요약'!$B$4=4,IF(ISNUMBER('input'!A852),'input'!A852,""),IF(851&lt;=1000,CHOOSE('요약'!$B$4,'input'!B852,'input'!C852,'input'!D852),""))</x:f>
        <x:v>-0.0006374519234623296</x:v>
      </x:c>
      <x:c r="C852" s="7" t="n">
        <x:f>IF(AND(ISNUMBER(B852),'요약'!$B$19),B852-'요약'!$B$7,"")</x:f>
        <x:v>-0.0005892125964128283</x:v>
      </x:c>
      <x:c r="D852" s="7" t="n">
        <x:f>IF(ISNUMBER(C852),C852^2,"")</x:f>
        <x:v>3.4717148377154647e-7</x:v>
      </x:c>
      <x:c r="E852" s="15" t="n">
        <x:f>IF(ISNUMBER(C852),C852^3,"")</x:f>
        <x:v>-2.0455781135352696e-10</x:v>
      </x:c>
      <x:c r="F852" s="15" t="n">
        <x:f>IF(ISNUMBER(C852),C852^4,"")</x:f>
        <x:v>1.2052803914413715e-13</x:v>
      </x:c>
      <x:c r="G852" s="7" t="n">
        <x:f>IF(ISNUMBER(B852),ABS(B852),"")</x:f>
        <x:v>0.0006374519234623296</x:v>
      </x:c>
      <x:c r="H852" s="7" t="n">
        <x:f>IF(ISNUMBER(B852),B852^2,"")</x:f>
        <x:v>4.0634495472582375e-7</x:v>
      </x:c>
      <x:c r="I852" s="7" t="n">
        <x:f>IF(AND(ISNUMBER(G852),'요약'!$B$19),G852-'요약'!$B$14,"")</x:f>
        <x:v>-0.0073760647039405255</x:v>
      </x:c>
      <x:c r="J852" s="7" t="n">
        <x:f>IF(AND(ISNUMBER(H852),'요약'!$B$19),H852-'요약'!$B$15,"")</x:f>
        <x:v>-0.00010180335423136629</x:v>
      </x:c>
      <x:c r="K852" t="n">
        <x:f>IF(ISNUMBER(B852),IF('Hill'!$B$4=1,IF(B852&lt;0,-B852,""),IF('Hill'!$B$4=2,IF(B852&gt;0,B852,""),IF('Hill'!$B$4=3,IF(B852&lt;&gt;0,ABS(B852),""),""))),"")</x:f>
        <x:v>0.0006374519234623296</x:v>
      </x:c>
    </x:row>
    <x:row r="853">
      <x:c r="A853" t="n">
        <x:f>852</x:f>
        <x:v>852</x:v>
      </x:c>
      <x:c r="B853" s="7" t="n">
        <x:f>IF('요약'!$B$4=4,IF(ISNUMBER('input'!A853),'input'!A853,""),IF(852&lt;=1000,CHOOSE('요약'!$B$4,'input'!B853,'input'!C853,'input'!D853),""))</x:f>
        <x:v>-0.011045980723211134</x:v>
      </x:c>
      <x:c r="C853" s="7" t="n">
        <x:f>IF(AND(ISNUMBER(B853),'요약'!$B$19),B853-'요약'!$B$7,"")</x:f>
        <x:v>-0.010997741396161633</x:v>
      </x:c>
      <x:c r="D853" s="7" t="n">
        <x:f>IF(ISNUMBER(C853),C853^2,"")</x:f>
        <x:v>0.00012095031581684723</x:v>
      </x:c>
      <x:c r="E853" s="15" t="n">
        <x:f>IF(ISNUMBER(C853),C853^3,"")</x:f>
        <x:v>-0.000001330180295137764</x:v>
      </x:c>
      <x:c r="F853" s="15" t="n">
        <x:f>IF(ISNUMBER(C853),C853^4,"")</x:f>
        <x:v>1.4628978896195085e-8</x:v>
      </x:c>
      <x:c r="G853" s="7" t="n">
        <x:f>IF(ISNUMBER(B853),ABS(B853),"")</x:f>
        <x:v>0.011045980723211134</x:v>
      </x:c>
      <x:c r="H853" s="7" t="n">
        <x:f>IF(ISNUMBER(B853),B853^2,"")</x:f>
        <x:v>0.00012201369013755196</x:v>
      </x:c>
      <x:c r="I853" s="7" t="n">
        <x:f>IF(AND(ISNUMBER(G853),'요약'!$B$19),G853-'요약'!$B$14,"")</x:f>
        <x:v>0.0030324640958082783</x:v>
      </x:c>
      <x:c r="J853" s="7" t="n">
        <x:f>IF(AND(ISNUMBER(H853),'요약'!$B$19),H853-'요약'!$B$15,"")</x:f>
        <x:v>0.00001980399095145986</x:v>
      </x:c>
      <x:c r="K853" t="n">
        <x:f>IF(ISNUMBER(B853),IF('Hill'!$B$4=1,IF(B853&lt;0,-B853,""),IF('Hill'!$B$4=2,IF(B853&gt;0,B853,""),IF('Hill'!$B$4=3,IF(B853&lt;&gt;0,ABS(B853),""),""))),"")</x:f>
        <x:v>0.011045980723211134</x:v>
      </x:c>
    </x:row>
    <x:row r="854">
      <x:c r="A854" t="n">
        <x:f>853</x:f>
        <x:v>853</x:v>
      </x:c>
      <x:c r="B854" s="7" t="n">
        <x:f>IF('요약'!$B$4=4,IF(ISNUMBER('input'!A854),'input'!A854,""),IF(853&lt;=1000,CHOOSE('요약'!$B$4,'input'!B854,'input'!C854,'input'!D854),""))</x:f>
        <x:v>-0.00574497242744399</x:v>
      </x:c>
      <x:c r="C854" s="7" t="n">
        <x:f>IF(AND(ISNUMBER(B854),'요약'!$B$19),B854-'요약'!$B$7,"")</x:f>
        <x:v>-0.0056967331003944886</x:v>
      </x:c>
      <x:c r="D854" s="7" t="n">
        <x:f>IF(ISNUMBER(C854),C854^2,"")</x:f>
        <x:v>0.0000324527680171302</x:v>
      </x:c>
      <x:c r="E854" s="15" t="n">
        <x:f>IF(ISNUMBER(C854),C854^3,"")</x:f>
        <x:v>-1.8487475776260924e-7</x:v>
      </x:c>
      <x:c r="F854" s="15" t="n">
        <x:f>IF(ISNUMBER(C854),C854^4,"")</x:f>
        <x:v>1.053182151973669e-9</x:v>
      </x:c>
      <x:c r="G854" s="7" t="n">
        <x:f>IF(ISNUMBER(B854),ABS(B854),"")</x:f>
        <x:v>0.00574497242744399</x:v>
      </x:c>
      <x:c r="H854" s="7" t="n">
        <x:f>IF(ISNUMBER(B854),B854^2,"")</x:f>
        <x:v>0.00003300470819209169</x:v>
      </x:c>
      <x:c r="I854" s="7" t="n">
        <x:f>IF(AND(ISNUMBER(G854),'요약'!$B$19),G854-'요약'!$B$14,"")</x:f>
        <x:v>-0.0022685441999588654</x:v>
      </x:c>
      <x:c r="J854" s="7" t="n">
        <x:f>IF(AND(ISNUMBER(H854),'요약'!$B$19),H854-'요약'!$B$15,"")</x:f>
        <x:v>-0.00006920499099400041</x:v>
      </x:c>
      <x:c r="K854" t="n">
        <x:f>IF(ISNUMBER(B854),IF('Hill'!$B$4=1,IF(B854&lt;0,-B854,""),IF('Hill'!$B$4=2,IF(B854&gt;0,B854,""),IF('Hill'!$B$4=3,IF(B854&lt;&gt;0,ABS(B854),""),""))),"")</x:f>
        <x:v>0.00574497242744399</x:v>
      </x:c>
    </x:row>
    <x:row r="855">
      <x:c r="A855" t="n">
        <x:f>854</x:f>
        <x:v>854</x:v>
      </x:c>
      <x:c r="B855" s="7" t="n">
        <x:f>IF('요약'!$B$4=4,IF(ISNUMBER('input'!A855),'input'!A855,""),IF(854&lt;=1000,CHOOSE('요약'!$B$4,'input'!B855,'input'!C855,'input'!D855),""))</x:f>
        <x:v>-0.021617055512421844</x:v>
      </x:c>
      <x:c r="C855" s="7" t="n">
        <x:f>IF(AND(ISNUMBER(B855),'요약'!$B$19),B855-'요약'!$B$7,"")</x:f>
        <x:v>-0.021568816185372344</x:v>
      </x:c>
      <x:c r="D855" s="7" t="n">
        <x:f>IF(ISNUMBER(C855),C855^2,"")</x:f>
        <x:v>0.00046521383163838</x:v>
      </x:c>
      <x:c r="E855" s="15" t="n">
        <x:f>IF(ISNUMBER(C855),C855^3,"")</x:f>
        <x:v>-0.000010034111621500975</x:v>
      </x:c>
      <x:c r="F855" s="15" t="n">
        <x:f>IF(ISNUMBER(C855),C855^4,"")</x:f>
        <x:v>2.1642390914766296e-7</x:v>
      </x:c>
      <x:c r="G855" s="7" t="n">
        <x:f>IF(ISNUMBER(B855),ABS(B855),"")</x:f>
        <x:v>0.021617055512421844</x:v>
      </x:c>
      <x:c r="H855" s="7" t="n">
        <x:f>IF(ISNUMBER(B855),B855^2,"")</x:f>
        <x:v>0.00046729708902712767</x:v>
      </x:c>
      <x:c r="I855" s="7" t="n">
        <x:f>IF(AND(ISNUMBER(G855),'요약'!$B$19),G855-'요약'!$B$14,"")</x:f>
        <x:v>0.013603538885018989</x:v>
      </x:c>
      <x:c r="J855" s="7" t="n">
        <x:f>IF(AND(ISNUMBER(H855),'요약'!$B$19),H855-'요약'!$B$15,"")</x:f>
        <x:v>0.0003650873898410356</x:v>
      </x:c>
      <x:c r="K855" t="n">
        <x:f>IF(ISNUMBER(B855),IF('Hill'!$B$4=1,IF(B855&lt;0,-B855,""),IF('Hill'!$B$4=2,IF(B855&gt;0,B855,""),IF('Hill'!$B$4=3,IF(B855&lt;&gt;0,ABS(B855),""),""))),"")</x:f>
        <x:v>0.021617055512421844</x:v>
      </x:c>
    </x:row>
    <x:row r="856">
      <x:c r="A856" t="n">
        <x:f>855</x:f>
        <x:v>855</x:v>
      </x:c>
      <x:c r="B856" s="7" t="n">
        <x:f>IF('요약'!$B$4=4,IF(ISNUMBER('input'!A856),'input'!A856,""),IF(855&lt;=1000,CHOOSE('요약'!$B$4,'input'!B856,'input'!C856,'input'!D856),""))</x:f>
        <x:v>-0.005327816639710119</x:v>
      </x:c>
      <x:c r="C856" s="7" t="n">
        <x:f>IF(AND(ISNUMBER(B856),'요약'!$B$19),B856-'요약'!$B$7,"")</x:f>
        <x:v>-0.005279577312660618</x:v>
      </x:c>
      <x:c r="D856" s="7" t="n">
        <x:f>IF(ISNUMBER(C856),C856^2,"")</x:f>
        <x:v>0.00002787393660036071</x:v>
      </x:c>
      <x:c r="E856" s="15" t="n">
        <x:f>IF(ISNUMBER(C856),C856^3,"")</x:f>
        <x:v>-1.4716260328980483e-7</x:v>
      </x:c>
      <x:c r="F856" s="15" t="n">
        <x:f>IF(ISNUMBER(C856),C856^4,"")</x:f>
        <x:v>7.769563416009283e-10</x:v>
      </x:c>
      <x:c r="G856" s="7" t="n">
        <x:f>IF(ISNUMBER(B856),ABS(B856),"")</x:f>
        <x:v>0.005327816639710119</x:v>
      </x:c>
      <x:c r="H856" s="7" t="n">
        <x:f>IF(ISNUMBER(B856),B856^2,"")</x:f>
        <x:v>0.000028385630146372023</x:v>
      </x:c>
      <x:c r="I856" s="7" t="n">
        <x:f>IF(AND(ISNUMBER(G856),'요약'!$B$19),G856-'요약'!$B$14,"")</x:f>
        <x:v>-0.0026856999876927364</x:v>
      </x:c>
      <x:c r="J856" s="7" t="n">
        <x:f>IF(AND(ISNUMBER(H856),'요약'!$B$19),H856-'요약'!$B$15,"")</x:f>
        <x:v>-0.00007382406903972008</x:v>
      </x:c>
      <x:c r="K856" t="n">
        <x:f>IF(ISNUMBER(B856),IF('Hill'!$B$4=1,IF(B856&lt;0,-B856,""),IF('Hill'!$B$4=2,IF(B856&gt;0,B856,""),IF('Hill'!$B$4=3,IF(B856&lt;&gt;0,ABS(B856),""),""))),"")</x:f>
        <x:v>0.005327816639710119</x:v>
      </x:c>
    </x:row>
    <x:row r="857">
      <x:c r="A857" t="n">
        <x:f>856</x:f>
        <x:v>856</x:v>
      </x:c>
      <x:c r="B857" s="7" t="n">
        <x:f>IF('요약'!$B$4=4,IF(ISNUMBER('input'!A857),'input'!A857,""),IF(856&lt;=1000,CHOOSE('요약'!$B$4,'input'!B857,'input'!C857,'input'!D857),""))</x:f>
        <x:v>-0.0022957784734392813</x:v>
      </x:c>
      <x:c r="C857" s="7" t="n">
        <x:f>IF(AND(ISNUMBER(B857),'요약'!$B$19),B857-'요약'!$B$7,"")</x:f>
        <x:v>-0.00224753914638978</x:v>
      </x:c>
      <x:c r="D857" s="7" t="n">
        <x:f>IF(ISNUMBER(C857),C857^2,"")</x:f>
        <x:v>0.000005051432214554501</x:v>
      </x:c>
      <x:c r="E857" s="15" t="n">
        <x:f>IF(ISNUMBER(C857),C857^3,"")</x:f>
        <x:v>-1.1353291647545656e-8</x:v>
      </x:c>
      <x:c r="F857" s="15" t="n">
        <x:f>IF(ISNUMBER(C857),C857^4,"")</x:f>
        <x:v>2.5516967418238984e-11</x:v>
      </x:c>
      <x:c r="G857" s="7" t="n">
        <x:f>IF(ISNUMBER(B857),ABS(B857),"")</x:f>
        <x:v>0.0022957784734392813</x:v>
      </x:c>
      <x:c r="H857" s="7" t="n">
        <x:f>IF(ISNUMBER(B857),B857^2,"")</x:f>
        <x:v>0.000005270598799107197</x:v>
      </x:c>
      <x:c r="I857" s="7" t="n">
        <x:f>IF(AND(ISNUMBER(G857),'요약'!$B$19),G857-'요약'!$B$14,"")</x:f>
        <x:v>-0.0057177381539635745</x:v>
      </x:c>
      <x:c r="J857" s="7" t="n">
        <x:f>IF(AND(ISNUMBER(H857),'요약'!$B$19),H857-'요약'!$B$15,"")</x:f>
        <x:v>-0.00009693910038698491</x:v>
      </x:c>
      <x:c r="K857" t="n">
        <x:f>IF(ISNUMBER(B857),IF('Hill'!$B$4=1,IF(B857&lt;0,-B857,""),IF('Hill'!$B$4=2,IF(B857&gt;0,B857,""),IF('Hill'!$B$4=3,IF(B857&lt;&gt;0,ABS(B857),""),""))),"")</x:f>
        <x:v>0.0022957784734392813</x:v>
      </x:c>
    </x:row>
    <x:row r="858">
      <x:c r="A858" t="n">
        <x:f>857</x:f>
        <x:v>857</x:v>
      </x:c>
      <x:c r="B858" s="7" t="n">
        <x:f>IF('요약'!$B$4=4,IF(ISNUMBER('input'!A858),'input'!A858,""),IF(857&lt;=1000,CHOOSE('요약'!$B$4,'input'!B858,'input'!C858,'input'!D858),""))</x:f>
        <x:v>0.0009496215482961833</x:v>
      </x:c>
      <x:c r="C858" s="7" t="n">
        <x:f>IF(AND(ISNUMBER(B858),'요약'!$B$19),B858-'요약'!$B$7,"")</x:f>
        <x:v>0.0009978608753456848</x:v>
      </x:c>
      <x:c r="D858" s="7" t="n">
        <x:f>IF(ISNUMBER(C858),C858^2,"")</x:f>
        <x:v>9.957263265456561e-7</x:v>
      </x:c>
      <x:c r="E858" s="15" t="n">
        <x:f>IF(ISNUMBER(C858),C858^3,"")</x:f>
        <x:v>9.935963438115916e-10</x:v>
      </x:c>
      <x:c r="F858" s="15" t="n">
        <x:f>IF(ISNUMBER(C858),C858^4,"")</x:f>
        <x:v>9.914709173761069e-13</x:v>
      </x:c>
      <x:c r="G858" s="7" t="n">
        <x:f>IF(ISNUMBER(B858),ABS(B858),"")</x:f>
        <x:v>0.0009496215482961833</x:v>
      </x:c>
      <x:c r="H858" s="7" t="n">
        <x:f>IF(ISNUMBER(B858),B858^2,"")</x:f>
        <x:v>9.017810849884404e-7</x:v>
      </x:c>
      <x:c r="I858" s="7" t="n">
        <x:f>IF(AND(ISNUMBER(G858),'요약'!$B$19),G858-'요약'!$B$14,"")</x:f>
        <x:v>-0.007063895079106672</x:v>
      </x:c>
      <x:c r="J858" s="7" t="n">
        <x:f>IF(AND(ISNUMBER(H858),'요약'!$B$19),H858-'요약'!$B$15,"")</x:f>
        <x:v>-0.00010130791810110366</x:v>
      </x:c>
      <x:c r="K858" t="str">
        <x:f>IF(ISNUMBER(B858),IF('Hill'!$B$4=1,IF(B858&lt;0,-B858,""),IF('Hill'!$B$4=2,IF(B858&gt;0,B858,""),IF('Hill'!$B$4=3,IF(B858&lt;&gt;0,ABS(B858),""),""))),"")</x:f>
      </x:c>
    </x:row>
    <x:row r="859">
      <x:c r="A859" t="n">
        <x:f>858</x:f>
        <x:v>858</x:v>
      </x:c>
      <x:c r="B859" s="7" t="n">
        <x:f>IF('요약'!$B$4=4,IF(ISNUMBER('input'!A859),'input'!A859,""),IF(858&lt;=1000,CHOOSE('요약'!$B$4,'input'!B859,'input'!C859,'input'!D859),""))</x:f>
        <x:v>-0.0028420126724351584</x:v>
      </x:c>
      <x:c r="C859" s="7" t="n">
        <x:f>IF(AND(ISNUMBER(B859),'요약'!$B$19),B859-'요약'!$B$7,"")</x:f>
        <x:v>-0.002793773345385657</x:v>
      </x:c>
      <x:c r="D859" s="7" t="n">
        <x:f>IF(ISNUMBER(C859),C859^2,"")</x:f>
        <x:v>0.000007805169505387366</x:v>
      </x:c>
      <x:c r="E859" s="15" t="n">
        <x:f>IF(ISNUMBER(C859),C859^3,"")</x:f>
        <x:v>-2.1805874520368173e-8</x:v>
      </x:c>
      <x:c r="F859" s="15" t="n">
        <x:f>IF(ISNUMBER(C859),C859^4,"")</x:f>
        <x:v>6.092067100782885e-11</x:v>
      </x:c>
      <x:c r="G859" s="7" t="n">
        <x:f>IF(ISNUMBER(B859),ABS(B859),"")</x:f>
        <x:v>0.0028420126724351584</x:v>
      </x:c>
      <x:c r="H859" s="7" t="n">
        <x:f>IF(ISNUMBER(B859),B859^2,"")</x:f>
        <x:v>0.000008077036030282032</x:v>
      </x:c>
      <x:c r="I859" s="7" t="n">
        <x:f>IF(AND(ISNUMBER(G859),'요약'!$B$19),G859-'요약'!$B$14,"")</x:f>
        <x:v>-0.005171503954967697</x:v>
      </x:c>
      <x:c r="J859" s="7" t="n">
        <x:f>IF(AND(ISNUMBER(H859),'요약'!$B$19),H859-'요약'!$B$15,"")</x:f>
        <x:v>-0.00009413266315581008</x:v>
      </x:c>
      <x:c r="K859" t="n">
        <x:f>IF(ISNUMBER(B859),IF('Hill'!$B$4=1,IF(B859&lt;0,-B859,""),IF('Hill'!$B$4=2,IF(B859&gt;0,B859,""),IF('Hill'!$B$4=3,IF(B859&lt;&gt;0,ABS(B859),""),""))),"")</x:f>
        <x:v>0.0028420126724351584</x:v>
      </x:c>
    </x:row>
    <x:row r="860">
      <x:c r="A860" t="n">
        <x:f>859</x:f>
        <x:v>859</x:v>
      </x:c>
      <x:c r="B860" s="7" t="n">
        <x:f>IF('요약'!$B$4=4,IF(ISNUMBER('input'!A860),'input'!A860,""),IF(859&lt;=1000,CHOOSE('요약'!$B$4,'input'!B860,'input'!C860,'input'!D860),""))</x:f>
        <x:v>-0.02475897229701928</x:v>
      </x:c>
      <x:c r="C860" s="7" t="n">
        <x:f>IF(AND(ISNUMBER(B860),'요약'!$B$19),B860-'요약'!$B$7,"")</x:f>
        <x:v>-0.02471073296996978</x:v>
      </x:c>
      <x:c r="D860" s="7" t="n">
        <x:f>IF(ISNUMBER(C860),C860^2,"")</x:f>
        <x:v>0.0006106203239131515</x:v>
      </x:c>
      <x:c r="E860" s="15" t="n">
        <x:f>IF(ISNUMBER(C860),C860^3,"")</x:f>
        <x:v>-0.00001508887577025434</x:v>
      </x:c>
      <x:c r="F860" s="15" t="n">
        <x:f>IF(ISNUMBER(C860),C860^4,"")</x:f>
        <x:v>3.7285717997580213e-7</x:v>
      </x:c>
      <x:c r="G860" s="7" t="n">
        <x:f>IF(ISNUMBER(B860),ABS(B860),"")</x:f>
        <x:v>0.02475897229701928</x:v>
      </x:c>
      <x:c r="H860" s="7" t="n">
        <x:f>IF(ISNUMBER(B860),B860^2,"")</x:f>
        <x:v>0.0006130067092045683</x:v>
      </x:c>
      <x:c r="I860" s="7" t="n">
        <x:f>IF(AND(ISNUMBER(G860),'요약'!$B$19),G860-'요약'!$B$14,"")</x:f>
        <x:v>0.016745455669616424</x:v>
      </x:c>
      <x:c r="J860" s="7" t="n">
        <x:f>IF(AND(ISNUMBER(H860),'요약'!$B$19),H860-'요약'!$B$15,"")</x:f>
        <x:v>0.0005107970100184762</x:v>
      </x:c>
      <x:c r="K860" t="n">
        <x:f>IF(ISNUMBER(B860),IF('Hill'!$B$4=1,IF(B860&lt;0,-B860,""),IF('Hill'!$B$4=2,IF(B860&gt;0,B860,""),IF('Hill'!$B$4=3,IF(B860&lt;&gt;0,ABS(B860),""),""))),"")</x:f>
        <x:v>0.02475897229701928</x:v>
      </x:c>
    </x:row>
    <x:row r="861">
      <x:c r="A861" t="n">
        <x:f>860</x:f>
        <x:v>860</x:v>
      </x:c>
      <x:c r="B861" s="7" t="n">
        <x:f>IF('요약'!$B$4=4,IF(ISNUMBER('input'!A861),'input'!A861,""),IF(860&lt;=1000,CHOOSE('요약'!$B$4,'input'!B861,'input'!C861,'input'!D861),""))</x:f>
        <x:v>-0.007763835634602245</x:v>
      </x:c>
      <x:c r="C861" s="7" t="n">
        <x:f>IF(AND(ISNUMBER(B861),'요약'!$B$19),B861-'요약'!$B$7,"")</x:f>
        <x:v>-0.007715596307552744</x:v>
      </x:c>
      <x:c r="D861" s="7" t="n">
        <x:f>IF(ISNUMBER(C861),C861^2,"")</x:f>
        <x:v>0.00005953042638112153</x:v>
      </x:c>
      <x:c r="E861" s="15" t="n">
        <x:f>IF(ISNUMBER(C861),C861^3,"")</x:f>
        <x:v>-4.593127379732217e-7</x:v>
      </x:c>
      <x:c r="F861" s="15" t="n">
        <x:f>IF(ISNUMBER(C861),C861^4,"")</x:f>
        <x:v>3.5438716651181304e-9</x:v>
      </x:c>
      <x:c r="G861" s="7" t="n">
        <x:f>IF(ISNUMBER(B861),ABS(B861),"")</x:f>
        <x:v>0.007763835634602245</x:v>
      </x:c>
      <x:c r="H861" s="7" t="n">
        <x:f>IF(ISNUMBER(B861),B861^2,"")</x:f>
        <x:v>0.000060277143761119646</x:v>
      </x:c>
      <x:c r="I861" s="7" t="n">
        <x:f>IF(AND(ISNUMBER(G861),'요약'!$B$19),G861-'요약'!$B$14,"")</x:f>
        <x:v>-0.00024968099280061034</x:v>
      </x:c>
      <x:c r="J861" s="7" t="n">
        <x:f>IF(AND(ISNUMBER(H861),'요약'!$B$19),H861-'요약'!$B$15,"")</x:f>
        <x:v>-0.00004193255542497246</x:v>
      </x:c>
      <x:c r="K861" t="n">
        <x:f>IF(ISNUMBER(B861),IF('Hill'!$B$4=1,IF(B861&lt;0,-B861,""),IF('Hill'!$B$4=2,IF(B861&gt;0,B861,""),IF('Hill'!$B$4=3,IF(B861&lt;&gt;0,ABS(B861),""),""))),"")</x:f>
        <x:v>0.007763835634602245</x:v>
      </x:c>
    </x:row>
    <x:row r="862">
      <x:c r="A862" t="n">
        <x:f>861</x:f>
        <x:v>861</x:v>
      </x:c>
      <x:c r="B862" s="7" t="n">
        <x:f>IF('요약'!$B$4=4,IF(ISNUMBER('input'!A862),'input'!A862,""),IF(861&lt;=1000,CHOOSE('요약'!$B$4,'input'!B862,'input'!C862,'input'!D862),""))</x:f>
        <x:v>0.0047375441495819196</x:v>
      </x:c>
      <x:c r="C862" s="7" t="n">
        <x:f>IF(AND(ISNUMBER(B862),'요약'!$B$19),B862-'요약'!$B$7,"")</x:f>
        <x:v>0.004785783476631421</x:v>
      </x:c>
      <x:c r="D862" s="7" t="n">
        <x:f>IF(ISNUMBER(C862),C862^2,"")</x:f>
        <x:v>0.00002290372348519833</x:v>
      </x:c>
      <x:c r="E862" s="15" t="n">
        <x:f>IF(ISNUMBER(C862),C862^3,"")</x:f>
        <x:v>1.096122614087972e-7</x:v>
      </x:c>
      <x:c r="F862" s="15" t="n">
        <x:f>IF(ISNUMBER(C862),C862^4,"")</x:f>
        <x:v>5.245805494864256e-10</x:v>
      </x:c>
      <x:c r="G862" s="7" t="n">
        <x:f>IF(ISNUMBER(B862),ABS(B862),"")</x:f>
        <x:v>0.0047375441495819196</x:v>
      </x:c>
      <x:c r="H862" s="7" t="n">
        <x:f>IF(ISNUMBER(B862),B862^2,"")</x:f>
        <x:v>0.000022444324569237874</x:v>
      </x:c>
      <x:c r="I862" s="7" t="n">
        <x:f>IF(AND(ISNUMBER(G862),'요약'!$B$19),G862-'요약'!$B$14,"")</x:f>
        <x:v>-0.003275972477820936</x:v>
      </x:c>
      <x:c r="J862" s="7" t="n">
        <x:f>IF(AND(ISNUMBER(H862),'요약'!$B$19),H862-'요약'!$B$15,"")</x:f>
        <x:v>-0.00007976537461685423</x:v>
      </x:c>
      <x:c r="K862" t="str">
        <x:f>IF(ISNUMBER(B862),IF('Hill'!$B$4=1,IF(B862&lt;0,-B862,""),IF('Hill'!$B$4=2,IF(B862&gt;0,B862,""),IF('Hill'!$B$4=3,IF(B862&lt;&gt;0,ABS(B862),""),""))),"")</x:f>
      </x:c>
    </x:row>
    <x:row r="863">
      <x:c r="A863" t="n">
        <x:f>862</x:f>
        <x:v>862</x:v>
      </x:c>
      <x:c r="B863" s="7" t="n">
        <x:f>IF('요약'!$B$4=4,IF(ISNUMBER('input'!A863),'input'!A863,""),IF(862&lt;=1000,CHOOSE('요약'!$B$4,'input'!B863,'input'!C863,'input'!D863),""))</x:f>
        <x:v>-0.00701350502314395</x:v>
      </x:c>
      <x:c r="C863" s="7" t="n">
        <x:f>IF(AND(ISNUMBER(B863),'요약'!$B$19),B863-'요약'!$B$7,"")</x:f>
        <x:v>-0.006965265696094449</x:v>
      </x:c>
      <x:c r="D863" s="7" t="n">
        <x:f>IF(ISNUMBER(C863),C863^2,"")</x:f>
        <x:v>0.000048514926217190086</x:v>
      </x:c>
      <x:c r="E863" s="15" t="n">
        <x:f>IF(ISNUMBER(C863),C863^3,"")</x:f>
        <x:v>-3.379193513291473e-7</x:v>
      </x:c>
      <x:c r="F863" s="15" t="n">
        <x:f>IF(ISNUMBER(C863),C863^4,"")</x:f>
        <x:v>2.353698065859398e-9</x:v>
      </x:c>
      <x:c r="G863" s="7" t="n">
        <x:f>IF(ISNUMBER(B863),ABS(B863),"")</x:f>
        <x:v>0.00701350502314395</x:v>
      </x:c>
      <x:c r="H863" s="7" t="n">
        <x:f>IF(ISNUMBER(B863),B863^2,"")</x:f>
        <x:v>0.00004918925270966542</x:v>
      </x:c>
      <x:c r="I863" s="7" t="n">
        <x:f>IF(AND(ISNUMBER(G863),'요약'!$B$19),G863-'요약'!$B$14,"")</x:f>
        <x:v>-0.0010000116042589054</x:v>
      </x:c>
      <x:c r="J863" s="7" t="n">
        <x:f>IF(AND(ISNUMBER(H863),'요약'!$B$19),H863-'요약'!$B$15,"")</x:f>
        <x:v>-0.00005302044647642668</x:v>
      </x:c>
      <x:c r="K863" t="n">
        <x:f>IF(ISNUMBER(B863),IF('Hill'!$B$4=1,IF(B863&lt;0,-B863,""),IF('Hill'!$B$4=2,IF(B863&gt;0,B863,""),IF('Hill'!$B$4=3,IF(B863&lt;&gt;0,ABS(B863),""),""))),"")</x:f>
        <x:v>0.00701350502314395</x:v>
      </x:c>
    </x:row>
    <x:row r="864">
      <x:c r="A864" t="n">
        <x:f>863</x:f>
        <x:v>863</x:v>
      </x:c>
      <x:c r="B864" s="7" t="n">
        <x:f>IF('요약'!$B$4=4,IF(ISNUMBER('input'!A864),'input'!A864,""),IF(863&lt;=1000,CHOOSE('요약'!$B$4,'input'!B864,'input'!C864,'input'!D864),""))</x:f>
        <x:v>0.0018106104904667567</x:v>
      </x:c>
      <x:c r="C864" s="7" t="n">
        <x:f>IF(AND(ISNUMBER(B864),'요약'!$B$19),B864-'요약'!$B$7,"")</x:f>
        <x:v>0.0018588498175162581</x:v>
      </x:c>
      <x:c r="D864" s="7" t="n">
        <x:f>IF(ISNUMBER(C864),C864^2,"")</x:f>
        <x:v>0.000003455322644080226</x:v>
      </x:c>
      <x:c r="E864" s="15" t="n">
        <x:f>IF(ISNUMBER(C864),C864^3,"")</x:f>
        <x:v>6.422925866408323e-9</x:v>
      </x:c>
      <x:c r="F864" s="15" t="n">
        <x:f>IF(ISNUMBER(C864),C864^4,"")</x:f>
        <x:v>1.1939254574693565e-11</x:v>
      </x:c>
      <x:c r="G864" s="7" t="n">
        <x:f>IF(ISNUMBER(B864),ABS(B864),"")</x:f>
        <x:v>0.0018106104904667567</x:v>
      </x:c>
      <x:c r="H864" s="7" t="n">
        <x:f>IF(ISNUMBER(B864),B864^2,"")</x:f>
        <x:v>0.000003278310348188269</x:v>
      </x:c>
      <x:c r="I864" s="7" t="n">
        <x:f>IF(AND(ISNUMBER(G864),'요약'!$B$19),G864-'요약'!$B$14,"")</x:f>
        <x:v>-0.006202906136936099</x:v>
      </x:c>
      <x:c r="J864" s="7" t="n">
        <x:f>IF(AND(ISNUMBER(H864),'요약'!$B$19),H864-'요약'!$B$15,"")</x:f>
        <x:v>-0.00009893138883790383</x:v>
      </x:c>
      <x:c r="K864" t="str">
        <x:f>IF(ISNUMBER(B864),IF('Hill'!$B$4=1,IF(B864&lt;0,-B864,""),IF('Hill'!$B$4=2,IF(B864&gt;0,B864,""),IF('Hill'!$B$4=3,IF(B864&lt;&gt;0,ABS(B864),""),""))),"")</x:f>
      </x:c>
    </x:row>
    <x:row r="865">
      <x:c r="A865" t="n">
        <x:f>864</x:f>
        <x:v>864</x:v>
      </x:c>
      <x:c r="B865" s="7" t="n">
        <x:f>IF('요약'!$B$4=4,IF(ISNUMBER('input'!A865),'input'!A865,""),IF(864&lt;=1000,CHOOSE('요약'!$B$4,'input'!B865,'input'!C865,'input'!D865),""))</x:f>
        <x:v>-0.003720523797651686</x:v>
      </x:c>
      <x:c r="C865" s="7" t="n">
        <x:f>IF(AND(ISNUMBER(B865),'요약'!$B$19),B865-'요약'!$B$7,"")</x:f>
        <x:v>-0.0036722844706021844</x:v>
      </x:c>
      <x:c r="D865" s="7" t="n">
        <x:f>IF(ISNUMBER(C865),C865^2,"")</x:f>
        <x:v>0.000013485673233025967</x:v>
      </x:c>
      <x:c r="E865" s="15" t="n">
        <x:f>IF(ISNUMBER(C865),C865^3,"")</x:f>
        <x:v>-4.952322838925681e-8</x:v>
      </x:c>
      <x:c r="F865" s="15" t="n">
        <x:f>IF(ISNUMBER(C865),C865^4,"")</x:f>
        <x:v>1.81863382547953e-10</x:v>
      </x:c>
      <x:c r="G865" s="7" t="n">
        <x:f>IF(ISNUMBER(B865),ABS(B865),"")</x:f>
        <x:v>0.003720523797651686</x:v>
      </x:c>
      <x:c r="H865" s="7" t="n">
        <x:f>IF(ISNUMBER(B865),B865^2,"")</x:f>
        <x:v>0.000013842297328892524</x:v>
      </x:c>
      <x:c r="I865" s="7" t="n">
        <x:f>IF(AND(ISNUMBER(G865),'요약'!$B$19),G865-'요약'!$B$14,"")</x:f>
        <x:v>-0.0042929928297511695</x:v>
      </x:c>
      <x:c r="J865" s="7" t="n">
        <x:f>IF(AND(ISNUMBER(H865),'요약'!$B$19),H865-'요약'!$B$15,"")</x:f>
        <x:v>-0.00008836740185719958</x:v>
      </x:c>
      <x:c r="K865" t="n">
        <x:f>IF(ISNUMBER(B865),IF('Hill'!$B$4=1,IF(B865&lt;0,-B865,""),IF('Hill'!$B$4=2,IF(B865&gt;0,B865,""),IF('Hill'!$B$4=3,IF(B865&lt;&gt;0,ABS(B865),""),""))),"")</x:f>
        <x:v>0.003720523797651686</x:v>
      </x:c>
    </x:row>
    <x:row r="866">
      <x:c r="A866" t="n">
        <x:f>865</x:f>
        <x:v>865</x:v>
      </x:c>
      <x:c r="B866" s="7" t="n">
        <x:f>IF('요약'!$B$4=4,IF(ISNUMBER('input'!A866),'input'!A866,""),IF(865&lt;=1000,CHOOSE('요약'!$B$4,'input'!B866,'input'!C866,'input'!D866),""))</x:f>
        <x:v>0.0043494944136132615</x:v>
      </x:c>
      <x:c r="C866" s="7" t="n">
        <x:f>IF(AND(ISNUMBER(B866),'요약'!$B$19),B866-'요약'!$B$7,"")</x:f>
        <x:v>0.004397733740662763</x:v>
      </x:c>
      <x:c r="D866" s="7" t="n">
        <x:f>IF(ISNUMBER(C866),C866^2,"")</x:f>
        <x:v>0.000019340062053763696</x:v>
      </x:c>
      <x:c r="E866" s="15" t="n">
        <x:f>IF(ISNUMBER(C866),C866^3,"")</x:f>
        <x:v>8.505244344034817e-8</x:v>
      </x:c>
      <x:c r="F866" s="15" t="n">
        <x:f>IF(ISNUMBER(C866),C866^4,"")</x:f>
        <x:v>3.740380002434305e-10</x:v>
      </x:c>
      <x:c r="G866" s="7" t="n">
        <x:f>IF(ISNUMBER(B866),ABS(B866),"")</x:f>
        <x:v>0.0043494944136132615</x:v>
      </x:c>
      <x:c r="H866" s="7" t="n">
        <x:f>IF(ISNUMBER(B866),B866^2,"")</x:f>
        <x:v>0.00001891810165405297</x:v>
      </x:c>
      <x:c r="I866" s="7" t="n">
        <x:f>IF(AND(ISNUMBER(G866),'요약'!$B$19),G866-'요약'!$B$14,"")</x:f>
        <x:v>-0.003664022213789594</x:v>
      </x:c>
      <x:c r="J866" s="7" t="n">
        <x:f>IF(AND(ISNUMBER(H866),'요약'!$B$19),H866-'요약'!$B$15,"")</x:f>
        <x:v>-0.00008329159753203913</x:v>
      </x:c>
      <x:c r="K866" t="str">
        <x:f>IF(ISNUMBER(B866),IF('Hill'!$B$4=1,IF(B866&lt;0,-B866,""),IF('Hill'!$B$4=2,IF(B866&gt;0,B866,""),IF('Hill'!$B$4=3,IF(B866&lt;&gt;0,ABS(B866),""),""))),"")</x:f>
      </x:c>
    </x:row>
    <x:row r="867">
      <x:c r="A867" t="n">
        <x:f>866</x:f>
        <x:v>866</x:v>
      </x:c>
      <x:c r="B867" s="7" t="n">
        <x:f>IF('요약'!$B$4=4,IF(ISNUMBER('input'!A867),'input'!A867,""),IF(866&lt;=1000,CHOOSE('요약'!$B$4,'input'!B867,'input'!C867,'input'!D867),""))</x:f>
        <x:v>0.015056134985145613</x:v>
      </x:c>
      <x:c r="C867" s="7" t="n">
        <x:f>IF(AND(ISNUMBER(B867),'요약'!$B$19),B867-'요약'!$B$7,"")</x:f>
        <x:v>0.015104374312195114</x:v>
      </x:c>
      <x:c r="D867" s="7" t="n">
        <x:f>IF(ISNUMBER(C867),C867^2,"")</x:f>
        <x:v>0.00022814212336289962</x:v>
      </x:c>
      <x:c r="E867" s="15" t="n">
        <x:f>IF(ISNUMBER(C867),C867^3,"")</x:f>
        <x:v>0.00000344594402765223</x:v>
      </x:c>
      <x:c r="F867" s="15" t="n">
        <x:f>IF(ISNUMBER(C867),C867^4,"")</x:f>
        <x:v>5.204882845253251e-8</x:v>
      </x:c>
      <x:c r="G867" s="7" t="n">
        <x:f>IF(ISNUMBER(B867),ABS(B867),"")</x:f>
        <x:v>0.015056134985145613</x:v>
      </x:c>
      <x:c r="H867" s="7" t="n">
        <x:f>IF(ISNUMBER(B867),B867^2,"")</x:f>
        <x:v>0.0002266872006909257</x:v>
      </x:c>
      <x:c r="I867" s="7" t="n">
        <x:f>IF(AND(ISNUMBER(G867),'요약'!$B$19),G867-'요약'!$B$14,"")</x:f>
        <x:v>0.007042618357742758</x:v>
      </x:c>
      <x:c r="J867" s="7" t="n">
        <x:f>IF(AND(ISNUMBER(H867),'요약'!$B$19),H867-'요약'!$B$15,"")</x:f>
        <x:v>0.0001244775015048336</x:v>
      </x:c>
      <x:c r="K867" t="str">
        <x:f>IF(ISNUMBER(B867),IF('Hill'!$B$4=1,IF(B867&lt;0,-B867,""),IF('Hill'!$B$4=2,IF(B867&gt;0,B867,""),IF('Hill'!$B$4=3,IF(B867&lt;&gt;0,ABS(B867),""),""))),"")</x:f>
      </x:c>
    </x:row>
    <x:row r="868">
      <x:c r="A868" t="n">
        <x:f>867</x:f>
        <x:v>867</x:v>
      </x:c>
      <x:c r="B868" s="7" t="n">
        <x:f>IF('요약'!$B$4=4,IF(ISNUMBER('input'!A868),'input'!A868,""),IF(867&lt;=1000,CHOOSE('요약'!$B$4,'input'!B868,'input'!C868,'input'!D868),""))</x:f>
        <x:v>0.000979362549140422</x:v>
      </x:c>
      <x:c r="C868" s="7" t="n">
        <x:f>IF(AND(ISNUMBER(B868),'요약'!$B$19),B868-'요약'!$B$7,"")</x:f>
        <x:v>0.0010276018761899235</x:v>
      </x:c>
      <x:c r="D868" s="7" t="n">
        <x:f>IF(ISNUMBER(C868),C868^2,"")</x:f>
        <x:v>0.0000010559656159490509</x:v>
      </x:c>
      <x:c r="E868" s="15" t="n">
        <x:f>IF(ISNUMBER(C868),C868^3,"")</x:f>
        <x:v>1.085112248141293e-9</x:v>
      </x:c>
      <x:c r="F868" s="15" t="n">
        <x:f>IF(ISNUMBER(C868),C868^4,"")</x:f>
        <x:v>1.1150633820666585e-12</x:v>
      </x:c>
      <x:c r="G868" s="7" t="n">
        <x:f>IF(ISNUMBER(B868),ABS(B868),"")</x:f>
        <x:v>0.000979362549140422</x:v>
      </x:c>
      <x:c r="H868" s="7" t="n">
        <x:f>IF(ISNUMBER(B868),B868^2,"")</x:f>
        <x:v>9.591510026588256e-7</x:v>
      </x:c>
      <x:c r="I868" s="7" t="n">
        <x:f>IF(AND(ISNUMBER(G868),'요약'!$B$19),G868-'요약'!$B$14,"")</x:f>
        <x:v>-0.007034154078262434</x:v>
      </x:c>
      <x:c r="J868" s="7" t="n">
        <x:f>IF(AND(ISNUMBER(H868),'요약'!$B$19),H868-'요약'!$B$15,"")</x:f>
        <x:v>-0.00010125054818343328</x:v>
      </x:c>
      <x:c r="K868" t="str">
        <x:f>IF(ISNUMBER(B868),IF('Hill'!$B$4=1,IF(B868&lt;0,-B868,""),IF('Hill'!$B$4=2,IF(B868&gt;0,B868,""),IF('Hill'!$B$4=3,IF(B868&lt;&gt;0,ABS(B868),""),""))),"")</x:f>
      </x:c>
    </x:row>
    <x:row r="869">
      <x:c r="A869" t="n">
        <x:f>868</x:f>
        <x:v>868</x:v>
      </x:c>
      <x:c r="B869" s="7" t="n">
        <x:f>IF('요약'!$B$4=4,IF(ISNUMBER('input'!A869),'input'!A869,""),IF(868&lt;=1000,CHOOSE('요약'!$B$4,'input'!B869,'input'!C869,'input'!D869),""))</x:f>
        <x:v>0.005790843773418108</x:v>
      </x:c>
      <x:c r="C869" s="7" t="n">
        <x:f>IF(AND(ISNUMBER(B869),'요약'!$B$19),B869-'요약'!$B$7,"")</x:f>
        <x:v>0.005839083100467609</x:v>
      </x:c>
      <x:c r="D869" s="7" t="n">
        <x:f>IF(ISNUMBER(C869),C869^2,"")</x:f>
        <x:v>0.00003409489145416643</x:v>
      </x:c>
      <x:c r="E869" s="15" t="n">
        <x:f>IF(ISNUMBER(C869),C869^3,"")</x:f>
        <x:v>1.990829045023007e-7</x:v>
      </x:c>
      <x:c r="F869" s="15" t="n">
        <x:f>IF(ISNUMBER(C869),C869^4,"")</x:f>
        <x:v>1.1624616232713909e-9</x:v>
      </x:c>
      <x:c r="G869" s="7" t="n">
        <x:f>IF(ISNUMBER(B869),ABS(B869),"")</x:f>
        <x:v>0.005790843773418108</x:v>
      </x:c>
      <x:c r="H869" s="7" t="n">
        <x:f>IF(ISNUMBER(B869),B869^2,"")</x:f>
        <x:v>0.00003353387160813527</x:v>
      </x:c>
      <x:c r="I869" s="7" t="n">
        <x:f>IF(AND(ISNUMBER(G869),'요약'!$B$19),G869-'요약'!$B$14,"")</x:f>
        <x:v>-0.0022226728539847477</x:v>
      </x:c>
      <x:c r="J869" s="7" t="n">
        <x:f>IF(AND(ISNUMBER(H869),'요약'!$B$19),H869-'요약'!$B$15,"")</x:f>
        <x:v>-0.00006867582757795684</x:v>
      </x:c>
      <x:c r="K869" t="str">
        <x:f>IF(ISNUMBER(B869),IF('Hill'!$B$4=1,IF(B869&lt;0,-B869,""),IF('Hill'!$B$4=2,IF(B869&gt;0,B869,""),IF('Hill'!$B$4=3,IF(B869&lt;&gt;0,ABS(B869),""),""))),"")</x:f>
      </x:c>
    </x:row>
    <x:row r="870">
      <x:c r="A870" t="n">
        <x:f>869</x:f>
        <x:v>869</x:v>
      </x:c>
      <x:c r="B870" s="7" t="n">
        <x:f>IF('요약'!$B$4=4,IF(ISNUMBER('input'!A870),'input'!A870,""),IF(869&lt;=1000,CHOOSE('요약'!$B$4,'input'!B870,'input'!C870,'input'!D870),""))</x:f>
        <x:v>0.015396516979239466</x:v>
      </x:c>
      <x:c r="C870" s="7" t="n">
        <x:f>IF(AND(ISNUMBER(B870),'요약'!$B$19),B870-'요약'!$B$7,"")</x:f>
        <x:v>0.015444756306288967</x:v>
      </x:c>
      <x:c r="D870" s="7" t="n">
        <x:f>IF(ISNUMBER(C870),C870^2,"")</x:f>
        <x:v>0.0002385404973606528</x:v>
      </x:c>
      <x:c r="E870" s="15" t="n">
        <x:f>IF(ISNUMBER(C870),C870^3,"")</x:f>
        <x:v>0.000003684199850916249</x:v>
      </x:c>
      <x:c r="F870" s="15" t="n">
        <x:f>IF(ISNUMBER(C870),C870^4,"")</x:f>
        <x:v>5.690156888106761e-8</x:v>
      </x:c>
      <x:c r="G870" s="7" t="n">
        <x:f>IF(ISNUMBER(B870),ABS(B870),"")</x:f>
        <x:v>0.015396516979239466</x:v>
      </x:c>
      <x:c r="H870" s="7" t="n">
        <x:f>IF(ISNUMBER(B870),B870^2,"")</x:f>
        <x:v>0.00023705273509200917</x:v>
      </x:c>
      <x:c r="I870" s="7" t="n">
        <x:f>IF(AND(ISNUMBER(G870),'요약'!$B$19),G870-'요약'!$B$14,"")</x:f>
        <x:v>0.007383000351836611</x:v>
      </x:c>
      <x:c r="J870" s="7" t="n">
        <x:f>IF(AND(ISNUMBER(H870),'요약'!$B$19),H870-'요약'!$B$15,"")</x:f>
        <x:v>0.00013484303590591707</x:v>
      </x:c>
      <x:c r="K870" t="str">
        <x:f>IF(ISNUMBER(B870),IF('Hill'!$B$4=1,IF(B870&lt;0,-B870,""),IF('Hill'!$B$4=2,IF(B870&gt;0,B870,""),IF('Hill'!$B$4=3,IF(B870&lt;&gt;0,ABS(B870),""),""))),"")</x:f>
      </x:c>
    </x:row>
    <x:row r="871">
      <x:c r="A871" t="n">
        <x:f>870</x:f>
        <x:v>870</x:v>
      </x:c>
      <x:c r="B871" s="7" t="n">
        <x:f>IF('요약'!$B$4=4,IF(ISNUMBER('input'!A871),'input'!A871,""),IF(870&lt;=1000,CHOOSE('요약'!$B$4,'input'!B871,'input'!C871,'input'!D871),""))</x:f>
        <x:v>-0.00984843448626662</x:v>
      </x:c>
      <x:c r="C871" s="7" t="n">
        <x:f>IF(AND(ISNUMBER(B871),'요약'!$B$19),B871-'요약'!$B$7,"")</x:f>
        <x:v>-0.00980019515921712</x:v>
      </x:c>
      <x:c r="D871" s="7" t="n">
        <x:f>IF(ISNUMBER(C871),C871^2,"")</x:f>
        <x:v>0.00009604382515874267</x:v>
      </x:c>
      <x:c r="E871" s="15" t="n">
        <x:f>IF(ISNUMBER(C871),C871^3,"")</x:f>
        <x:v>-9.412482303934053e-7</x:v>
      </x:c>
      <x:c r="F871" s="15" t="n">
        <x:f>IF(ISNUMBER(C871),C871^4,"")</x:f>
        <x:v>9.224416351123131e-9</x:v>
      </x:c>
      <x:c r="G871" s="7" t="n">
        <x:f>IF(ISNUMBER(B871),ABS(B871),"")</x:f>
        <x:v>0.00984843448626662</x:v>
      </x:c>
      <x:c r="H871" s="7" t="n">
        <x:f>IF(ISNUMBER(B871),B871^2,"")</x:f>
        <x:v>0.00009699166183028566</x:v>
      </x:c>
      <x:c r="I871" s="7" t="n">
        <x:f>IF(AND(ISNUMBER(G871),'요약'!$B$19),G871-'요약'!$B$14,"")</x:f>
        <x:v>0.001834917858863765</x:v>
      </x:c>
      <x:c r="J871" s="7" t="n">
        <x:f>IF(AND(ISNUMBER(H871),'요약'!$B$19),H871-'요약'!$B$15,"")</x:f>
        <x:v>-0.00000521803735580644</x:v>
      </x:c>
      <x:c r="K871" t="n">
        <x:f>IF(ISNUMBER(B871),IF('Hill'!$B$4=1,IF(B871&lt;0,-B871,""),IF('Hill'!$B$4=2,IF(B871&gt;0,B871,""),IF('Hill'!$B$4=3,IF(B871&lt;&gt;0,ABS(B871),""),""))),"")</x:f>
        <x:v>0.00984843448626662</x:v>
      </x:c>
    </x:row>
    <x:row r="872">
      <x:c r="A872" t="n">
        <x:f>871</x:f>
        <x:v>871</x:v>
      </x:c>
      <x:c r="B872" s="7" t="n">
        <x:f>IF('요약'!$B$4=4,IF(ISNUMBER('input'!A872),'input'!A872,""),IF(871&lt;=1000,CHOOSE('요약'!$B$4,'input'!B872,'input'!C872,'input'!D872),""))</x:f>
        <x:v>-0.03432566242465914</x:v>
      </x:c>
      <x:c r="C872" s="7" t="n">
        <x:f>IF(AND(ISNUMBER(B872),'요약'!$B$19),B872-'요약'!$B$7,"")</x:f>
        <x:v>-0.03427742309760964</x:v>
      </x:c>
      <x:c r="D872" s="7" t="n">
        <x:f>IF(ISNUMBER(C872),C872^2,"")</x:f>
        <x:v>0.0011749417342125426</x:v>
      </x:c>
      <x:c r="E872" s="15" t="n">
        <x:f>IF(ISNUMBER(C872),C872^3,"")</x:f>
        <x:v>-0.00004027397493864253</x:v>
      </x:c>
      <x:c r="F872" s="15" t="n">
        <x:f>IF(ISNUMBER(C872),C872^4,"")</x:f>
        <x:v>0.0000013804880787943773</x:v>
      </x:c>
      <x:c r="G872" s="7" t="n">
        <x:f>IF(ISNUMBER(B872),ABS(B872),"")</x:f>
        <x:v>0.03432566242465914</x:v>
      </x:c>
      <x:c r="H872" s="7" t="n">
        <x:f>IF(ISNUMBER(B872),B872^2,"")</x:f>
        <x:v>0.0011782511008916565</x:v>
      </x:c>
      <x:c r="I872" s="7" t="n">
        <x:f>IF(AND(ISNUMBER(G872),'요약'!$B$19),G872-'요약'!$B$14,"")</x:f>
        <x:v>0.026312145797256284</x:v>
      </x:c>
      <x:c r="J872" s="7" t="n">
        <x:f>IF(AND(ISNUMBER(H872),'요약'!$B$19),H872-'요약'!$B$15,"")</x:f>
        <x:v>0.0010760414017055644</x:v>
      </x:c>
      <x:c r="K872" t="n">
        <x:f>IF(ISNUMBER(B872),IF('Hill'!$B$4=1,IF(B872&lt;0,-B872,""),IF('Hill'!$B$4=2,IF(B872&gt;0,B872,""),IF('Hill'!$B$4=3,IF(B872&lt;&gt;0,ABS(B872),""),""))),"")</x:f>
        <x:v>0.03432566242465914</x:v>
      </x:c>
    </x:row>
    <x:row r="873">
      <x:c r="A873" t="n">
        <x:f>872</x:f>
        <x:v>872</x:v>
      </x:c>
      <x:c r="B873" s="7" t="n">
        <x:f>IF('요약'!$B$4=4,IF(ISNUMBER('input'!A873),'input'!A873,""),IF(872&lt;=1000,CHOOSE('요약'!$B$4,'input'!B873,'input'!C873,'input'!D873),""))</x:f>
        <x:v>-0.0032556537024080235</x:v>
      </x:c>
      <x:c r="C873" s="7" t="n">
        <x:f>IF(AND(ISNUMBER(B873),'요약'!$B$19),B873-'요약'!$B$7,"")</x:f>
        <x:v>-0.003207414375358522</x:v>
      </x:c>
      <x:c r="D873" s="7" t="n">
        <x:f>IF(ISNUMBER(C873),C873^2,"")</x:f>
        <x:v>0.000010287506975256497</x:v>
      </x:c>
      <x:c r="E873" s="15" t="n">
        <x:f>IF(ISNUMBER(C873),C873^3,"")</x:f>
        <x:v>-3.299629775903876e-8</x:v>
      </x:c>
      <x:c r="F873" s="15" t="n">
        <x:f>IF(ISNUMBER(C873),C873^4,"")</x:f>
        <x:v>1.058327997659511e-10</x:v>
      </x:c>
      <x:c r="G873" s="7" t="n">
        <x:f>IF(ISNUMBER(B873),ABS(B873),"")</x:f>
        <x:v>0.0032556537024080235</x:v>
      </x:c>
      <x:c r="H873" s="7" t="n">
        <x:f>IF(ISNUMBER(B873),B873^2,"")</x:f>
        <x:v>0.00001059928103000307</x:v>
      </x:c>
      <x:c r="I873" s="7" t="n">
        <x:f>IF(AND(ISNUMBER(G873),'요약'!$B$19),G873-'요약'!$B$14,"")</x:f>
        <x:v>-0.004757862924994832</x:v>
      </x:c>
      <x:c r="J873" s="7" t="n">
        <x:f>IF(AND(ISNUMBER(H873),'요약'!$B$19),H873-'요약'!$B$15,"")</x:f>
        <x:v>-0.00009161041815608903</x:v>
      </x:c>
      <x:c r="K873" t="n">
        <x:f>IF(ISNUMBER(B873),IF('Hill'!$B$4=1,IF(B873&lt;0,-B873,""),IF('Hill'!$B$4=2,IF(B873&gt;0,B873,""),IF('Hill'!$B$4=3,IF(B873&lt;&gt;0,ABS(B873),""),""))),"")</x:f>
        <x:v>0.0032556537024080235</x:v>
      </x:c>
    </x:row>
    <x:row r="874">
      <x:c r="A874" t="n">
        <x:f>873</x:f>
        <x:v>873</x:v>
      </x:c>
      <x:c r="B874" s="7" t="n">
        <x:f>IF('요약'!$B$4=4,IF(ISNUMBER('input'!A874),'input'!A874,""),IF(873&lt;=1000,CHOOSE('요약'!$B$4,'input'!B874,'input'!C874,'input'!D874),""))</x:f>
        <x:v>-0.018289307193044415</x:v>
      </x:c>
      <x:c r="C874" s="7" t="n">
        <x:f>IF(AND(ISNUMBER(B874),'요약'!$B$19),B874-'요약'!$B$7,"")</x:f>
        <x:v>-0.018241067865994914</x:v>
      </x:c>
      <x:c r="D874" s="7" t="n">
        <x:f>IF(ISNUMBER(C874),C874^2,"")</x:f>
        <x:v>0.00033273655689183227</x:v>
      </x:c>
      <x:c r="E874" s="15" t="n">
        <x:f>IF(ISNUMBER(C874),C874^3,"")</x:f>
        <x:v>-0.0000060694701157613905</x:v>
      </x:c>
      <x:c r="F874" s="15" t="n">
        <x:f>IF(ISNUMBER(C874),C874^4,"")</x:f>
        <x:v>1.1071361629223152e-7</x:v>
      </x:c>
      <x:c r="G874" s="7" t="n">
        <x:f>IF(ISNUMBER(B874),ABS(B874),"")</x:f>
        <x:v>0.018289307193044415</x:v>
      </x:c>
      <x:c r="H874" s="7" t="n">
        <x:f>IF(ISNUMBER(B874),B874^2,"")</x:f>
        <x:v>0.0003344987576015462</x:v>
      </x:c>
      <x:c r="I874" s="7" t="n">
        <x:f>IF(AND(ISNUMBER(G874),'요약'!$B$19),G874-'요약'!$B$14,"")</x:f>
        <x:v>0.01027579056564156</x:v>
      </x:c>
      <x:c r="J874" s="7" t="n">
        <x:f>IF(AND(ISNUMBER(H874),'요약'!$B$19),H874-'요약'!$B$15,"")</x:f>
        <x:v>0.00023228905841545409</x:v>
      </x:c>
      <x:c r="K874" t="n">
        <x:f>IF(ISNUMBER(B874),IF('Hill'!$B$4=1,IF(B874&lt;0,-B874,""),IF('Hill'!$B$4=2,IF(B874&gt;0,B874,""),IF('Hill'!$B$4=3,IF(B874&lt;&gt;0,ABS(B874),""),""))),"")</x:f>
        <x:v>0.018289307193044415</x:v>
      </x:c>
    </x:row>
    <x:row r="875">
      <x:c r="A875" t="n">
        <x:f>874</x:f>
        <x:v>874</x:v>
      </x:c>
      <x:c r="B875" s="7" t="n">
        <x:f>IF('요약'!$B$4=4,IF(ISNUMBER('input'!A875),'input'!A875,""),IF(874&lt;=1000,CHOOSE('요약'!$B$4,'input'!B875,'input'!C875,'input'!D875),""))</x:f>
        <x:v>-0.007239515332291735</x:v>
      </x:c>
      <x:c r="C875" s="7" t="n">
        <x:f>IF(AND(ISNUMBER(B875),'요약'!$B$19),B875-'요약'!$B$7,"")</x:f>
        <x:v>-0.007191276005242234</x:v>
      </x:c>
      <x:c r="D875" s="7" t="n">
        <x:f>IF(ISNUMBER(C875),C875^2,"")</x:f>
        <x:v>0.0000517144505835727</x:v>
      </x:c>
      <x:c r="E875" s="15" t="n">
        <x:f>IF(ISNUMBER(C875),C875^3,"")</x:f>
        <x:v>-3.7189288760593155e-7</x:v>
      </x:c>
      <x:c r="F875" s="15" t="n">
        <x:f>IF(ISNUMBER(C875),C875^4,"")</x:f>
        <x:v>2.6743843991607824e-9</x:v>
      </x:c>
      <x:c r="G875" s="7" t="n">
        <x:f>IF(ISNUMBER(B875),ABS(B875),"")</x:f>
        <x:v>0.007239515332291735</x:v>
      </x:c>
      <x:c r="H875" s="7" t="n">
        <x:f>IF(ISNUMBER(B875),B875^2,"")</x:f>
        <x:v>0.00005241058224648711</x:v>
      </x:c>
      <x:c r="I875" s="7" t="n">
        <x:f>IF(AND(ISNUMBER(G875),'요약'!$B$19),G875-'요약'!$B$14,"")</x:f>
        <x:v>-0.0007740012951111203</x:v>
      </x:c>
      <x:c r="J875" s="7" t="n">
        <x:f>IF(AND(ISNUMBER(H875),'요약'!$B$19),H875-'요약'!$B$15,"")</x:f>
        <x:v>-0.000049799116939604994</x:v>
      </x:c>
      <x:c r="K875" t="n">
        <x:f>IF(ISNUMBER(B875),IF('Hill'!$B$4=1,IF(B875&lt;0,-B875,""),IF('Hill'!$B$4=2,IF(B875&gt;0,B875,""),IF('Hill'!$B$4=3,IF(B875&lt;&gt;0,ABS(B875),""),""))),"")</x:f>
        <x:v>0.007239515332291735</x:v>
      </x:c>
    </x:row>
    <x:row r="876">
      <x:c r="A876" t="n">
        <x:f>875</x:f>
        <x:v>875</x:v>
      </x:c>
      <x:c r="B876" s="7" t="n">
        <x:f>IF('요약'!$B$4=4,IF(ISNUMBER('input'!A876),'input'!A876,""),IF(875&lt;=1000,CHOOSE('요약'!$B$4,'input'!B876,'input'!C876,'input'!D876),""))</x:f>
        <x:v>0.0013898514073062821</x:v>
      </x:c>
      <x:c r="C876" s="7" t="n">
        <x:f>IF(AND(ISNUMBER(B876),'요약'!$B$19),B876-'요약'!$B$7,"")</x:f>
        <x:v>0.0014380907343557836</x:v>
      </x:c>
      <x:c r="D876" s="7" t="n">
        <x:f>IF(ISNUMBER(C876),C876^2,"")</x:f>
        <x:v>0.0000020681049602399567</x:v>
      </x:c>
      <x:c r="E876" s="15" t="n">
        <x:f>IF(ISNUMBER(C876),C876^3,"")</x:f>
        <x:v>2.9741225809963183e-9</x:v>
      </x:c>
      <x:c r="F876" s="15" t="n">
        <x:f>IF(ISNUMBER(C876),C876^4,"")</x:f>
        <x:v>4.277058126569114e-12</x:v>
      </x:c>
      <x:c r="G876" s="7" t="n">
        <x:f>IF(ISNUMBER(B876),ABS(B876),"")</x:f>
        <x:v>0.0013898514073062821</x:v>
      </x:c>
      <x:c r="H876" s="7" t="n">
        <x:f>IF(ISNUMBER(B876),B876^2,"")</x:f>
        <x:v>0.000001931686934391253</x:v>
      </x:c>
      <x:c r="I876" s="7" t="n">
        <x:f>IF(AND(ISNUMBER(G876),'요약'!$B$19),G876-'요약'!$B$14,"")</x:f>
        <x:v>-0.006623665220096574</x:v>
      </x:c>
      <x:c r="J876" s="7" t="n">
        <x:f>IF(AND(ISNUMBER(H876),'요약'!$B$19),H876-'요약'!$B$15,"")</x:f>
        <x:v>-0.00010027801225170085</x:v>
      </x:c>
      <x:c r="K876" t="str">
        <x:f>IF(ISNUMBER(B876),IF('Hill'!$B$4=1,IF(B876&lt;0,-B876,""),IF('Hill'!$B$4=2,IF(B876&gt;0,B876,""),IF('Hill'!$B$4=3,IF(B876&lt;&gt;0,ABS(B876),""),""))),"")</x:f>
      </x:c>
    </x:row>
    <x:row r="877">
      <x:c r="A877" t="n">
        <x:f>876</x:f>
        <x:v>876</x:v>
      </x:c>
      <x:c r="B877" s="7" t="n">
        <x:f>IF('요약'!$B$4=4,IF(ISNUMBER('input'!A877),'input'!A877,""),IF(876&lt;=1000,CHOOSE('요약'!$B$4,'input'!B877,'input'!C877,'input'!D877),""))</x:f>
        <x:v>-0.0033596417507400717</x:v>
      </x:c>
      <x:c r="C877" s="7" t="n">
        <x:f>IF(AND(ISNUMBER(B877),'요약'!$B$19),B877-'요약'!$B$7,"")</x:f>
        <x:v>-0.0033114024236905702</x:v>
      </x:c>
      <x:c r="D877" s="7" t="n">
        <x:f>IF(ISNUMBER(C877),C877^2,"")</x:f>
        <x:v>0.000010965386011623782</x:v>
      </x:c>
      <x:c r="E877" s="15" t="n">
        <x:f>IF(ISNUMBER(C877),C877^3,"")</x:f>
        <x:v>-3.631080581559367e-8</x:v>
      </x:c>
      <x:c r="F877" s="15" t="n">
        <x:f>IF(ISNUMBER(C877),C877^4,"")</x:f>
        <x:v>1.2023969038391453e-10</x:v>
      </x:c>
      <x:c r="G877" s="7" t="n">
        <x:f>IF(ISNUMBER(B877),ABS(B877),"")</x:f>
        <x:v>0.0033596417507400717</x:v>
      </x:c>
      <x:c r="H877" s="7" t="n">
        <x:f>IF(ISNUMBER(B877),B877^2,"")</x:f>
        <x:v>0.000011287192693315814</x:v>
      </x:c>
      <x:c r="I877" s="7" t="n">
        <x:f>IF(AND(ISNUMBER(G877),'요약'!$B$19),G877-'요약'!$B$14,"")</x:f>
        <x:v>-0.004653874876662784</x:v>
      </x:c>
      <x:c r="J877" s="7" t="n">
        <x:f>IF(AND(ISNUMBER(H877),'요약'!$B$19),H877-'요약'!$B$15,"")</x:f>
        <x:v>-0.00009092250649277629</x:v>
      </x:c>
      <x:c r="K877" t="n">
        <x:f>IF(ISNUMBER(B877),IF('Hill'!$B$4=1,IF(B877&lt;0,-B877,""),IF('Hill'!$B$4=2,IF(B877&gt;0,B877,""),IF('Hill'!$B$4=3,IF(B877&lt;&gt;0,ABS(B877),""),""))),"")</x:f>
        <x:v>0.0033596417507400717</x:v>
      </x:c>
    </x:row>
    <x:row r="878">
      <x:c r="A878" t="n">
        <x:f>877</x:f>
        <x:v>877</x:v>
      </x:c>
      <x:c r="B878" s="7" t="n">
        <x:f>IF('요약'!$B$4=4,IF(ISNUMBER('input'!A878),'input'!A878,""),IF(877&lt;=1000,CHOOSE('요약'!$B$4,'input'!B878,'input'!C878,'input'!D878),""))</x:f>
        <x:v>0.009319960590604416</x:v>
      </x:c>
      <x:c r="C878" s="7" t="n">
        <x:f>IF(AND(ISNUMBER(B878),'요약'!$B$19),B878-'요약'!$B$7,"")</x:f>
        <x:v>0.009368199917653917</x:v>
      </x:c>
      <x:c r="D878" s="7" t="n">
        <x:f>IF(ISNUMBER(C878),C878^2,"")</x:f>
        <x:v>0.00008776316969713085</x:v>
      </x:c>
      <x:c r="E878" s="15" t="n">
        <x:f>IF(ISNUMBER(C878),C878^3,"")</x:f>
        <x:v>8.221829191297081e-7</x:v>
      </x:c>
      <x:c r="F878" s="15" t="n">
        <x:f>IF(ISNUMBER(C878),C878^4,"")</x:f>
        <x:v>7.702373955287387e-9</x:v>
      </x:c>
      <x:c r="G878" s="7" t="n">
        <x:f>IF(ISNUMBER(B878),ABS(B878),"")</x:f>
        <x:v>0.009319960590604416</x:v>
      </x:c>
      <x:c r="H878" s="7" t="n">
        <x:f>IF(ISNUMBER(B878),B878^2,"")</x:f>
        <x:v>0.00008686166541041943</x:v>
      </x:c>
      <x:c r="I878" s="7" t="n">
        <x:f>IF(AND(ISNUMBER(G878),'요약'!$B$19),G878-'요약'!$B$14,"")</x:f>
        <x:v>0.001306443963201561</x:v>
      </x:c>
      <x:c r="J878" s="7" t="n">
        <x:f>IF(AND(ISNUMBER(H878),'요약'!$B$19),H878-'요약'!$B$15,"")</x:f>
        <x:v>-0.000015348033775672678</x:v>
      </x:c>
      <x:c r="K878" t="str">
        <x:f>IF(ISNUMBER(B878),IF('Hill'!$B$4=1,IF(B878&lt;0,-B878,""),IF('Hill'!$B$4=2,IF(B878&gt;0,B878,""),IF('Hill'!$B$4=3,IF(B878&lt;&gt;0,ABS(B878),""),""))),"")</x:f>
      </x:c>
    </x:row>
    <x:row r="879">
      <x:c r="A879" t="n">
        <x:f>878</x:f>
        <x:v>878</x:v>
      </x:c>
      <x:c r="B879" s="7" t="n">
        <x:f>IF('요약'!$B$4=4,IF(ISNUMBER('input'!A879),'input'!A879,""),IF(878&lt;=1000,CHOOSE('요약'!$B$4,'input'!B879,'input'!C879,'input'!D879),""))</x:f>
        <x:v>-0.013592046602439543</x:v>
      </x:c>
      <x:c r="C879" s="7" t="n">
        <x:f>IF(AND(ISNUMBER(B879),'요약'!$B$19),B879-'요약'!$B$7,"")</x:f>
        <x:v>-0.013543807275390042</x:v>
      </x:c>
      <x:c r="D879" s="7" t="n">
        <x:f>IF(ISNUMBER(C879),C879^2,"")</x:f>
        <x:v>0.00018343471551290823</x:v>
      </x:c>
      <x:c r="E879" s="15" t="n">
        <x:f>IF(ISNUMBER(C879),C879^3,"")</x:f>
        <x:v>-0.000002484404434522829</x:v>
      </x:c>
      <x:c r="F879" s="15" t="n">
        <x:f>IF(ISNUMBER(C879),C879^4,"")</x:f>
        <x:v>3.3648294855301576e-8</x:v>
      </x:c>
      <x:c r="G879" s="7" t="n">
        <x:f>IF(ISNUMBER(B879),ABS(B879),"")</x:f>
        <x:v>0.013592046602439543</x:v>
      </x:c>
      <x:c r="H879" s="7" t="n">
        <x:f>IF(ISNUMBER(B879),B879^2,"")</x:f>
        <x:v>0.0001847437308428883</x:v>
      </x:c>
      <x:c r="I879" s="7" t="n">
        <x:f>IF(AND(ISNUMBER(G879),'요약'!$B$19),G879-'요약'!$B$14,"")</x:f>
        <x:v>0.005578529975036687</x:v>
      </x:c>
      <x:c r="J879" s="7" t="n">
        <x:f>IF(AND(ISNUMBER(H879),'요약'!$B$19),H879-'요약'!$B$15,"")</x:f>
        <x:v>0.00008253403165679621</x:v>
      </x:c>
      <x:c r="K879" t="n">
        <x:f>IF(ISNUMBER(B879),IF('Hill'!$B$4=1,IF(B879&lt;0,-B879,""),IF('Hill'!$B$4=2,IF(B879&gt;0,B879,""),IF('Hill'!$B$4=3,IF(B879&lt;&gt;0,ABS(B879),""),""))),"")</x:f>
        <x:v>0.013592046602439543</x:v>
      </x:c>
    </x:row>
    <x:row r="880">
      <x:c r="A880" t="n">
        <x:f>879</x:f>
        <x:v>879</x:v>
      </x:c>
      <x:c r="B880" s="7" t="n">
        <x:f>IF('요약'!$B$4=4,IF(ISNUMBER('input'!A880),'input'!A880,""),IF(879&lt;=1000,CHOOSE('요약'!$B$4,'input'!B880,'input'!C880,'input'!D880),""))</x:f>
        <x:v>0.0029830712413935687</x:v>
      </x:c>
      <x:c r="C880" s="7" t="n">
        <x:f>IF(AND(ISNUMBER(B880),'요약'!$B$19),B880-'요약'!$B$7,"")</x:f>
        <x:v>0.00303131056844307</x:v>
      </x:c>
      <x:c r="D880" s="7" t="n">
        <x:f>IF(ISNUMBER(C880),C880^2,"")</x:f>
        <x:v>0.000009188843762354649</x:v>
      </x:c>
      <x:c r="E880" s="15" t="n">
        <x:f>IF(ISNUMBER(C880),C880^3,"")</x:f>
        <x:v>2.785423920859783e-8</x:v>
      </x:c>
      <x:c r="F880" s="15" t="n">
        <x:f>IF(ISNUMBER(C880),C880^4,"")</x:f>
        <x:v>8.443484968896394e-11</x:v>
      </x:c>
      <x:c r="G880" s="7" t="n">
        <x:f>IF(ISNUMBER(B880),ABS(B880),"")</x:f>
        <x:v>0.0029830712413935687</x:v>
      </x:c>
      <x:c r="H880" s="7" t="n">
        <x:f>IF(ISNUMBER(B880),B880^2,"")</x:f>
        <x:v>0.000008898714031229366</x:v>
      </x:c>
      <x:c r="I880" s="7" t="n">
        <x:f>IF(AND(ISNUMBER(G880),'요약'!$B$19),G880-'요약'!$B$14,"")</x:f>
        <x:v>-0.005030445386009287</x:v>
      </x:c>
      <x:c r="J880" s="7" t="n">
        <x:f>IF(AND(ISNUMBER(H880),'요약'!$B$19),H880-'요약'!$B$15,"")</x:f>
        <x:v>-0.00009331098515486274</x:v>
      </x:c>
      <x:c r="K880" t="str">
        <x:f>IF(ISNUMBER(B880),IF('Hill'!$B$4=1,IF(B880&lt;0,-B880,""),IF('Hill'!$B$4=2,IF(B880&gt;0,B880,""),IF('Hill'!$B$4=3,IF(B880&lt;&gt;0,ABS(B880),""),""))),"")</x:f>
      </x:c>
    </x:row>
    <x:row r="881">
      <x:c r="A881" t="n">
        <x:f>880</x:f>
        <x:v>880</x:v>
      </x:c>
      <x:c r="B881" s="7" t="n">
        <x:f>IF('요약'!$B$4=4,IF(ISNUMBER('input'!A881),'input'!A881,""),IF(880&lt;=1000,CHOOSE('요약'!$B$4,'input'!B881,'input'!C881,'input'!D881),""))</x:f>
        <x:v>0.004923533066934603</x:v>
      </x:c>
      <x:c r="C881" s="7" t="n">
        <x:f>IF(AND(ISNUMBER(B881),'요약'!$B$19),B881-'요약'!$B$7,"")</x:f>
        <x:v>0.004971772393984104</x:v>
      </x:c>
      <x:c r="D881" s="7" t="n">
        <x:f>IF(ISNUMBER(C881),C881^2,"")</x:f>
        <x:v>0.00002471852073758243</x:v>
      </x:c>
      <x:c r="E881" s="15" t="n">
        <x:f>IF(ISNUMBER(C881),C881^3,"")</x:f>
        <x:v>1.2289485902323592e-7</x:v>
      </x:c>
      <x:c r="F881" s="15" t="n">
        <x:f>IF(ISNUMBER(C881),C881^4,"")</x:f>
        <x:v>6.110052674542927e-10</x:v>
      </x:c>
      <x:c r="G881" s="7" t="n">
        <x:f>IF(ISNUMBER(B881),ABS(B881),"")</x:f>
        <x:v>0.004923533066934603</x:v>
      </x:c>
      <x:c r="H881" s="7" t="n">
        <x:f>IF(ISNUMBER(B881),B881^2,"")</x:f>
        <x:v>0.000024241177861198457</x:v>
      </x:c>
      <x:c r="I881" s="7" t="n">
        <x:f>IF(AND(ISNUMBER(G881),'요약'!$B$19),G881-'요약'!$B$14,"")</x:f>
        <x:v>-0.0030899835604682527</x:v>
      </x:c>
      <x:c r="J881" s="7" t="n">
        <x:f>IF(AND(ISNUMBER(H881),'요약'!$B$19),H881-'요약'!$B$15,"")</x:f>
        <x:v>-0.00007796852132489365</x:v>
      </x:c>
      <x:c r="K881" t="str">
        <x:f>IF(ISNUMBER(B881),IF('Hill'!$B$4=1,IF(B881&lt;0,-B881,""),IF('Hill'!$B$4=2,IF(B881&gt;0,B881,""),IF('Hill'!$B$4=3,IF(B881&lt;&gt;0,ABS(B881),""),""))),"")</x:f>
      </x:c>
    </x:row>
    <x:row r="882">
      <x:c r="A882" t="n">
        <x:f>881</x:f>
        <x:v>881</x:v>
      </x:c>
      <x:c r="B882" s="7" t="n">
        <x:f>IF('요약'!$B$4=4,IF(ISNUMBER('input'!A882),'input'!A882,""),IF(881&lt;=1000,CHOOSE('요약'!$B$4,'input'!B882,'input'!C882,'input'!D882),""))</x:f>
        <x:v>0.012511391147022672</x:v>
      </x:c>
      <x:c r="C882" s="7" t="n">
        <x:f>IF(AND(ISNUMBER(B882),'요약'!$B$19),B882-'요약'!$B$7,"")</x:f>
        <x:v>0.012559630474072173</x:v>
      </x:c>
      <x:c r="D882" s="7" t="n">
        <x:f>IF(ISNUMBER(C882),C882^2,"")</x:f>
        <x:v>0.00015774431764524238</x:v>
      </x:c>
      <x:c r="E882" s="15" t="n">
        <x:f>IF(ISNUMBER(C882),C882^3,"")</x:f>
        <x:v>0.000001981210339008907</x:v>
      </x:c>
      <x:c r="F882" s="15" t="n">
        <x:f>IF(ISNUMBER(C882),C882^4,"")</x:f>
        <x:v>2.4883269749363128e-8</x:v>
      </x:c>
      <x:c r="G882" s="7" t="n">
        <x:f>IF(ISNUMBER(B882),ABS(B882),"")</x:f>
        <x:v>0.012511391147022672</x:v>
      </x:c>
      <x:c r="H882" s="7" t="n">
        <x:f>IF(ISNUMBER(B882),B882^2,"")</x:f>
        <x:v>0.0001565349084337973</x:v>
      </x:c>
      <x:c r="I882" s="7" t="n">
        <x:f>IF(AND(ISNUMBER(G882),'요약'!$B$19),G882-'요약'!$B$14,"")</x:f>
        <x:v>0.004497874519619817</x:v>
      </x:c>
      <x:c r="J882" s="7" t="n">
        <x:f>IF(AND(ISNUMBER(H882),'요약'!$B$19),H882-'요약'!$B$15,"")</x:f>
        <x:v>0.00005432520924770519</x:v>
      </x:c>
      <x:c r="K882" t="str">
        <x:f>IF(ISNUMBER(B882),IF('Hill'!$B$4=1,IF(B882&lt;0,-B882,""),IF('Hill'!$B$4=2,IF(B882&gt;0,B882,""),IF('Hill'!$B$4=3,IF(B882&lt;&gt;0,ABS(B882),""),""))),"")</x:f>
      </x:c>
    </x:row>
    <x:row r="883">
      <x:c r="A883" t="n">
        <x:f>882</x:f>
        <x:v>882</x:v>
      </x:c>
      <x:c r="B883" s="7" t="n">
        <x:f>IF('요약'!$B$4=4,IF(ISNUMBER('input'!A883),'input'!A883,""),IF(882&lt;=1000,CHOOSE('요약'!$B$4,'input'!B883,'input'!C883,'input'!D883),""))</x:f>
        <x:v>0.002695236841123452</x:v>
      </x:c>
      <x:c r="C883" s="7" t="n">
        <x:f>IF(AND(ISNUMBER(B883),'요약'!$B$19),B883-'요약'!$B$7,"")</x:f>
        <x:v>0.0027434761681729533</x:v>
      </x:c>
      <x:c r="D883" s="7" t="n">
        <x:f>IF(ISNUMBER(C883),C883^2,"")</x:f>
        <x:v>0.000007526661485332951</x:v>
      </x:c>
      <x:c r="E883" s="15" t="n">
        <x:f>IF(ISNUMBER(C883),C883^3,"")</x:f>
        <x:v>2.0649216410916195e-8</x:v>
      </x:c>
      <x:c r="F883" s="15" t="n">
        <x:f>IF(ISNUMBER(C883),C883^4,"")</x:f>
        <x:v>5.665063311479442e-11</x:v>
      </x:c>
      <x:c r="G883" s="7" t="n">
        <x:f>IF(ISNUMBER(B883),ABS(B883),"")</x:f>
        <x:v>0.002695236841123452</x:v>
      </x:c>
      <x:c r="H883" s="7" t="n">
        <x:f>IF(ISNUMBER(B883),B883^2,"")</x:f>
        <x:v>0.0000072643016297491235</x:v>
      </x:c>
      <x:c r="I883" s="7" t="n">
        <x:f>IF(AND(ISNUMBER(G883),'요약'!$B$19),G883-'요약'!$B$14,"")</x:f>
        <x:v>-0.005318279786279403</x:v>
      </x:c>
      <x:c r="J883" s="7" t="n">
        <x:f>IF(AND(ISNUMBER(H883),'요약'!$B$19),H883-'요약'!$B$15,"")</x:f>
        <x:v>-0.00009494539755634298</x:v>
      </x:c>
      <x:c r="K883" t="str">
        <x:f>IF(ISNUMBER(B883),IF('Hill'!$B$4=1,IF(B883&lt;0,-B883,""),IF('Hill'!$B$4=2,IF(B883&gt;0,B883,""),IF('Hill'!$B$4=3,IF(B883&lt;&gt;0,ABS(B883),""),""))),"")</x:f>
      </x:c>
    </x:row>
    <x:row r="884">
      <x:c r="A884" t="n">
        <x:f>883</x:f>
        <x:v>883</x:v>
      </x:c>
      <x:c r="B884" s="7" t="n">
        <x:f>IF('요약'!$B$4=4,IF(ISNUMBER('input'!A884),'input'!A884,""),IF(883&lt;=1000,CHOOSE('요약'!$B$4,'input'!B884,'input'!C884,'input'!D884),""))</x:f>
        <x:v>-0.010894848913916606</x:v>
      </x:c>
      <x:c r="C884" s="7" t="n">
        <x:f>IF(AND(ISNUMBER(B884),'요약'!$B$19),B884-'요약'!$B$7,"")</x:f>
        <x:v>-0.010846609586867105</x:v>
      </x:c>
      <x:c r="D884" s="7" t="n">
        <x:f>IF(ISNUMBER(C884),C884^2,"")</x:f>
        <x:v>0.0001176489395299174</x:v>
      </x:c>
      <x:c r="E884" s="15" t="n">
        <x:f>IF(ISNUMBER(C884),C884^3,"")</x:f>
        <x:v>-0.0000012760921153899505</x:v>
      </x:c>
      <x:c r="F884" s="15" t="n">
        <x:f>IF(ISNUMBER(C884),C884^4,"")</x:f>
        <x:v>1.384127297251416e-8</x:v>
      </x:c>
      <x:c r="G884" s="7" t="n">
        <x:f>IF(ISNUMBER(B884),ABS(B884),"")</x:f>
        <x:v>0.010894848913916606</x:v>
      </x:c>
      <x:c r="H884" s="7" t="n">
        <x:f>IF(ISNUMBER(B884),B884^2,"")</x:f>
        <x:v>0.00011869773285706985</x:v>
      </x:c>
      <x:c r="I884" s="7" t="n">
        <x:f>IF(AND(ISNUMBER(G884),'요약'!$B$19),G884-'요약'!$B$14,"")</x:f>
        <x:v>0.0028813322865137506</x:v>
      </x:c>
      <x:c r="J884" s="7" t="n">
        <x:f>IF(AND(ISNUMBER(H884),'요약'!$B$19),H884-'요약'!$B$15,"")</x:f>
        <x:v>0.000016488033670977744</x:v>
      </x:c>
      <x:c r="K884" t="n">
        <x:f>IF(ISNUMBER(B884),IF('Hill'!$B$4=1,IF(B884&lt;0,-B884,""),IF('Hill'!$B$4=2,IF(B884&gt;0,B884,""),IF('Hill'!$B$4=3,IF(B884&lt;&gt;0,ABS(B884),""),""))),"")</x:f>
        <x:v>0.010894848913916606</x:v>
      </x:c>
    </x:row>
    <x:row r="885">
      <x:c r="A885" t="n">
        <x:f>884</x:f>
        <x:v>884</x:v>
      </x:c>
      <x:c r="B885" s="7" t="n">
        <x:f>IF('요약'!$B$4=4,IF(ISNUMBER('input'!A885),'input'!A885,""),IF(884&lt;=1000,CHOOSE('요약'!$B$4,'input'!B885,'input'!C885,'input'!D885),""))</x:f>
        <x:v>-0.02694298780222299</x:v>
      </x:c>
      <x:c r="C885" s="7" t="n">
        <x:f>IF(AND(ISNUMBER(B885),'요약'!$B$19),B885-'요약'!$B$7,"")</x:f>
        <x:v>-0.02689474847517349</x:v>
      </x:c>
      <x:c r="D885" s="7" t="n">
        <x:f>IF(ISNUMBER(C885),C885^2,"")</x:f>
        <x:v>0.0007233274955428468</x:v>
      </x:c>
      <x:c r="E885" s="15" t="n">
        <x:f>IF(ISNUMBER(C885),C885^3,"")</x:f>
        <x:v>-0.00001945371105780204</x:v>
      </x:c>
      <x:c r="F885" s="15" t="n">
        <x:f>IF(ISNUMBER(C885),C885^4,"")</x:f>
        <x:v>5.232026658082871e-7</x:v>
      </x:c>
      <x:c r="G885" s="7" t="n">
        <x:f>IF(ISNUMBER(B885),ABS(B885),"")</x:f>
        <x:v>0.02694298780222299</x:v>
      </x:c>
      <x:c r="H885" s="7" t="n">
        <x:f>IF(ISNUMBER(B885),B885^2,"")</x:f>
        <x:v>0.0007259245917107369</x:v>
      </x:c>
      <x:c r="I885" s="7" t="n">
        <x:f>IF(AND(ISNUMBER(G885),'요약'!$B$19),G885-'요약'!$B$14,"")</x:f>
        <x:v>0.018929471174820134</x:v>
      </x:c>
      <x:c r="J885" s="7" t="n">
        <x:f>IF(AND(ISNUMBER(H885),'요약'!$B$19),H885-'요약'!$B$15,"")</x:f>
        <x:v>0.0006237148925246448</x:v>
      </x:c>
      <x:c r="K885" t="n">
        <x:f>IF(ISNUMBER(B885),IF('Hill'!$B$4=1,IF(B885&lt;0,-B885,""),IF('Hill'!$B$4=2,IF(B885&gt;0,B885,""),IF('Hill'!$B$4=3,IF(B885&lt;&gt;0,ABS(B885),""),""))),"")</x:f>
        <x:v>0.02694298780222299</x:v>
      </x:c>
    </x:row>
    <x:row r="886">
      <x:c r="A886" t="n">
        <x:f>885</x:f>
        <x:v>885</x:v>
      </x:c>
      <x:c r="B886" s="7" t="n">
        <x:f>IF('요약'!$B$4=4,IF(ISNUMBER('input'!A886),'input'!A886,""),IF(885&lt;=1000,CHOOSE('요약'!$B$4,'input'!B886,'input'!C886,'input'!D886),""))</x:f>
        <x:v>-0.01070903899846889</x:v>
      </x:c>
      <x:c r="C886" s="7" t="n">
        <x:f>IF(AND(ISNUMBER(B886),'요약'!$B$19),B886-'요약'!$B$7,"")</x:f>
        <x:v>-0.01066079967141939</x:v>
      </x:c>
      <x:c r="D886" s="7" t="n">
        <x:f>IF(ISNUMBER(C886),C886^2,"")</x:f>
        <x:v>0.00011365264963413575</x:v>
      </x:c>
      <x:c r="E886" s="15" t="n">
        <x:f>IF(ISNUMBER(C886),C886^3,"")</x:f>
        <x:v>-0.0000012116281298755373</x:v>
      </x:c>
      <x:c r="F886" s="15" t="n">
        <x:f>IF(ISNUMBER(C886),C886^4,"")</x:f>
        <x:v>1.2916924768859618e-8</x:v>
      </x:c>
      <x:c r="G886" s="7" t="n">
        <x:f>IF(ISNUMBER(B886),ABS(B886),"")</x:f>
        <x:v>0.01070903899846889</x:v>
      </x:c>
      <x:c r="H886" s="7" t="n">
        <x:f>IF(ISNUMBER(B886),B886^2,"")</x:f>
        <x:v>0.00011468351627072756</x:v>
      </x:c>
      <x:c r="I886" s="7" t="n">
        <x:f>IF(AND(ISNUMBER(G886),'요약'!$B$19),G886-'요약'!$B$14,"")</x:f>
        <x:v>0.0026955223710660343</x:v>
      </x:c>
      <x:c r="J886" s="7" t="n">
        <x:f>IF(AND(ISNUMBER(H886),'요약'!$B$19),H886-'요약'!$B$15,"")</x:f>
        <x:v>0.000012473817084635453</x:v>
      </x:c>
      <x:c r="K886" t="n">
        <x:f>IF(ISNUMBER(B886),IF('Hill'!$B$4=1,IF(B886&lt;0,-B886,""),IF('Hill'!$B$4=2,IF(B886&gt;0,B886,""),IF('Hill'!$B$4=3,IF(B886&lt;&gt;0,ABS(B886),""),""))),"")</x:f>
        <x:v>0.01070903899846889</x:v>
      </x:c>
    </x:row>
    <x:row r="887">
      <x:c r="A887" t="n">
        <x:f>886</x:f>
        <x:v>886</x:v>
      </x:c>
      <x:c r="B887" s="7" t="n">
        <x:f>IF('요약'!$B$4=4,IF(ISNUMBER('input'!A887),'input'!A887,""),IF(886&lt;=1000,CHOOSE('요약'!$B$4,'input'!B887,'input'!C887,'input'!D887),""))</x:f>
        <x:v>-0.01080844862566199</x:v>
      </x:c>
      <x:c r="C887" s="7" t="n">
        <x:f>IF(AND(ISNUMBER(B887),'요약'!$B$19),B887-'요약'!$B$7,"")</x:f>
        <x:v>-0.010760209298612489</x:v>
      </x:c>
      <x:c r="D887" s="7" t="n">
        <x:f>IF(ISNUMBER(C887),C887^2,"")</x:f>
        <x:v>0.00011578210414994667</x:v>
      </x:c>
      <x:c r="E887" s="15" t="n">
        <x:f>IF(ISNUMBER(C887),C887^3,"")</x:f>
        <x:v>-0.0000012458396736871756</x:v>
      </x:c>
      <x:c r="F887" s="15" t="n">
        <x:f>IF(ISNUMBER(C887),C887^4,"")</x:f>
        <x:v>1.3405495641389096e-8</x:v>
      </x:c>
      <x:c r="G887" s="7" t="n">
        <x:f>IF(ISNUMBER(B887),ABS(B887),"")</x:f>
        <x:v>0.01080844862566199</x:v>
      </x:c>
      <x:c r="H887" s="7" t="n">
        <x:f>IF(ISNUMBER(B887),B887^2,"")</x:f>
        <x:v>0.00011682256169357455</x:v>
      </x:c>
      <x:c r="I887" s="7" t="n">
        <x:f>IF(AND(ISNUMBER(G887),'요약'!$B$19),G887-'요약'!$B$14,"")</x:f>
        <x:v>0.002794931998259134</x:v>
      </x:c>
      <x:c r="J887" s="7" t="n">
        <x:f>IF(AND(ISNUMBER(H887),'요약'!$B$19),H887-'요약'!$B$15,"")</x:f>
        <x:v>0.000014612862507482443</x:v>
      </x:c>
      <x:c r="K887" t="n">
        <x:f>IF(ISNUMBER(B887),IF('Hill'!$B$4=1,IF(B887&lt;0,-B887,""),IF('Hill'!$B$4=2,IF(B887&gt;0,B887,""),IF('Hill'!$B$4=3,IF(B887&lt;&gt;0,ABS(B887),""),""))),"")</x:f>
        <x:v>0.01080844862566199</x:v>
      </x:c>
    </x:row>
    <x:row r="888">
      <x:c r="A888" t="n">
        <x:f>887</x:f>
        <x:v>887</x:v>
      </x:c>
      <x:c r="B888" s="7" t="n">
        <x:f>IF('요약'!$B$4=4,IF(ISNUMBER('input'!A888),'input'!A888,""),IF(887&lt;=1000,CHOOSE('요약'!$B$4,'input'!B888,'input'!C888,'input'!D888),""))</x:f>
        <x:v>-0.007608562069370647</x:v>
      </x:c>
      <x:c r="C888" s="7" t="n">
        <x:f>IF(AND(ISNUMBER(B888),'요약'!$B$19),B888-'요약'!$B$7,"")</x:f>
        <x:v>-0.007560322742321146</x:v>
      </x:c>
      <x:c r="D888" s="7" t="n">
        <x:f>IF(ISNUMBER(C888),C888^2,"")</x:f>
        <x:v>0.00005715847996805833</x:v>
      </x:c>
      <x:c r="E888" s="15" t="n">
        <x:f>IF(ISNUMBER(C888),C888^3,"")</x:f>
        <x:v>-4.3213655601901907e-7</x:v>
      </x:c>
      <x:c r="F888" s="15" t="n">
        <x:f>IF(ISNUMBER(C888),C888^4,"")</x:f>
        <x:v>3.267091832258926e-9</x:v>
      </x:c>
      <x:c r="G888" s="7" t="n">
        <x:f>IF(ISNUMBER(B888),ABS(B888),"")</x:f>
        <x:v>0.007608562069370647</x:v>
      </x:c>
      <x:c r="H888" s="7" t="n">
        <x:f>IF(ISNUMBER(B888),B888^2,"")</x:f>
        <x:v>0.00005789021676346575</x:v>
      </x:c>
      <x:c r="I888" s="7" t="n">
        <x:f>IF(AND(ISNUMBER(G888),'요약'!$B$19),G888-'요약'!$B$14,"")</x:f>
        <x:v>-0.000404954558032208</x:v>
      </x:c>
      <x:c r="J888" s="7" t="n">
        <x:f>IF(AND(ISNUMBER(H888),'요약'!$B$19),H888-'요약'!$B$15,"")</x:f>
        <x:v>-0.000044319482422626356</x:v>
      </x:c>
      <x:c r="K888" t="n">
        <x:f>IF(ISNUMBER(B888),IF('Hill'!$B$4=1,IF(B888&lt;0,-B888,""),IF('Hill'!$B$4=2,IF(B888&gt;0,B888,""),IF('Hill'!$B$4=3,IF(B888&lt;&gt;0,ABS(B888),""),""))),"")</x:f>
        <x:v>0.007608562069370647</x:v>
      </x:c>
    </x:row>
    <x:row r="889">
      <x:c r="A889" t="n">
        <x:f>888</x:f>
        <x:v>888</x:v>
      </x:c>
      <x:c r="B889" s="7" t="n">
        <x:f>IF('요약'!$B$4=4,IF(ISNUMBER('input'!A889),'input'!A889,""),IF(888&lt;=1000,CHOOSE('요약'!$B$4,'input'!B889,'input'!C889,'input'!D889),""))</x:f>
        <x:v>0.001697070723542362</x:v>
      </x:c>
      <x:c r="C889" s="7" t="n">
        <x:f>IF(AND(ISNUMBER(B889),'요약'!$B$19),B889-'요약'!$B$7,"")</x:f>
        <x:v>0.0017453100505918635</x:v>
      </x:c>
      <x:c r="D889" s="7" t="n">
        <x:f>IF(ISNUMBER(C889),C889^2,"")</x:f>
        <x:v>0.000003046107172696973</x:v>
      </x:c>
      <x:c r="E889" s="15" t="n">
        <x:f>IF(ISNUMBER(C889),C889^3,"")</x:f>
        <x:v>5.316401463687993e-9</x:v>
      </x:c>
      <x:c r="F889" s="15" t="n">
        <x:f>IF(ISNUMBER(C889),C889^4,"")</x:f>
        <x:v>9.278768907555947e-12</x:v>
      </x:c>
      <x:c r="G889" s="7" t="n">
        <x:f>IF(ISNUMBER(B889),ABS(B889),"")</x:f>
        <x:v>0.001697070723542362</x:v>
      </x:c>
      <x:c r="H889" s="7" t="n">
        <x:f>IF(ISNUMBER(B889),B889^2,"")</x:f>
        <x:v>0.0000028800490407045963</x:v>
      </x:c>
      <x:c r="I889" s="7" t="n">
        <x:f>IF(AND(ISNUMBER(G889),'요약'!$B$19),G889-'요약'!$B$14,"")</x:f>
        <x:v>-0.006316445903860494</x:v>
      </x:c>
      <x:c r="J889" s="7" t="n">
        <x:f>IF(AND(ISNUMBER(H889),'요약'!$B$19),H889-'요약'!$B$15,"")</x:f>
        <x:v>-0.0000993296501453875</x:v>
      </x:c>
      <x:c r="K889" t="str">
        <x:f>IF(ISNUMBER(B889),IF('Hill'!$B$4=1,IF(B889&lt;0,-B889,""),IF('Hill'!$B$4=2,IF(B889&gt;0,B889,""),IF('Hill'!$B$4=3,IF(B889&lt;&gt;0,ABS(B889),""),""))),"")</x:f>
      </x:c>
    </x:row>
    <x:row r="890">
      <x:c r="A890" t="n">
        <x:f>889</x:f>
        <x:v>889</x:v>
      </x:c>
      <x:c r="B890" s="7" t="n">
        <x:f>IF('요약'!$B$4=4,IF(ISNUMBER('input'!A890),'input'!A890,""),IF(889&lt;=1000,CHOOSE('요약'!$B$4,'input'!B890,'input'!C890,'input'!D890),""))</x:f>
        <x:v>0.0025497863905731815</x:v>
      </x:c>
      <x:c r="C890" s="7" t="n">
        <x:f>IF(AND(ISNUMBER(B890),'요약'!$B$19),B890-'요약'!$B$7,"")</x:f>
        <x:v>0.002598025717622683</x:v>
      </x:c>
      <x:c r="D890" s="7" t="n">
        <x:f>IF(ISNUMBER(C890),C890^2,"")</x:f>
        <x:v>0.000006749737629428857</x:v>
      </x:c>
      <x:c r="E890" s="15" t="n">
        <x:f>IF(ISNUMBER(C890),C890^3,"")</x:f>
        <x:v>1.7535991948461734e-8</x:v>
      </x:c>
      <x:c r="F890" s="15" t="n">
        <x:f>IF(ISNUMBER(C890),C890^4,"")</x:f>
        <x:v>4.555895806612788e-11</x:v>
      </x:c>
      <x:c r="G890" s="7" t="n">
        <x:f>IF(ISNUMBER(B890),ABS(B890),"")</x:f>
        <x:v>0.0025497863905731815</x:v>
      </x:c>
      <x:c r="H890" s="7" t="n">
        <x:f>IF(ISNUMBER(B890),B890^2,"")</x:f>
        <x:v>0.000006501410637552213</x:v>
      </x:c>
      <x:c r="I890" s="7" t="n">
        <x:f>IF(AND(ISNUMBER(G890),'요약'!$B$19),G890-'요약'!$B$14,"")</x:f>
        <x:v>-0.005463730236829674</x:v>
      </x:c>
      <x:c r="J890" s="7" t="n">
        <x:f>IF(AND(ISNUMBER(H890),'요약'!$B$19),H890-'요약'!$B$15,"")</x:f>
        <x:v>-0.00009570828854853989</x:v>
      </x:c>
      <x:c r="K890" t="str">
        <x:f>IF(ISNUMBER(B890),IF('Hill'!$B$4=1,IF(B890&lt;0,-B890,""),IF('Hill'!$B$4=2,IF(B890&gt;0,B890,""),IF('Hill'!$B$4=3,IF(B890&lt;&gt;0,ABS(B890),""),""))),"")</x:f>
      </x:c>
    </x:row>
    <x:row r="891">
      <x:c r="A891" t="n">
        <x:f>890</x:f>
        <x:v>890</x:v>
      </x:c>
      <x:c r="B891" s="7" t="n">
        <x:f>IF('요약'!$B$4=4,IF(ISNUMBER('input'!A891),'input'!A891,""),IF(890&lt;=1000,CHOOSE('요약'!$B$4,'input'!B891,'input'!C891,'input'!D891),""))</x:f>
        <x:v>-0.008830179291464811</x:v>
      </x:c>
      <x:c r="C891" s="7" t="n">
        <x:f>IF(AND(ISNUMBER(B891),'요약'!$B$19),B891-'요약'!$B$7,"")</x:f>
        <x:v>-0.00878193996441531</x:v>
      </x:c>
      <x:c r="D891" s="7" t="n">
        <x:f>IF(ISNUMBER(C891),C891^2,"")</x:f>
        <x:v>0.00007712246953859478</x:v>
      </x:c>
      <x:c r="E891" s="15" t="n">
        <x:f>IF(ISNUMBER(C891),C891^3,"")</x:f>
        <x:v>-6.77284897395388e-7</x:v>
      </x:c>
      <x:c r="F891" s="15" t="n">
        <x:f>IF(ISNUMBER(C891),C891^4,"")</x:f>
        <x:v>5.947875307731481e-9</x:v>
      </x:c>
      <x:c r="G891" s="7" t="n">
        <x:f>IF(ISNUMBER(B891),ABS(B891),"")</x:f>
        <x:v>0.008830179291464811</x:v>
      </x:c>
      <x:c r="H891" s="7" t="n">
        <x:f>IF(ISNUMBER(B891),B891^2,"")</x:f>
        <x:v>0.000077972066319414</x:v>
      </x:c>
      <x:c r="I891" s="7" t="n">
        <x:f>IF(AND(ISNUMBER(G891),'요약'!$B$19),G891-'요약'!$B$14,"")</x:f>
        <x:v>0.0008166626640619557</x:v>
      </x:c>
      <x:c r="J891" s="7" t="n">
        <x:f>IF(AND(ISNUMBER(H891),'요약'!$B$19),H891-'요약'!$B$15,"")</x:f>
        <x:v>-0.00002423763286667811</x:v>
      </x:c>
      <x:c r="K891" t="n">
        <x:f>IF(ISNUMBER(B891),IF('Hill'!$B$4=1,IF(B891&lt;0,-B891,""),IF('Hill'!$B$4=2,IF(B891&gt;0,B891,""),IF('Hill'!$B$4=3,IF(B891&lt;&gt;0,ABS(B891),""),""))),"")</x:f>
        <x:v>0.008830179291464811</x:v>
      </x:c>
    </x:row>
    <x:row r="892">
      <x:c r="A892" t="n">
        <x:f>891</x:f>
        <x:v>891</x:v>
      </x:c>
      <x:c r="B892" s="7" t="n">
        <x:f>IF('요약'!$B$4=4,IF(ISNUMBER('input'!A892),'input'!A892,""),IF(891&lt;=1000,CHOOSE('요약'!$B$4,'input'!B892,'input'!C892,'input'!D892),""))</x:f>
        <x:v>0.0032666663045174456</x:v>
      </x:c>
      <x:c r="C892" s="7" t="n">
        <x:f>IF(AND(ISNUMBER(B892),'요약'!$B$19),B892-'요약'!$B$7,"")</x:f>
        <x:v>0.003314905631566947</x:v>
      </x:c>
      <x:c r="D892" s="7" t="n">
        <x:f>IF(ISNUMBER(C892),C892^2,"")</x:f>
        <x:v>0.00001098859934619426</x:v>
      </x:c>
      <x:c r="E892" s="15" t="n">
        <x:f>IF(ISNUMBER(C892),C892^3,"")</x:f>
        <x:v>3.642616985573223e-8</x:v>
      </x:c>
      <x:c r="F892" s="15" t="n">
        <x:f>IF(ISNUMBER(C892),C892^4,"")</x:f>
        <x:v>1.2074931559118094e-10</x:v>
      </x:c>
      <x:c r="G892" s="7" t="n">
        <x:f>IF(ISNUMBER(B892),ABS(B892),"")</x:f>
        <x:v>0.0032666663045174456</x:v>
      </x:c>
      <x:c r="H892" s="7" t="n">
        <x:f>IF(ISNUMBER(B892),B892^2,"")</x:f>
        <x:v>0.000010671108745069664</x:v>
      </x:c>
      <x:c r="I892" s="7" t="n">
        <x:f>IF(AND(ISNUMBER(G892),'요약'!$B$19),G892-'요약'!$B$14,"")</x:f>
        <x:v>-0.00474685032288541</x:v>
      </x:c>
      <x:c r="J892" s="7" t="n">
        <x:f>IF(AND(ISNUMBER(H892),'요약'!$B$19),H892-'요약'!$B$15,"")</x:f>
        <x:v>-0.00009153859044102244</x:v>
      </x:c>
      <x:c r="K892" t="str">
        <x:f>IF(ISNUMBER(B892),IF('Hill'!$B$4=1,IF(B892&lt;0,-B892,""),IF('Hill'!$B$4=2,IF(B892&gt;0,B892,""),IF('Hill'!$B$4=3,IF(B892&lt;&gt;0,ABS(B892),""),""))),"")</x:f>
      </x:c>
    </x:row>
    <x:row r="893">
      <x:c r="A893" t="n">
        <x:f>892</x:f>
        <x:v>892</x:v>
      </x:c>
      <x:c r="B893" s="7" t="n">
        <x:f>IF('요약'!$B$4=4,IF(ISNUMBER('input'!A893),'input'!A893,""),IF(892&lt;=1000,CHOOSE('요약'!$B$4,'input'!B893,'input'!C893,'input'!D893),""))</x:f>
        <x:v>-0.017881130733850465</x:v>
      </x:c>
      <x:c r="C893" s="7" t="n">
        <x:f>IF(AND(ISNUMBER(B893),'요약'!$B$19),B893-'요약'!$B$7,"")</x:f>
        <x:v>-0.017832891406800964</x:v>
      </x:c>
      <x:c r="D893" s="7" t="n">
        <x:f>IF(ISNUMBER(C893),C893^2,"")</x:f>
        <x:v>0.0003180120159267557</x:v>
      </x:c>
      <x:c r="E893" s="15" t="n">
        <x:f>IF(ISNUMBER(C893),C893^3,"")</x:f>
        <x:v>-0.000005671073746079693</x:v>
      </x:c>
      <x:c r="F893" s="15" t="n">
        <x:f>IF(ISNUMBER(C893),C893^4,"")</x:f>
        <x:v>1.011316422737991e-7</x:v>
      </x:c>
      <x:c r="G893" s="7" t="n">
        <x:f>IF(ISNUMBER(B893),ABS(B893),"")</x:f>
        <x:v>0.017881130733850465</x:v>
      </x:c>
      <x:c r="H893" s="7" t="n">
        <x:f>IF(ISNUMBER(B893),B893^2,"")</x:f>
        <x:v>0.00031973483632105165</x:v>
      </x:c>
      <x:c r="I893" s="7" t="n">
        <x:f>IF(AND(ISNUMBER(G893),'요약'!$B$19),G893-'요약'!$B$14,"")</x:f>
        <x:v>0.00986761410644761</x:v>
      </x:c>
      <x:c r="J893" s="7" t="n">
        <x:f>IF(AND(ISNUMBER(H893),'요약'!$B$19),H893-'요약'!$B$15,"")</x:f>
        <x:v>0.00021752513713495954</x:v>
      </x:c>
      <x:c r="K893" t="n">
        <x:f>IF(ISNUMBER(B893),IF('Hill'!$B$4=1,IF(B893&lt;0,-B893,""),IF('Hill'!$B$4=2,IF(B893&gt;0,B893,""),IF('Hill'!$B$4=3,IF(B893&lt;&gt;0,ABS(B893),""),""))),"")</x:f>
        <x:v>0.017881130733850465</x:v>
      </x:c>
    </x:row>
    <x:row r="894">
      <x:c r="A894" t="n">
        <x:f>893</x:f>
        <x:v>893</x:v>
      </x:c>
      <x:c r="B894" s="7" t="n">
        <x:f>IF('요약'!$B$4=4,IF(ISNUMBER('input'!A894),'input'!A894,""),IF(893&lt;=1000,CHOOSE('요약'!$B$4,'input'!B894,'input'!C894,'input'!D894),""))</x:f>
        <x:v>0.0091581206601663</x:v>
      </x:c>
      <x:c r="C894" s="7" t="n">
        <x:f>IF(AND(ISNUMBER(B894),'요약'!$B$19),B894-'요약'!$B$7,"")</x:f>
        <x:v>0.009206359987215801</x:v>
      </x:c>
      <x:c r="D894" s="7" t="n">
        <x:f>IF(ISNUMBER(C894),C894^2,"")</x:f>
        <x:v>0.00008475706421420813</x:v>
      </x:c>
      <x:c r="E894" s="15" t="n">
        <x:f>IF(ISNUMBER(C894),C894^3,"")</x:f>
        <x:v>7.80304044615566e-7</x:v>
      </x:c>
      <x:c r="F894" s="15" t="n">
        <x:f>IF(ISNUMBER(C894),C894^4,"")</x:f>
        <x:v>7.1837599342114e-9</x:v>
      </x:c>
      <x:c r="G894" s="7" t="n">
        <x:f>IF(ISNUMBER(B894),ABS(B894),"")</x:f>
        <x:v>0.0091581206601663</x:v>
      </x:c>
      <x:c r="H894" s="7" t="n">
        <x:f>IF(ISNUMBER(B894),B894^2,"")</x:f>
        <x:v>0.00008387117402616484</x:v>
      </x:c>
      <x:c r="I894" s="7" t="n">
        <x:f>IF(AND(ISNUMBER(G894),'요약'!$B$19),G894-'요약'!$B$14,"")</x:f>
        <x:v>0.0011446040327634452</x:v>
      </x:c>
      <x:c r="J894" s="7" t="n">
        <x:f>IF(AND(ISNUMBER(H894),'요약'!$B$19),H894-'요약'!$B$15,"")</x:f>
        <x:v>-0.000018338525159927263</x:v>
      </x:c>
      <x:c r="K894" t="str">
        <x:f>IF(ISNUMBER(B894),IF('Hill'!$B$4=1,IF(B894&lt;0,-B894,""),IF('Hill'!$B$4=2,IF(B894&gt;0,B894,""),IF('Hill'!$B$4=3,IF(B894&lt;&gt;0,ABS(B894),""),""))),"")</x:f>
      </x:c>
    </x:row>
    <x:row r="895">
      <x:c r="A895" t="n">
        <x:f>894</x:f>
        <x:v>894</x:v>
      </x:c>
      <x:c r="B895" s="7" t="n">
        <x:f>IF('요약'!$B$4=4,IF(ISNUMBER('input'!A895),'input'!A895,""),IF(894&lt;=1000,CHOOSE('요약'!$B$4,'input'!B895,'input'!C895,'input'!D895),""))</x:f>
        <x:v>-0.012523723652641556</x:v>
      </x:c>
      <x:c r="C895" s="7" t="n">
        <x:f>IF(AND(ISNUMBER(B895),'요약'!$B$19),B895-'요약'!$B$7,"")</x:f>
        <x:v>-0.012475484325592055</x:v>
      </x:c>
      <x:c r="D895" s="7" t="n">
        <x:f>IF(ISNUMBER(C895),C895^2,"")</x:f>
        <x:v>0.00015563770915809306</x:v>
      </x:c>
      <x:c r="E895" s="15" t="n">
        <x:f>IF(ISNUMBER(C895),C895^3,"")</x:f>
        <x:v>-0.000001941655801072845</x:v>
      </x:c>
      <x:c r="F895" s="15" t="n">
        <x:f>IF(ISNUMBER(C895),C895^4,"")</x:f>
        <x:v>2.4223096511979164e-8</x:v>
      </x:c>
      <x:c r="G895" s="7" t="n">
        <x:f>IF(ISNUMBER(B895),ABS(B895),"")</x:f>
        <x:v>0.012523723652641556</x:v>
      </x:c>
      <x:c r="H895" s="7" t="n">
        <x:f>IF(ISNUMBER(B895),B895^2,"")</x:f>
        <x:v>0.00015684365412773355</x:v>
      </x:c>
      <x:c r="I895" s="7" t="n">
        <x:f>IF(AND(ISNUMBER(G895),'요약'!$B$19),G895-'요약'!$B$14,"")</x:f>
        <x:v>0.0045102070252387005</x:v>
      </x:c>
      <x:c r="J895" s="7" t="n">
        <x:f>IF(AND(ISNUMBER(H895),'요약'!$B$19),H895-'요약'!$B$15,"")</x:f>
        <x:v>0.000054633954941641445</x:v>
      </x:c>
      <x:c r="K895" t="n">
        <x:f>IF(ISNUMBER(B895),IF('Hill'!$B$4=1,IF(B895&lt;0,-B895,""),IF('Hill'!$B$4=2,IF(B895&gt;0,B895,""),IF('Hill'!$B$4=3,IF(B895&lt;&gt;0,ABS(B895),""),""))),"")</x:f>
        <x:v>0.012523723652641556</x:v>
      </x:c>
    </x:row>
    <x:row r="896">
      <x:c r="A896" t="n">
        <x:f>895</x:f>
        <x:v>895</x:v>
      </x:c>
      <x:c r="B896" s="7" t="n">
        <x:f>IF('요약'!$B$4=4,IF(ISNUMBER('input'!A896),'input'!A896,""),IF(895&lt;=1000,CHOOSE('요약'!$B$4,'input'!B896,'input'!C896,'input'!D896),""))</x:f>
        <x:v>-0.007397888248251403</x:v>
      </x:c>
      <x:c r="C896" s="7" t="n">
        <x:f>IF(AND(ISNUMBER(B896),'요약'!$B$19),B896-'요약'!$B$7,"")</x:f>
        <x:v>-0.0073496489212019015</x:v>
      </x:c>
      <x:c r="D896" s="7" t="n">
        <x:f>IF(ISNUMBER(C896),C896^2,"")</x:f>
        <x:v>0.000054017339264924274</x:v>
      </x:c>
      <x:c r="E896" s="15" t="n">
        <x:f>IF(ISNUMBER(C896),C896^3,"")</x:f>
        <x:v>-3.970084792546478e-7</x:v>
      </x:c>
      <x:c r="F896" s="15" t="n">
        <x:f>IF(ISNUMBER(C896),C896^4,"")</x:f>
        <x:v>2.9178729412619296e-9</x:v>
      </x:c>
      <x:c r="G896" s="7" t="n">
        <x:f>IF(ISNUMBER(B896),ABS(B896),"")</x:f>
        <x:v>0.007397888248251403</x:v>
      </x:c>
      <x:c r="H896" s="7" t="n">
        <x:f>IF(ISNUMBER(B896),B896^2,"")</x:f>
        <x:v>0.000054728750533616215</x:v>
      </x:c>
      <x:c r="I896" s="7" t="n">
        <x:f>IF(AND(ISNUMBER(G896),'요약'!$B$19),G896-'요약'!$B$14,"")</x:f>
        <x:v>-0.0006156283791514524</x:v>
      </x:c>
      <x:c r="J896" s="7" t="n">
        <x:f>IF(AND(ISNUMBER(H896),'요약'!$B$19),H896-'요약'!$B$15,"")</x:f>
        <x:v>-0.00004748094865247589</x:v>
      </x:c>
      <x:c r="K896" t="n">
        <x:f>IF(ISNUMBER(B896),IF('Hill'!$B$4=1,IF(B896&lt;0,-B896,""),IF('Hill'!$B$4=2,IF(B896&gt;0,B896,""),IF('Hill'!$B$4=3,IF(B896&lt;&gt;0,ABS(B896),""),""))),"")</x:f>
        <x:v>0.007397888248251403</x:v>
      </x:c>
    </x:row>
    <x:row r="897">
      <x:c r="A897" t="n">
        <x:f>896</x:f>
        <x:v>896</x:v>
      </x:c>
      <x:c r="B897" s="7" t="n">
        <x:f>IF('요약'!$B$4=4,IF(ISNUMBER('input'!A897),'input'!A897,""),IF(896&lt;=1000,CHOOSE('요약'!$B$4,'input'!B897,'input'!C897,'input'!D897),""))</x:f>
        <x:v>-0.010925087586902362</x:v>
      </x:c>
      <x:c r="C897" s="7" t="n">
        <x:f>IF(AND(ISNUMBER(B897),'요약'!$B$19),B897-'요약'!$B$7,"")</x:f>
        <x:v>-0.010876848259852861</x:v>
      </x:c>
      <x:c r="D897" s="7" t="n">
        <x:f>IF(ISNUMBER(C897),C897^2,"")</x:f>
        <x:v>0.00011830582806786421</x:v>
      </x:c>
      <x:c r="E897" s="15" t="n">
        <x:f>IF(ISNUMBER(C897),C897^3,"")</x:f>
        <x:v>-0.0000012867945401504007</x:v>
      </x:c>
      <x:c r="F897" s="15" t="n">
        <x:f>IF(ISNUMBER(C897),C897^4,"")</x:f>
        <x:v>1.3996268954823048e-8</x:v>
      </x:c>
      <x:c r="G897" s="7" t="n">
        <x:f>IF(ISNUMBER(B897),ABS(B897),"")</x:f>
        <x:v>0.010925087586902362</x:v>
      </x:c>
      <x:c r="H897" s="7" t="n">
        <x:f>IF(ISNUMBER(B897),B897^2,"")</x:f>
        <x:v>0.00011935753878148807</x:v>
      </x:c>
      <x:c r="I897" s="7" t="n">
        <x:f>IF(AND(ISNUMBER(G897),'요약'!$B$19),G897-'요약'!$B$14,"")</x:f>
        <x:v>0.0029115709594995064</x:v>
      </x:c>
      <x:c r="J897" s="7" t="n">
        <x:f>IF(AND(ISNUMBER(H897),'요약'!$B$19),H897-'요약'!$B$15,"")</x:f>
        <x:v>0.000017147839595395964</x:v>
      </x:c>
      <x:c r="K897" t="n">
        <x:f>IF(ISNUMBER(B897),IF('Hill'!$B$4=1,IF(B897&lt;0,-B897,""),IF('Hill'!$B$4=2,IF(B897&gt;0,B897,""),IF('Hill'!$B$4=3,IF(B897&lt;&gt;0,ABS(B897),""),""))),"")</x:f>
        <x:v>0.010925087586902362</x:v>
      </x:c>
    </x:row>
    <x:row r="898">
      <x:c r="A898" t="n">
        <x:f>897</x:f>
        <x:v>897</x:v>
      </x:c>
      <x:c r="B898" s="7" t="n">
        <x:f>IF('요약'!$B$4=4,IF(ISNUMBER('input'!A898),'input'!A898,""),IF(897&lt;=1000,CHOOSE('요약'!$B$4,'input'!B898,'input'!C898,'input'!D898),""))</x:f>
        <x:v>0.011089652565303752</x:v>
      </x:c>
      <x:c r="C898" s="7" t="n">
        <x:f>IF(AND(ISNUMBER(B898),'요약'!$B$19),B898-'요약'!$B$7,"")</x:f>
        <x:v>0.011137891892353253</x:v>
      </x:c>
      <x:c r="D898" s="7" t="n">
        <x:f>IF(ISNUMBER(C898),C898^2,"")</x:f>
        <x:v>0.0001240526358057483</x:v>
      </x:c>
      <x:c r="E898" s="15" t="n">
        <x:f>IF(ISNUMBER(C898),C898^3,"")</x:f>
        <x:v>0.000001381684846565895</x:v>
      </x:c>
      <x:c r="F898" s="15" t="n">
        <x:f>IF(ISNUMBER(C898),C898^4,"")</x:f>
        <x:v>1.5389056450353628e-8</x:v>
      </x:c>
      <x:c r="G898" s="7" t="n">
        <x:f>IF(ISNUMBER(B898),ABS(B898),"")</x:f>
        <x:v>0.011089652565303752</x:v>
      </x:c>
      <x:c r="H898" s="7" t="n">
        <x:f>IF(ISNUMBER(B898),B898^2,"")</x:f>
        <x:v>0.00012298039401914808</x:v>
      </x:c>
      <x:c r="I898" s="7" t="n">
        <x:f>IF(AND(ISNUMBER(G898),'요약'!$B$19),G898-'요약'!$B$14,"")</x:f>
        <x:v>0.0030761359379008965</x:v>
      </x:c>
      <x:c r="J898" s="7" t="n">
        <x:f>IF(AND(ISNUMBER(H898),'요약'!$B$19),H898-'요약'!$B$15,"")</x:f>
        <x:v>0.00002077069483305598</x:v>
      </x:c>
      <x:c r="K898" t="str">
        <x:f>IF(ISNUMBER(B898),IF('Hill'!$B$4=1,IF(B898&lt;0,-B898,""),IF('Hill'!$B$4=2,IF(B898&gt;0,B898,""),IF('Hill'!$B$4=3,IF(B898&lt;&gt;0,ABS(B898),""),""))),"")</x:f>
      </x:c>
    </x:row>
    <x:row r="899">
      <x:c r="A899" t="n">
        <x:f>898</x:f>
        <x:v>898</x:v>
      </x:c>
      <x:c r="B899" s="7" t="n">
        <x:f>IF('요약'!$B$4=4,IF(ISNUMBER('input'!A899),'input'!A899,""),IF(898&lt;=1000,CHOOSE('요약'!$B$4,'input'!B899,'input'!C899,'input'!D899),""))</x:f>
        <x:v>-0.01220507330320048</x:v>
      </x:c>
      <x:c r="C899" s="7" t="n">
        <x:f>IF(AND(ISNUMBER(B899),'요약'!$B$19),B899-'요약'!$B$7,"")</x:f>
        <x:v>-0.01215683397615098</x:v>
      </x:c>
      <x:c r="D899" s="7" t="n">
        <x:f>IF(ISNUMBER(C899),C899^2,"")</x:f>
        <x:v>0.00014778861232369884</x:v>
      </x:c>
      <x:c r="E899" s="15" t="n">
        <x:f>IF(ISNUMBER(C899),C899^3,"")</x:f>
        <x:v>-0.0000017966416235849476</x:v>
      </x:c>
      <x:c r="F899" s="15" t="n">
        <x:f>IF(ISNUMBER(C899),C899^4,"")</x:f>
        <x:v>2.184147393256455e-8</x:v>
      </x:c>
      <x:c r="G899" s="7" t="n">
        <x:f>IF(ISNUMBER(B899),ABS(B899),"")</x:f>
        <x:v>0.01220507330320048</x:v>
      </x:c>
      <x:c r="H899" s="7" t="n">
        <x:f>IF(ISNUMBER(B899),B899^2,"")</x:f>
        <x:v>0.00014896381433649708</x:v>
      </x:c>
      <x:c r="I899" s="7" t="n">
        <x:f>IF(AND(ISNUMBER(G899),'요약'!$B$19),G899-'요약'!$B$14,"")</x:f>
        <x:v>0.004191556675797625</x:v>
      </x:c>
      <x:c r="J899" s="7" t="n">
        <x:f>IF(AND(ISNUMBER(H899),'요약'!$B$19),H899-'요약'!$B$15,"")</x:f>
        <x:v>0.00004675411515040498</x:v>
      </x:c>
      <x:c r="K899" t="n">
        <x:f>IF(ISNUMBER(B899),IF('Hill'!$B$4=1,IF(B899&lt;0,-B899,""),IF('Hill'!$B$4=2,IF(B899&gt;0,B899,""),IF('Hill'!$B$4=3,IF(B899&lt;&gt;0,ABS(B899),""),""))),"")</x:f>
        <x:v>0.01220507330320048</x:v>
      </x:c>
    </x:row>
    <x:row r="900">
      <x:c r="A900" t="n">
        <x:f>899</x:f>
        <x:v>899</x:v>
      </x:c>
      <x:c r="B900" s="7" t="n">
        <x:f>IF('요약'!$B$4=4,IF(ISNUMBER('input'!A900),'input'!A900,""),IF(899&lt;=1000,CHOOSE('요약'!$B$4,'input'!B900,'input'!C900,'input'!D900),""))</x:f>
        <x:v>0.0025147347803759295</x:v>
      </x:c>
      <x:c r="C900" s="7" t="n">
        <x:f>IF(AND(ISNUMBER(B900),'요약'!$B$19),B900-'요약'!$B$7,"")</x:f>
        <x:v>0.002562974107425431</x:v>
      </x:c>
      <x:c r="D900" s="7" t="n">
        <x:f>IF(ISNUMBER(C900),C900^2,"")</x:f>
        <x:v>0.000006568836275333185</x:v>
      </x:c>
      <x:c r="E900" s="15" t="n">
        <x:f>IF(ISNUMBER(C900),C900^3,"")</x:f>
        <x:v>1.683575728959586e-8</x:v>
      </x:c>
      <x:c r="F900" s="15" t="n">
        <x:f>IF(ISNUMBER(C900),C900^4,"")</x:f>
        <x:v>4.3149610012133145e-11</x:v>
      </x:c>
      <x:c r="G900" s="7" t="n">
        <x:f>IF(ISNUMBER(B900),ABS(B900),"")</x:f>
        <x:v>0.0025147347803759295</x:v>
      </x:c>
      <x:c r="H900" s="7" t="n">
        <x:f>IF(ISNUMBER(B900),B900^2,"")</x:f>
        <x:v>0.000006323891015632374</x:v>
      </x:c>
      <x:c r="I900" s="7" t="n">
        <x:f>IF(AND(ISNUMBER(G900),'요약'!$B$19),G900-'요약'!$B$14,"")</x:f>
        <x:v>-0.0054987818470269255</x:v>
      </x:c>
      <x:c r="J900" s="7" t="n">
        <x:f>IF(AND(ISNUMBER(H900),'요약'!$B$19),H900-'요약'!$B$15,"")</x:f>
        <x:v>-0.00009588580817045973</x:v>
      </x:c>
      <x:c r="K900" t="str">
        <x:f>IF(ISNUMBER(B900),IF('Hill'!$B$4=1,IF(B900&lt;0,-B900,""),IF('Hill'!$B$4=2,IF(B900&gt;0,B900,""),IF('Hill'!$B$4=3,IF(B900&lt;&gt;0,ABS(B900),""),""))),"")</x:f>
      </x:c>
    </x:row>
    <x:row r="901">
      <x:c r="A901" t="n">
        <x:f>900</x:f>
        <x:v>900</x:v>
      </x:c>
      <x:c r="B901" s="7" t="n">
        <x:f>IF('요약'!$B$4=4,IF(ISNUMBER('input'!A901),'input'!A901,""),IF(900&lt;=1000,CHOOSE('요약'!$B$4,'input'!B901,'input'!C901,'input'!D901),""))</x:f>
        <x:v>-0.007896436074829398</x:v>
      </x:c>
      <x:c r="C901" s="7" t="n">
        <x:f>IF(AND(ISNUMBER(B901),'요약'!$B$19),B901-'요약'!$B$7,"")</x:f>
        <x:v>-0.007848196747779897</x:v>
      </x:c>
      <x:c r="D901" s="7" t="n">
        <x:f>IF(ISNUMBER(C901),C901^2,"")</x:f>
        <x:v>0.00006159419219186295</x:v>
      </x:c>
      <x:c r="E901" s="15" t="n">
        <x:f>IF(ISNUMBER(C901),C901^3,"")</x:f>
        <x:v>-4.834033388423088e-7</x:v>
      </x:c>
      <x:c r="F901" s="15" t="n">
        <x:f>IF(ISNUMBER(C901),C901^4,"")</x:f>
        <x:v>3.793844511768151e-9</x:v>
      </x:c>
      <x:c r="G901" s="7" t="n">
        <x:f>IF(ISNUMBER(B901),ABS(B901),"")</x:f>
        <x:v>0.007896436074829398</x:v>
      </x:c>
      <x:c r="H901" s="7" t="n">
        <x:f>IF(ISNUMBER(B901),B901^2,"")</x:f>
        <x:v>0.0000623537026838671</x:v>
      </x:c>
      <x:c r="I901" s="7" t="n">
        <x:f>IF(AND(ISNUMBER(G901),'요약'!$B$19),G901-'요약'!$B$14,"")</x:f>
        <x:v>-0.00011708055257345779</x:v>
      </x:c>
      <x:c r="J901" s="7" t="n">
        <x:f>IF(AND(ISNUMBER(H901),'요약'!$B$19),H901-'요약'!$B$15,"")</x:f>
        <x:v>-0.000039855996502225006</x:v>
      </x:c>
      <x:c r="K901" t="n">
        <x:f>IF(ISNUMBER(B901),IF('Hill'!$B$4=1,IF(B901&lt;0,-B901,""),IF('Hill'!$B$4=2,IF(B901&gt;0,B901,""),IF('Hill'!$B$4=3,IF(B901&lt;&gt;0,ABS(B901),""),""))),"")</x:f>
        <x:v>0.007896436074829398</x:v>
      </x:c>
    </x:row>
    <x:row r="902">
      <x:c r="A902" t="n">
        <x:f>901</x:f>
        <x:v>901</x:v>
      </x:c>
      <x:c r="B902" s="7" t="n">
        <x:f>IF('요약'!$B$4=4,IF(ISNUMBER('input'!A902),'input'!A902,""),IF(901&lt;=1000,CHOOSE('요약'!$B$4,'input'!B902,'input'!C902,'input'!D902),""))</x:f>
        <x:v>-0.0013128682226501512</x:v>
      </x:c>
      <x:c r="C902" s="7" t="n">
        <x:f>IF(AND(ISNUMBER(B902),'요약'!$B$19),B902-'요약'!$B$7,"")</x:f>
        <x:v>-0.0012646288956006497</x:v>
      </x:c>
      <x:c r="D902" s="7" t="n">
        <x:f>IF(ISNUMBER(C902),C902^2,"")</x:f>
        <x:v>0.000001599286243588119</x:v>
      </x:c>
      <x:c r="E902" s="15" t="n">
        <x:f>IF(ISNUMBER(C902),C902^3,"")</x:f>
        <x:v>-2.0225035959781543e-9</x:v>
      </x:c>
      <x:c r="F902" s="15" t="n">
        <x:f>IF(ISNUMBER(C902),C902^4,"")</x:f>
        <x:v>2.5577164889301962e-12</x:v>
      </x:c>
      <x:c r="G902" s="7" t="n">
        <x:f>IF(ISNUMBER(B902),ABS(B902),"")</x:f>
        <x:v>0.0013128682226501512</x:v>
      </x:c>
      <x:c r="H902" s="7" t="n">
        <x:f>IF(ISNUMBER(B902),B902^2,"")</x:f>
        <x:v>0.0000017236229700445668</x:v>
      </x:c>
      <x:c r="I902" s="7" t="n">
        <x:f>IF(AND(ISNUMBER(G902),'요약'!$B$19),G902-'요약'!$B$14,"")</x:f>
        <x:v>-0.0067006484047527045</x:v>
      </x:c>
      <x:c r="J902" s="7" t="n">
        <x:f>IF(AND(ISNUMBER(H902),'요약'!$B$19),H902-'요약'!$B$15,"")</x:f>
        <x:v>-0.00010048607621604754</x:v>
      </x:c>
      <x:c r="K902" t="n">
        <x:f>IF(ISNUMBER(B902),IF('Hill'!$B$4=1,IF(B902&lt;0,-B902,""),IF('Hill'!$B$4=2,IF(B902&gt;0,B902,""),IF('Hill'!$B$4=3,IF(B902&lt;&gt;0,ABS(B902),""),""))),"")</x:f>
        <x:v>0.0013128682226501512</x:v>
      </x:c>
    </x:row>
    <x:row r="903">
      <x:c r="A903" t="n">
        <x:f>902</x:f>
        <x:v>902</x:v>
      </x:c>
      <x:c r="B903" s="7" t="n">
        <x:f>IF('요약'!$B$4=4,IF(ISNUMBER('input'!A903),'input'!A903,""),IF(902&lt;=1000,CHOOSE('요약'!$B$4,'input'!B903,'input'!C903,'input'!D903),""))</x:f>
        <x:v>0.00968653898328446</x:v>
      </x:c>
      <x:c r="C903" s="7" t="n">
        <x:f>IF(AND(ISNUMBER(B903),'요약'!$B$19),B903-'요약'!$B$7,"")</x:f>
        <x:v>0.009734778310333961</x:v>
      </x:c>
      <x:c r="D903" s="7" t="n">
        <x:f>IF(ISNUMBER(C903),C903^2,"")</x:f>
        <x:v>0.00009476590875134854</x:v>
      </x:c>
      <x:c r="E903" s="15" t="n">
        <x:f>IF(ISNUMBER(C903),C903^3,"")</x:f>
        <x:v>9.22525113071715e-7</x:v>
      </x:c>
      <x:c r="F903" s="15" t="n">
        <x:f>IF(ISNUMBER(C903),C903^4,"")</x:f>
        <x:v>8.980577461468917e-9</x:v>
      </x:c>
      <x:c r="G903" s="7" t="n">
        <x:f>IF(ISNUMBER(B903),ABS(B903),"")</x:f>
        <x:v>0.00968653898328446</x:v>
      </x:c>
      <x:c r="H903" s="7" t="n">
        <x:f>IF(ISNUMBER(B903),B903^2,"")</x:f>
        <x:v>0.00009382903747468956</x:v>
      </x:c>
      <x:c r="I903" s="7" t="n">
        <x:f>IF(AND(ISNUMBER(G903),'요약'!$B$19),G903-'요약'!$B$14,"")</x:f>
        <x:v>0.0016730223558816051</x:v>
      </x:c>
      <x:c r="J903" s="7" t="n">
        <x:f>IF(AND(ISNUMBER(H903),'요약'!$B$19),H903-'요약'!$B$15,"")</x:f>
        <x:v>-0.000008380661711402548</x:v>
      </x:c>
      <x:c r="K903" t="str">
        <x:f>IF(ISNUMBER(B903),IF('Hill'!$B$4=1,IF(B903&lt;0,-B903,""),IF('Hill'!$B$4=2,IF(B903&gt;0,B903,""),IF('Hill'!$B$4=3,IF(B903&lt;&gt;0,ABS(B903),""),""))),"")</x:f>
      </x:c>
    </x:row>
    <x:row r="904">
      <x:c r="A904" t="n">
        <x:f>903</x:f>
        <x:v>903</x:v>
      </x:c>
      <x:c r="B904" s="7" t="n">
        <x:f>IF('요약'!$B$4=4,IF(ISNUMBER('input'!A904),'input'!A904,""),IF(903&lt;=1000,CHOOSE('요약'!$B$4,'input'!B904,'input'!C904,'input'!D904),""))</x:f>
        <x:v>0.0006049740474411202</x:v>
      </x:c>
      <x:c r="C904" s="7" t="n">
        <x:f>IF(AND(ISNUMBER(B904),'요약'!$B$19),B904-'요약'!$B$7,"")</x:f>
        <x:v>0.0006532133744906216</x:v>
      </x:c>
      <x:c r="D904" s="7" t="n">
        <x:f>IF(ISNUMBER(C904),C904^2,"")</x:f>
        <x:v>4.2668771261342505e-7</x:v>
      </x:c>
      <x:c r="E904" s="15" t="n">
        <x:f>IF(ISNUMBER(C904),C904^3,"")</x:f>
        <x:v>2.7871812060989996e-10</x:v>
      </x:c>
      <x:c r="F904" s="15" t="n">
        <x:f>IF(ISNUMBER(C904),C904^4,"")</x:f>
        <x:v>1.820624040952768e-13</x:v>
      </x:c>
      <x:c r="G904" s="7" t="n">
        <x:f>IF(ISNUMBER(B904),ABS(B904),"")</x:f>
        <x:v>0.0006049740474411202</x:v>
      </x:c>
      <x:c r="H904" s="7" t="n">
        <x:f>IF(ISNUMBER(B904),B904^2,"")</x:f>
        <x:v>3.659935980772908e-7</x:v>
      </x:c>
      <x:c r="I904" s="7" t="n">
        <x:f>IF(AND(ISNUMBER(G904),'요약'!$B$19),G904-'요약'!$B$14,"")</x:f>
        <x:v>-0.0074085425799617355</x:v>
      </x:c>
      <x:c r="J904" s="7" t="n">
        <x:f>IF(AND(ISNUMBER(H904),'요약'!$B$19),H904-'요약'!$B$15,"")</x:f>
        <x:v>-0.00010184370558801481</x:v>
      </x:c>
      <x:c r="K904" t="str">
        <x:f>IF(ISNUMBER(B904),IF('Hill'!$B$4=1,IF(B904&lt;0,-B904,""),IF('Hill'!$B$4=2,IF(B904&gt;0,B904,""),IF('Hill'!$B$4=3,IF(B904&lt;&gt;0,ABS(B904),""),""))),"")</x:f>
      </x:c>
    </x:row>
    <x:row r="905">
      <x:c r="A905" t="n">
        <x:f>904</x:f>
        <x:v>904</x:v>
      </x:c>
      <x:c r="B905" s="7" t="n">
        <x:f>IF('요약'!$B$4=4,IF(ISNUMBER('input'!A905),'input'!A905,""),IF(904&lt;=1000,CHOOSE('요약'!$B$4,'input'!B905,'input'!C905,'input'!D905),""))</x:f>
        <x:v>-0.0026355264236050534</x:v>
      </x:c>
      <x:c r="C905" s="7" t="n">
        <x:f>IF(AND(ISNUMBER(B905),'요약'!$B$19),B905-'요약'!$B$7,"")</x:f>
        <x:v>-0.002587287096555552</x:v>
      </x:c>
      <x:c r="D905" s="7" t="n">
        <x:f>IF(ISNUMBER(C905),C905^2,"")</x:f>
        <x:v>0.000006694054520002858</x:v>
      </x:c>
      <x:c r="E905" s="15" t="n">
        <x:f>IF(ISNUMBER(C905),C905^3,"")</x:f>
        <x:v>-1.7319440883242764e-8</x:v>
      </x:c>
      <x:c r="F905" s="15" t="n">
        <x:f>IF(ISNUMBER(C905),C905^4,"")</x:f>
        <x:v>4.481036591677069e-11</x:v>
      </x:c>
      <x:c r="G905" s="7" t="n">
        <x:f>IF(ISNUMBER(B905),ABS(B905),"")</x:f>
        <x:v>0.0026355264236050534</x:v>
      </x:c>
      <x:c r="H905" s="7" t="n">
        <x:f>IF(ISNUMBER(B905),B905^2,"")</x:f>
        <x:v>0.000006945999529520444</x:v>
      </x:c>
      <x:c r="I905" s="7" t="n">
        <x:f>IF(AND(ISNUMBER(G905),'요약'!$B$19),G905-'요약'!$B$14,"")</x:f>
        <x:v>-0.0053779902037978024</x:v>
      </x:c>
      <x:c r="J905" s="7" t="n">
        <x:f>IF(AND(ISNUMBER(H905),'요약'!$B$19),H905-'요약'!$B$15,"")</x:f>
        <x:v>-0.00009526369965657166</x:v>
      </x:c>
      <x:c r="K905" t="n">
        <x:f>IF(ISNUMBER(B905),IF('Hill'!$B$4=1,IF(B905&lt;0,-B905,""),IF('Hill'!$B$4=2,IF(B905&gt;0,B905,""),IF('Hill'!$B$4=3,IF(B905&lt;&gt;0,ABS(B905),""),""))),"")</x:f>
        <x:v>0.0026355264236050534</x:v>
      </x:c>
    </x:row>
    <x:row r="906">
      <x:c r="A906" t="n">
        <x:f>905</x:f>
        <x:v>905</x:v>
      </x:c>
      <x:c r="B906" s="7" t="n">
        <x:f>IF('요약'!$B$4=4,IF(ISNUMBER('input'!A906),'input'!A906,""),IF(905&lt;=1000,CHOOSE('요약'!$B$4,'input'!B906,'input'!C906,'input'!D906),""))</x:f>
        <x:v>0.008009639058652122</x:v>
      </x:c>
      <x:c r="C906" s="7" t="n">
        <x:f>IF(AND(ISNUMBER(B906),'요약'!$B$19),B906-'요약'!$B$7,"")</x:f>
        <x:v>0.008057878385701623</x:v>
      </x:c>
      <x:c r="D906" s="7" t="n">
        <x:f>IF(ISNUMBER(C906),C906^2,"")</x:f>
        <x:v>0.0000649294040787574</x:v>
      </x:c>
      <x:c r="E906" s="15" t="n">
        <x:f>IF(ISNUMBER(C906),C906^3,"")</x:f>
        <x:v>5.231932417227059e-7</x:v>
      </x:c>
      <x:c r="F906" s="15" t="n">
        <x:f>IF(ISNUMBER(C906),C906^4,"")</x:f>
        <x:v>4.215827514022557e-9</x:v>
      </x:c>
      <x:c r="G906" s="7" t="n">
        <x:f>IF(ISNUMBER(B906),ABS(B906),"")</x:f>
        <x:v>0.008009639058652122</x:v>
      </x:c>
      <x:c r="H906" s="7" t="n">
        <x:f>IF(ISNUMBER(B906),B906^2,"")</x:f>
        <x:v>0.00006415431784988565</x:v>
      </x:c>
      <x:c r="I906" s="7" t="n">
        <x:f>IF(AND(ISNUMBER(G906),'요약'!$B$19),G906-'요약'!$B$14,"")</x:f>
        <x:v>-0.000003877568750733362</x:v>
      </x:c>
      <x:c r="J906" s="7" t="n">
        <x:f>IF(AND(ISNUMBER(H906),'요약'!$B$19),H906-'요약'!$B$15,"")</x:f>
        <x:v>-0.000038055381336206455</x:v>
      </x:c>
      <x:c r="K906" t="str">
        <x:f>IF(ISNUMBER(B906),IF('Hill'!$B$4=1,IF(B906&lt;0,-B906,""),IF('Hill'!$B$4=2,IF(B906&gt;0,B906,""),IF('Hill'!$B$4=3,IF(B906&lt;&gt;0,ABS(B906),""),""))),"")</x:f>
      </x:c>
    </x:row>
    <x:row r="907">
      <x:c r="A907" t="n">
        <x:f>906</x:f>
        <x:v>906</x:v>
      </x:c>
      <x:c r="B907" s="7" t="n">
        <x:f>IF('요약'!$B$4=4,IF(ISNUMBER('input'!A907),'input'!A907,""),IF(906&lt;=1000,CHOOSE('요약'!$B$4,'input'!B907,'input'!C907,'input'!D907),""))</x:f>
        <x:v>-0.015420384460475568</x:v>
      </x:c>
      <x:c r="C907" s="7" t="n">
        <x:f>IF(AND(ISNUMBER(B907),'요약'!$B$19),B907-'요약'!$B$7,"")</x:f>
        <x:v>-0.015372145133426067</x:v>
      </x:c>
      <x:c r="D907" s="7" t="n">
        <x:f>IF(ISNUMBER(C907),C907^2,"")</x:f>
        <x:v>0.00023630284600311473</x:v>
      </x:c>
      <x:c r="E907" s="15" t="n">
        <x:f>IF(ISNUMBER(C907),C907^3,"")</x:f>
        <x:v>-0.0000036324816442015094</x:v>
      </x:c>
      <x:c r="F907" s="15" t="n">
        <x:f>IF(ISNUMBER(C907),C907^4,"")</x:f>
        <x:v>5.583903502917175e-8</x:v>
      </x:c>
      <x:c r="G907" s="7" t="n">
        <x:f>IF(ISNUMBER(B907),ABS(B907),"")</x:f>
        <x:v>0.015420384460475568</x:v>
      </x:c>
      <x:c r="H907" s="7" t="n">
        <x:f>IF(ISNUMBER(B907),B907^2,"")</x:f>
        <x:v>0.00023778825690887637</x:v>
      </x:c>
      <x:c r="I907" s="7" t="n">
        <x:f>IF(AND(ISNUMBER(G907),'요약'!$B$19),G907-'요약'!$B$14,"")</x:f>
        <x:v>0.0074068678330727125</x:v>
      </x:c>
      <x:c r="J907" s="7" t="n">
        <x:f>IF(AND(ISNUMBER(H907),'요약'!$B$19),H907-'요약'!$B$15,"")</x:f>
        <x:v>0.00013557855772278426</x:v>
      </x:c>
      <x:c r="K907" t="n">
        <x:f>IF(ISNUMBER(B907),IF('Hill'!$B$4=1,IF(B907&lt;0,-B907,""),IF('Hill'!$B$4=2,IF(B907&gt;0,B907,""),IF('Hill'!$B$4=3,IF(B907&lt;&gt;0,ABS(B907),""),""))),"")</x:f>
        <x:v>0.015420384460475568</x:v>
      </x:c>
    </x:row>
    <x:row r="908">
      <x:c r="A908" t="n">
        <x:f>907</x:f>
        <x:v>907</x:v>
      </x:c>
      <x:c r="B908" s="7" t="n">
        <x:f>IF('요약'!$B$4=4,IF(ISNUMBER('input'!A908),'input'!A908,""),IF(907&lt;=1000,CHOOSE('요약'!$B$4,'input'!B908,'input'!C908,'input'!D908),""))</x:f>
        <x:v>-0.008737237352907507</x:v>
      </x:c>
      <x:c r="C908" s="7" t="n">
        <x:f>IF(AND(ISNUMBER(B908),'요약'!$B$19),B908-'요약'!$B$7,"")</x:f>
        <x:v>-0.008688998025858007</x:v>
      </x:c>
      <x:c r="D908" s="7" t="n">
        <x:f>IF(ISNUMBER(C908),C908^2,"")</x:f>
        <x:v>0.00007549868669336434</x:v>
      </x:c>
      <x:c r="E908" s="15" t="n">
        <x:f>IF(ISNUMBER(C908),C908^3,"")</x:f>
        <x:v>-6.560079396335148e-7</x:v>
      </x:c>
      <x:c r="F908" s="15" t="n">
        <x:f>IF(ISNUMBER(C908),C908^4,"")</x:f>
        <x:v>5.700051692422789e-9</x:v>
      </x:c>
      <x:c r="G908" s="7" t="n">
        <x:f>IF(ISNUMBER(B908),ABS(B908),"")</x:f>
        <x:v>0.008737237352907507</x:v>
      </x:c>
      <x:c r="H908" s="7" t="n">
        <x:f>IF(ISNUMBER(B908),B908^2,"")</x:f>
        <x:v>0.00007633931656104218</x:v>
      </x:c>
      <x:c r="I908" s="7" t="n">
        <x:f>IF(AND(ISNUMBER(G908),'요약'!$B$19),G908-'요약'!$B$14,"")</x:f>
        <x:v>0.0007237207255046518</x:v>
      </x:c>
      <x:c r="J908" s="7" t="n">
        <x:f>IF(AND(ISNUMBER(H908),'요약'!$B$19),H908-'요약'!$B$15,"")</x:f>
        <x:v>-0.000025870382625049925</x:v>
      </x:c>
      <x:c r="K908" t="n">
        <x:f>IF(ISNUMBER(B908),IF('Hill'!$B$4=1,IF(B908&lt;0,-B908,""),IF('Hill'!$B$4=2,IF(B908&gt;0,B908,""),IF('Hill'!$B$4=3,IF(B908&lt;&gt;0,ABS(B908),""),""))),"")</x:f>
        <x:v>0.008737237352907507</x:v>
      </x:c>
    </x:row>
    <x:row r="909">
      <x:c r="A909" t="n">
        <x:f>908</x:f>
        <x:v>908</x:v>
      </x:c>
      <x:c r="B909" s="7" t="n">
        <x:f>IF('요약'!$B$4=4,IF(ISNUMBER('input'!A909),'input'!A909,""),IF(908&lt;=1000,CHOOSE('요약'!$B$4,'input'!B909,'input'!C909,'input'!D909),""))</x:f>
        <x:v>-0.0019779810015746685</x:v>
      </x:c>
      <x:c r="C909" s="7" t="n">
        <x:f>IF(AND(ISNUMBER(B909),'요약'!$B$19),B909-'요약'!$B$7,"")</x:f>
        <x:v>-0.001929741674525167</x:v>
      </x:c>
      <x:c r="D909" s="7" t="n">
        <x:f>IF(ISNUMBER(C909),C909^2,"")</x:f>
        <x:v>0.000003723902930399196</x:v>
      </x:c>
      <x:c r="E909" s="15" t="n">
        <x:f>IF(ISNUMBER(C909),C909^3,"")</x:f>
        <x:v>-7.186170676677721e-9</x:v>
      </x:c>
      <x:c r="F909" s="15" t="n">
        <x:f>IF(ISNUMBER(C909),C909^4,"")</x:f>
        <x:v>1.3867453035035717e-11</x:v>
      </x:c>
      <x:c r="G909" s="7" t="n">
        <x:f>IF(ISNUMBER(B909),ABS(B909),"")</x:f>
        <x:v>0.0019779810015746685</x:v>
      </x:c>
      <x:c r="H909" s="7" t="n">
        <x:f>IF(ISNUMBER(B909),B909^2,"")</x:f>
        <x:v>0.000003912408842590329</x:v>
      </x:c>
      <x:c r="I909" s="7" t="n">
        <x:f>IF(AND(ISNUMBER(G909),'요약'!$B$19),G909-'요약'!$B$14,"")</x:f>
        <x:v>-0.006035535625828187</x:v>
      </x:c>
      <x:c r="J909" s="7" t="n">
        <x:f>IF(AND(ISNUMBER(H909),'요약'!$B$19),H909-'요약'!$B$15,"")</x:f>
        <x:v>-0.00009829729034350177</x:v>
      </x:c>
      <x:c r="K909" t="n">
        <x:f>IF(ISNUMBER(B909),IF('Hill'!$B$4=1,IF(B909&lt;0,-B909,""),IF('Hill'!$B$4=2,IF(B909&gt;0,B909,""),IF('Hill'!$B$4=3,IF(B909&lt;&gt;0,ABS(B909),""),""))),"")</x:f>
        <x:v>0.0019779810015746685</x:v>
      </x:c>
    </x:row>
    <x:row r="910">
      <x:c r="A910" t="n">
        <x:f>909</x:f>
        <x:v>909</x:v>
      </x:c>
      <x:c r="B910" s="7" t="n">
        <x:f>IF('요약'!$B$4=4,IF(ISNUMBER('input'!A910),'input'!A910,""),IF(909&lt;=1000,CHOOSE('요약'!$B$4,'input'!B910,'input'!C910,'input'!D910),""))</x:f>
        <x:v>-0.0012863445520617828</x:v>
      </x:c>
      <x:c r="C910" s="7" t="n">
        <x:f>IF(AND(ISNUMBER(B910),'요약'!$B$19),B910-'요약'!$B$7,"")</x:f>
        <x:v>-0.0012381052250122814</x:v>
      </x:c>
      <x:c r="D910" s="7" t="n">
        <x:f>IF(ISNUMBER(C910),C910^2,"")</x:f>
        <x:v>0.0000015329045482027119</x:v>
      </x:c>
      <x:c r="E910" s="15" t="n">
        <x:f>IF(ISNUMBER(C910),C910^3,"")</x:f>
        <x:v>-1.897897130574868e-9</x:v>
      </x:c>
      <x:c r="F910" s="15" t="n">
        <x:f>IF(ISNUMBER(C910),C910^4,"")</x:f>
        <x:v>2.34979635390056e-12</x:v>
      </x:c>
      <x:c r="G910" s="7" t="n">
        <x:f>IF(ISNUMBER(B910),ABS(B910),"")</x:f>
        <x:v>0.0012863445520617828</x:v>
      </x:c>
      <x:c r="H910" s="7" t="n">
        <x:f>IF(ISNUMBER(B910),B910^2,"")</x:f>
        <x:v>0.0000016546823066190286</x:v>
      </x:c>
      <x:c r="I910" s="7" t="n">
        <x:f>IF(AND(ISNUMBER(G910),'요약'!$B$19),G910-'요약'!$B$14,"")</x:f>
        <x:v>-0.006727172075341073</x:v>
      </x:c>
      <x:c r="J910" s="7" t="n">
        <x:f>IF(AND(ISNUMBER(H910),'요약'!$B$19),H910-'요약'!$B$15,"")</x:f>
        <x:v>-0.00010055501687947308</x:v>
      </x:c>
      <x:c r="K910" t="n">
        <x:f>IF(ISNUMBER(B910),IF('Hill'!$B$4=1,IF(B910&lt;0,-B910,""),IF('Hill'!$B$4=2,IF(B910&gt;0,B910,""),IF('Hill'!$B$4=3,IF(B910&lt;&gt;0,ABS(B910),""),""))),"")</x:f>
        <x:v>0.0012863445520617828</x:v>
      </x:c>
    </x:row>
    <x:row r="911">
      <x:c r="A911" t="n">
        <x:f>910</x:f>
        <x:v>910</x:v>
      </x:c>
      <x:c r="B911" s="7" t="n">
        <x:f>IF('요약'!$B$4=4,IF(ISNUMBER('input'!A911),'input'!A911,""),IF(910&lt;=1000,CHOOSE('요약'!$B$4,'input'!B911,'input'!C911,'input'!D911),""))</x:f>
        <x:v>0.02014123105487174</x:v>
      </x:c>
      <x:c r="C911" s="7" t="n">
        <x:f>IF(AND(ISNUMBER(B911),'요약'!$B$19),B911-'요약'!$B$7,"")</x:f>
        <x:v>0.020189470381921242</x:v>
      </x:c>
      <x:c r="D911" s="7" t="n">
        <x:f>IF(ISNUMBER(C911),C911^2,"")</x:f>
        <x:v>0.00040761471430247507</x:v>
      </x:c>
      <x:c r="E911" s="15" t="n">
        <x:f>IF(ISNUMBER(C911),C911^3,"")</x:f>
        <x:v>0.000008229525201645109</x:v>
      </x:c>
      <x:c r="F911" s="15" t="n">
        <x:f>IF(ISNUMBER(C911),C911^4,"")</x:f>
        <x:v>1.6614975531588836e-7</x:v>
      </x:c>
      <x:c r="G911" s="7" t="n">
        <x:f>IF(ISNUMBER(B911),ABS(B911),"")</x:f>
        <x:v>0.02014123105487174</x:v>
      </x:c>
      <x:c r="H911" s="7" t="n">
        <x:f>IF(ISNUMBER(B911),B911^2,"")</x:f>
        <x:v>0.00040566918840572987</x:v>
      </x:c>
      <x:c r="I911" s="7" t="n">
        <x:f>IF(AND(ISNUMBER(G911),'요약'!$B$19),G911-'요약'!$B$14,"")</x:f>
        <x:v>0.012127714427468886</x:v>
      </x:c>
      <x:c r="J911" s="7" t="n">
        <x:f>IF(AND(ISNUMBER(H911),'요약'!$B$19),H911-'요약'!$B$15,"")</x:f>
        <x:v>0.00030345948921963774</x:v>
      </x:c>
      <x:c r="K911" t="str">
        <x:f>IF(ISNUMBER(B911),IF('Hill'!$B$4=1,IF(B911&lt;0,-B911,""),IF('Hill'!$B$4=2,IF(B911&gt;0,B911,""),IF('Hill'!$B$4=3,IF(B911&lt;&gt;0,ABS(B911),""),""))),"")</x:f>
      </x:c>
    </x:row>
    <x:row r="912">
      <x:c r="A912" t="n">
        <x:f>911</x:f>
        <x:v>911</x:v>
      </x:c>
      <x:c r="B912" s="7" t="n">
        <x:f>IF('요약'!$B$4=4,IF(ISNUMBER('input'!A912),'input'!A912,""),IF(911&lt;=1000,CHOOSE('요약'!$B$4,'input'!B912,'input'!C912,'input'!D912),""))</x:f>
        <x:v>0.0023408530021275485</x:v>
      </x:c>
      <x:c r="C912" s="7" t="n">
        <x:f>IF(AND(ISNUMBER(B912),'요약'!$B$19),B912-'요약'!$B$7,"")</x:f>
        <x:v>0.00238909232917705</x:v>
      </x:c>
      <x:c r="D912" s="7" t="n">
        <x:f>IF(ISNUMBER(C912),C912^2,"")</x:f>
        <x:v>0.000005707762157332622</x:v>
      </x:c>
      <x:c r="E912" s="15" t="n">
        <x:f>IF(ISNUMBER(C912),C912^3,"")</x:f>
        <x:v>1.3636370786850417e-8</x:v>
      </x:c>
      <x:c r="F912" s="15" t="n">
        <x:f>IF(ISNUMBER(C912),C912^4,"")</x:f>
        <x:v>3.2578548844678346e-11</x:v>
      </x:c>
      <x:c r="G912" s="7" t="n">
        <x:f>IF(ISNUMBER(B912),ABS(B912),"")</x:f>
        <x:v>0.0023408530021275485</x:v>
      </x:c>
      <x:c r="H912" s="7" t="n">
        <x:f>IF(ISNUMBER(B912),B912^2,"")</x:f>
        <x:v>0.000005479592777569556</x:v>
      </x:c>
      <x:c r="I912" s="7" t="n">
        <x:f>IF(AND(ISNUMBER(G912),'요약'!$B$19),G912-'요약'!$B$14,"")</x:f>
        <x:v>-0.005672663625275307</x:v>
      </x:c>
      <x:c r="J912" s="7" t="n">
        <x:f>IF(AND(ISNUMBER(H912),'요약'!$B$19),H912-'요약'!$B$15,"")</x:f>
        <x:v>-0.00009673010640852254</x:v>
      </x:c>
      <x:c r="K912" t="str">
        <x:f>IF(ISNUMBER(B912),IF('Hill'!$B$4=1,IF(B912&lt;0,-B912,""),IF('Hill'!$B$4=2,IF(B912&gt;0,B912,""),IF('Hill'!$B$4=3,IF(B912&lt;&gt;0,ABS(B912),""),""))),"")</x:f>
      </x:c>
    </x:row>
    <x:row r="913">
      <x:c r="A913" t="n">
        <x:f>912</x:f>
        <x:v>912</x:v>
      </x:c>
      <x:c r="B913" s="7" t="n">
        <x:f>IF('요약'!$B$4=4,IF(ISNUMBER('input'!A913),'input'!A913,""),IF(912&lt;=1000,CHOOSE('요약'!$B$4,'input'!B913,'input'!C913,'input'!D913),""))</x:f>
        <x:v>0.00439898320413854</x:v>
      </x:c>
      <x:c r="C913" s="7" t="n">
        <x:f>IF(AND(ISNUMBER(B913),'요약'!$B$19),B913-'요약'!$B$7,"")</x:f>
        <x:v>0.004447222531188041</x:v>
      </x:c>
      <x:c r="D913" s="7" t="n">
        <x:f>IF(ISNUMBER(C913),C913^2,"")</x:f>
        <x:v>0.000019777788241906568</x:v>
      </x:c>
      <x:c r="E913" s="15" t="n">
        <x:f>IF(ISNUMBER(C913),C913^3,"")</x:f>
        <x:v>8.795622548647281e-8</x:v>
      </x:c>
      <x:c r="F913" s="15" t="n">
        <x:f>IF(ISNUMBER(C913),C913^4,"")</x:f>
        <x:v>3.911609077416977e-10</x:v>
      </x:c>
      <x:c r="G913" s="7" t="n">
        <x:f>IF(ISNUMBER(B913),ABS(B913),"")</x:f>
        <x:v>0.00439898320413854</x:v>
      </x:c>
      <x:c r="H913" s="7" t="n">
        <x:f>IF(ISNUMBER(B913),B913^2,"")</x:f>
        <x:v>0.000019351053230292974</x:v>
      </x:c>
      <x:c r="I913" s="7" t="n">
        <x:f>IF(AND(ISNUMBER(G913),'요약'!$B$19),G913-'요약'!$B$14,"")</x:f>
        <x:v>-0.0036145334232643156</x:v>
      </x:c>
      <x:c r="J913" s="7" t="n">
        <x:f>IF(AND(ISNUMBER(H913),'요약'!$B$19),H913-'요약'!$B$15,"")</x:f>
        <x:v>-0.00008285864595579913</x:v>
      </x:c>
      <x:c r="K913" t="str">
        <x:f>IF(ISNUMBER(B913),IF('Hill'!$B$4=1,IF(B913&lt;0,-B913,""),IF('Hill'!$B$4=2,IF(B913&gt;0,B913,""),IF('Hill'!$B$4=3,IF(B913&lt;&gt;0,ABS(B913),""),""))),"")</x:f>
      </x:c>
    </x:row>
    <x:row r="914">
      <x:c r="A914" t="n">
        <x:f>913</x:f>
        <x:v>913</x:v>
      </x:c>
      <x:c r="B914" s="7" t="n">
        <x:f>IF('요약'!$B$4=4,IF(ISNUMBER('input'!A914),'input'!A914,""),IF(913&lt;=1000,CHOOSE('요약'!$B$4,'input'!B914,'input'!C914,'input'!D914),""))</x:f>
        <x:v>0.005513869190094017</x:v>
      </x:c>
      <x:c r="C914" s="7" t="n">
        <x:f>IF(AND(ISNUMBER(B914),'요약'!$B$19),B914-'요약'!$B$7,"")</x:f>
        <x:v>0.005562108517143519</x:v>
      </x:c>
      <x:c r="D914" s="7" t="n">
        <x:f>IF(ISNUMBER(C914),C914^2,"")</x:f>
        <x:v>0.00003093705115648047</x:v>
      </x:c>
      <x:c r="E914" s="15" t="n">
        <x:f>IF(ISNUMBER(C914),C914^3,"")</x:f>
        <x:v>1.7207523573276478e-7</x:v>
      </x:c>
      <x:c r="F914" s="15" t="n">
        <x:f>IF(ISNUMBER(C914),C914^4,"")</x:f>
        <x:v>9.571011342586898e-10</x:v>
      </x:c>
      <x:c r="G914" s="7" t="n">
        <x:f>IF(ISNUMBER(B914),ABS(B914),"")</x:f>
        <x:v>0.005513869190094017</x:v>
      </x:c>
      <x:c r="H914" s="7" t="n">
        <x:f>IF(ISNUMBER(B914),B914^2,"")</x:f>
        <x:v>0.000030402753445468052</x:v>
      </x:c>
      <x:c r="I914" s="7" t="n">
        <x:f>IF(AND(ISNUMBER(G914),'요약'!$B$19),G914-'요약'!$B$14,"")</x:f>
        <x:v>-0.0024996474373088383</x:v>
      </x:c>
      <x:c r="J914" s="7" t="n">
        <x:f>IF(AND(ISNUMBER(H914),'요약'!$B$19),H914-'요약'!$B$15,"")</x:f>
        <x:v>-0.00007180694574062405</x:v>
      </x:c>
      <x:c r="K914" t="str">
        <x:f>IF(ISNUMBER(B914),IF('Hill'!$B$4=1,IF(B914&lt;0,-B914,""),IF('Hill'!$B$4=2,IF(B914&gt;0,B914,""),IF('Hill'!$B$4=3,IF(B914&lt;&gt;0,ABS(B914),""),""))),"")</x:f>
      </x:c>
    </x:row>
    <x:row r="915">
      <x:c r="A915" t="n">
        <x:f>914</x:f>
        <x:v>914</x:v>
      </x:c>
      <x:c r="B915" s="7" t="n">
        <x:f>IF('요약'!$B$4=4,IF(ISNUMBER('input'!A915),'input'!A915,""),IF(914&lt;=1000,CHOOSE('요약'!$B$4,'input'!B915,'input'!C915,'input'!D915),""))</x:f>
        <x:v>-0.003981063101434524</x:v>
      </x:c>
      <x:c r="C915" s="7" t="n">
        <x:f>IF(AND(ISNUMBER(B915),'요약'!$B$19),B915-'요약'!$B$7,"")</x:f>
        <x:v>-0.0039328237743850225</x:v>
      </x:c>
      <x:c r="D915" s="7" t="n">
        <x:f>IF(ISNUMBER(C915),C915^2,"")</x:f>
        <x:v>0.000015467102840368053</x:v>
      </x:c>
      <x:c r="E915" s="15" t="n">
        <x:f>IF(ISNUMBER(C915),C915^3,"")</x:f>
        <x:v>-6.082938977145759e-8</x:v>
      </x:c>
      <x:c r="F915" s="15" t="n">
        <x:f>IF(ISNUMBER(C915),C915^4,"")</x:f>
        <x:v>2.3923127027452153e-10</x:v>
      </x:c>
      <x:c r="G915" s="7" t="n">
        <x:f>IF(ISNUMBER(B915),ABS(B915),"")</x:f>
        <x:v>0.003981063101434524</x:v>
      </x:c>
      <x:c r="H915" s="7" t="n">
        <x:f>IF(ISNUMBER(B915),B915^2,"")</x:f>
        <x:v>0.00001584886341760347</x:v>
      </x:c>
      <x:c r="I915" s="7" t="n">
        <x:f>IF(AND(ISNUMBER(G915),'요약'!$B$19),G915-'요약'!$B$14,"")</x:f>
        <x:v>-0.0040324535259683315</x:v>
      </x:c>
      <x:c r="J915" s="7" t="n">
        <x:f>IF(AND(ISNUMBER(H915),'요약'!$B$19),H915-'요약'!$B$15,"")</x:f>
        <x:v>-0.00008636083576848863</x:v>
      </x:c>
      <x:c r="K915" t="n">
        <x:f>IF(ISNUMBER(B915),IF('Hill'!$B$4=1,IF(B915&lt;0,-B915,""),IF('Hill'!$B$4=2,IF(B915&gt;0,B915,""),IF('Hill'!$B$4=3,IF(B915&lt;&gt;0,ABS(B915),""),""))),"")</x:f>
        <x:v>0.003981063101434524</x:v>
      </x:c>
    </x:row>
    <x:row r="916">
      <x:c r="A916" t="n">
        <x:f>915</x:f>
        <x:v>915</x:v>
      </x:c>
      <x:c r="B916" s="7" t="n">
        <x:f>IF('요약'!$B$4=4,IF(ISNUMBER('input'!A916),'input'!A916,""),IF(915&lt;=1000,CHOOSE('요약'!$B$4,'input'!B916,'input'!C916,'input'!D916),""))</x:f>
        <x:v>-0.022548458267125454</x:v>
      </x:c>
      <x:c r="C916" s="7" t="n">
        <x:f>IF(AND(ISNUMBER(B916),'요약'!$B$19),B916-'요약'!$B$7,"")</x:f>
        <x:v>-0.022500218940075953</x:v>
      </x:c>
      <x:c r="D916" s="7" t="n">
        <x:f>IF(ISNUMBER(C916),C916^2,"")</x:f>
        <x:v>0.0005062598523513527</x:v>
      </x:c>
      <x:c r="E916" s="15" t="n">
        <x:f>IF(ISNUMBER(C916),C916^3,"")</x:f>
        <x:v>-0.00001139095751847596</x:v>
      </x:c>
      <x:c r="F916" s="15" t="n">
        <x:f>IF(ISNUMBER(C916),C916^4,"")</x:f>
        <x:v>2.562990381028134e-7</x:v>
      </x:c>
      <x:c r="G916" s="7" t="n">
        <x:f>IF(ISNUMBER(B916),ABS(B916),"")</x:f>
        <x:v>0.022548458267125454</x:v>
      </x:c>
      <x:c r="H916" s="7" t="n">
        <x:f>IF(ISNUMBER(B916),B916^2,"")</x:f>
        <x:v>0.0005084329702242982</x:v>
      </x:c>
      <x:c r="I916" s="7" t="n">
        <x:f>IF(AND(ISNUMBER(G916),'요약'!$B$19),G916-'요약'!$B$14,"")</x:f>
        <x:v>0.014534941639722599</x:v>
      </x:c>
      <x:c r="J916" s="7" t="n">
        <x:f>IF(AND(ISNUMBER(H916),'요약'!$B$19),H916-'요약'!$B$15,"")</x:f>
        <x:v>0.00040622327103820614</x:v>
      </x:c>
      <x:c r="K916" t="n">
        <x:f>IF(ISNUMBER(B916),IF('Hill'!$B$4=1,IF(B916&lt;0,-B916,""),IF('Hill'!$B$4=2,IF(B916&gt;0,B916,""),IF('Hill'!$B$4=3,IF(B916&lt;&gt;0,ABS(B916),""),""))),"")</x:f>
        <x:v>0.022548458267125454</x:v>
      </x:c>
    </x:row>
    <x:row r="917">
      <x:c r="A917" t="n">
        <x:f>916</x:f>
        <x:v>916</x:v>
      </x:c>
      <x:c r="B917" s="7" t="n">
        <x:f>IF('요약'!$B$4=4,IF(ISNUMBER('input'!A917),'input'!A917,""),IF(916&lt;=1000,CHOOSE('요약'!$B$4,'input'!B917,'input'!C917,'input'!D917),""))</x:f>
        <x:v>-0.0020407915197201473</x:v>
      </x:c>
      <x:c r="C917" s="7" t="n">
        <x:f>IF(AND(ISNUMBER(B917),'요약'!$B$19),B917-'요약'!$B$7,"")</x:f>
        <x:v>-0.001992552192670646</x:v>
      </x:c>
      <x:c r="D917" s="7" t="n">
        <x:f>IF(ISNUMBER(C917),C917^2,"")</x:f>
        <x:v>0.000003970264240516598</x:v>
      </x:c>
      <x:c r="E917" s="15" t="n">
        <x:f>IF(ISNUMBER(C917),C917^3,"")</x:f>
        <x:v>-7.910958717923204e-9</x:v>
      </x:c>
      <x:c r="F917" s="15" t="n">
        <x:f>IF(ISNUMBER(C917),C917^4,"")</x:f>
        <x:v>1.5762998139524843e-11</x:v>
      </x:c>
      <x:c r="G917" s="7" t="n">
        <x:f>IF(ISNUMBER(B917),ABS(B917),"")</x:f>
        <x:v>0.0020407915197201473</x:v>
      </x:c>
      <x:c r="H917" s="7" t="n">
        <x:f>IF(ISNUMBER(B917),B917^2,"")</x:f>
        <x:v>0.0000041648300269616685</x:v>
      </x:c>
      <x:c r="I917" s="7" t="n">
        <x:f>IF(AND(ISNUMBER(G917),'요약'!$B$19),G917-'요약'!$B$14,"")</x:f>
        <x:v>-0.005972725107682708</x:v>
      </x:c>
      <x:c r="J917" s="7" t="n">
        <x:f>IF(AND(ISNUMBER(H917),'요약'!$B$19),H917-'요약'!$B$15,"")</x:f>
        <x:v>-0.00009804486915913044</x:v>
      </x:c>
      <x:c r="K917" t="n">
        <x:f>IF(ISNUMBER(B917),IF('Hill'!$B$4=1,IF(B917&lt;0,-B917,""),IF('Hill'!$B$4=2,IF(B917&gt;0,B917,""),IF('Hill'!$B$4=3,IF(B917&lt;&gt;0,ABS(B917),""),""))),"")</x:f>
        <x:v>0.0020407915197201473</x:v>
      </x:c>
    </x:row>
    <x:row r="918">
      <x:c r="A918" t="n">
        <x:f>917</x:f>
        <x:v>917</x:v>
      </x:c>
      <x:c r="B918" s="7" t="n">
        <x:f>IF('요약'!$B$4=4,IF(ISNUMBER('input'!A918),'input'!A918,""),IF(917&lt;=1000,CHOOSE('요약'!$B$4,'input'!B918,'input'!C918,'input'!D918),""))</x:f>
        <x:v>0.022834573356008955</x:v>
      </x:c>
      <x:c r="C918" s="7" t="n">
        <x:f>IF(AND(ISNUMBER(B918),'요약'!$B$19),B918-'요약'!$B$7,"")</x:f>
        <x:v>0.022882812683058456</x:v>
      </x:c>
      <x:c r="D918" s="7" t="n">
        <x:f>IF(ISNUMBER(C918),C918^2,"")</x:f>
        <x:v>0.0005236231162879409</x:v>
      </x:c>
      <x:c r="E918" s="15" t="n">
        <x:f>IF(ISNUMBER(C918),C918^3,"")</x:f>
        <x:v>0.000011981969686536287</x:v>
      </x:c>
      <x:c r="F918" s="15" t="n">
        <x:f>IF(ISNUMBER(C918),C918^4,"")</x:f>
        <x:v>2.741811679110945e-7</x:v>
      </x:c>
      <x:c r="G918" s="7" t="n">
        <x:f>IF(ISNUMBER(B918),ABS(B918),"")</x:f>
        <x:v>0.022834573356008955</x:v>
      </x:c>
      <x:c r="H918" s="7" t="n">
        <x:f>IF(ISNUMBER(B918),B918^2,"")</x:f>
        <x:v>0.0005214177403509541</x:v>
      </x:c>
      <x:c r="I918" s="7" t="n">
        <x:f>IF(AND(ISNUMBER(G918),'요약'!$B$19),G918-'요약'!$B$14,"")</x:f>
        <x:v>0.0148210567286061</x:v>
      </x:c>
      <x:c r="J918" s="7" t="n">
        <x:f>IF(AND(ISNUMBER(H918),'요약'!$B$19),H918-'요약'!$B$15,"")</x:f>
        <x:v>0.000419208041164862</x:v>
      </x:c>
      <x:c r="K918" t="str">
        <x:f>IF(ISNUMBER(B918),IF('Hill'!$B$4=1,IF(B918&lt;0,-B918,""),IF('Hill'!$B$4=2,IF(B918&gt;0,B918,""),IF('Hill'!$B$4=3,IF(B918&lt;&gt;0,ABS(B918),""),""))),"")</x:f>
      </x:c>
    </x:row>
    <x:row r="919">
      <x:c r="A919" t="n">
        <x:f>918</x:f>
        <x:v>918</x:v>
      </x:c>
      <x:c r="B919" s="7" t="n">
        <x:f>IF('요약'!$B$4=4,IF(ISNUMBER('input'!A919),'input'!A919,""),IF(918&lt;=1000,CHOOSE('요약'!$B$4,'input'!B919,'input'!C919,'input'!D919),""))</x:f>
        <x:v>-0.001607183093742827</x:v>
      </x:c>
      <x:c r="C919" s="7" t="n">
        <x:f>IF(AND(ISNUMBER(B919),'요약'!$B$19),B919-'요약'!$B$7,"")</x:f>
        <x:v>-0.0015589437666933255</x:v>
      </x:c>
      <x:c r="D919" s="7" t="n">
        <x:f>IF(ISNUMBER(C919),C919^2,"")</x:f>
        <x:v>0.0000024303056677119737</x:v>
      </x:c>
      <x:c r="E919" s="15" t="n">
        <x:f>IF(ISNUMBER(C919),C919^3,"")</x:f>
        <x:v>-3.7887098718390416e-9</x:v>
      </x:c>
      <x:c r="F919" s="15" t="n">
        <x:f>IF(ISNUMBER(C919),C919^4,"")</x:f>
        <x:v>5.9063856385129426e-12</x:v>
      </x:c>
      <x:c r="G919" s="7" t="n">
        <x:f>IF(ISNUMBER(B919),ABS(B919),"")</x:f>
        <x:v>0.001607183093742827</x:v>
      </x:c>
      <x:c r="H919" s="7" t="n">
        <x:f>IF(ISNUMBER(B919),B919^2,"")</x:f>
        <x:v>0.0000025830374968127647</x:v>
      </x:c>
      <x:c r="I919" s="7" t="n">
        <x:f>IF(AND(ISNUMBER(G919),'요약'!$B$19),G919-'요약'!$B$14,"")</x:f>
        <x:v>-0.006406333533660029</x:v>
      </x:c>
      <x:c r="J919" s="7" t="n">
        <x:f>IF(AND(ISNUMBER(H919),'요약'!$B$19),H919-'요약'!$B$15,"")</x:f>
        <x:v>-0.00009962666168927934</x:v>
      </x:c>
      <x:c r="K919" t="n">
        <x:f>IF(ISNUMBER(B919),IF('Hill'!$B$4=1,IF(B919&lt;0,-B919,""),IF('Hill'!$B$4=2,IF(B919&gt;0,B919,""),IF('Hill'!$B$4=3,IF(B919&lt;&gt;0,ABS(B919),""),""))),"")</x:f>
        <x:v>0.001607183093742827</x:v>
      </x:c>
    </x:row>
    <x:row r="920">
      <x:c r="A920" t="n">
        <x:f>919</x:f>
        <x:v>919</x:v>
      </x:c>
      <x:c r="B920" s="7" t="n">
        <x:f>IF('요약'!$B$4=4,IF(ISNUMBER('input'!A920),'input'!A920,""),IF(919&lt;=1000,CHOOSE('요약'!$B$4,'input'!B920,'input'!C920,'input'!D920),""))</x:f>
        <x:v>-0.0044655696593354525</x:v>
      </x:c>
      <x:c r="C920" s="7" t="n">
        <x:f>IF(AND(ISNUMBER(B920),'요약'!$B$19),B920-'요약'!$B$7,"")</x:f>
        <x:v>-0.004417330332285951</x:v>
      </x:c>
      <x:c r="D920" s="7" t="n">
        <x:f>IF(ISNUMBER(C920),C920^2,"")</x:f>
        <x:v>0.000019512807264533512</x:v>
      </x:c>
      <x:c r="E920" s="15" t="n">
        <x:f>IF(ISNUMBER(C920),C920^3,"")</x:f>
        <x:v>-8.619451539767354e-8</x:v>
      </x:c>
      <x:c r="F920" s="15" t="n">
        <x:f>IF(ISNUMBER(C920),C920^4,"")</x:f>
        <x:v>3.8074964734283174e-10</x:v>
      </x:c>
      <x:c r="G920" s="7" t="n">
        <x:f>IF(ISNUMBER(B920),ABS(B920),"")</x:f>
        <x:v>0.0044655696593354525</x:v>
      </x:c>
      <x:c r="H920" s="7" t="n">
        <x:f>IF(ISNUMBER(B920),B920^2,"")</x:f>
        <x:v>0.00001994131238237735</x:v>
      </x:c>
      <x:c r="I920" s="7" t="n">
        <x:f>IF(AND(ISNUMBER(G920),'요약'!$B$19),G920-'요약'!$B$14,"")</x:f>
        <x:v>-0.003547946968067403</x:v>
      </x:c>
      <x:c r="J920" s="7" t="n">
        <x:f>IF(AND(ISNUMBER(H920),'요약'!$B$19),H920-'요약'!$B$15,"")</x:f>
        <x:v>-0.00008226838680371476</x:v>
      </x:c>
      <x:c r="K920" t="n">
        <x:f>IF(ISNUMBER(B920),IF('Hill'!$B$4=1,IF(B920&lt;0,-B920,""),IF('Hill'!$B$4=2,IF(B920&gt;0,B920,""),IF('Hill'!$B$4=3,IF(B920&lt;&gt;0,ABS(B920),""),""))),"")</x:f>
        <x:v>0.0044655696593354525</x:v>
      </x:c>
    </x:row>
    <x:row r="921">
      <x:c r="A921" t="n">
        <x:f>920</x:f>
        <x:v>920</x:v>
      </x:c>
      <x:c r="B921" s="7" t="n">
        <x:f>IF('요약'!$B$4=4,IF(ISNUMBER('input'!A921),'input'!A921,""),IF(920&lt;=1000,CHOOSE('요약'!$B$4,'input'!B921,'input'!C921,'input'!D921),""))</x:f>
        <x:v>-0.007345228619228224</x:v>
      </x:c>
      <x:c r="C921" s="7" t="n">
        <x:f>IF(AND(ISNUMBER(B921),'요약'!$B$19),B921-'요약'!$B$7,"")</x:f>
        <x:v>-0.0072969892921787224</x:v>
      </x:c>
      <x:c r="D921" s="7" t="n">
        <x:f>IF(ISNUMBER(C921),C921^2,"")</x:f>
        <x:v>0.000053246052730170936</x:v>
      </x:c>
      <x:c r="E921" s="15" t="n">
        <x:f>IF(ISNUMBER(C921),C921^3,"")</x:f>
        <x:v>-3.8853587662284093e-7</x:v>
      </x:c>
      <x:c r="F921" s="15" t="n">
        <x:f>IF(ISNUMBER(C921),C921^4,"")</x:f>
        <x:v>2.8351421313441432e-9</x:v>
      </x:c>
      <x:c r="G921" s="7" t="n">
        <x:f>IF(ISNUMBER(B921),ABS(B921),"")</x:f>
        <x:v>0.007345228619228224</x:v>
      </x:c>
      <x:c r="H921" s="7" t="n">
        <x:f>IF(ISNUMBER(B921),B921^2,"")</x:f>
        <x:v>0.00005395238346872936</x:v>
      </x:c>
      <x:c r="I921" s="7" t="n">
        <x:f>IF(AND(ISNUMBER(G921),'요약'!$B$19),G921-'요약'!$B$14,"")</x:f>
        <x:v>-0.0006682880081746315</x:v>
      </x:c>
      <x:c r="J921" s="7" t="n">
        <x:f>IF(AND(ISNUMBER(H921),'요약'!$B$19),H921-'요약'!$B$15,"")</x:f>
        <x:v>-0.000048257315717362744</x:v>
      </x:c>
      <x:c r="K921" t="n">
        <x:f>IF(ISNUMBER(B921),IF('Hill'!$B$4=1,IF(B921&lt;0,-B921,""),IF('Hill'!$B$4=2,IF(B921&gt;0,B921,""),IF('Hill'!$B$4=3,IF(B921&lt;&gt;0,ABS(B921),""),""))),"")</x:f>
        <x:v>0.007345228619228224</x:v>
      </x:c>
    </x:row>
    <x:row r="922">
      <x:c r="A922" t="n">
        <x:f>921</x:f>
        <x:v>921</x:v>
      </x:c>
      <x:c r="B922" s="7" t="n">
        <x:f>IF('요약'!$B$4=4,IF(ISNUMBER('input'!A922),'input'!A922,""),IF(921&lt;=1000,CHOOSE('요약'!$B$4,'input'!B922,'input'!C922,'input'!D922),""))</x:f>
        <x:v>-0.0034637503690971893</x:v>
      </x:c>
      <x:c r="C922" s="7" t="n">
        <x:f>IF(AND(ISNUMBER(B922),'요약'!$B$19),B922-'요약'!$B$7,"")</x:f>
        <x:v>-0.003415511042047688</x:v>
      </x:c>
      <x:c r="D922" s="7" t="n">
        <x:f>IF(ISNUMBER(C922),C922^2,"")</x:f>
        <x:v>0.000011665715678349682</x:v>
      </x:c>
      <x:c r="E922" s="15" t="n">
        <x:f>IF(ISNUMBER(C922),C922^3,"")</x:f>
        <x:v>-3.984438071279217e-8</x:v>
      </x:c>
      <x:c r="F922" s="15" t="n">
        <x:f>IF(ISNUMBER(C922),C922^4,"")</x:f>
        <x:v>1.360889222880936e-10</x:v>
      </x:c>
      <x:c r="G922" s="7" t="n">
        <x:f>IF(ISNUMBER(B922),ABS(B922),"")</x:f>
        <x:v>0.0034637503690971893</x:v>
      </x:c>
      <x:c r="H922" s="7" t="n">
        <x:f>IF(ISNUMBER(B922),B922^2,"")</x:f>
        <x:v>0.000011997566619420916</x:v>
      </x:c>
      <x:c r="I922" s="7" t="n">
        <x:f>IF(AND(ISNUMBER(G922),'요약'!$B$19),G922-'요약'!$B$14,"")</x:f>
        <x:v>-0.004549766258305666</x:v>
      </x:c>
      <x:c r="J922" s="7" t="n">
        <x:f>IF(AND(ISNUMBER(H922),'요약'!$B$19),H922-'요약'!$B$15,"")</x:f>
        <x:v>-0.00009021213256667119</x:v>
      </x:c>
      <x:c r="K922" t="n">
        <x:f>IF(ISNUMBER(B922),IF('Hill'!$B$4=1,IF(B922&lt;0,-B922,""),IF('Hill'!$B$4=2,IF(B922&gt;0,B922,""),IF('Hill'!$B$4=3,IF(B922&lt;&gt;0,ABS(B922),""),""))),"")</x:f>
        <x:v>0.0034637503690971893</x:v>
      </x:c>
    </x:row>
    <x:row r="923">
      <x:c r="A923" t="n">
        <x:f>922</x:f>
        <x:v>922</x:v>
      </x:c>
      <x:c r="B923" s="7" t="n">
        <x:f>IF('요약'!$B$4=4,IF(ISNUMBER('input'!A923),'input'!A923,""),IF(922&lt;=1000,CHOOSE('요약'!$B$4,'input'!B923,'input'!C923,'input'!D923),""))</x:f>
        <x:v>-0.004795544534613346</x:v>
      </x:c>
      <x:c r="C923" s="7" t="n">
        <x:f>IF(AND(ISNUMBER(B923),'요약'!$B$19),B923-'요약'!$B$7,"")</x:f>
        <x:v>-0.004747305207563845</x:v>
      </x:c>
      <x:c r="D923" s="7" t="n">
        <x:f>IF(ISNUMBER(C923),C923^2,"")</x:f>
        <x:v>0.0000225369067337628</x:v>
      </x:c>
      <x:c r="E923" s="15" t="n">
        <x:f>IF(ISNUMBER(C923),C923^3,"")</x:f>
        <x:v>-1.0698957469957282e-7</x:v>
      </x:c>
      <x:c r="F923" s="15" t="n">
        <x:f>IF(ISNUMBER(C923),C923^4,"")</x:f>
        <x:v>5.079121651263231e-10</x:v>
      </x:c>
      <x:c r="G923" s="7" t="n">
        <x:f>IF(ISNUMBER(B923),ABS(B923),"")</x:f>
        <x:v>0.004795544534613346</x:v>
      </x:c>
      <x:c r="H923" s="7" t="n">
        <x:f>IF(ISNUMBER(B923),B923^2,"")</x:f>
        <x:v>0.000022997247383459936</x:v>
      </x:c>
      <x:c r="I923" s="7" t="n">
        <x:f>IF(AND(ISNUMBER(G923),'요약'!$B$19),G923-'요약'!$B$14,"")</x:f>
        <x:v>-0.003217972092789509</x:v>
      </x:c>
      <x:c r="J923" s="7" t="n">
        <x:f>IF(AND(ISNUMBER(H923),'요약'!$B$19),H923-'요약'!$B$15,"")</x:f>
        <x:v>-0.00007921245180263217</x:v>
      </x:c>
      <x:c r="K923" t="n">
        <x:f>IF(ISNUMBER(B923),IF('Hill'!$B$4=1,IF(B923&lt;0,-B923,""),IF('Hill'!$B$4=2,IF(B923&gt;0,B923,""),IF('Hill'!$B$4=3,IF(B923&lt;&gt;0,ABS(B923),""),""))),"")</x:f>
        <x:v>0.004795544534613346</x:v>
      </x:c>
    </x:row>
    <x:row r="924">
      <x:c r="A924" t="n">
        <x:f>923</x:f>
        <x:v>923</x:v>
      </x:c>
      <x:c r="B924" s="7" t="n">
        <x:f>IF('요약'!$B$4=4,IF(ISNUMBER('input'!A924),'input'!A924,""),IF(923&lt;=1000,CHOOSE('요약'!$B$4,'input'!B924,'input'!C924,'input'!D924),""))</x:f>
        <x:v>0.024160049248181194</x:v>
      </x:c>
      <x:c r="C924" s="7" t="n">
        <x:f>IF(AND(ISNUMBER(B924),'요약'!$B$19),B924-'요약'!$B$7,"")</x:f>
        <x:v>0.024208288575230694</x:v>
      </x:c>
      <x:c r="D924" s="7" t="n">
        <x:f>IF(ISNUMBER(C924),C924^2,"")</x:f>
        <x:v>0.000586041235741645</x:v>
      </x:c>
      <x:c r="E924" s="15" t="n">
        <x:f>IF(ISNUMBER(C924),C924^3,"")</x:f>
        <x:v>0.000014187055351818542</x:v>
      </x:c>
      <x:c r="F924" s="15" t="n">
        <x:f>IF(ISNUMBER(C924),C924^4,"")</x:f>
        <x:v>3.434443299895943e-7</x:v>
      </x:c>
      <x:c r="G924" s="7" t="n">
        <x:f>IF(ISNUMBER(B924),ABS(B924),"")</x:f>
        <x:v>0.024160049248181194</x:v>
      </x:c>
      <x:c r="H924" s="7" t="n">
        <x:f>IF(ISNUMBER(B924),B924^2,"")</x:f>
        <x:v>0.0005837079796745406</x:v>
      </x:c>
      <x:c r="I924" s="7" t="n">
        <x:f>IF(AND(ISNUMBER(G924),'요약'!$B$19),G924-'요약'!$B$14,"")</x:f>
        <x:v>0.016146532620778337</x:v>
      </x:c>
      <x:c r="J924" s="7" t="n">
        <x:f>IF(AND(ISNUMBER(H924),'요약'!$B$19),H924-'요약'!$B$15,"")</x:f>
        <x:v>0.00048149828048844857</x:v>
      </x:c>
      <x:c r="K924" t="str">
        <x:f>IF(ISNUMBER(B924),IF('Hill'!$B$4=1,IF(B924&lt;0,-B924,""),IF('Hill'!$B$4=2,IF(B924&gt;0,B924,""),IF('Hill'!$B$4=3,IF(B924&lt;&gt;0,ABS(B924),""),""))),"")</x:f>
      </x:c>
    </x:row>
    <x:row r="925">
      <x:c r="A925" t="n">
        <x:f>924</x:f>
        <x:v>924</x:v>
      </x:c>
      <x:c r="B925" s="7" t="n">
        <x:f>IF('요약'!$B$4=4,IF(ISNUMBER('input'!A925),'input'!A925,""),IF(924&lt;=1000,CHOOSE('요약'!$B$4,'input'!B925,'input'!C925,'input'!D925),""))</x:f>
        <x:v>-0.00485629690045672</x:v>
      </x:c>
      <x:c r="C925" s="7" t="n">
        <x:f>IF(AND(ISNUMBER(B925),'요약'!$B$19),B925-'요약'!$B$7,"")</x:f>
        <x:v>-0.0048080575734072185</x:v>
      </x:c>
      <x:c r="D925" s="7" t="n">
        <x:f>IF(ISNUMBER(C925),C925^2,"")</x:f>
        <x:v>0.00002311741762919851</x:v>
      </x:c>
      <x:c r="E925" s="15" t="n">
        <x:f>IF(ISNUMBER(C925),C925^3,"")</x:f>
        <x:v>-1.1114987490968545e-7</x:v>
      </x:c>
      <x:c r="F925" s="15" t="n">
        <x:f>IF(ISNUMBER(C925),C925^4,"")</x:f>
        <x:v>5.344149978427781e-10</x:v>
      </x:c>
      <x:c r="G925" s="7" t="n">
        <x:f>IF(ISNUMBER(B925),ABS(B925),"")</x:f>
        <x:v>0.00485629690045672</x:v>
      </x:c>
      <x:c r="H925" s="7" t="n">
        <x:f>IF(ISNUMBER(B925),B925^2,"")</x:f>
        <x:v>0.000023583619585385545</x:v>
      </x:c>
      <x:c r="I925" s="7" t="n">
        <x:f>IF(AND(ISNUMBER(G925),'요약'!$B$19),G925-'요약'!$B$14,"")</x:f>
        <x:v>-0.0031572197269461354</x:v>
      </x:c>
      <x:c r="J925" s="7" t="n">
        <x:f>IF(AND(ISNUMBER(H925),'요약'!$B$19),H925-'요약'!$B$15,"")</x:f>
        <x:v>-0.00007862607960070656</x:v>
      </x:c>
      <x:c r="K925" t="n">
        <x:f>IF(ISNUMBER(B925),IF('Hill'!$B$4=1,IF(B925&lt;0,-B925,""),IF('Hill'!$B$4=2,IF(B925&gt;0,B925,""),IF('Hill'!$B$4=3,IF(B925&lt;&gt;0,ABS(B925),""),""))),"")</x:f>
        <x:v>0.00485629690045672</x:v>
      </x:c>
    </x:row>
    <x:row r="926">
      <x:c r="A926" t="n">
        <x:f>925</x:f>
        <x:v>925</x:v>
      </x:c>
      <x:c r="B926" s="7" t="n">
        <x:f>IF('요약'!$B$4=4,IF(ISNUMBER('input'!A926),'input'!A926,""),IF(925&lt;=1000,CHOOSE('요약'!$B$4,'input'!B926,'input'!C926,'input'!D926),""))</x:f>
        <x:v>-0.00035281104490927326</x:v>
      </x:c>
      <x:c r="C926" s="7" t="n">
        <x:f>IF(AND(ISNUMBER(B926),'요약'!$B$19),B926-'요약'!$B$7,"")</x:f>
        <x:v>-0.0003045717178597719</x:v>
      </x:c>
      <x:c r="D926" s="7" t="n">
        <x:f>IF(ISNUMBER(C926),C926^2,"")</x:f>
        <x:v>9.27639313200525e-8</x:v>
      </x:c>
      <x:c r="E926" s="15" t="n">
        <x:f>IF(ISNUMBER(C926),C926^3,"")</x:f>
        <x:v>-2.825326991757429e-11</x:v>
      </x:c>
      <x:c r="F926" s="15" t="n">
        <x:f>IF(ISNUMBER(C926),C926^4,"")</x:f>
        <x:v>8.605146953951417e-15</x:v>
      </x:c>
      <x:c r="G926" s="7" t="n">
        <x:f>IF(ISNUMBER(B926),ABS(B926),"")</x:f>
        <x:v>0.00035281104490927326</x:v>
      </x:c>
      <x:c r="H926" s="7" t="n">
        <x:f>IF(ISNUMBER(B926),B926^2,"")</x:f>
        <x:v>1.2447563340997324e-7</x:v>
      </x:c>
      <x:c r="I926" s="7" t="n">
        <x:f>IF(AND(ISNUMBER(G926),'요약'!$B$19),G926-'요약'!$B$14,"")</x:f>
        <x:v>-0.007660705582493582</x:v>
      </x:c>
      <x:c r="J926" s="7" t="n">
        <x:f>IF(AND(ISNUMBER(H926),'요약'!$B$19),H926-'요약'!$B$15,"")</x:f>
        <x:v>-0.00010208522355268213</x:v>
      </x:c>
      <x:c r="K926" t="n">
        <x:f>IF(ISNUMBER(B926),IF('Hill'!$B$4=1,IF(B926&lt;0,-B926,""),IF('Hill'!$B$4=2,IF(B926&gt;0,B926,""),IF('Hill'!$B$4=3,IF(B926&lt;&gt;0,ABS(B926),""),""))),"")</x:f>
        <x:v>0.00035281104490927326</x:v>
      </x:c>
    </x:row>
    <x:row r="927">
      <x:c r="A927" t="n">
        <x:f>926</x:f>
        <x:v>926</x:v>
      </x:c>
      <x:c r="B927" s="7" t="n">
        <x:f>IF('요약'!$B$4=4,IF(ISNUMBER('input'!A927),'input'!A927,""),IF(926&lt;=1000,CHOOSE('요약'!$B$4,'input'!B927,'input'!C927,'input'!D927),""))</x:f>
        <x:v>-0.011417156519739553</x:v>
      </x:c>
      <x:c r="C927" s="7" t="n">
        <x:f>IF(AND(ISNUMBER(B927),'요약'!$B$19),B927-'요약'!$B$7,"")</x:f>
        <x:v>-0.011368917192690052</x:v>
      </x:c>
      <x:c r="D927" s="7" t="n">
        <x:f>IF(ISNUMBER(C927),C927^2,"")</x:f>
        <x:v>0.00012925227813424345</x:v>
      </x:c>
      <x:c r="E927" s="15" t="n">
        <x:f>IF(ISNUMBER(C927),C927^3,"")</x:f>
        <x:v>-0.000001469458447074757</x:v>
      </x:c>
      <x:c r="F927" s="15" t="n">
        <x:f>IF(ISNUMBER(C927),C927^4,"")</x:f>
        <x:v>1.670615140289183e-8</x:v>
      </x:c>
      <x:c r="G927" s="7" t="n">
        <x:f>IF(ISNUMBER(B927),ABS(B927),"")</x:f>
        <x:v>0.011417156519739553</x:v>
      </x:c>
      <x:c r="H927" s="7" t="n">
        <x:f>IF(ISNUMBER(B927),B927^2,"")</x:f>
        <x:v>0.00013035146299623137</x:v>
      </x:c>
      <x:c r="I927" s="7" t="n">
        <x:f>IF(AND(ISNUMBER(G927),'요약'!$B$19),G927-'요약'!$B$14,"")</x:f>
        <x:v>0.0034036398923366976</x:v>
      </x:c>
      <x:c r="J927" s="7" t="n">
        <x:f>IF(AND(ISNUMBER(H927),'요약'!$B$19),H927-'요약'!$B$15,"")</x:f>
        <x:v>0.00002814176381013927</x:v>
      </x:c>
      <x:c r="K927" t="n">
        <x:f>IF(ISNUMBER(B927),IF('Hill'!$B$4=1,IF(B927&lt;0,-B927,""),IF('Hill'!$B$4=2,IF(B927&gt;0,B927,""),IF('Hill'!$B$4=3,IF(B927&lt;&gt;0,ABS(B927),""),""))),"")</x:f>
        <x:v>0.011417156519739553</x:v>
      </x:c>
    </x:row>
    <x:row r="928">
      <x:c r="A928" t="n">
        <x:f>927</x:f>
        <x:v>927</x:v>
      </x:c>
      <x:c r="B928" s="7" t="n">
        <x:f>IF('요약'!$B$4=4,IF(ISNUMBER('input'!A928),'input'!A928,""),IF(927&lt;=1000,CHOOSE('요약'!$B$4,'input'!B928,'input'!C928,'input'!D928),""))</x:f>
        <x:v>-0.0032660214099032004</x:v>
      </x:c>
      <x:c r="C928" s="7" t="n">
        <x:f>IF(AND(ISNUMBER(B928),'요약'!$B$19),B928-'요약'!$B$7,"")</x:f>
        <x:v>-0.003217782082853699</x:v>
      </x:c>
      <x:c r="D928" s="7" t="n">
        <x:f>IF(ISNUMBER(C928),C928^2,"")</x:f>
        <x:v>0.00001035412153273429</x:v>
      </x:c>
      <x:c r="E928" s="15" t="n">
        <x:f>IF(ISNUMBER(C928),C928^3,"")</x:f>
        <x:v>-3.331730675172207e-8</x:v>
      </x:c>
      <x:c r="F928" s="15" t="n">
        <x:f>IF(ISNUMBER(C928),C928^4,"")</x:f>
        <x:v>1.0720783271463186e-10</x:v>
      </x:c>
      <x:c r="G928" s="7" t="n">
        <x:f>IF(ISNUMBER(B928),ABS(B928),"")</x:f>
        <x:v>0.0032660214099032004</x:v>
      </x:c>
      <x:c r="H928" s="7" t="n">
        <x:f>IF(ISNUMBER(B928),B928^2,"")</x:f>
        <x:v>0.00001066689584994609</x:v>
      </x:c>
      <x:c r="I928" s="7" t="n">
        <x:f>IF(AND(ISNUMBER(G928),'요약'!$B$19),G928-'요약'!$B$14,"")</x:f>
        <x:v>-0.004747495217499655</x:v>
      </x:c>
      <x:c r="J928" s="7" t="n">
        <x:f>IF(AND(ISNUMBER(H928),'요약'!$B$19),H928-'요약'!$B$15,"")</x:f>
        <x:v>-0.00009154280333614602</x:v>
      </x:c>
      <x:c r="K928" t="n">
        <x:f>IF(ISNUMBER(B928),IF('Hill'!$B$4=1,IF(B928&lt;0,-B928,""),IF('Hill'!$B$4=2,IF(B928&gt;0,B928,""),IF('Hill'!$B$4=3,IF(B928&lt;&gt;0,ABS(B928),""),""))),"")</x:f>
        <x:v>0.0032660214099032004</x:v>
      </x:c>
    </x:row>
    <x:row r="929">
      <x:c r="A929" t="n">
        <x:f>928</x:f>
        <x:v>928</x:v>
      </x:c>
      <x:c r="B929" s="7" t="n">
        <x:f>IF('요약'!$B$4=4,IF(ISNUMBER('input'!A929),'input'!A929,""),IF(928&lt;=1000,CHOOSE('요약'!$B$4,'input'!B929,'input'!C929,'input'!D929),""))</x:f>
        <x:v>0.0006147060072349464</x:v>
      </x:c>
      <x:c r="C929" s="7" t="n">
        <x:f>IF(AND(ISNUMBER(B929),'요약'!$B$19),B929-'요약'!$B$7,"")</x:f>
        <x:v>0.0006629453342844477</x:v>
      </x:c>
      <x:c r="D929" s="7" t="n">
        <x:f>IF(ISNUMBER(C929),C929^2,"")</x:f>
        <x:v>4.3949651624951817e-7</x:v>
      </x:c>
      <x:c r="E929" s="15" t="n">
        <x:f>IF(ISNUMBER(C929),C929^3,"")</x:f>
        <x:v>2.9136216488188703e-10</x:v>
      </x:c>
      <x:c r="F929" s="15" t="n">
        <x:f>IF(ISNUMBER(C929),C929^4,"")</x:f>
        <x:v>1.93157187795463e-13</x:v>
      </x:c>
      <x:c r="G929" s="7" t="n">
        <x:f>IF(ISNUMBER(B929),ABS(B929),"")</x:f>
        <x:v>0.0006147060072349464</x:v>
      </x:c>
      <x:c r="H929" s="7" t="n">
        <x:f>IF(ISNUMBER(B929),B929^2,"")</x:f>
        <x:v>3.7786347533072997e-7</x:v>
      </x:c>
      <x:c r="I929" s="7" t="n">
        <x:f>IF(AND(ISNUMBER(G929),'요약'!$B$19),G929-'요약'!$B$14,"")</x:f>
        <x:v>-0.007398810620167909</x:v>
      </x:c>
      <x:c r="J929" s="7" t="n">
        <x:f>IF(AND(ISNUMBER(H929),'요약'!$B$19),H929-'요약'!$B$15,"")</x:f>
        <x:v>-0.00010183183571076137</x:v>
      </x:c>
      <x:c r="K929" t="str">
        <x:f>IF(ISNUMBER(B929),IF('Hill'!$B$4=1,IF(B929&lt;0,-B929,""),IF('Hill'!$B$4=2,IF(B929&gt;0,B929,""),IF('Hill'!$B$4=3,IF(B929&lt;&gt;0,ABS(B929),""),""))),"")</x:f>
      </x:c>
    </x:row>
    <x:row r="930">
      <x:c r="A930" t="n">
        <x:f>929</x:f>
        <x:v>929</x:v>
      </x:c>
      <x:c r="B930" s="7" t="n">
        <x:f>IF('요약'!$B$4=4,IF(ISNUMBER('input'!A930),'input'!A930,""),IF(929&lt;=1000,CHOOSE('요약'!$B$4,'input'!B930,'input'!C930,'input'!D930),""))</x:f>
        <x:v>0.005373755891005109</x:v>
      </x:c>
      <x:c r="C930" s="7" t="n">
        <x:f>IF(AND(ISNUMBER(B930),'요약'!$B$19),B930-'요약'!$B$7,"")</x:f>
        <x:v>0.005421995218054611</x:v>
      </x:c>
      <x:c r="D930" s="7" t="n">
        <x:f>IF(ISNUMBER(C930),C930^2,"")</x:f>
        <x:v>0.000029398032144607064</x:v>
      </x:c>
      <x:c r="E930" s="15" t="n">
        <x:f>IF(ISNUMBER(C930),C930^3,"")</x:f>
        <x:v>1.5939598970827523e-7</x:v>
      </x:c>
      <x:c r="F930" s="15" t="n">
        <x:f>IF(ISNUMBER(C930),C930^4,"")</x:f>
        <x:v>8.642442939753502e-10</x:v>
      </x:c>
      <x:c r="G930" s="7" t="n">
        <x:f>IF(ISNUMBER(B930),ABS(B930),"")</x:f>
        <x:v>0.005373755891005109</x:v>
      </x:c>
      <x:c r="H930" s="7" t="n">
        <x:f>IF(ISNUMBER(B930),B930^2,"")</x:f>
        <x:v>0.000028877252376112113</x:v>
      </x:c>
      <x:c r="I930" s="7" t="n">
        <x:f>IF(AND(ISNUMBER(G930),'요약'!$B$19),G930-'요약'!$B$14,"")</x:f>
        <x:v>-0.0026397607363977463</x:v>
      </x:c>
      <x:c r="J930" s="7" t="n">
        <x:f>IF(AND(ISNUMBER(H930),'요약'!$B$19),H930-'요약'!$B$15,"")</x:f>
        <x:v>-0.00007333244680997999</x:v>
      </x:c>
      <x:c r="K930" t="str">
        <x:f>IF(ISNUMBER(B930),IF('Hill'!$B$4=1,IF(B930&lt;0,-B930,""),IF('Hill'!$B$4=2,IF(B930&gt;0,B930,""),IF('Hill'!$B$4=3,IF(B930&lt;&gt;0,ABS(B930),""),""))),"")</x:f>
      </x:c>
    </x:row>
    <x:row r="931">
      <x:c r="A931" t="n">
        <x:f>930</x:f>
        <x:v>930</x:v>
      </x:c>
      <x:c r="B931" s="7" t="n">
        <x:f>IF('요약'!$B$4=4,IF(ISNUMBER('input'!A931),'input'!A931,""),IF(930&lt;=1000,CHOOSE('요약'!$B$4,'input'!B931,'input'!C931,'input'!D931),""))</x:f>
        <x:v>-0.010443985535068829</x:v>
      </x:c>
      <x:c r="C931" s="7" t="n">
        <x:f>IF(AND(ISNUMBER(B931),'요약'!$B$19),B931-'요약'!$B$7,"")</x:f>
        <x:v>-0.010395746208019328</x:v>
      </x:c>
      <x:c r="D931" s="7" t="n">
        <x:f>IF(ISNUMBER(C931),C931^2,"")</x:f>
        <x:v>0.00010807153922154825</x:v>
      </x:c>
      <x:c r="E931" s="15" t="n">
        <x:f>IF(ISNUMBER(C931),C931^3,"")</x:f>
        <x:v>-0.0000011234842940572223</x:v>
      </x:c>
      <x:c r="F931" s="15" t="n">
        <x:f>IF(ISNUMBER(C931),C931^4,"")</x:f>
        <x:v>1.167945758971464e-8</x:v>
      </x:c>
      <x:c r="G931" s="7" t="n">
        <x:f>IF(ISNUMBER(B931),ABS(B931),"")</x:f>
        <x:v>0.010443985535068829</x:v>
      </x:c>
      <x:c r="H931" s="7" t="n">
        <x:f>IF(ISNUMBER(B931),B931^2,"")</x:f>
        <x:v>0.00010907683385672694</x:v>
      </x:c>
      <x:c r="I931" s="7" t="n">
        <x:f>IF(AND(ISNUMBER(G931),'요약'!$B$19),G931-'요약'!$B$14,"")</x:f>
        <x:v>0.0024304689076659735</x:v>
      </x:c>
      <x:c r="J931" s="7" t="n">
        <x:f>IF(AND(ISNUMBER(H931),'요약'!$B$19),H931-'요약'!$B$15,"")</x:f>
        <x:v>0.000006867134670634833</x:v>
      </x:c>
      <x:c r="K931" t="n">
        <x:f>IF(ISNUMBER(B931),IF('Hill'!$B$4=1,IF(B931&lt;0,-B931,""),IF('Hill'!$B$4=2,IF(B931&gt;0,B931,""),IF('Hill'!$B$4=3,IF(B931&lt;&gt;0,ABS(B931),""),""))),"")</x:f>
        <x:v>0.010443985535068829</x:v>
      </x:c>
    </x:row>
    <x:row r="932">
      <x:c r="A932" t="n">
        <x:f>931</x:f>
        <x:v>931</x:v>
      </x:c>
      <x:c r="B932" s="7" t="n">
        <x:f>IF('요약'!$B$4=4,IF(ISNUMBER('input'!A932),'input'!A932,""),IF(931&lt;=1000,CHOOSE('요약'!$B$4,'input'!B932,'input'!C932,'input'!D932),""))</x:f>
        <x:v>0.013600119111228822</x:v>
      </x:c>
      <x:c r="C932" s="7" t="n">
        <x:f>IF(AND(ISNUMBER(B932),'요약'!$B$19),B932-'요약'!$B$7,"")</x:f>
        <x:v>0.013648358438278323</x:v>
      </x:c>
      <x:c r="D932" s="7" t="n">
        <x:f>IF(ISNUMBER(C932),C932^2,"")</x:f>
        <x:v>0.0001862776880597231</x:v>
      </x:c>
      <x:c r="E932" s="15" t="n">
        <x:f>IF(ISNUMBER(C932),C932^3,"")</x:f>
        <x:v>0.0000025423846556928987</x:v>
      </x:c>
      <x:c r="F932" s="15" t="n">
        <x:f>IF(ISNUMBER(C932),C932^4,"")</x:f>
        <x:v>3.46993770688755e-8</x:v>
      </x:c>
      <x:c r="G932" s="7" t="n">
        <x:f>IF(ISNUMBER(B932),ABS(B932),"")</x:f>
        <x:v>0.013600119111228822</x:v>
      </x:c>
      <x:c r="H932" s="7" t="n">
        <x:f>IF(ISNUMBER(B932),B932^2,"")</x:f>
        <x:v>0.00018496323983961145</x:v>
      </x:c>
      <x:c r="I932" s="7" t="n">
        <x:f>IF(AND(ISNUMBER(G932),'요약'!$B$19),G932-'요약'!$B$14,"")</x:f>
        <x:v>0.005586602483825967</x:v>
      </x:c>
      <x:c r="J932" s="7" t="n">
        <x:f>IF(AND(ISNUMBER(H932),'요약'!$B$19),H932-'요약'!$B$15,"")</x:f>
        <x:v>0.00008275354065351935</x:v>
      </x:c>
      <x:c r="K932" t="str">
        <x:f>IF(ISNUMBER(B932),IF('Hill'!$B$4=1,IF(B932&lt;0,-B932,""),IF('Hill'!$B$4=2,IF(B932&gt;0,B932,""),IF('Hill'!$B$4=3,IF(B932&lt;&gt;0,ABS(B932),""),""))),"")</x:f>
      </x:c>
    </x:row>
    <x:row r="933">
      <x:c r="A933" t="n">
        <x:f>932</x:f>
        <x:v>932</x:v>
      </x:c>
      <x:c r="B933" s="7" t="n">
        <x:f>IF('요약'!$B$4=4,IF(ISNUMBER('input'!A933),'input'!A933,""),IF(932&lt;=1000,CHOOSE('요약'!$B$4,'input'!B933,'input'!C933,'input'!D933),""))</x:f>
        <x:v>0.007123787120307967</x:v>
      </x:c>
      <x:c r="C933" s="7" t="n">
        <x:f>IF(AND(ISNUMBER(B933),'요약'!$B$19),B933-'요약'!$B$7,"")</x:f>
        <x:v>0.0071720264473574685</x:v>
      </x:c>
      <x:c r="D933" s="7" t="n">
        <x:f>IF(ISNUMBER(C933),C933^2,"")</x:f>
        <x:v>0.000051437963361594994</x:v>
      </x:c>
      <x:c r="E933" s="15" t="n">
        <x:f>IF(ISNUMBER(C933),C933^3,"")</x:f>
        <x:v>3.6891443362756377e-7</x:v>
      </x:c>
      <x:c r="F933" s="15" t="n">
        <x:f>IF(ISNUMBER(C933),C933^4,"")</x:f>
        <x:v>2.645864074788789e-9</x:v>
      </x:c>
      <x:c r="G933" s="7" t="n">
        <x:f>IF(ISNUMBER(B933),ABS(B933),"")</x:f>
        <x:v>0.007123787120307967</x:v>
      </x:c>
      <x:c r="H933" s="7" t="n">
        <x:f>IF(ISNUMBER(B933),B933^2,"")</x:f>
        <x:v>0.00005074834293546568</x:v>
      </x:c>
      <x:c r="I933" s="7" t="n">
        <x:f>IF(AND(ISNUMBER(G933),'요약'!$B$19),G933-'요약'!$B$14,"")</x:f>
        <x:v>-0.0008897295070948883</x:v>
      </x:c>
      <x:c r="J933" s="7" t="n">
        <x:f>IF(AND(ISNUMBER(H933),'요약'!$B$19),H933-'요약'!$B$15,"")</x:f>
        <x:v>-0.000051461356250626425</x:v>
      </x:c>
      <x:c r="K933" t="str">
        <x:f>IF(ISNUMBER(B933),IF('Hill'!$B$4=1,IF(B933&lt;0,-B933,""),IF('Hill'!$B$4=2,IF(B933&gt;0,B933,""),IF('Hill'!$B$4=3,IF(B933&lt;&gt;0,ABS(B933),""),""))),"")</x:f>
      </x:c>
    </x:row>
    <x:row r="934">
      <x:c r="A934" t="n">
        <x:f>933</x:f>
        <x:v>933</x:v>
      </x:c>
      <x:c r="B934" s="7" t="n">
        <x:f>IF('요약'!$B$4=4,IF(ISNUMBER('input'!A934),'input'!A934,""),IF(933&lt;=1000,CHOOSE('요약'!$B$4,'input'!B934,'input'!C934,'input'!D934),""))</x:f>
        <x:v>-0.005650332994904559</x:v>
      </x:c>
      <x:c r="C934" s="7" t="n">
        <x:f>IF(AND(ISNUMBER(B934),'요약'!$B$19),B934-'요약'!$B$7,"")</x:f>
        <x:v>-0.0056020936678550575</x:v>
      </x:c>
      <x:c r="D934" s="7" t="n">
        <x:f>IF(ISNUMBER(C934),C934^2,"")</x:f>
        <x:v>0.000031383453463421734</x:v>
      </x:c>
      <x:c r="E934" s="15" t="n">
        <x:f>IF(ISNUMBER(C934),C934^3,"")</x:f>
        <x:v>-1.7581304592285875e-7</x:v>
      </x:c>
      <x:c r="F934" s="15" t="n">
        <x:f>IF(ISNUMBER(C934),C934^4,"")</x:f>
        <x:v>9.849211512907575e-10</x:v>
      </x:c>
      <x:c r="G934" s="7" t="n">
        <x:f>IF(ISNUMBER(B934),ABS(B934),"")</x:f>
        <x:v>0.005650332994904559</x:v>
      </x:c>
      <x:c r="H934" s="7" t="n">
        <x:f>IF(ISNUMBER(B934),B934^2,"")</x:f>
        <x:v>0.000031926262953307124</x:v>
      </x:c>
      <x:c r="I934" s="7" t="n">
        <x:f>IF(AND(ISNUMBER(G934),'요약'!$B$19),G934-'요약'!$B$14,"")</x:f>
        <x:v>-0.0023631836324982964</x:v>
      </x:c>
      <x:c r="J934" s="7" t="n">
        <x:f>IF(AND(ISNUMBER(H934),'요약'!$B$19),H934-'요약'!$B$15,"")</x:f>
        <x:v>-0.00007028343623278498</x:v>
      </x:c>
      <x:c r="K934" t="n">
        <x:f>IF(ISNUMBER(B934),IF('Hill'!$B$4=1,IF(B934&lt;0,-B934,""),IF('Hill'!$B$4=2,IF(B934&gt;0,B934,""),IF('Hill'!$B$4=3,IF(B934&lt;&gt;0,ABS(B934),""),""))),"")</x:f>
        <x:v>0.005650332994904559</x:v>
      </x:c>
    </x:row>
    <x:row r="935">
      <x:c r="A935" t="n">
        <x:f>934</x:f>
        <x:v>934</x:v>
      </x:c>
      <x:c r="B935" s="7" t="n">
        <x:f>IF('요약'!$B$4=4,IF(ISNUMBER('input'!A935),'input'!A935,""),IF(934&lt;=1000,CHOOSE('요약'!$B$4,'input'!B935,'input'!C935,'input'!D935),""))</x:f>
        <x:v>-0.012238951881390814</x:v>
      </x:c>
      <x:c r="C935" s="7" t="n">
        <x:f>IF(AND(ISNUMBER(B935),'요약'!$B$19),B935-'요약'!$B$7,"")</x:f>
        <x:v>-0.012190712554341314</x:v>
      </x:c>
      <x:c r="D935" s="7" t="n">
        <x:f>IF(ISNUMBER(C935),C935^2,"")</x:f>
        <x:v>0.0001486134725825749</x:v>
      </x:c>
      <x:c r="E935" s="15" t="n">
        <x:f>IF(ISNUMBER(C935),C935^3,"")</x:f>
        <x:v>-0.0000018117041259566547</x:v>
      </x:c>
      <x:c r="F935" s="15" t="n">
        <x:f>IF(ISNUMBER(C935),C935^4,"")</x:f>
        <x:v>2.2085964233051747e-8</x:v>
      </x:c>
      <x:c r="G935" s="7" t="n">
        <x:f>IF(ISNUMBER(B935),ABS(B935),"")</x:f>
        <x:v>0.012238951881390814</x:v>
      </x:c>
      <x:c r="H935" s="7" t="n">
        <x:f>IF(ISNUMBER(B935),B935^2,"")</x:f>
        <x:v>0.00014979194315499974</x:v>
      </x:c>
      <x:c r="I935" s="7" t="n">
        <x:f>IF(AND(ISNUMBER(G935),'요약'!$B$19),G935-'요약'!$B$14,"")</x:f>
        <x:v>0.004225435253987959</x:v>
      </x:c>
      <x:c r="J935" s="7" t="n">
        <x:f>IF(AND(ISNUMBER(H935),'요약'!$B$19),H935-'요약'!$B$15,"")</x:f>
        <x:v>0.000047582243968907637</x:v>
      </x:c>
      <x:c r="K935" t="n">
        <x:f>IF(ISNUMBER(B935),IF('Hill'!$B$4=1,IF(B935&lt;0,-B935,""),IF('Hill'!$B$4=2,IF(B935&gt;0,B935,""),IF('Hill'!$B$4=3,IF(B935&lt;&gt;0,ABS(B935),""),""))),"")</x:f>
        <x:v>0.012238951881390814</x:v>
      </x:c>
    </x:row>
    <x:row r="936">
      <x:c r="A936" t="n">
        <x:f>935</x:f>
        <x:v>935</x:v>
      </x:c>
      <x:c r="B936" s="7" t="n">
        <x:f>IF('요약'!$B$4=4,IF(ISNUMBER('input'!A936),'input'!A936,""),IF(935&lt;=1000,CHOOSE('요약'!$B$4,'input'!B936,'input'!C936,'input'!D936),""))</x:f>
        <x:v>-0.013135881188400967</x:v>
      </x:c>
      <x:c r="C936" s="7" t="n">
        <x:f>IF(AND(ISNUMBER(B936),'요약'!$B$19),B936-'요약'!$B$7,"")</x:f>
        <x:v>-0.013087641861351466</x:v>
      </x:c>
      <x:c r="D936" s="7" t="n">
        <x:f>IF(ISNUMBER(C936),C936^2,"")</x:f>
        <x:v>0.00017128636949099928</x:v>
      </x:c>
      <x:c r="E936" s="15" t="n">
        <x:f>IF(ISNUMBER(C936),C936^3,"")</x:f>
        <x:v>-0.000002241734659629317</x:v>
      </x:c>
      <x:c r="F936" s="15" t="n">
        <x:f>IF(ISNUMBER(C936),C936^4,"")</x:f>
        <x:v>2.9339020373407128e-8</x:v>
      </x:c>
      <x:c r="G936" s="7" t="n">
        <x:f>IF(ISNUMBER(B936),ABS(B936),"")</x:f>
        <x:v>0.013135881188400967</x:v>
      </x:c>
      <x:c r="H936" s="7" t="n">
        <x:f>IF(ISNUMBER(B936),B936^2,"")</x:f>
        <x:v>0.0001725513745957864</x:v>
      </x:c>
      <x:c r="I936" s="7" t="n">
        <x:f>IF(AND(ISNUMBER(G936),'요약'!$B$19),G936-'요약'!$B$14,"")</x:f>
        <x:v>0.005122364560998112</x:v>
      </x:c>
      <x:c r="J936" s="7" t="n">
        <x:f>IF(AND(ISNUMBER(H936),'요약'!$B$19),H936-'요약'!$B$15,"")</x:f>
        <x:v>0.00007034167540969429</x:v>
      </x:c>
      <x:c r="K936" t="n">
        <x:f>IF(ISNUMBER(B936),IF('Hill'!$B$4=1,IF(B936&lt;0,-B936,""),IF('Hill'!$B$4=2,IF(B936&gt;0,B936,""),IF('Hill'!$B$4=3,IF(B936&lt;&gt;0,ABS(B936),""),""))),"")</x:f>
        <x:v>0.013135881188400967</x:v>
      </x:c>
    </x:row>
    <x:row r="937">
      <x:c r="A937" t="n">
        <x:f>936</x:f>
        <x:v>936</x:v>
      </x:c>
      <x:c r="B937" s="7" t="n">
        <x:f>IF('요약'!$B$4=4,IF(ISNUMBER('input'!A937),'input'!A937,""),IF(936&lt;=1000,CHOOSE('요약'!$B$4,'input'!B937,'input'!C937,'input'!D937),""))</x:f>
        <x:v>0.003535257913836204</x:v>
      </x:c>
      <x:c r="C937" s="7" t="n">
        <x:f>IF(AND(ISNUMBER(B937),'요약'!$B$19),B937-'요약'!$B$7,"")</x:f>
        <x:v>0.0035834972408857056</x:v>
      </x:c>
      <x:c r="D937" s="7" t="n">
        <x:f>IF(ISNUMBER(C937),C937^2,"")</x:f>
        <x:v>0.000012841452475435466</x:v>
      </x:c>
      <x:c r="E937" s="15" t="n">
        <x:f>IF(ISNUMBER(C937),C937^3,"")</x:f>
        <x:v>4.60173095146879e-8</x:v>
      </x:c>
      <x:c r="F937" s="15" t="n">
        <x:f>IF(ISNUMBER(C937),C937^4,"")</x:f>
        <x:v>1.6490290167886763e-10</x:v>
      </x:c>
      <x:c r="G937" s="7" t="n">
        <x:f>IF(ISNUMBER(B937),ABS(B937),"")</x:f>
        <x:v>0.003535257913836204</x:v>
      </x:c>
      <x:c r="H937" s="7" t="n">
        <x:f>IF(ISNUMBER(B937),B937^2,"")</x:f>
        <x:v>0.000012498048517341511</x:v>
      </x:c>
      <x:c r="I937" s="7" t="n">
        <x:f>IF(AND(ISNUMBER(G937),'요약'!$B$19),G937-'요약'!$B$14,"")</x:f>
        <x:v>-0.004478258713566651</x:v>
      </x:c>
      <x:c r="J937" s="7" t="n">
        <x:f>IF(AND(ISNUMBER(H937),'요약'!$B$19),H937-'요약'!$B$15,"")</x:f>
        <x:v>-0.00008971165066875059</x:v>
      </x:c>
      <x:c r="K937" t="str">
        <x:f>IF(ISNUMBER(B937),IF('Hill'!$B$4=1,IF(B937&lt;0,-B937,""),IF('Hill'!$B$4=2,IF(B937&gt;0,B937,""),IF('Hill'!$B$4=3,IF(B937&lt;&gt;0,ABS(B937),""),""))),"")</x:f>
      </x:c>
    </x:row>
    <x:row r="938">
      <x:c r="A938" t="n">
        <x:f>937</x:f>
        <x:v>937</x:v>
      </x:c>
      <x:c r="B938" s="7" t="n">
        <x:f>IF('요약'!$B$4=4,IF(ISNUMBER('input'!A938),'input'!A938,""),IF(937&lt;=1000,CHOOSE('요약'!$B$4,'input'!B938,'input'!C938,'input'!D938),""))</x:f>
        <x:v>-0.0013181488970811007</x:v>
      </x:c>
      <x:c r="C938" s="7" t="n">
        <x:f>IF(AND(ISNUMBER(B938),'요약'!$B$19),B938-'요약'!$B$7,"")</x:f>
        <x:v>-0.0012699095700315992</x:v>
      </x:c>
      <x:c r="D938" s="7" t="n">
        <x:f>IF(ISNUMBER(C938),C938^2,"")</x:f>
        <x:v>0.0000016126703160578413</x:v>
      </x:c>
      <x:c r="E938" s="15" t="n">
        <x:f>IF(ISNUMBER(C938),C938^3,"")</x:f>
        <x:v>-2.0479454676677366e-9</x:v>
      </x:c>
      <x:c r="F938" s="15" t="n">
        <x:f>IF(ISNUMBER(C938),C938^4,"")</x:f>
        <x:v>2.6007055482940975e-12</x:v>
      </x:c>
      <x:c r="G938" s="7" t="n">
        <x:f>IF(ISNUMBER(B938),ABS(B938),"")</x:f>
        <x:v>0.0013181488970811007</x:v>
      </x:c>
      <x:c r="H938" s="7" t="n">
        <x:f>IF(ISNUMBER(B938),B938^2,"")</x:f>
        <x:v>0.0000017375165148761222</x:v>
      </x:c>
      <x:c r="I938" s="7" t="n">
        <x:f>IF(AND(ISNUMBER(G938),'요약'!$B$19),G938-'요약'!$B$14,"")</x:f>
        <x:v>-0.006695367730321755</x:v>
      </x:c>
      <x:c r="J938" s="7" t="n">
        <x:f>IF(AND(ISNUMBER(H938),'요약'!$B$19),H938-'요약'!$B$15,"")</x:f>
        <x:v>-0.00010047218267121599</x:v>
      </x:c>
      <x:c r="K938" t="n">
        <x:f>IF(ISNUMBER(B938),IF('Hill'!$B$4=1,IF(B938&lt;0,-B938,""),IF('Hill'!$B$4=2,IF(B938&gt;0,B938,""),IF('Hill'!$B$4=3,IF(B938&lt;&gt;0,ABS(B938),""),""))),"")</x:f>
        <x:v>0.0013181488970811007</x:v>
      </x:c>
    </x:row>
    <x:row r="939">
      <x:c r="A939" t="n">
        <x:f>938</x:f>
        <x:v>938</x:v>
      </x:c>
      <x:c r="B939" s="7" t="n">
        <x:f>IF('요약'!$B$4=4,IF(ISNUMBER('input'!A939),'input'!A939,""),IF(938&lt;=1000,CHOOSE('요약'!$B$4,'input'!B939,'input'!C939,'input'!D939),""))</x:f>
        <x:v>0.0013823347346748269</x:v>
      </x:c>
      <x:c r="C939" s="7" t="n">
        <x:f>IF(AND(ISNUMBER(B939),'요약'!$B$19),B939-'요약'!$B$7,"")</x:f>
        <x:v>0.0014305740617243283</x:v>
      </x:c>
      <x:c r="D939" s="7" t="n">
        <x:f>IF(ISNUMBER(C939),C939^2,"")</x:f>
        <x:v>0.0000020465421460784425</x:v>
      </x:c>
      <x:c r="E939" s="15" t="n">
        <x:f>IF(ISNUMBER(C939),C939^3,"")</x:f>
        <x:v>2.927730110405461e-9</x:v>
      </x:c>
      <x:c r="F939" s="15" t="n">
        <x:f>IF(ISNUMBER(C939),C939^4,"")</x:f>
        <x:v>4.188334755675357e-12</x:v>
      </x:c>
      <x:c r="G939" s="7" t="n">
        <x:f>IF(ISNUMBER(B939),ABS(B939),"")</x:f>
        <x:v>0.0013823347346748269</x:v>
      </x:c>
      <x:c r="H939" s="7" t="n">
        <x:f>IF(ISNUMBER(B939),B939^2,"")</x:f>
        <x:v>0.000001910849318688524</x:v>
      </x:c>
      <x:c r="I939" s="7" t="n">
        <x:f>IF(AND(ISNUMBER(G939),'요약'!$B$19),G939-'요약'!$B$14,"")</x:f>
        <x:v>-0.0066311818927280285</x:v>
      </x:c>
      <x:c r="J939" s="7" t="n">
        <x:f>IF(AND(ISNUMBER(H939),'요약'!$B$19),H939-'요약'!$B$15,"")</x:f>
        <x:v>-0.00010029884986740358</x:v>
      </x:c>
      <x:c r="K939" t="str">
        <x:f>IF(ISNUMBER(B939),IF('Hill'!$B$4=1,IF(B939&lt;0,-B939,""),IF('Hill'!$B$4=2,IF(B939&gt;0,B939,""),IF('Hill'!$B$4=3,IF(B939&lt;&gt;0,ABS(B939),""),""))),"")</x:f>
      </x:c>
    </x:row>
    <x:row r="940">
      <x:c r="A940" t="n">
        <x:f>939</x:f>
        <x:v>939</x:v>
      </x:c>
      <x:c r="B940" s="7" t="n">
        <x:f>IF('요약'!$B$4=4,IF(ISNUMBER('input'!A940),'input'!A940,""),IF(939&lt;=1000,CHOOSE('요약'!$B$4,'input'!B940,'input'!C940,'input'!D940),""))</x:f>
        <x:v>-0.02242183364062477</x:v>
      </x:c>
      <x:c r="C940" s="7" t="n">
        <x:f>IF(AND(ISNUMBER(B940),'요약'!$B$19),B940-'요약'!$B$7,"")</x:f>
        <x:v>-0.02237359431357527</x:v>
      </x:c>
      <x:c r="D940" s="7" t="n">
        <x:f>IF(ISNUMBER(C940),C940^2,"")</x:f>
        <x:v>0.0005005777225084477</x:v>
      </x:c>
      <x:c r="E940" s="15" t="n">
        <x:f>IF(ISNUMBER(C940),C940^3,"")</x:f>
        <x:v>-0.000011199722885817463</x:v>
      </x:c>
      <x:c r="F940" s="15" t="n">
        <x:f>IF(ISNUMBER(C940),C940^4,"")</x:f>
        <x:v>2.505780562717444e-7</x:v>
      </x:c>
      <x:c r="G940" s="7" t="n">
        <x:f>IF(ISNUMBER(B940),ABS(B940),"")</x:f>
        <x:v>0.02242183364062477</x:v>
      </x:c>
      <x:c r="H940" s="7" t="n">
        <x:f>IF(ISNUMBER(B940),B940^2,"")</x:f>
        <x:v>0.0005027386238078527</x:v>
      </x:c>
      <x:c r="I940" s="7" t="n">
        <x:f>IF(AND(ISNUMBER(G940),'요약'!$B$19),G940-'요약'!$B$14,"")</x:f>
        <x:v>0.014408317013221915</x:v>
      </x:c>
      <x:c r="J940" s="7" t="n">
        <x:f>IF(AND(ISNUMBER(H940),'요약'!$B$19),H940-'요약'!$B$15,"")</x:f>
        <x:v>0.0004005289246217606</x:v>
      </x:c>
      <x:c r="K940" t="n">
        <x:f>IF(ISNUMBER(B940),IF('Hill'!$B$4=1,IF(B940&lt;0,-B940,""),IF('Hill'!$B$4=2,IF(B940&gt;0,B940,""),IF('Hill'!$B$4=3,IF(B940&lt;&gt;0,ABS(B940),""),""))),"")</x:f>
        <x:v>0.02242183364062477</x:v>
      </x:c>
    </x:row>
    <x:row r="941">
      <x:c r="A941" t="n">
        <x:f>940</x:f>
        <x:v>940</x:v>
      </x:c>
      <x:c r="B941" s="7" t="n">
        <x:f>IF('요약'!$B$4=4,IF(ISNUMBER('input'!A941),'input'!A941,""),IF(940&lt;=1000,CHOOSE('요약'!$B$4,'input'!B941,'input'!C941,'input'!D941),""))</x:f>
        <x:v>-0.00048429503253610384</x:v>
      </x:c>
      <x:c r="C941" s="7" t="n">
        <x:f>IF(AND(ISNUMBER(B941),'요약'!$B$19),B941-'요약'!$B$7,"")</x:f>
        <x:v>-0.0004360557054866025</x:v>
      </x:c>
      <x:c r="D941" s="7" t="n">
        <x:f>IF(ISNUMBER(C941),C941^2,"")</x:f>
        <x:v>1.901445782874186e-7</x:v>
      </x:c>
      <x:c r="E941" s="15" t="n">
        <x:f>IF(ISNUMBER(C941),C941^3,"")</x:f>
        <x:v>-8.291362822957284e-11</x:v>
      </x:c>
      <x:c r="F941" s="15" t="n">
        <x:f>IF(ISNUMBER(C941),C941^4,"")</x:f>
        <x:v>3.615496065210026e-14</x:v>
      </x:c>
      <x:c r="G941" s="7" t="n">
        <x:f>IF(ISNUMBER(B941),ABS(B941),"")</x:f>
        <x:v>0.00048429503253610384</x:v>
      </x:c>
      <x:c r="H941" s="7" t="n">
        <x:f>IF(ISNUMBER(B941),B941^2,"")</x:f>
        <x:v>2.3454167853914587e-7</x:v>
      </x:c>
      <x:c r="I941" s="7" t="n">
        <x:f>IF(AND(ISNUMBER(G941),'요약'!$B$19),G941-'요약'!$B$14,"")</x:f>
        <x:v>-0.007529221594866751</x:v>
      </x:c>
      <x:c r="J941" s="7" t="n">
        <x:f>IF(AND(ISNUMBER(H941),'요약'!$B$19),H941-'요약'!$B$15,"")</x:f>
        <x:v>-0.00010197515750755295</x:v>
      </x:c>
      <x:c r="K941" t="n">
        <x:f>IF(ISNUMBER(B941),IF('Hill'!$B$4=1,IF(B941&lt;0,-B941,""),IF('Hill'!$B$4=2,IF(B941&gt;0,B941,""),IF('Hill'!$B$4=3,IF(B941&lt;&gt;0,ABS(B941),""),""))),"")</x:f>
        <x:v>0.00048429503253610384</x:v>
      </x:c>
    </x:row>
    <x:row r="942">
      <x:c r="A942" t="n">
        <x:f>941</x:f>
        <x:v>941</x:v>
      </x:c>
      <x:c r="B942" s="7" t="n">
        <x:f>IF('요약'!$B$4=4,IF(ISNUMBER('input'!A942),'input'!A942,""),IF(941&lt;=1000,CHOOSE('요약'!$B$4,'input'!B942,'input'!C942,'input'!D942),""))</x:f>
        <x:v>0.008773050280985085</x:v>
      </x:c>
      <x:c r="C942" s="7" t="n">
        <x:f>IF(AND(ISNUMBER(B942),'요약'!$B$19),B942-'요약'!$B$7,"")</x:f>
        <x:v>0.008821289608034586</x:v>
      </x:c>
      <x:c r="D942" s="7" t="n">
        <x:f>IF(ISNUMBER(C942),C942^2,"")</x:f>
        <x:v>0.00007781515034881898</x:v>
      </x:c>
      <x:c r="E942" s="15" t="n">
        <x:f>IF(ISNUMBER(C942),C942^3,"")</x:f>
        <x:v>6.864299771196857e-7</x:v>
      </x:c>
      <x:c r="F942" s="15" t="n">
        <x:f>IF(ISNUMBER(C942),C942^4,"")</x:f>
        <x:v>6.055197623809302e-9</x:v>
      </x:c>
      <x:c r="G942" s="7" t="n">
        <x:f>IF(ISNUMBER(B942),ABS(B942),"")</x:f>
        <x:v>0.008773050280985085</x:v>
      </x:c>
      <x:c r="H942" s="7" t="n">
        <x:f>IF(ISNUMBER(B942),B942^2,"")</x:f>
        <x:v>0.00007696641123269248</x:v>
      </x:c>
      <x:c r="I942" s="7" t="n">
        <x:f>IF(AND(ISNUMBER(G942),'요약'!$B$19),G942-'요약'!$B$14,"")</x:f>
        <x:v>0.0007595336535822297</x:v>
      </x:c>
      <x:c r="J942" s="7" t="n">
        <x:f>IF(AND(ISNUMBER(H942),'요약'!$B$19),H942-'요약'!$B$15,"")</x:f>
        <x:v>-0.000025243287953399625</x:v>
      </x:c>
      <x:c r="K942" t="str">
        <x:f>IF(ISNUMBER(B942),IF('Hill'!$B$4=1,IF(B942&lt;0,-B942,""),IF('Hill'!$B$4=2,IF(B942&gt;0,B942,""),IF('Hill'!$B$4=3,IF(B942&lt;&gt;0,ABS(B942),""),""))),"")</x:f>
      </x:c>
    </x:row>
    <x:row r="943">
      <x:c r="A943" t="n">
        <x:f>942</x:f>
        <x:v>942</x:v>
      </x:c>
      <x:c r="B943" s="7" t="n">
        <x:f>IF('요약'!$B$4=4,IF(ISNUMBER('input'!A943),'input'!A943,""),IF(942&lt;=1000,CHOOSE('요약'!$B$4,'input'!B943,'input'!C943,'input'!D943),""))</x:f>
        <x:v>-0.0026799185057129068</x:v>
      </x:c>
      <x:c r="C943" s="7" t="n">
        <x:f>IF(AND(ISNUMBER(B943),'요약'!$B$19),B943-'요약'!$B$7,"")</x:f>
        <x:v>-0.0026316791786634053</x:v>
      </x:c>
      <x:c r="D943" s="7" t="n">
        <x:f>IF(ISNUMBER(C943),C943^2,"")</x:f>
        <x:v>0.000006925735299410496</x:v>
      </x:c>
      <x:c r="E943" s="15" t="n">
        <x:f>IF(ISNUMBER(C943),C943^3,"")</x:f>
        <x:v>-1.8226313384392767e-8</x:v>
      </x:c>
      <x:c r="F943" s="15" t="n">
        <x:f>IF(ISNUMBER(C943),C943^4,"")</x:f>
        <x:v>4.7965809437500583e-11</x:v>
      </x:c>
      <x:c r="G943" s="7" t="n">
        <x:f>IF(ISNUMBER(B943),ABS(B943),"")</x:f>
        <x:v>0.0026799185057129068</x:v>
      </x:c>
      <x:c r="H943" s="7" t="n">
        <x:f>IF(ISNUMBER(B943),B943^2,"")</x:f>
        <x:v>0.000007181963197262499</x:v>
      </x:c>
      <x:c r="I943" s="7" t="n">
        <x:f>IF(AND(ISNUMBER(G943),'요약'!$B$19),G943-'요약'!$B$14,"")</x:f>
        <x:v>-0.005333598121689948</x:v>
      </x:c>
      <x:c r="J943" s="7" t="n">
        <x:f>IF(AND(ISNUMBER(H943),'요약'!$B$19),H943-'요약'!$B$15,"")</x:f>
        <x:v>-0.00009502773598882961</x:v>
      </x:c>
      <x:c r="K943" t="n">
        <x:f>IF(ISNUMBER(B943),IF('Hill'!$B$4=1,IF(B943&lt;0,-B943,""),IF('Hill'!$B$4=2,IF(B943&gt;0,B943,""),IF('Hill'!$B$4=3,IF(B943&lt;&gt;0,ABS(B943),""),""))),"")</x:f>
        <x:v>0.0026799185057129068</x:v>
      </x:c>
    </x:row>
    <x:row r="944">
      <x:c r="A944" t="n">
        <x:f>943</x:f>
        <x:v>943</x:v>
      </x:c>
      <x:c r="B944" s="7" t="n">
        <x:f>IF('요약'!$B$4=4,IF(ISNUMBER('input'!A944),'input'!A944,""),IF(943&lt;=1000,CHOOSE('요약'!$B$4,'input'!B944,'input'!C944,'input'!D944),""))</x:f>
        <x:v>0.000810278162090377</x:v>
      </x:c>
      <x:c r="C944" s="7" t="n">
        <x:f>IF(AND(ISNUMBER(B944),'요약'!$B$19),B944-'요약'!$B$7,"")</x:f>
        <x:v>0.0008585174891398784</x:v>
      </x:c>
      <x:c r="D944" s="7" t="n">
        <x:f>IF(ISNUMBER(C944),C944^2,"")</x:f>
        <x:v>7.370522791590412e-7</x:v>
      </x:c>
      <x:c r="E944" s="15" t="n">
        <x:f>IF(ISNUMBER(C944),C944^3,"")</x:f>
        <x:v>6.327722720684448e-10</x:v>
      </x:c>
      <x:c r="F944" s="15" t="n">
        <x:f>IF(ISNUMBER(C944),C944^4,"")</x:f>
        <x:v>5.432460622135372e-13</x:v>
      </x:c>
      <x:c r="G944" s="7" t="n">
        <x:f>IF(ISNUMBER(B944),ABS(B944),"")</x:f>
        <x:v>0.000810278162090377</x:v>
      </x:c>
      <x:c r="H944" s="7" t="n">
        <x:f>IF(ISNUMBER(B944),B944^2,"")</x:f>
        <x:v>6.565506999605593e-7</x:v>
      </x:c>
      <x:c r="I944" s="7" t="n">
        <x:f>IF(AND(ISNUMBER(G944),'요약'!$B$19),G944-'요약'!$B$14,"")</x:f>
        <x:v>-0.0072032384653124785</x:v>
      </x:c>
      <x:c r="J944" s="7" t="n">
        <x:f>IF(AND(ISNUMBER(H944),'요약'!$B$19),H944-'요약'!$B$15,"")</x:f>
        <x:v>-0.00010155314848613155</x:v>
      </x:c>
      <x:c r="K944" t="str">
        <x:f>IF(ISNUMBER(B944),IF('Hill'!$B$4=1,IF(B944&lt;0,-B944,""),IF('Hill'!$B$4=2,IF(B944&gt;0,B944,""),IF('Hill'!$B$4=3,IF(B944&lt;&gt;0,ABS(B944),""),""))),"")</x:f>
      </x:c>
    </x:row>
    <x:row r="945">
      <x:c r="A945" t="n">
        <x:f>944</x:f>
        <x:v>944</x:v>
      </x:c>
      <x:c r="B945" s="7" t="n">
        <x:f>IF('요약'!$B$4=4,IF(ISNUMBER('input'!A945),'input'!A945,""),IF(944&lt;=1000,CHOOSE('요약'!$B$4,'input'!B945,'input'!C945,'input'!D945),""))</x:f>
        <x:v>0.0056261265293158684</x:v>
      </x:c>
      <x:c r="C945" s="7" t="n">
        <x:f>IF(AND(ISNUMBER(B945),'요약'!$B$19),B945-'요약'!$B$7,"")</x:f>
        <x:v>0.00567436585636537</x:v>
      </x:c>
      <x:c r="D945" s="7" t="n">
        <x:f>IF(ISNUMBER(C945),C945^2,"")</x:f>
        <x:v>0.0000321984278718851</x:v>
      </x:c>
      <x:c r="E945" s="15" t="n">
        <x:f>IF(ISNUMBER(C945),C945^3,"")</x:f>
        <x:v>1.8270565974486789e-7</x:v>
      </x:c>
      <x:c r="F945" s="15" t="n">
        <x:f>IF(ISNUMBER(C945),C945^4,"")</x:f>
        <x:v>1.036738757420987e-9</x:v>
      </x:c>
      <x:c r="G945" s="7" t="n">
        <x:f>IF(ISNUMBER(B945),ABS(B945),"")</x:f>
        <x:v>0.0056261265293158684</x:v>
      </x:c>
      <x:c r="H945" s="7" t="n">
        <x:f>IF(ISNUMBER(B945),B945^2,"")</x:f>
        <x:v>0.00003165329972387182</x:v>
      </x:c>
      <x:c r="I945" s="7" t="n">
        <x:f>IF(AND(ISNUMBER(G945),'요약'!$B$19),G945-'요약'!$B$14,"")</x:f>
        <x:v>-0.002387390098086987</x:v>
      </x:c>
      <x:c r="J945" s="7" t="n">
        <x:f>IF(AND(ISNUMBER(H945),'요약'!$B$19),H945-'요약'!$B$15,"")</x:f>
        <x:v>-0.0000705563994622203</x:v>
      </x:c>
      <x:c r="K945" t="str">
        <x:f>IF(ISNUMBER(B945),IF('Hill'!$B$4=1,IF(B945&lt;0,-B945,""),IF('Hill'!$B$4=2,IF(B945&gt;0,B945,""),IF('Hill'!$B$4=3,IF(B945&lt;&gt;0,ABS(B945),""),""))),"")</x:f>
      </x:c>
    </x:row>
    <x:row r="946">
      <x:c r="A946" t="n">
        <x:f>945</x:f>
        <x:v>945</x:v>
      </x:c>
      <x:c r="B946" s="7" t="n">
        <x:f>IF('요약'!$B$4=4,IF(ISNUMBER('input'!A946),'input'!A946,""),IF(945&lt;=1000,CHOOSE('요약'!$B$4,'input'!B946,'input'!C946,'input'!D946),""))</x:f>
        <x:v>0.007827478176518807</x:v>
      </x:c>
      <x:c r="C946" s="7" t="n">
        <x:f>IF(AND(ISNUMBER(B946),'요약'!$B$19),B946-'요약'!$B$7,"")</x:f>
        <x:v>0.007875717503568308</x:v>
      </x:c>
      <x:c r="D946" s="7" t="n">
        <x:f>IF(ISNUMBER(C946),C946^2,"")</x:f>
        <x:v>0.00006202692619601221</x:v>
      </x:c>
      <x:c r="E946" s="15" t="n">
        <x:f>IF(ISNUMBER(C946),C946^3,"")</x:f>
        <x:v>4.88506548334473e-7</x:v>
      </x:c>
      <x:c r="F946" s="15" t="n">
        <x:f>IF(ISNUMBER(C946),C946^4,"")</x:f>
        <x:v>3.8473395733255465e-9</x:v>
      </x:c>
      <x:c r="G946" s="7" t="n">
        <x:f>IF(ISNUMBER(B946),ABS(B946),"")</x:f>
        <x:v>0.007827478176518807</x:v>
      </x:c>
      <x:c r="H946" s="7" t="n">
        <x:f>IF(ISNUMBER(B946),B946^2,"")</x:f>
        <x:v>0.00006126941460387819</x:v>
      </x:c>
      <x:c r="I946" s="7" t="n">
        <x:f>IF(AND(ISNUMBER(G946),'요약'!$B$19),G946-'요약'!$B$14,"")</x:f>
        <x:v>-0.00018603845088404833</x:v>
      </x:c>
      <x:c r="J946" s="7" t="n">
        <x:f>IF(AND(ISNUMBER(H946),'요약'!$B$19),H946-'요약'!$B$15,"")</x:f>
        <x:v>-0.00004094028458221391</x:v>
      </x:c>
      <x:c r="K946" t="str">
        <x:f>IF(ISNUMBER(B946),IF('Hill'!$B$4=1,IF(B946&lt;0,-B946,""),IF('Hill'!$B$4=2,IF(B946&gt;0,B946,""),IF('Hill'!$B$4=3,IF(B946&lt;&gt;0,ABS(B946),""),""))),"")</x:f>
      </x:c>
    </x:row>
    <x:row r="947">
      <x:c r="A947" t="n">
        <x:f>946</x:f>
        <x:v>946</x:v>
      </x:c>
      <x:c r="B947" s="7" t="n">
        <x:f>IF('요약'!$B$4=4,IF(ISNUMBER('input'!A947),'input'!A947,""),IF(946&lt;=1000,CHOOSE('요약'!$B$4,'input'!B947,'input'!C947,'input'!D947),""))</x:f>
        <x:v>0.026215393442177236</x:v>
      </x:c>
      <x:c r="C947" s="7" t="n">
        <x:f>IF(AND(ISNUMBER(B947),'요약'!$B$19),B947-'요약'!$B$7,"")</x:f>
        <x:v>0.026263632769226736</x:v>
      </x:c>
      <x:c r="D947" s="7" t="n">
        <x:f>IF(ISNUMBER(C947),C947^2,"")</x:f>
        <x:v>0.0006897784062368004</x:v>
      </x:c>
      <x:c r="E947" s="15" t="n">
        <x:f>IF(ISNUMBER(C947),C947^3,"")</x:f>
        <x:v>0.000018116086753545825</x:v>
      </x:c>
      <x:c r="F947" s="15" t="n">
        <x:f>IF(ISNUMBER(C947),C947^4,"")</x:f>
        <x:v>4.757942497105805e-7</x:v>
      </x:c>
      <x:c r="G947" s="7" t="n">
        <x:f>IF(ISNUMBER(B947),ABS(B947),"")</x:f>
        <x:v>0.026215393442177236</x:v>
      </x:c>
      <x:c r="H947" s="7" t="n">
        <x:f>IF(ISNUMBER(B947),B947^2,"")</x:f>
        <x:v>0.0006872468533281492</x:v>
      </x:c>
      <x:c r="I947" s="7" t="n">
        <x:f>IF(AND(ISNUMBER(G947),'요약'!$B$19),G947-'요약'!$B$14,"")</x:f>
        <x:v>0.01820187681477438</x:v>
      </x:c>
      <x:c r="J947" s="7" t="n">
        <x:f>IF(AND(ISNUMBER(H947),'요약'!$B$19),H947-'요약'!$B$15,"")</x:f>
        <x:v>0.0005850371541420571</x:v>
      </x:c>
      <x:c r="K947" t="str">
        <x:f>IF(ISNUMBER(B947),IF('Hill'!$B$4=1,IF(B947&lt;0,-B947,""),IF('Hill'!$B$4=2,IF(B947&gt;0,B947,""),IF('Hill'!$B$4=3,IF(B947&lt;&gt;0,ABS(B947),""),""))),"")</x:f>
      </x:c>
    </x:row>
    <x:row r="948">
      <x:c r="A948" t="n">
        <x:f>947</x:f>
        <x:v>947</x:v>
      </x:c>
      <x:c r="B948" s="7" t="n">
        <x:f>IF('요약'!$B$4=4,IF(ISNUMBER('input'!A948),'input'!A948,""),IF(947&lt;=1000,CHOOSE('요약'!$B$4,'input'!B948,'input'!C948,'input'!D948),""))</x:f>
        <x:v>0.006845689178415148</x:v>
      </x:c>
      <x:c r="C948" s="7" t="n">
        <x:f>IF(AND(ISNUMBER(B948),'요약'!$B$19),B948-'요약'!$B$7,"")</x:f>
        <x:v>0.00689392850546465</x:v>
      </x:c>
      <x:c r="D948" s="7" t="n">
        <x:f>IF(ISNUMBER(C948),C948^2,"")</x:f>
        <x:v>0.00004752625023845806</x:v>
      </x:c>
      <x:c r="E948" s="15" t="n">
        <x:f>IF(ISNUMBER(C948),C948^3,"")</x:f>
        <x:v>3.2764257127675213e-7</x:v>
      </x:c>
      <x:c r="F948" s="15" t="n">
        <x:f>IF(ISNUMBER(C948),C948^4,"")</x:f>
        <x:v>2.258744461728535e-9</x:v>
      </x:c>
      <x:c r="G948" s="7" t="n">
        <x:f>IF(ISNUMBER(B948),ABS(B948),"")</x:f>
        <x:v>0.006845689178415148</x:v>
      </x:c>
      <x:c r="H948" s="7" t="n">
        <x:f>IF(ISNUMBER(B948),B948^2,"")</x:f>
        <x:v>0.00004686346032747027</x:v>
      </x:c>
      <x:c r="I948" s="7" t="n">
        <x:f>IF(AND(ISNUMBER(G948),'요약'!$B$19),G948-'요약'!$B$14,"")</x:f>
        <x:v>-0.001167827448987707</x:v>
      </x:c>
      <x:c r="J948" s="7" t="n">
        <x:f>IF(AND(ISNUMBER(H948),'요약'!$B$19),H948-'요약'!$B$15,"")</x:f>
        <x:v>-0.000055346238858621835</x:v>
      </x:c>
      <x:c r="K948" t="str">
        <x:f>IF(ISNUMBER(B948),IF('Hill'!$B$4=1,IF(B948&lt;0,-B948,""),IF('Hill'!$B$4=2,IF(B948&gt;0,B948,""),IF('Hill'!$B$4=3,IF(B948&lt;&gt;0,ABS(B948),""),""))),"")</x:f>
      </x:c>
    </x:row>
    <x:row r="949">
      <x:c r="A949" t="n">
        <x:f>948</x:f>
        <x:v>948</x:v>
      </x:c>
      <x:c r="B949" s="7" t="n">
        <x:f>IF('요약'!$B$4=4,IF(ISNUMBER('input'!A949),'input'!A949,""),IF(948&lt;=1000,CHOOSE('요약'!$B$4,'input'!B949,'input'!C949,'input'!D949),""))</x:f>
        <x:v>-0.0020442048644158327</x:v>
      </x:c>
      <x:c r="C949" s="7" t="n">
        <x:f>IF(AND(ISNUMBER(B949),'요약'!$B$19),B949-'요약'!$B$7,"")</x:f>
        <x:v>-0.0019959655373663313</x:v>
      </x:c>
      <x:c r="D949" s="7" t="n">
        <x:f>IF(ISNUMBER(C949),C949^2,"")</x:f>
        <x:v>0.000003983878426354068</x:v>
      </x:c>
      <x:c r="E949" s="15" t="n">
        <x:f>IF(ISNUMBER(C949),C949^3,"")</x:f>
        <x:v>-7.95168404405993e-9</x:v>
      </x:c>
      <x:c r="F949" s="15" t="n">
        <x:f>IF(ISNUMBER(C949),C949^4,"")</x:f>
        <x:v>1.587128731596936e-11</x:v>
      </x:c>
      <x:c r="G949" s="7" t="n">
        <x:f>IF(ISNUMBER(B949),ABS(B949),"")</x:f>
        <x:v>0.0020442048644158327</x:v>
      </x:c>
      <x:c r="H949" s="7" t="n">
        <x:f>IF(ISNUMBER(B949),B949^2,"")</x:f>
        <x:v>0.000004178773527701353</x:v>
      </x:c>
      <x:c r="I949" s="7" t="n">
        <x:f>IF(AND(ISNUMBER(G949),'요약'!$B$19),G949-'요약'!$B$14,"")</x:f>
        <x:v>-0.005969311762987022</x:v>
      </x:c>
      <x:c r="J949" s="7" t="n">
        <x:f>IF(AND(ISNUMBER(H949),'요약'!$B$19),H949-'요약'!$B$15,"")</x:f>
        <x:v>-0.00009803092565839075</x:v>
      </x:c>
      <x:c r="K949" t="n">
        <x:f>IF(ISNUMBER(B949),IF('Hill'!$B$4=1,IF(B949&lt;0,-B949,""),IF('Hill'!$B$4=2,IF(B949&gt;0,B949,""),IF('Hill'!$B$4=3,IF(B949&lt;&gt;0,ABS(B949),""),""))),"")</x:f>
        <x:v>0.0020442048644158327</x:v>
      </x:c>
    </x:row>
    <x:row r="950">
      <x:c r="A950" t="n">
        <x:f>949</x:f>
        <x:v>949</x:v>
      </x:c>
      <x:c r="B950" s="7" t="n">
        <x:f>IF('요약'!$B$4=4,IF(ISNUMBER('input'!A950),'input'!A950,""),IF(949&lt;=1000,CHOOSE('요약'!$B$4,'input'!B950,'input'!C950,'input'!D950),""))</x:f>
        <x:v>0.014559953893288046</x:v>
      </x:c>
      <x:c r="C950" s="7" t="n">
        <x:f>IF(AND(ISNUMBER(B950),'요약'!$B$19),B950-'요약'!$B$7,"")</x:f>
        <x:v>0.014608193220337547</x:v>
      </x:c>
      <x:c r="D950" s="7" t="n">
        <x:f>IF(ISNUMBER(C950),C950^2,"")</x:f>
        <x:v>0.00021339930916271588</x:v>
      </x:c>
      <x:c r="E950" s="15" t="n">
        <x:f>IF(ISNUMBER(C950),C950^3,"")</x:f>
        <x:v>0.0000031173783413355022</x:v>
      </x:c>
      <x:c r="F950" s="15" t="n">
        <x:f>IF(ISNUMBER(C950),C950^4,"")</x:f>
        <x:v>4.553926515112439e-8</x:v>
      </x:c>
      <x:c r="G950" s="7" t="n">
        <x:f>IF(ISNUMBER(B950),ABS(B950),"")</x:f>
        <x:v>0.014559953893288046</x:v>
      </x:c>
      <x:c r="H950" s="7" t="n">
        <x:f>IF(ISNUMBER(B950),B950^2,"")</x:f>
        <x:v>0.00021199225737467375</x:v>
      </x:c>
      <x:c r="I950" s="7" t="n">
        <x:f>IF(AND(ISNUMBER(G950),'요약'!$B$19),G950-'요약'!$B$14,"")</x:f>
        <x:v>0.006546437265885191</x:v>
      </x:c>
      <x:c r="J950" s="7" t="n">
        <x:f>IF(AND(ISNUMBER(H950),'요약'!$B$19),H950-'요약'!$B$15,"")</x:f>
        <x:v>0.00010978255818858165</x:v>
      </x:c>
      <x:c r="K950" t="str">
        <x:f>IF(ISNUMBER(B950),IF('Hill'!$B$4=1,IF(B950&lt;0,-B950,""),IF('Hill'!$B$4=2,IF(B950&gt;0,B950,""),IF('Hill'!$B$4=3,IF(B950&lt;&gt;0,ABS(B950),""),""))),"")</x:f>
      </x:c>
    </x:row>
    <x:row r="951">
      <x:c r="A951" t="n">
        <x:f>950</x:f>
        <x:v>950</x:v>
      </x:c>
      <x:c r="B951" s="7" t="n">
        <x:f>IF('요약'!$B$4=4,IF(ISNUMBER('input'!A951),'input'!A951,""),IF(950&lt;=1000,CHOOSE('요약'!$B$4,'input'!B951,'input'!C951,'input'!D951),""))</x:f>
        <x:v>-0.010768551730769215</x:v>
      </x:c>
      <x:c r="C951" s="7" t="n">
        <x:f>IF(AND(ISNUMBER(B951),'요약'!$B$19),B951-'요약'!$B$7,"")</x:f>
        <x:v>-0.010720312403719715</x:v>
      </x:c>
      <x:c r="D951" s="7" t="n">
        <x:f>IF(ISNUMBER(C951),C951^2,"")</x:f>
        <x:v>0.00011492509803334677</x:v>
      </x:c>
      <x:c r="E951" s="15" t="n">
        <x:f>IF(ISNUMBER(C951),C951^3,"")</x:f>
        <x:v>-0.0000012320329539455916</x:v>
      </x:c>
      <x:c r="F951" s="15" t="n">
        <x:f>IF(ISNUMBER(C951),C951^4,"")</x:f>
        <x:v>1.3207778157974366e-8</x:v>
      </x:c>
      <x:c r="G951" s="7" t="n">
        <x:f>IF(ISNUMBER(B951),ABS(B951),"")</x:f>
        <x:v>0.010768551730769215</x:v>
      </x:c>
      <x:c r="H951" s="7" t="n">
        <x:f>IF(ISNUMBER(B951),B951^2,"")</x:f>
        <x:v>0.00011596170637825267</x:v>
      </x:c>
      <x:c r="I951" s="7" t="n">
        <x:f>IF(AND(ISNUMBER(G951),'요약'!$B$19),G951-'요약'!$B$14,"")</x:f>
        <x:v>0.00275503510336636</x:v>
      </x:c>
      <x:c r="J951" s="7" t="n">
        <x:f>IF(AND(ISNUMBER(H951),'요약'!$B$19),H951-'요약'!$B$15,"")</x:f>
        <x:v>0.000013752007192160563</x:v>
      </x:c>
      <x:c r="K951" t="n">
        <x:f>IF(ISNUMBER(B951),IF('Hill'!$B$4=1,IF(B951&lt;0,-B951,""),IF('Hill'!$B$4=2,IF(B951&gt;0,B951,""),IF('Hill'!$B$4=3,IF(B951&lt;&gt;0,ABS(B951),""),""))),"")</x:f>
        <x:v>0.010768551730769215</x:v>
      </x:c>
    </x:row>
    <x:row r="952">
      <x:c r="A952" t="n">
        <x:f>951</x:f>
        <x:v>951</x:v>
      </x:c>
      <x:c r="B952" s="7" t="n">
        <x:f>IF('요약'!$B$4=4,IF(ISNUMBER('input'!A952),'input'!A952,""),IF(951&lt;=1000,CHOOSE('요약'!$B$4,'input'!B952,'input'!C952,'input'!D952),""))</x:f>
        <x:v>-0.000869617654019456</x:v>
      </x:c>
      <x:c r="C952" s="7" t="n">
        <x:f>IF(AND(ISNUMBER(B952),'요약'!$B$19),B952-'요약'!$B$7,"")</x:f>
        <x:v>-0.0008213783269699547</x:v>
      </x:c>
      <x:c r="D952" s="7" t="n">
        <x:f>IF(ISNUMBER(C952),C952^2,"")</x:f>
        <x:v>6.746623560159618e-7</x:v>
      </x:c>
      <x:c r="E952" s="15" t="n">
        <x:f>IF(ISNUMBER(C952),C952^3,"")</x:f>
        <x:v>-5.541530372539987e-10</x:v>
      </x:c>
      <x:c r="F952" s="15" t="n">
        <x:f>IF(ISNUMBER(C952),C952^4,"")</x:f>
        <x:v>4.551692946250084e-13</x:v>
      </x:c>
      <x:c r="G952" s="7" t="n">
        <x:f>IF(ISNUMBER(B952),ABS(B952),"")</x:f>
        <x:v>0.000869617654019456</x:v>
      </x:c>
      <x:c r="H952" s="7" t="n">
        <x:f>IF(ISNUMBER(B952),B952^2,"")</x:f>
        <x:v>7.562348641823024e-7</x:v>
      </x:c>
      <x:c r="I952" s="7" t="n">
        <x:f>IF(AND(ISNUMBER(G952),'요약'!$B$19),G952-'요약'!$B$14,"")</x:f>
        <x:v>-0.007143898973383399</x:v>
      </x:c>
      <x:c r="J952" s="7" t="n">
        <x:f>IF(AND(ISNUMBER(H952),'요약'!$B$19),H952-'요약'!$B$15,"")</x:f>
        <x:v>-0.0001014534643219098</x:v>
      </x:c>
      <x:c r="K952" t="n">
        <x:f>IF(ISNUMBER(B952),IF('Hill'!$B$4=1,IF(B952&lt;0,-B952,""),IF('Hill'!$B$4=2,IF(B952&gt;0,B952,""),IF('Hill'!$B$4=3,IF(B952&lt;&gt;0,ABS(B952),""),""))),"")</x:f>
        <x:v>0.000869617654019456</x:v>
      </x:c>
    </x:row>
    <x:row r="953">
      <x:c r="A953" t="n">
        <x:f>952</x:f>
        <x:v>952</x:v>
      </x:c>
      <x:c r="B953" s="7" t="n">
        <x:f>IF('요약'!$B$4=4,IF(ISNUMBER('input'!A953),'input'!A953,""),IF(952&lt;=1000,CHOOSE('요약'!$B$4,'input'!B953,'input'!C953,'input'!D953),""))</x:f>
        <x:v>0.008113160803765063</x:v>
      </x:c>
      <x:c r="C953" s="7" t="n">
        <x:f>IF(AND(ISNUMBER(B953),'요약'!$B$19),B953-'요약'!$B$7,"")</x:f>
        <x:v>0.008161400130814563</x:v>
      </x:c>
      <x:c r="D953" s="7" t="n">
        <x:f>IF(ISNUMBER(C953),C953^2,"")</x:f>
        <x:v>0.00006660845209525997</x:v>
      </x:c>
      <x:c r="E953" s="15" t="n">
        <x:f>IF(ISNUMBER(C953),C953^3,"")</x:f>
        <x:v>5.436182296436103e-7</x:v>
      </x:c>
      <x:c r="F953" s="15" t="n">
        <x:f>IF(ISNUMBER(C953),C953^4,"")</x:f>
        <x:v>4.436685890526542e-9</x:v>
      </x:c>
      <x:c r="G953" s="7" t="n">
        <x:f>IF(ISNUMBER(B953),ABS(B953),"")</x:f>
        <x:v>0.008113160803765063</x:v>
      </x:c>
      <x:c r="H953" s="7" t="n">
        <x:f>IF(ISNUMBER(B953),B953^2,"")</x:f>
        <x:v>0.00006582337822774976</x:v>
      </x:c>
      <x:c r="I953" s="7" t="n">
        <x:f>IF(AND(ISNUMBER(G953),'요약'!$B$19),G953-'요약'!$B$14,"")</x:f>
        <x:v>0.00009964417636220725</x:v>
      </x:c>
      <x:c r="J953" s="7" t="n">
        <x:f>IF(AND(ISNUMBER(H953),'요약'!$B$19),H953-'요약'!$B$15,"")</x:f>
        <x:v>-0.00003638632095834234</x:v>
      </x:c>
      <x:c r="K953" t="str">
        <x:f>IF(ISNUMBER(B953),IF('Hill'!$B$4=1,IF(B953&lt;0,-B953,""),IF('Hill'!$B$4=2,IF(B953&gt;0,B953,""),IF('Hill'!$B$4=3,IF(B953&lt;&gt;0,ABS(B953),""),""))),"")</x:f>
      </x:c>
    </x:row>
    <x:row r="954">
      <x:c r="A954" t="n">
        <x:f>953</x:f>
        <x:v>953</x:v>
      </x:c>
      <x:c r="B954" s="7" t="n">
        <x:f>IF('요약'!$B$4=4,IF(ISNUMBER('input'!A954),'input'!A954,""),IF(953&lt;=1000,CHOOSE('요약'!$B$4,'input'!B954,'input'!C954,'input'!D954),""))</x:f>
        <x:v>0.0024482396590609643</x:v>
      </x:c>
      <x:c r="C954" s="7" t="n">
        <x:f>IF(AND(ISNUMBER(B954),'요약'!$B$19),B954-'요약'!$B$7,"")</x:f>
        <x:v>0.0024964789861104657</x:v>
      </x:c>
      <x:c r="D954" s="7" t="n">
        <x:f>IF(ISNUMBER(C954),C954^2,"")</x:f>
        <x:v>0.000006232407328091139</x:v>
      </x:c>
      <x:c r="E954" s="15" t="n">
        <x:f>IF(ISNUMBER(C954),C954^3,"")</x:f>
        <x:v>1.5559073927460404e-8</x:v>
      </x:c>
      <x:c r="F954" s="15" t="n">
        <x:f>IF(ISNUMBER(C954),C954^4,"")</x:f>
        <x:v>3.884290110324413e-11</x:v>
      </x:c>
      <x:c r="G954" s="7" t="n">
        <x:f>IF(ISNUMBER(B954),ABS(B954),"")</x:f>
        <x:v>0.0024482396590609643</x:v>
      </x:c>
      <x:c r="H954" s="7" t="n">
        <x:f>IF(ISNUMBER(B954),B954^2,"")</x:f>
        <x:v>0.000005993877428198946</x:v>
      </x:c>
      <x:c r="I954" s="7" t="n">
        <x:f>IF(AND(ISNUMBER(G954),'요약'!$B$19),G954-'요약'!$B$14,"")</x:f>
        <x:v>-0.005565276968341891</x:v>
      </x:c>
      <x:c r="J954" s="7" t="n">
        <x:f>IF(AND(ISNUMBER(H954),'요약'!$B$19),H954-'요약'!$B$15,"")</x:f>
        <x:v>-0.00009621582175789316</x:v>
      </x:c>
      <x:c r="K954" t="str">
        <x:f>IF(ISNUMBER(B954),IF('Hill'!$B$4=1,IF(B954&lt;0,-B954,""),IF('Hill'!$B$4=2,IF(B954&gt;0,B954,""),IF('Hill'!$B$4=3,IF(B954&lt;&gt;0,ABS(B954),""),""))),"")</x:f>
      </x:c>
    </x:row>
    <x:row r="955">
      <x:c r="A955" t="n">
        <x:f>954</x:f>
        <x:v>954</x:v>
      </x:c>
      <x:c r="B955" s="7" t="n">
        <x:f>IF('요약'!$B$4=4,IF(ISNUMBER('input'!A955),'input'!A955,""),IF(954&lt;=1000,CHOOSE('요약'!$B$4,'input'!B955,'input'!C955,'input'!D955),""))</x:f>
        <x:v>0.003144038448429474</x:v>
      </x:c>
      <x:c r="C955" s="7" t="n">
        <x:f>IF(AND(ISNUMBER(B955),'요약'!$B$19),B955-'요약'!$B$7,"")</x:f>
        <x:v>0.0031922777754789756</x:v>
      </x:c>
      <x:c r="D955" s="7" t="n">
        <x:f>IF(ISNUMBER(C955),C955^2,"")</x:f>
        <x:v>0.000010190637395816997</x:v>
      </x:c>
      <x:c r="E955" s="15" t="n">
        <x:f>IF(ISNUMBER(C955),C955^3,"")</x:f>
        <x:v>3.2531345276631547e-8</x:v>
      </x:c>
      <x:c r="F955" s="15" t="n">
        <x:f>IF(ISNUMBER(C955),C955^4,"")</x:f>
        <x:v>1.0384909053302383e-10</x:v>
      </x:c>
      <x:c r="G955" s="7" t="n">
        <x:f>IF(ISNUMBER(B955),ABS(B955),"")</x:f>
        <x:v>0.003144038448429474</x:v>
      </x:c>
      <x:c r="H955" s="7" t="n">
        <x:f>IF(ISNUMBER(B955),B955^2,"")</x:f>
        <x:v>0.000009884977765202815</x:v>
      </x:c>
      <x:c r="I955" s="7" t="n">
        <x:f>IF(AND(ISNUMBER(G955),'요약'!$B$19),G955-'요약'!$B$14,"")</x:f>
        <x:v>-0.004869478178973381</x:v>
      </x:c>
      <x:c r="J955" s="7" t="n">
        <x:f>IF(AND(ISNUMBER(H955),'요약'!$B$19),H955-'요약'!$B$15,"")</x:f>
        <x:v>-0.00009232472142088929</x:v>
      </x:c>
      <x:c r="K955" t="str">
        <x:f>IF(ISNUMBER(B955),IF('Hill'!$B$4=1,IF(B955&lt;0,-B955,""),IF('Hill'!$B$4=2,IF(B955&gt;0,B955,""),IF('Hill'!$B$4=3,IF(B955&lt;&gt;0,ABS(B955),""),""))),"")</x:f>
      </x:c>
    </x:row>
    <x:row r="956">
      <x:c r="A956" t="n">
        <x:f>955</x:f>
        <x:v>955</x:v>
      </x:c>
      <x:c r="B956" s="7" t="n">
        <x:f>IF('요약'!$B$4=4,IF(ISNUMBER('input'!A956),'input'!A956,""),IF(955&lt;=1000,CHOOSE('요약'!$B$4,'input'!B956,'input'!C956,'input'!D956),""))</x:f>
        <x:v>0.0065911526516496954</x:v>
      </x:c>
      <x:c r="C956" s="7" t="n">
        <x:f>IF(AND(ISNUMBER(B956),'요약'!$B$19),B956-'요약'!$B$7,"")</x:f>
        <x:v>0.006639391978699197</x:v>
      </x:c>
      <x:c r="D956" s="7" t="n">
        <x:f>IF(ISNUMBER(C956),C956^2,"")</x:f>
        <x:v>0.000044081525846815236</x:v>
      </x:c>
      <x:c r="E956" s="15" t="n">
        <x:f>IF(ISNUMBER(C956),C956^3,"")</x:f>
        <x:v>2.926745291161664e-7</x:v>
      </x:c>
      <x:c r="F956" s="15" t="n">
        <x:f>IF(ISNUMBER(C956),C956^4,"")</x:f>
        <x:v>1.94318092098344e-9</x:v>
      </x:c>
      <x:c r="G956" s="7" t="n">
        <x:f>IF(ISNUMBER(B956),ABS(B956),"")</x:f>
        <x:v>0.0065911526516496954</x:v>
      </x:c>
      <x:c r="H956" s="7" t="n">
        <x:f>IF(ISNUMBER(B956),B956^2,"")</x:f>
        <x:v>0.000043443293277348815</x:v>
      </x:c>
      <x:c r="I956" s="7" t="n">
        <x:f>IF(AND(ISNUMBER(G956),'요약'!$B$19),G956-'요약'!$B$14,"")</x:f>
        <x:v>-0.00142236397575316</x:v>
      </x:c>
      <x:c r="J956" s="7" t="n">
        <x:f>IF(AND(ISNUMBER(H956),'요약'!$B$19),H956-'요약'!$B$15,"")</x:f>
        <x:v>-0.00005876640590874329</x:v>
      </x:c>
      <x:c r="K956" t="str">
        <x:f>IF(ISNUMBER(B956),IF('Hill'!$B$4=1,IF(B956&lt;0,-B956,""),IF('Hill'!$B$4=2,IF(B956&gt;0,B956,""),IF('Hill'!$B$4=3,IF(B956&lt;&gt;0,ABS(B956),""),""))),"")</x:f>
      </x:c>
    </x:row>
    <x:row r="957">
      <x:c r="A957" t="n">
        <x:f>956</x:f>
        <x:v>956</x:v>
      </x:c>
      <x:c r="B957" s="7" t="n">
        <x:f>IF('요약'!$B$4=4,IF(ISNUMBER('input'!A957),'input'!A957,""),IF(956&lt;=1000,CHOOSE('요약'!$B$4,'input'!B957,'input'!C957,'input'!D957),""))</x:f>
        <x:v>-0.013542278390993848</x:v>
      </x:c>
      <x:c r="C957" s="7" t="n">
        <x:f>IF(AND(ISNUMBER(B957),'요약'!$B$19),B957-'요약'!$B$7,"")</x:f>
        <x:v>-0.013494039063944347</x:v>
      </x:c>
      <x:c r="D957" s="7" t="n">
        <x:f>IF(ISNUMBER(C957),C957^2,"")</x:f>
        <x:v>0.00018208909025925604</x:v>
      </x:c>
      <x:c r="E957" s="15" t="n">
        <x:f>IF(ISNUMBER(C957),C957^3,"")</x:f>
        <x:v>-0.0000024571172970764893</x:v>
      </x:c>
      <x:c r="F957" s="15" t="n">
        <x:f>IF(ISNUMBER(C957),C957^4,"")</x:f>
        <x:v>3.3156436791443494e-8</x:v>
      </x:c>
      <x:c r="G957" s="7" t="n">
        <x:f>IF(ISNUMBER(B957),ABS(B957),"")</x:f>
        <x:v>0.013542278390993848</x:v>
      </x:c>
      <x:c r="H957" s="7" t="n">
        <x:f>IF(ISNUMBER(B957),B957^2,"")</x:f>
        <x:v>0.00018339330401917893</x:v>
      </x:c>
      <x:c r="I957" s="7" t="n">
        <x:f>IF(AND(ISNUMBER(G957),'요약'!$B$19),G957-'요약'!$B$14,"")</x:f>
        <x:v>0.005528761763590993</x:v>
      </x:c>
      <x:c r="J957" s="7" t="n">
        <x:f>IF(AND(ISNUMBER(H957),'요약'!$B$19),H957-'요약'!$B$15,"")</x:f>
        <x:v>0.00008118360483308682</x:v>
      </x:c>
      <x:c r="K957" t="n">
        <x:f>IF(ISNUMBER(B957),IF('Hill'!$B$4=1,IF(B957&lt;0,-B957,""),IF('Hill'!$B$4=2,IF(B957&gt;0,B957,""),IF('Hill'!$B$4=3,IF(B957&lt;&gt;0,ABS(B957),""),""))),"")</x:f>
        <x:v>0.013542278390993848</x:v>
      </x:c>
    </x:row>
    <x:row r="958">
      <x:c r="A958" t="n">
        <x:f>957</x:f>
        <x:v>957</x:v>
      </x:c>
      <x:c r="B958" s="7" t="n">
        <x:f>IF('요약'!$B$4=4,IF(ISNUMBER('input'!A958),'input'!A958,""),IF(957&lt;=1000,CHOOSE('요약'!$B$4,'input'!B958,'input'!C958,'input'!D958),""))</x:f>
        <x:v>0.0006389210508991298</x:v>
      </x:c>
      <x:c r="C958" s="7" t="n">
        <x:f>IF(AND(ISNUMBER(B958),'요약'!$B$19),B958-'요약'!$B$7,"")</x:f>
        <x:v>0.0006871603779486312</x:v>
      </x:c>
      <x:c r="D958" s="7" t="n">
        <x:f>IF(ISNUMBER(C958),C958^2,"")</x:f>
        <x:v>4.7218938502250565e-7</x:v>
      </x:c>
      <x:c r="E958" s="15" t="n">
        <x:f>IF(ISNUMBER(C958),C958^3,"")</x:f>
        <x:v>3.244698362753967e-10</x:v>
      </x:c>
      <x:c r="F958" s="15" t="n">
        <x:f>IF(ISNUMBER(C958),C958^4,"")</x:f>
        <x:v>2.229628153279321e-13</x:v>
      </x:c>
      <x:c r="G958" s="7" t="n">
        <x:f>IF(ISNUMBER(B958),ABS(B958),"")</x:f>
        <x:v>0.0006389210508991298</x:v>
      </x:c>
      <x:c r="H958" s="7" t="n">
        <x:f>IF(ISNUMBER(B958),B958^2,"")</x:f>
        <x:v>4.0822010928204843e-7</x:v>
      </x:c>
      <x:c r="I958" s="7" t="n">
        <x:f>IF(AND(ISNUMBER(G958),'요약'!$B$19),G958-'요약'!$B$14,"")</x:f>
        <x:v>-0.007374595576503725</x:v>
      </x:c>
      <x:c r="J958" s="7" t="n">
        <x:f>IF(AND(ISNUMBER(H958),'요약'!$B$19),H958-'요약'!$B$15,"")</x:f>
        <x:v>-0.00010180147907681005</x:v>
      </x:c>
      <x:c r="K958" t="str">
        <x:f>IF(ISNUMBER(B958),IF('Hill'!$B$4=1,IF(B958&lt;0,-B958,""),IF('Hill'!$B$4=2,IF(B958&gt;0,B958,""),IF('Hill'!$B$4=3,IF(B958&lt;&gt;0,ABS(B958),""),""))),"")</x:f>
      </x:c>
    </x:row>
    <x:row r="959">
      <x:c r="A959" t="n">
        <x:f>958</x:f>
        <x:v>958</x:v>
      </x:c>
      <x:c r="B959" s="7" t="n">
        <x:f>IF('요약'!$B$4=4,IF(ISNUMBER('input'!A959),'input'!A959,""),IF(958&lt;=1000,CHOOSE('요약'!$B$4,'input'!B959,'input'!C959,'input'!D959),""))</x:f>
        <x:v>-0.011077821639914292</x:v>
      </x:c>
      <x:c r="C959" s="7" t="n">
        <x:f>IF(AND(ISNUMBER(B959),'요약'!$B$19),B959-'요약'!$B$7,"")</x:f>
        <x:v>-0.011029582312864791</x:v>
      </x:c>
      <x:c r="D959" s="7" t="n">
        <x:f>IF(ISNUMBER(C959),C959^2,"")</x:f>
        <x:v>0.00012165168599625983</x:v>
      </x:c>
      <x:c r="E959" s="15" t="n">
        <x:f>IF(ISNUMBER(C959),C959^3,"")</x:f>
        <x:v>-0.0000013417672841945289</x:v>
      </x:c>
      <x:c r="F959" s="15" t="n">
        <x:f>IF(ISNUMBER(C959),C959^4,"")</x:f>
        <x:v>1.47991327057326e-8</x:v>
      </x:c>
      <x:c r="G959" s="7" t="n">
        <x:f>IF(ISNUMBER(B959),ABS(B959),"")</x:f>
        <x:v>0.011077821639914292</x:v>
      </x:c>
      <x:c r="H959" s="7" t="n">
        <x:f>IF(ISNUMBER(B959),B959^2,"")</x:f>
        <x:v>0.00012271813228575336</x:v>
      </x:c>
      <x:c r="I959" s="7" t="n">
        <x:f>IF(AND(ISNUMBER(G959),'요약'!$B$19),G959-'요약'!$B$14,"")</x:f>
        <x:v>0.003064305012511436</x:v>
      </x:c>
      <x:c r="J959" s="7" t="n">
        <x:f>IF(AND(ISNUMBER(H959),'요약'!$B$19),H959-'요약'!$B$15,"")</x:f>
        <x:v>0.00002050843309966125</x:v>
      </x:c>
      <x:c r="K959" t="n">
        <x:f>IF(ISNUMBER(B959),IF('Hill'!$B$4=1,IF(B959&lt;0,-B959,""),IF('Hill'!$B$4=2,IF(B959&gt;0,B959,""),IF('Hill'!$B$4=3,IF(B959&lt;&gt;0,ABS(B959),""),""))),"")</x:f>
        <x:v>0.011077821639914292</x:v>
      </x:c>
    </x:row>
    <x:row r="960">
      <x:c r="A960" t="n">
        <x:f>959</x:f>
        <x:v>959</x:v>
      </x:c>
      <x:c r="B960" s="7" t="n">
        <x:f>IF('요약'!$B$4=4,IF(ISNUMBER('input'!A960),'input'!A960,""),IF(959&lt;=1000,CHOOSE('요약'!$B$4,'input'!B960,'input'!C960,'input'!D960),""))</x:f>
        <x:v>-0.008502926312635313</x:v>
      </x:c>
      <x:c r="C960" s="7" t="n">
        <x:f>IF(AND(ISNUMBER(B960),'요약'!$B$19),B960-'요약'!$B$7,"")</x:f>
        <x:v>-0.008454686985585812</x:v>
      </x:c>
      <x:c r="D960" s="7" t="n">
        <x:f>IF(ISNUMBER(C960),C960^2,"")</x:f>
        <x:v>0.0000714817320242341</x:v>
      </x:c>
      <x:c r="E960" s="15" t="n">
        <x:f>IF(ISNUMBER(C960),C960^3,"")</x:f>
        <x:v>-6.043556694524247e-7</x:v>
      </x:c>
      <x:c r="F960" s="15" t="n">
        <x:f>IF(ISNUMBER(C960),C960^4,"")</x:f>
        <x:v>5.1096380131844156e-9</x:v>
      </x:c>
      <x:c r="G960" s="7" t="n">
        <x:f>IF(ISNUMBER(B960),ABS(B960),"")</x:f>
        <x:v>0.008502926312635313</x:v>
      </x:c>
      <x:c r="H960" s="7" t="n">
        <x:f>IF(ISNUMBER(B960),B960^2,"")</x:f>
        <x:v>0.00007229975587810595</x:v>
      </x:c>
      <x:c r="I960" s="7" t="n">
        <x:f>IF(AND(ISNUMBER(G960),'요약'!$B$19),G960-'요약'!$B$14,"")</x:f>
        <x:v>0.0004894096852324573</x:v>
      </x:c>
      <x:c r="J960" s="7" t="n">
        <x:f>IF(AND(ISNUMBER(H960),'요약'!$B$19),H960-'요약'!$B$15,"")</x:f>
        <x:v>-0.000029909943307986154</x:v>
      </x:c>
      <x:c r="K960" t="n">
        <x:f>IF(ISNUMBER(B960),IF('Hill'!$B$4=1,IF(B960&lt;0,-B960,""),IF('Hill'!$B$4=2,IF(B960&gt;0,B960,""),IF('Hill'!$B$4=3,IF(B960&lt;&gt;0,ABS(B960),""),""))),"")</x:f>
        <x:v>0.008502926312635313</x:v>
      </x:c>
    </x:row>
    <x:row r="961">
      <x:c r="A961" t="n">
        <x:f>960</x:f>
        <x:v>960</x:v>
      </x:c>
      <x:c r="B961" s="7" t="n">
        <x:f>IF('요약'!$B$4=4,IF(ISNUMBER('input'!A961),'input'!A961,""),IF(960&lt;=1000,CHOOSE('요약'!$B$4,'input'!B961,'input'!C961,'input'!D961),""))</x:f>
        <x:v>-0.010516217448162361</x:v>
      </x:c>
      <x:c r="C961" s="7" t="n">
        <x:f>IF(AND(ISNUMBER(B961),'요약'!$B$19),B961-'요약'!$B$7,"")</x:f>
        <x:v>-0.01046797812111286</x:v>
      </x:c>
      <x:c r="D961" s="7" t="n">
        <x:f>IF(ISNUMBER(C961),C961^2,"")</x:f>
        <x:v>0.00010957856594409753</x:v>
      </x:c>
      <x:c r="E961" s="15" t="n">
        <x:f>IF(ISNUMBER(C961),C961^3,"")</x:f>
        <x:v>-0.0000011470660308457357</x:v>
      </x:c>
      <x:c r="F961" s="15" t="n">
        <x:f>IF(ISNUMBER(C961),C961^4,"")</x:f>
        <x:v>1.200746211436493e-8</x:v>
      </x:c>
      <x:c r="G961" s="7" t="n">
        <x:f>IF(ISNUMBER(B961),ABS(B961),"")</x:f>
        <x:v>0.010516217448162361</x:v>
      </x:c>
      <x:c r="H961" s="7" t="n">
        <x:f>IF(ISNUMBER(B961),B961^2,"")</x:f>
        <x:v>0.00011059082941703448</x:v>
      </x:c>
      <x:c r="I961" s="7" t="n">
        <x:f>IF(AND(ISNUMBER(G961),'요약'!$B$19),G961-'요약'!$B$14,"")</x:f>
        <x:v>0.0025027008207595056</x:v>
      </x:c>
      <x:c r="J961" s="7" t="n">
        <x:f>IF(AND(ISNUMBER(H961),'요약'!$B$19),H961-'요약'!$B$15,"")</x:f>
        <x:v>0.000008381130230942377</x:v>
      </x:c>
      <x:c r="K961" t="n">
        <x:f>IF(ISNUMBER(B961),IF('Hill'!$B$4=1,IF(B961&lt;0,-B961,""),IF('Hill'!$B$4=2,IF(B961&gt;0,B961,""),IF('Hill'!$B$4=3,IF(B961&lt;&gt;0,ABS(B961),""),""))),"")</x:f>
        <x:v>0.010516217448162361</x:v>
      </x:c>
    </x:row>
    <x:row r="962">
      <x:c r="A962" t="n">
        <x:f>961</x:f>
        <x:v>961</x:v>
      </x:c>
      <x:c r="B962" s="7" t="n">
        <x:f>IF('요약'!$B$4=4,IF(ISNUMBER('input'!A962),'input'!A962,""),IF(961&lt;=1000,CHOOSE('요약'!$B$4,'input'!B962,'input'!C962,'input'!D962),""))</x:f>
        <x:v>0.007518649631009927</x:v>
      </x:c>
      <x:c r="C962" s="7" t="n">
        <x:f>IF(AND(ISNUMBER(B962),'요약'!$B$19),B962-'요약'!$B$7,"")</x:f>
        <x:v>0.007566888958059429</x:v>
      </x:c>
      <x:c r="D962" s="7" t="n">
        <x:f>IF(ISNUMBER(C962),C962^2,"")</x:f>
        <x:v>0.000057257808503601705</x:v>
      </x:c>
      <x:c r="E962" s="15" t="n">
        <x:f>IF(ISNUMBER(C962),C962^3,"")</x:f>
        <x:v>4.33263478928585e-7</x:v>
      </x:c>
      <x:c r="F962" s="15" t="n">
        <x:f>IF(ISNUMBER(C962),C962^4,"")</x:f>
        <x:v>3.278456634635124e-9</x:v>
      </x:c>
      <x:c r="G962" s="7" t="n">
        <x:f>IF(ISNUMBER(B962),ABS(B962),"")</x:f>
        <x:v>0.007518649631009927</x:v>
      </x:c>
      <x:c r="H962" s="7" t="n">
        <x:f>IF(ISNUMBER(B962),B962^2,"")</x:f>
        <x:v>0.00005653009227388571</x:v>
      </x:c>
      <x:c r="I962" s="7" t="n">
        <x:f>IF(AND(ISNUMBER(G962),'요약'!$B$19),G962-'요약'!$B$14,"")</x:f>
        <x:v>-0.0004948669963929283</x:v>
      </x:c>
      <x:c r="J962" s="7" t="n">
        <x:f>IF(AND(ISNUMBER(H962),'요약'!$B$19),H962-'요약'!$B$15,"")</x:f>
        <x:v>-0.00004567960691220639</x:v>
      </x:c>
      <x:c r="K962" t="str">
        <x:f>IF(ISNUMBER(B962),IF('Hill'!$B$4=1,IF(B962&lt;0,-B962,""),IF('Hill'!$B$4=2,IF(B962&gt;0,B962,""),IF('Hill'!$B$4=3,IF(B962&lt;&gt;0,ABS(B962),""),""))),"")</x:f>
      </x:c>
    </x:row>
    <x:row r="963">
      <x:c r="A963" t="n">
        <x:f>962</x:f>
        <x:v>962</x:v>
      </x:c>
      <x:c r="B963" s="7" t="n">
        <x:f>IF('요약'!$B$4=4,IF(ISNUMBER('input'!A963),'input'!A963,""),IF(962&lt;=1000,CHOOSE('요약'!$B$4,'input'!B963,'input'!C963,'input'!D963),""))</x:f>
        <x:v>-0.013094849668135778</x:v>
      </x:c>
      <x:c r="C963" s="7" t="n">
        <x:f>IF(AND(ISNUMBER(B963),'요약'!$B$19),B963-'요약'!$B$7,"")</x:f>
        <x:v>-0.013046610341086277</x:v>
      </x:c>
      <x:c r="D963" s="7" t="n">
        <x:f>IF(ISNUMBER(C963),C963^2,"")</x:f>
        <x:v>0.00017021404139213938</x:v>
      </x:c>
      <x:c r="E963" s="15" t="n">
        <x:f>IF(ISNUMBER(C963),C963^3,"")</x:f>
        <x:v>-0.0000022207162726247735</x:v>
      </x:c>
      <x:c r="F963" s="15" t="n">
        <x:f>IF(ISNUMBER(C963),C963^4,"")</x:f>
        <x:v>2.8972819887044943e-8</x:v>
      </x:c>
      <x:c r="G963" s="7" t="n">
        <x:f>IF(ISNUMBER(B963),ABS(B963),"")</x:f>
        <x:v>0.013094849668135778</x:v>
      </x:c>
      <x:c r="H963" s="7" t="n">
        <x:f>IF(ISNUMBER(B963),B963^2,"")</x:f>
        <x:v>0.0001714750878310757</x:v>
      </x:c>
      <x:c r="I963" s="7" t="n">
        <x:f>IF(AND(ISNUMBER(G963),'요약'!$B$19),G963-'요약'!$B$14,"")</x:f>
        <x:v>0.005081333040732923</x:v>
      </x:c>
      <x:c r="J963" s="7" t="n">
        <x:f>IF(AND(ISNUMBER(H963),'요약'!$B$19),H963-'요약'!$B$15,"")</x:f>
        <x:v>0.0000692653886449836</x:v>
      </x:c>
      <x:c r="K963" t="n">
        <x:f>IF(ISNUMBER(B963),IF('Hill'!$B$4=1,IF(B963&lt;0,-B963,""),IF('Hill'!$B$4=2,IF(B963&gt;0,B963,""),IF('Hill'!$B$4=3,IF(B963&lt;&gt;0,ABS(B963),""),""))),"")</x:f>
        <x:v>0.013094849668135778</x:v>
      </x:c>
    </x:row>
    <x:row r="964">
      <x:c r="A964" t="n">
        <x:f>963</x:f>
        <x:v>963</x:v>
      </x:c>
      <x:c r="B964" s="7" t="n">
        <x:f>IF('요약'!$B$4=4,IF(ISNUMBER('input'!A964),'input'!A964,""),IF(963&lt;=1000,CHOOSE('요약'!$B$4,'input'!B964,'input'!C964,'input'!D964),""))</x:f>
        <x:v>0.005839327051340398</x:v>
      </x:c>
      <x:c r="C964" s="7" t="n">
        <x:f>IF(AND(ISNUMBER(B964),'요약'!$B$19),B964-'요약'!$B$7,"")</x:f>
        <x:v>0.0058875663783899</x:v>
      </x:c>
      <x:c r="D964" s="7" t="n">
        <x:f>IF(ISNUMBER(C964),C964^2,"")</x:f>
        <x:v>0.000034663437859947156</x:v>
      </x:c>
      <x:c r="E964" s="15" t="n">
        <x:f>IF(ISNUMBER(C964),C964^3,"")</x:f>
        <x:v>2.0408329130363242e-7</x:v>
      </x:c>
      <x:c r="F964" s="15" t="n">
        <x:f>IF(ISNUMBER(C964),C964^4,"")</x:f>
        <x:v>1.201553924270418e-9</x:v>
      </x:c>
      <x:c r="G964" s="7" t="n">
        <x:f>IF(ISNUMBER(B964),ABS(B964),"")</x:f>
        <x:v>0.005839327051340398</x:v>
      </x:c>
      <x:c r="H964" s="7" t="n">
        <x:f>IF(ISNUMBER(B964),B964^2,"")</x:f>
        <x:v>0.00003409774041251575</x:v>
      </x:c>
      <x:c r="I964" s="7" t="n">
        <x:f>IF(AND(ISNUMBER(G964),'요약'!$B$19),G964-'요약'!$B$14,"")</x:f>
        <x:v>-0.0021741895760624573</x:v>
      </x:c>
      <x:c r="J964" s="7" t="n">
        <x:f>IF(AND(ISNUMBER(H964),'요약'!$B$19),H964-'요약'!$B$15,"")</x:f>
        <x:v>-0.00006811195877357636</x:v>
      </x:c>
      <x:c r="K964" t="str">
        <x:f>IF(ISNUMBER(B964),IF('Hill'!$B$4=1,IF(B964&lt;0,-B964,""),IF('Hill'!$B$4=2,IF(B964&gt;0,B964,""),IF('Hill'!$B$4=3,IF(B964&lt;&gt;0,ABS(B964),""),""))),"")</x:f>
      </x:c>
    </x:row>
    <x:row r="965">
      <x:c r="A965" t="n">
        <x:f>964</x:f>
        <x:v>964</x:v>
      </x:c>
      <x:c r="B965" s="7" t="n">
        <x:f>IF('요약'!$B$4=4,IF(ISNUMBER('input'!A965),'input'!A965,""),IF(964&lt;=1000,CHOOSE('요약'!$B$4,'input'!B965,'input'!C965,'input'!D965),""))</x:f>
        <x:v>-0.011133313394571511</x:v>
      </x:c>
      <x:c r="C965" s="7" t="n">
        <x:f>IF(AND(ISNUMBER(B965),'요약'!$B$19),B965-'요약'!$B$7,"")</x:f>
        <x:v>-0.011085074067522011</x:v>
      </x:c>
      <x:c r="D965" s="7" t="n">
        <x:f>IF(ISNUMBER(C965),C965^2,"")</x:f>
        <x:v>0.00012287886708244898</x:v>
      </x:c>
      <x:c r="E965" s="15" t="n">
        <x:f>IF(ISNUMBER(C965),C965^3,"")</x:f>
        <x:v>-0.0000013621213429421393</x:v>
      </x:c>
      <x:c r="F965" s="15" t="n">
        <x:f>IF(ISNUMBER(C965),C965^4,"")</x:f>
        <x:v>1.509921597546616e-8</x:v>
      </x:c>
      <x:c r="G965" s="7" t="n">
        <x:f>IF(ISNUMBER(B965),ABS(B965),"")</x:f>
        <x:v>0.011133313394571511</x:v>
      </x:c>
      <x:c r="H965" s="7" t="n">
        <x:f>IF(ISNUMBER(B965),B965^2,"")</x:f>
        <x:v>0.00012395066714174544</x:v>
      </x:c>
      <x:c r="I965" s="7" t="n">
        <x:f>IF(AND(ISNUMBER(G965),'요약'!$B$19),G965-'요약'!$B$14,"")</x:f>
        <x:v>0.003119796767168656</x:v>
      </x:c>
      <x:c r="J965" s="7" t="n">
        <x:f>IF(AND(ISNUMBER(H965),'요약'!$B$19),H965-'요약'!$B$15,"")</x:f>
        <x:v>0.00002174096795565334</x:v>
      </x:c>
      <x:c r="K965" t="n">
        <x:f>IF(ISNUMBER(B965),IF('Hill'!$B$4=1,IF(B965&lt;0,-B965,""),IF('Hill'!$B$4=2,IF(B965&gt;0,B965,""),IF('Hill'!$B$4=3,IF(B965&lt;&gt;0,ABS(B965),""),""))),"")</x:f>
        <x:v>0.011133313394571511</x:v>
      </x:c>
    </x:row>
    <x:row r="966">
      <x:c r="A966" t="n">
        <x:f>965</x:f>
        <x:v>965</x:v>
      </x:c>
      <x:c r="B966" s="7" t="n">
        <x:f>IF('요약'!$B$4=4,IF(ISNUMBER('input'!A966),'input'!A966,""),IF(965&lt;=1000,CHOOSE('요약'!$B$4,'input'!B966,'input'!C966,'input'!D966),""))</x:f>
        <x:v>0.012332991853211461</x:v>
      </x:c>
      <x:c r="C966" s="7" t="n">
        <x:f>IF(AND(ISNUMBER(B966),'요약'!$B$19),B966-'요약'!$B$7,"")</x:f>
        <x:v>0.012381231180260962</x:v>
      </x:c>
      <x:c r="D966" s="7" t="n">
        <x:f>IF(ISNUMBER(C966),C966^2,"")</x:f>
        <x:v>0.00015329488553906626</x:v>
      </x:c>
      <x:c r="E966" s="15" t="n">
        <x:f>IF(ISNUMBER(C966),C966^3,"")</x:f>
        <x:v>0.0000018979794166108223</x:v>
      </x:c>
      <x:c r="F966" s="15" t="n">
        <x:f>IF(ISNUMBER(C966),C966^4,"")</x:f>
        <x:v>2.3499321932435422e-8</x:v>
      </x:c>
      <x:c r="G966" s="7" t="n">
        <x:f>IF(ISNUMBER(B966),ABS(B966),"")</x:f>
        <x:v>0.012332991853211461</x:v>
      </x:c>
      <x:c r="H966" s="7" t="n">
        <x:f>IF(ISNUMBER(B966),B966^2,"")</x:f>
        <x:v>0.00015210268805138026</x:v>
      </x:c>
      <x:c r="I966" s="7" t="n">
        <x:f>IF(AND(ISNUMBER(G966),'요약'!$B$19),G966-'요약'!$B$14,"")</x:f>
        <x:v>0.004319475225808606</x:v>
      </x:c>
      <x:c r="J966" s="7" t="n">
        <x:f>IF(AND(ISNUMBER(H966),'요약'!$B$19),H966-'요약'!$B$15,"")</x:f>
        <x:v>0.00004989298886528816</x:v>
      </x:c>
      <x:c r="K966" t="str">
        <x:f>IF(ISNUMBER(B966),IF('Hill'!$B$4=1,IF(B966&lt;0,-B966,""),IF('Hill'!$B$4=2,IF(B966&gt;0,B966,""),IF('Hill'!$B$4=3,IF(B966&lt;&gt;0,ABS(B966),""),""))),"")</x:f>
      </x:c>
    </x:row>
    <x:row r="967">
      <x:c r="A967" t="n">
        <x:f>966</x:f>
        <x:v>966</x:v>
      </x:c>
      <x:c r="B967" s="7" t="n">
        <x:f>IF('요약'!$B$4=4,IF(ISNUMBER('input'!A967),'input'!A967,""),IF(966&lt;=1000,CHOOSE('요약'!$B$4,'input'!B967,'input'!C967,'input'!D967),""))</x:f>
        <x:v>-0.0007111175600784694</x:v>
      </x:c>
      <x:c r="C967" s="7" t="n">
        <x:f>IF(AND(ISNUMBER(B967),'요약'!$B$19),B967-'요약'!$B$7,"")</x:f>
        <x:v>-0.0006628782330289681</x:v>
      </x:c>
      <x:c r="D967" s="7" t="n">
        <x:f>IF(ISNUMBER(C967),C967^2,"")</x:f>
        <x:v>4.394075518236069e-7</x:v>
      </x:c>
      <x:c r="E967" s="15" t="n">
        <x:f>IF(ISNUMBER(C967),C967^3,"")</x:f>
        <x:v>-2.912737015324173e-10</x:v>
      </x:c>
      <x:c r="F967" s="15" t="n">
        <x:f>IF(ISNUMBER(C967),C967^4,"")</x:f>
        <x:v>1.9307899659961577e-13</x:v>
      </x:c>
      <x:c r="G967" s="7" t="n">
        <x:f>IF(ISNUMBER(B967),ABS(B967),"")</x:f>
        <x:v>0.0007111175600784694</x:v>
      </x:c>
      <x:c r="H967" s="7" t="n">
        <x:f>IF(ISNUMBER(B967),B967^2,"")</x:f>
        <x:v>5.056881842519556e-7</x:v>
      </x:c>
      <x:c r="I967" s="7" t="n">
        <x:f>IF(AND(ISNUMBER(G967),'요약'!$B$19),G967-'요약'!$B$14,"")</x:f>
        <x:v>-0.007302399067324386</x:v>
      </x:c>
      <x:c r="J967" s="7" t="n">
        <x:f>IF(AND(ISNUMBER(H967),'요약'!$B$19),H967-'요약'!$B$15,"")</x:f>
        <x:v>-0.00010170401100184015</x:v>
      </x:c>
      <x:c r="K967" t="n">
        <x:f>IF(ISNUMBER(B967),IF('Hill'!$B$4=1,IF(B967&lt;0,-B967,""),IF('Hill'!$B$4=2,IF(B967&gt;0,B967,""),IF('Hill'!$B$4=3,IF(B967&lt;&gt;0,ABS(B967),""),""))),"")</x:f>
        <x:v>0.0007111175600784694</x:v>
      </x:c>
    </x:row>
    <x:row r="968">
      <x:c r="A968" t="n">
        <x:f>967</x:f>
        <x:v>967</x:v>
      </x:c>
      <x:c r="B968" s="7" t="n">
        <x:f>IF('요약'!$B$4=4,IF(ISNUMBER('input'!A968),'input'!A968,""),IF(967&lt;=1000,CHOOSE('요약'!$B$4,'input'!B968,'input'!C968,'input'!D968),""))</x:f>
        <x:v>-0.00020302596008934558</x:v>
      </x:c>
      <x:c r="C968" s="7" t="n">
        <x:f>IF(AND(ISNUMBER(B968),'요약'!$B$19),B968-'요약'!$B$7,"")</x:f>
        <x:v>-0.0001547866330398442</x:v>
      </x:c>
      <x:c r="D968" s="7" t="n">
        <x:f>IF(ISNUMBER(C968),C968^2,"")</x:f>
        <x:v>2.3958901767811386e-8</x:v>
      </x:c>
      <x:c r="E968" s="15" t="n">
        <x:f>IF(ISNUMBER(C968),C968^3,"")</x:f>
        <x:v>-3.708517735971896e-12</x:v>
      </x:c>
      <x:c r="F968" s="15" t="n">
        <x:f>IF(ISNUMBER(C968),C968^4,"")</x:f>
        <x:v>5.740289739196356e-16</x:v>
      </x:c>
      <x:c r="G968" s="7" t="n">
        <x:f>IF(ISNUMBER(B968),ABS(B968),"")</x:f>
        <x:v>0.00020302596008934558</x:v>
      </x:c>
      <x:c r="H968" s="7" t="n">
        <x:f>IF(ISNUMBER(B968),B968^2,"")</x:f>
        <x:v>4.121954047020054e-8</x:v>
      </x:c>
      <x:c r="I968" s="7" t="n">
        <x:f>IF(AND(ISNUMBER(G968),'요약'!$B$19),G968-'요약'!$B$14,"")</x:f>
        <x:v>-0.00781049066731351</x:v>
      </x:c>
      <x:c r="J968" s="7" t="n">
        <x:f>IF(AND(ISNUMBER(H968),'요약'!$B$19),H968-'요약'!$B$15,"")</x:f>
        <x:v>-0.0001021684796456219</x:v>
      </x:c>
      <x:c r="K968" t="n">
        <x:f>IF(ISNUMBER(B968),IF('Hill'!$B$4=1,IF(B968&lt;0,-B968,""),IF('Hill'!$B$4=2,IF(B968&gt;0,B968,""),IF('Hill'!$B$4=3,IF(B968&lt;&gt;0,ABS(B968),""),""))),"")</x:f>
        <x:v>0.00020302596008934558</x:v>
      </x:c>
    </x:row>
    <x:row r="969">
      <x:c r="A969" t="n">
        <x:f>968</x:f>
        <x:v>968</x:v>
      </x:c>
      <x:c r="B969" s="7" t="n">
        <x:f>IF('요약'!$B$4=4,IF(ISNUMBER('input'!A969),'input'!A969,""),IF(968&lt;=1000,CHOOSE('요약'!$B$4,'input'!B969,'input'!C969,'input'!D969),""))</x:f>
        <x:v>-0.013538341240681708</x:v>
      </x:c>
      <x:c r="C969" s="7" t="n">
        <x:f>IF(AND(ISNUMBER(B969),'요약'!$B$19),B969-'요약'!$B$7,"")</x:f>
        <x:v>-0.013490101913632207</x:v>
      </x:c>
      <x:c r="D969" s="7" t="n">
        <x:f>IF(ISNUMBER(C969),C969^2,"")</x:f>
        <x:v>0.00018198284964018334</x:v>
      </x:c>
      <x:c r="E969" s="15" t="n">
        <x:f>IF(ISNUMBER(C969),C969^3,"")</x:f>
        <x:v>-0.0000024549671881792794</x:v>
      </x:c>
      <x:c r="F969" s="15" t="n">
        <x:f>IF(ISNUMBER(C969),C969^4,"")</x:f>
        <x:v>3.311775756316158e-8</x:v>
      </x:c>
      <x:c r="G969" s="7" t="n">
        <x:f>IF(ISNUMBER(B969),ABS(B969),"")</x:f>
        <x:v>0.013538341240681708</x:v>
      </x:c>
      <x:c r="H969" s="7" t="n">
        <x:f>IF(ISNUMBER(B969),B969^2,"")</x:f>
        <x:v>0.00018328668354914313</x:v>
      </x:c>
      <x:c r="I969" s="7" t="n">
        <x:f>IF(AND(ISNUMBER(G969),'요약'!$B$19),G969-'요약'!$B$14,"")</x:f>
        <x:v>0.005524824613278852</x:v>
      </x:c>
      <x:c r="J969" s="7" t="n">
        <x:f>IF(AND(ISNUMBER(H969),'요약'!$B$19),H969-'요약'!$B$15,"")</x:f>
        <x:v>0.00008107698436305103</x:v>
      </x:c>
      <x:c r="K969" t="n">
        <x:f>IF(ISNUMBER(B969),IF('Hill'!$B$4=1,IF(B969&lt;0,-B969,""),IF('Hill'!$B$4=2,IF(B969&gt;0,B969,""),IF('Hill'!$B$4=3,IF(B969&lt;&gt;0,ABS(B969),""),""))),"")</x:f>
        <x:v>0.013538341240681708</x:v>
      </x:c>
    </x:row>
    <x:row r="970">
      <x:c r="A970" t="n">
        <x:f>969</x:f>
        <x:v>969</x:v>
      </x:c>
      <x:c r="B970" s="7" t="n">
        <x:f>IF('요약'!$B$4=4,IF(ISNUMBER('input'!A970),'input'!A970,""),IF(969&lt;=1000,CHOOSE('요약'!$B$4,'input'!B970,'input'!C970,'input'!D970),""))</x:f>
        <x:v>-0.00525082313337429</x:v>
      </x:c>
      <x:c r="C970" s="7" t="n">
        <x:f>IF(AND(ISNUMBER(B970),'요약'!$B$19),B970-'요약'!$B$7,"")</x:f>
        <x:v>-0.005202583806324788</x:v>
      </x:c>
      <x:c r="D970" s="7" t="n">
        <x:f>IF(ISNUMBER(C970),C970^2,"")</x:f>
        <x:v>0.000027066878261832924</x:v>
      </x:c>
      <x:c r="E970" s="15" t="n">
        <x:f>IF(ISNUMBER(C970),C970^3,"")</x:f>
        <x:v>-1.408177025327764e-7</x:v>
      </x:c>
      <x:c r="F970" s="15" t="n">
        <x:f>IF(ISNUMBER(C970),C970^4,"")</x:f>
        <x:v>7.326158988408836e-10</x:v>
      </x:c>
      <x:c r="G970" s="7" t="n">
        <x:f>IF(ISNUMBER(B970),ABS(B970),"")</x:f>
        <x:v>0.00525082313337429</x:v>
      </x:c>
      <x:c r="H970" s="7" t="n">
        <x:f>IF(ISNUMBER(B970),B970^2,"")</x:f>
        <x:v>0.000027571143577978595</x:v>
      </x:c>
      <x:c r="I970" s="7" t="n">
        <x:f>IF(AND(ISNUMBER(G970),'요약'!$B$19),G970-'요약'!$B$14,"")</x:f>
        <x:v>-0.0027626934940285655</x:v>
      </x:c>
      <x:c r="J970" s="7" t="n">
        <x:f>IF(AND(ISNUMBER(H970),'요약'!$B$19),H970-'요약'!$B$15,"")</x:f>
        <x:v>-0.00007463855560811351</x:v>
      </x:c>
      <x:c r="K970" t="n">
        <x:f>IF(ISNUMBER(B970),IF('Hill'!$B$4=1,IF(B970&lt;0,-B970,""),IF('Hill'!$B$4=2,IF(B970&gt;0,B970,""),IF('Hill'!$B$4=3,IF(B970&lt;&gt;0,ABS(B970),""),""))),"")</x:f>
        <x:v>0.00525082313337429</x:v>
      </x:c>
    </x:row>
    <x:row r="971">
      <x:c r="A971" t="n">
        <x:f>970</x:f>
        <x:v>970</x:v>
      </x:c>
      <x:c r="B971" s="7" t="n">
        <x:f>IF('요약'!$B$4=4,IF(ISNUMBER('input'!A971),'input'!A971,""),IF(970&lt;=1000,CHOOSE('요약'!$B$4,'input'!B971,'input'!C971,'input'!D971),""))</x:f>
        <x:v>0.01724046452700105</x:v>
      </x:c>
      <x:c r="C971" s="7" t="n">
        <x:f>IF(AND(ISNUMBER(B971),'요약'!$B$19),B971-'요약'!$B$7,"")</x:f>
        <x:v>0.01728870385405055</x:v>
      </x:c>
      <x:c r="D971" s="7" t="n">
        <x:f>IF(ISNUMBER(C971),C971^2,"")</x:f>
        <x:v>0.0002988992809530624</x:v>
      </x:c>
      <x:c r="E971" s="15" t="n">
        <x:f>IF(ISNUMBER(C971),C971^3,"")</x:f>
        <x:v>0.000005167581150586148</x:v>
      </x:c>
      <x:c r="F971" s="15" t="n">
        <x:f>IF(ISNUMBER(C971),C971^4,"")</x:f>
        <x:v>8.934078015425772e-8</x:v>
      </x:c>
      <x:c r="G971" s="7" t="n">
        <x:f>IF(ISNUMBER(B971),ABS(B971),"")</x:f>
        <x:v>0.01724046452700105</x:v>
      </x:c>
      <x:c r="H971" s="7" t="n">
        <x:f>IF(ISNUMBER(B971),B971^2,"")</x:f>
        <x:v>0.0002972336171067816</x:v>
      </x:c>
      <x:c r="I971" s="7" t="n">
        <x:f>IF(AND(ISNUMBER(G971),'요약'!$B$19),G971-'요약'!$B$14,"")</x:f>
        <x:v>0.009226947899598196</x:v>
      </x:c>
      <x:c r="J971" s="7" t="n">
        <x:f>IF(AND(ISNUMBER(H971),'요약'!$B$19),H971-'요약'!$B$15,"")</x:f>
        <x:v>0.00019502391792068947</x:v>
      </x:c>
      <x:c r="K971" t="str">
        <x:f>IF(ISNUMBER(B971),IF('Hill'!$B$4=1,IF(B971&lt;0,-B971,""),IF('Hill'!$B$4=2,IF(B971&gt;0,B971,""),IF('Hill'!$B$4=3,IF(B971&lt;&gt;0,ABS(B971),""),""))),"")</x:f>
      </x:c>
    </x:row>
    <x:row r="972">
      <x:c r="A972" t="n">
        <x:f>971</x:f>
        <x:v>971</x:v>
      </x:c>
      <x:c r="B972" s="7" t="n">
        <x:f>IF('요약'!$B$4=4,IF(ISNUMBER('input'!A972),'input'!A972,""),IF(971&lt;=1000,CHOOSE('요약'!$B$4,'input'!B972,'input'!C972,'input'!D972),""))</x:f>
        <x:v>-0.0012824758436657657</x:v>
      </x:c>
      <x:c r="C972" s="7" t="n">
        <x:f>IF(AND(ISNUMBER(B972),'요약'!$B$19),B972-'요약'!$B$7,"")</x:f>
        <x:v>-0.0012342365166162642</x:v>
      </x:c>
      <x:c r="D972" s="7" t="n">
        <x:f>IF(ISNUMBER(C972),C972^2,"")</x:f>
        <x:v>0.0000015233397789490498</x:v>
      </x:c>
      <x:c r="E972" s="15" t="n">
        <x:f>IF(ISNUMBER(C972),C972^3,"")</x:f>
        <x:v>-1.8801615823930652e-9</x:v>
      </x:c>
      <x:c r="F972" s="15" t="n">
        <x:f>IF(ISNUMBER(C972),C972^4,"")</x:f>
        <x:v>2.32056408212854e-12</x:v>
      </x:c>
      <x:c r="G972" s="7" t="n">
        <x:f>IF(ISNUMBER(B972),ABS(B972),"")</x:f>
        <x:v>0.0012824758436657657</x:v>
      </x:c>
      <x:c r="H972" s="7" t="n">
        <x:f>IF(ISNUMBER(B972),B972^2,"")</x:f>
        <x:v>0.0000016447442895862175</x:v>
      </x:c>
      <x:c r="I972" s="7" t="n">
        <x:f>IF(AND(ISNUMBER(G972),'요약'!$B$19),G972-'요약'!$B$14,"")</x:f>
        <x:v>-0.00673104078373709</x:v>
      </x:c>
      <x:c r="J972" s="7" t="n">
        <x:f>IF(AND(ISNUMBER(H972),'요약'!$B$19),H972-'요약'!$B$15,"")</x:f>
        <x:v>-0.00010056495489650588</x:v>
      </x:c>
      <x:c r="K972" t="n">
        <x:f>IF(ISNUMBER(B972),IF('Hill'!$B$4=1,IF(B972&lt;0,-B972,""),IF('Hill'!$B$4=2,IF(B972&gt;0,B972,""),IF('Hill'!$B$4=3,IF(B972&lt;&gt;0,ABS(B972),""),""))),"")</x:f>
        <x:v>0.0012824758436657657</x:v>
      </x:c>
    </x:row>
    <x:row r="973">
      <x:c r="A973" t="n">
        <x:f>972</x:f>
        <x:v>972</x:v>
      </x:c>
      <x:c r="B973" s="7" t="n">
        <x:f>IF('요약'!$B$4=4,IF(ISNUMBER('input'!A973),'input'!A973,""),IF(972&lt;=1000,CHOOSE('요약'!$B$4,'input'!B973,'input'!C973,'input'!D973),""))</x:f>
        <x:v>0.015722143213437883</x:v>
      </x:c>
      <x:c r="C973" s="7" t="n">
        <x:f>IF(AND(ISNUMBER(B973),'요약'!$B$19),B973-'요약'!$B$7,"")</x:f>
        <x:v>0.015770382540487383</x:v>
      </x:c>
      <x:c r="D973" s="7" t="n">
        <x:f>IF(ISNUMBER(C973),C973^2,"")</x:f>
        <x:v>0.0002487049654733093</x:v>
      </x:c>
      <x:c r="E973" s="15" t="n">
        <x:f>IF(ISNUMBER(C973),C973^3,"")</x:f>
        <x:v>0.0000039221724452327945</x:v>
      </x:c>
      <x:c r="F973" s="15" t="n">
        <x:f>IF(ISNUMBER(C973),C973^4,"")</x:f>
        <x:v>6.185415985107997e-8</x:v>
      </x:c>
      <x:c r="G973" s="7" t="n">
        <x:f>IF(ISNUMBER(B973),ABS(B973),"")</x:f>
        <x:v>0.015722143213437883</x:v>
      </x:c>
      <x:c r="H973" s="7" t="n">
        <x:f>IF(ISNUMBER(B973),B973^2,"")</x:f>
        <x:v>0.00024718578722385086</x:v>
      </x:c>
      <x:c r="I973" s="7" t="n">
        <x:f>IF(AND(ISNUMBER(G973),'요약'!$B$19),G973-'요약'!$B$14,"")</x:f>
        <x:v>0.0077086265860350275</x:v>
      </x:c>
      <x:c r="J973" s="7" t="n">
        <x:f>IF(AND(ISNUMBER(H973),'요약'!$B$19),H973-'요약'!$B$15,"")</x:f>
        <x:v>0.00014497608803775875</x:v>
      </x:c>
      <x:c r="K973" t="str">
        <x:f>IF(ISNUMBER(B973),IF('Hill'!$B$4=1,IF(B973&lt;0,-B973,""),IF('Hill'!$B$4=2,IF(B973&gt;0,B973,""),IF('Hill'!$B$4=3,IF(B973&lt;&gt;0,ABS(B973),""),""))),"")</x:f>
      </x:c>
    </x:row>
    <x:row r="974">
      <x:c r="A974" t="n">
        <x:f>973</x:f>
        <x:v>973</x:v>
      </x:c>
      <x:c r="B974" s="7" t="n">
        <x:f>IF('요약'!$B$4=4,IF(ISNUMBER('input'!A974),'input'!A974,""),IF(973&lt;=1000,CHOOSE('요약'!$B$4,'input'!B974,'input'!C974,'input'!D974),""))</x:f>
        <x:v>0.00332830497009704</x:v>
      </x:c>
      <x:c r="C974" s="7" t="n">
        <x:f>IF(AND(ISNUMBER(B974),'요약'!$B$19),B974-'요약'!$B$7,"")</x:f>
        <x:v>0.0033765442971465413</x:v>
      </x:c>
      <x:c r="D974" s="7" t="n">
        <x:f>IF(ISNUMBER(C974),C974^2,"")</x:f>
        <x:v>0.00001140105139059283</x:v>
      </x:c>
      <x:c r="E974" s="15" t="n">
        <x:f>IF(ISNUMBER(C974),C974^3,"")</x:f>
        <x:v>3.849615505438087e-8</x:v>
      </x:c>
      <x:c r="F974" s="15" t="n">
        <x:f>IF(ISNUMBER(C974),C974^4,"")</x:f>
        <x:v>1.299839728109387e-10</x:v>
      </x:c>
      <x:c r="G974" s="7" t="n">
        <x:f>IF(ISNUMBER(B974),ABS(B974),"")</x:f>
        <x:v>0.00332830497009704</x:v>
      </x:c>
      <x:c r="H974" s="7" t="n">
        <x:f>IF(ISNUMBER(B974),B974^2,"")</x:f>
        <x:v>0.000011077613973972657</x:v>
      </x:c>
      <x:c r="I974" s="7" t="n">
        <x:f>IF(AND(ISNUMBER(G974),'요약'!$B$19),G974-'요약'!$B$14,"")</x:f>
        <x:v>-0.004685211657305816</x:v>
      </x:c>
      <x:c r="J974" s="7" t="n">
        <x:f>IF(AND(ISNUMBER(H974),'요약'!$B$19),H974-'요약'!$B$15,"")</x:f>
        <x:v>-0.00009113208521211945</x:v>
      </x:c>
      <x:c r="K974" t="str">
        <x:f>IF(ISNUMBER(B974),IF('Hill'!$B$4=1,IF(B974&lt;0,-B974,""),IF('Hill'!$B$4=2,IF(B974&gt;0,B974,""),IF('Hill'!$B$4=3,IF(B974&lt;&gt;0,ABS(B974),""),""))),"")</x:f>
      </x:c>
    </x:row>
    <x:row r="975">
      <x:c r="A975" t="n">
        <x:f>974</x:f>
        <x:v>974</x:v>
      </x:c>
      <x:c r="B975" s="7" t="n">
        <x:f>IF('요약'!$B$4=4,IF(ISNUMBER('input'!A975),'input'!A975,""),IF(974&lt;=1000,CHOOSE('요약'!$B$4,'input'!B975,'input'!C975,'input'!D975),""))</x:f>
        <x:v>0.005398778551469934</x:v>
      </x:c>
      <x:c r="C975" s="7" t="n">
        <x:f>IF(AND(ISNUMBER(B975),'요약'!$B$19),B975-'요약'!$B$7,"")</x:f>
        <x:v>0.005447017878519435</x:v>
      </x:c>
      <x:c r="D975" s="7" t="n">
        <x:f>IF(ISNUMBER(C975),C975^2,"")</x:f>
        <x:v>0.00002967000376891037</x:v>
      </x:c>
      <x:c r="E975" s="15" t="n">
        <x:f>IF(ISNUMBER(C975),C975^3,"")</x:f>
        <x:v>1.616130409849938e-7</x:v>
      </x:c>
      <x:c r="F975" s="15" t="n">
        <x:f>IF(ISNUMBER(C975),C975^4,"")</x:f>
        <x:v>8.803091236471556e-10</x:v>
      </x:c>
      <x:c r="G975" s="7" t="n">
        <x:f>IF(ISNUMBER(B975),ABS(B975),"")</x:f>
        <x:v>0.005398778551469934</x:v>
      </x:c>
      <x:c r="H975" s="7" t="n">
        <x:f>IF(ISNUMBER(B975),B975^2,"")</x:f>
        <x:v>0.0000291468098478118</x:v>
      </x:c>
      <x:c r="I975" s="7" t="n">
        <x:f>IF(AND(ISNUMBER(G975),'요약'!$B$19),G975-'요약'!$B$14,"")</x:f>
        <x:v>-0.0026147380759329215</x:v>
      </x:c>
      <x:c r="J975" s="7" t="n">
        <x:f>IF(AND(ISNUMBER(H975),'요약'!$B$19),H975-'요약'!$B$15,"")</x:f>
        <x:v>-0.0000730628893382803</x:v>
      </x:c>
      <x:c r="K975" t="str">
        <x:f>IF(ISNUMBER(B975),IF('Hill'!$B$4=1,IF(B975&lt;0,-B975,""),IF('Hill'!$B$4=2,IF(B975&gt;0,B975,""),IF('Hill'!$B$4=3,IF(B975&lt;&gt;0,ABS(B975),""),""))),"")</x:f>
      </x:c>
    </x:row>
    <x:row r="976">
      <x:c r="A976" t="n">
        <x:f>975</x:f>
        <x:v>975</x:v>
      </x:c>
      <x:c r="B976" s="7" t="n">
        <x:f>IF('요약'!$B$4=4,IF(ISNUMBER('input'!A976),'input'!A976,""),IF(975&lt;=1000,CHOOSE('요약'!$B$4,'input'!B976,'input'!C976,'input'!D976),""))</x:f>
        <x:v>-0.014710281805821152</x:v>
      </x:c>
      <x:c r="C976" s="7" t="n">
        <x:f>IF(AND(ISNUMBER(B976),'요약'!$B$19),B976-'요약'!$B$7,"")</x:f>
        <x:v>-0.014662042478771651</x:v>
      </x:c>
      <x:c r="D976" s="7" t="n">
        <x:f>IF(ISNUMBER(C976),C976^2,"")</x:f>
        <x:v>0.00021497548964930435</x:v>
      </x:c>
      <x:c r="E976" s="15" t="n">
        <x:f>IF(ISNUMBER(C976),C976^3,"")</x:f>
        <x:v>-0.0000031519797611328357</x:v>
      </x:c>
      <x:c r="F976" s="15" t="n">
        <x:f>IF(ISNUMBER(C976),C976^4,"")</x:f>
        <x:v>4.6214461149958155e-8</x:v>
      </x:c>
      <x:c r="G976" s="7" t="n">
        <x:f>IF(ISNUMBER(B976),ABS(B976),"")</x:f>
        <x:v>0.014710281805821152</x:v>
      </x:c>
      <x:c r="H976" s="7" t="n">
        <x:f>IF(ISNUMBER(B976),B976^2,"")</x:f>
        <x:v>0.0002163923908066728</x:v>
      </x:c>
      <x:c r="I976" s="7" t="n">
        <x:f>IF(AND(ISNUMBER(G976),'요약'!$B$19),G976-'요약'!$B$14,"")</x:f>
        <x:v>0.006696765178418296</x:v>
      </x:c>
      <x:c r="J976" s="7" t="n">
        <x:f>IF(AND(ISNUMBER(H976),'요약'!$B$19),H976-'요약'!$B$15,"")</x:f>
        <x:v>0.00011418269162058068</x:v>
      </x:c>
      <x:c r="K976" t="n">
        <x:f>IF(ISNUMBER(B976),IF('Hill'!$B$4=1,IF(B976&lt;0,-B976,""),IF('Hill'!$B$4=2,IF(B976&gt;0,B976,""),IF('Hill'!$B$4=3,IF(B976&lt;&gt;0,ABS(B976),""),""))),"")</x:f>
        <x:v>0.014710281805821152</x:v>
      </x:c>
    </x:row>
    <x:row r="977">
      <x:c r="A977" t="n">
        <x:f>976</x:f>
        <x:v>976</x:v>
      </x:c>
      <x:c r="B977" s="7" t="n">
        <x:f>IF('요약'!$B$4=4,IF(ISNUMBER('input'!A977),'input'!A977,""),IF(976&lt;=1000,CHOOSE('요약'!$B$4,'input'!B977,'input'!C977,'input'!D977),""))</x:f>
        <x:v>-0.02491526158156121</x:v>
      </x:c>
      <x:c r="C977" s="7" t="n">
        <x:f>IF(AND(ISNUMBER(B977),'요약'!$B$19),B977-'요약'!$B$7,"")</x:f>
        <x:v>-0.02486702225451171</x:v>
      </x:c>
      <x:c r="D977" s="7" t="n">
        <x:f>IF(ISNUMBER(C977),C977^2,"")</x:f>
        <x:v>0.0006183687958063806</x:v>
      </x:c>
      <x:c r="E977" s="15" t="n">
        <x:f>IF(ISNUMBER(C977),C977^3,"")</x:f>
        <x:v>-0.000015376990606812873</x:v>
      </x:c>
      <x:c r="F977" s="15" t="n">
        <x:f>IF(ISNUMBER(C977),C977^4,"")</x:f>
        <x:v>3.8237996762703324e-7</x:v>
      </x:c>
      <x:c r="G977" s="7" t="n">
        <x:f>IF(ISNUMBER(B977),ABS(B977),"")</x:f>
        <x:v>0.02491526158156121</x:v>
      </x:c>
      <x:c r="H977" s="7" t="n">
        <x:f>IF(ISNUMBER(B977),B977^2,"")</x:f>
        <x:v>0.00062077025967762</x:v>
      </x:c>
      <x:c r="I977" s="7" t="n">
        <x:f>IF(AND(ISNUMBER(G977),'요약'!$B$19),G977-'요약'!$B$14,"")</x:f>
        <x:v>0.016901744954158353</x:v>
      </x:c>
      <x:c r="J977" s="7" t="n">
        <x:f>IF(AND(ISNUMBER(H977),'요약'!$B$19),H977-'요약'!$B$15,"")</x:f>
        <x:v>0.0005185605604915279</x:v>
      </x:c>
      <x:c r="K977" t="n">
        <x:f>IF(ISNUMBER(B977),IF('Hill'!$B$4=1,IF(B977&lt;0,-B977,""),IF('Hill'!$B$4=2,IF(B977&gt;0,B977,""),IF('Hill'!$B$4=3,IF(B977&lt;&gt;0,ABS(B977),""),""))),"")</x:f>
        <x:v>0.02491526158156121</x:v>
      </x:c>
    </x:row>
    <x:row r="978">
      <x:c r="A978" t="n">
        <x:f>977</x:f>
        <x:v>977</x:v>
      </x:c>
      <x:c r="B978" s="7" t="n">
        <x:f>IF('요약'!$B$4=4,IF(ISNUMBER('input'!A978),'input'!A978,""),IF(977&lt;=1000,CHOOSE('요약'!$B$4,'input'!B978,'input'!C978,'input'!D978),""))</x:f>
        <x:v>-0.019297681219422616</x:v>
      </x:c>
      <x:c r="C978" s="7" t="n">
        <x:f>IF(AND(ISNUMBER(B978),'요약'!$B$19),B978-'요약'!$B$7,"")</x:f>
        <x:v>-0.019249441892373115</x:v>
      </x:c>
      <x:c r="D978" s="7" t="n">
        <x:f>IF(ISNUMBER(C978),C978^2,"")</x:f>
        <x:v>0.0003705410131678491</x:v>
      </x:c>
      <x:c r="E978" s="15" t="n">
        <x:f>IF(ISNUMBER(C978),C978^3,"")</x:f>
        <x:v>-0.000007132707701715572</x:v>
      </x:c>
      <x:c r="F978" s="15" t="n">
        <x:f>IF(ISNUMBER(C978),C978^4,"")</x:f>
        <x:v>1.373006424394561e-7</x:v>
      </x:c>
      <x:c r="G978" s="7" t="n">
        <x:f>IF(ISNUMBER(B978),ABS(B978),"")</x:f>
        <x:v>0.019297681219422616</x:v>
      </x:c>
      <x:c r="H978" s="7" t="n">
        <x:f>IF(ISNUMBER(B978),B978^2,"")</x:f>
        <x:v>0.00037240050044645636</x:v>
      </x:c>
      <x:c r="I978" s="7" t="n">
        <x:f>IF(AND(ISNUMBER(G978),'요약'!$B$19),G978-'요약'!$B$14,"")</x:f>
        <x:v>0.01128416459201976</x:v>
      </x:c>
      <x:c r="J978" s="7" t="n">
        <x:f>IF(AND(ISNUMBER(H978),'요약'!$B$19),H978-'요약'!$B$15,"")</x:f>
        <x:v>0.0002701908012603643</x:v>
      </x:c>
      <x:c r="K978" t="n">
        <x:f>IF(ISNUMBER(B978),IF('Hill'!$B$4=1,IF(B978&lt;0,-B978,""),IF('Hill'!$B$4=2,IF(B978&gt;0,B978,""),IF('Hill'!$B$4=3,IF(B978&lt;&gt;0,ABS(B978),""),""))),"")</x:f>
        <x:v>0.019297681219422616</x:v>
      </x:c>
    </x:row>
    <x:row r="979">
      <x:c r="A979" t="n">
        <x:f>978</x:f>
        <x:v>978</x:v>
      </x:c>
      <x:c r="B979" s="7" t="n">
        <x:f>IF('요약'!$B$4=4,IF(ISNUMBER('input'!A979),'input'!A979,""),IF(978&lt;=1000,CHOOSE('요약'!$B$4,'input'!B979,'input'!C979,'input'!D979),""))</x:f>
        <x:v>0.005190841763627927</x:v>
      </x:c>
      <x:c r="C979" s="7" t="n">
        <x:f>IF(AND(ISNUMBER(B979),'요약'!$B$19),B979-'요약'!$B$7,"")</x:f>
        <x:v>0.005239081090677429</x:v>
      </x:c>
      <x:c r="D979" s="7" t="n">
        <x:f>IF(ISNUMBER(C979),C979^2,"")</x:f>
        <x:v>0.000027447970674693794</x:v>
      </x:c>
      <x:c r="E979" s="15" t="n">
        <x:f>IF(ISNUMBER(C979),C979^3,"")</x:f>
        <x:v>1.4380214413925685e-7</x:v>
      </x:c>
      <x:c r="F979" s="15" t="n">
        <x:f>IF(ISNUMBER(C979),C979^4,"")</x:f>
        <x:v>7.533910941588506e-10</x:v>
      </x:c>
      <x:c r="G979" s="7" t="n">
        <x:f>IF(ISNUMBER(B979),ABS(B979),"")</x:f>
        <x:v>0.005190841763627927</x:v>
      </x:c>
      <x:c r="H979" s="7" t="n">
        <x:f>IF(ISNUMBER(B979),B979^2,"")</x:f>
        <x:v>0.00002694483821502389</x:v>
      </x:c>
      <x:c r="I979" s="7" t="n">
        <x:f>IF(AND(ISNUMBER(G979),'요약'!$B$19),G979-'요약'!$B$14,"")</x:f>
        <x:v>-0.002822674863774928</x:v>
      </x:c>
      <x:c r="J979" s="7" t="n">
        <x:f>IF(AND(ISNUMBER(H979),'요약'!$B$19),H979-'요약'!$B$15,"")</x:f>
        <x:v>-0.00007526486097106822</x:v>
      </x:c>
      <x:c r="K979" t="str">
        <x:f>IF(ISNUMBER(B979),IF('Hill'!$B$4=1,IF(B979&lt;0,-B979,""),IF('Hill'!$B$4=2,IF(B979&gt;0,B979,""),IF('Hill'!$B$4=3,IF(B979&lt;&gt;0,ABS(B979),""),""))),"")</x:f>
      </x:c>
    </x:row>
    <x:row r="980">
      <x:c r="A980" t="n">
        <x:f>979</x:f>
        <x:v>979</x:v>
      </x:c>
      <x:c r="B980" s="7" t="n">
        <x:f>IF('요약'!$B$4=4,IF(ISNUMBER('input'!A980),'input'!A980,""),IF(979&lt;=1000,CHOOSE('요약'!$B$4,'input'!B980,'input'!C980,'input'!D980),""))</x:f>
        <x:v>0.0118311031601731</x:v>
      </x:c>
      <x:c r="C980" s="7" t="n">
        <x:f>IF(AND(ISNUMBER(B980),'요약'!$B$19),B980-'요약'!$B$7,"")</x:f>
        <x:v>0.0118793424872226</x:v>
      </x:c>
      <x:c r="D980" s="7" t="n">
        <x:f>IF(ISNUMBER(C980),C980^2,"")</x:f>
        <x:v>0.00014111877792873204</x:v>
      </x:c>
      <x:c r="E980" s="15" t="n">
        <x:f>IF(ISNUMBER(C980),C980^3,"")</x:f>
        <x:v>0.0000016763982943937173</x:v>
      </x:c>
      <x:c r="F980" s="15" t="n">
        <x:f>IF(ISNUMBER(C980),C980^4,"")</x:f>
        <x:v>1.9914509484098787e-8</x:v>
      </x:c>
      <x:c r="G980" s="7" t="n">
        <x:f>IF(ISNUMBER(B980),ABS(B980),"")</x:f>
        <x:v>0.0118311031601731</x:v>
      </x:c>
      <x:c r="H980" s="7" t="n">
        <x:f>IF(ISNUMBER(B980),B980^2,"")</x:f>
        <x:v>0.0001399750019866579</x:v>
      </x:c>
      <x:c r="I980" s="7" t="n">
        <x:f>IF(AND(ISNUMBER(G980),'요약'!$B$19),G980-'요약'!$B$14,"")</x:f>
        <x:v>0.003817586532770244</x:v>
      </x:c>
      <x:c r="J980" s="7" t="n">
        <x:f>IF(AND(ISNUMBER(H980),'요약'!$B$19),H980-'요약'!$B$15,"")</x:f>
        <x:v>0.000037765302800565805</x:v>
      </x:c>
      <x:c r="K980" t="str">
        <x:f>IF(ISNUMBER(B980),IF('Hill'!$B$4=1,IF(B980&lt;0,-B980,""),IF('Hill'!$B$4=2,IF(B980&gt;0,B980,""),IF('Hill'!$B$4=3,IF(B980&lt;&gt;0,ABS(B980),""),""))),"")</x:f>
      </x:c>
    </x:row>
    <x:row r="981">
      <x:c r="A981" t="n">
        <x:f>980</x:f>
        <x:v>980</x:v>
      </x:c>
      <x:c r="B981" s="7" t="n">
        <x:f>IF('요약'!$B$4=4,IF(ISNUMBER('input'!A981),'input'!A981,""),IF(980&lt;=1000,CHOOSE('요약'!$B$4,'input'!B981,'input'!C981,'input'!D981),""))</x:f>
        <x:v>-0.0011904105996441083</x:v>
      </x:c>
      <x:c r="C981" s="7" t="n">
        <x:f>IF(AND(ISNUMBER(B981),'요약'!$B$19),B981-'요약'!$B$7,"")</x:f>
        <x:v>-0.0011421712725946068</x:v>
      </x:c>
      <x:c r="D981" s="7" t="n">
        <x:f>IF(ISNUMBER(C981),C981^2,"")</x:f>
        <x:v>0.0000013045552159403836</x:v>
      </x:c>
      <x:c r="E981" s="15" t="n">
        <x:f>IF(ISNUMBER(C981),C981^3,"")</x:f>
        <x:v>-1.49002549116056e-9</x:v>
      </x:c>
      <x:c r="F981" s="15" t="n">
        <x:f>IF(ISNUMBER(C981),C981^4,"")</x:f>
        <x:v>1.701864311437261e-12</x:v>
      </x:c>
      <x:c r="G981" s="7" t="n">
        <x:f>IF(ISNUMBER(B981),ABS(B981),"")</x:f>
        <x:v>0.0011904105996441083</x:v>
      </x:c>
      <x:c r="H981" s="7" t="n">
        <x:f>IF(ISNUMBER(B981),B981^2,"")</x:f>
        <x:v>0.0000014170773957450455</x:v>
      </x:c>
      <x:c r="I981" s="7" t="n">
        <x:f>IF(AND(ISNUMBER(G981),'요약'!$B$19),G981-'요약'!$B$14,"")</x:f>
        <x:v>-0.006823106027758747</x:v>
      </x:c>
      <x:c r="J981" s="7" t="n">
        <x:f>IF(AND(ISNUMBER(H981),'요약'!$B$19),H981-'요약'!$B$15,"")</x:f>
        <x:v>-0.00010079262179034705</x:v>
      </x:c>
      <x:c r="K981" t="n">
        <x:f>IF(ISNUMBER(B981),IF('Hill'!$B$4=1,IF(B981&lt;0,-B981,""),IF('Hill'!$B$4=2,IF(B981&gt;0,B981,""),IF('Hill'!$B$4=3,IF(B981&lt;&gt;0,ABS(B981),""),""))),"")</x:f>
        <x:v>0.0011904105996441083</x:v>
      </x:c>
    </x:row>
    <x:row r="982">
      <x:c r="A982" t="n">
        <x:f>981</x:f>
        <x:v>981</x:v>
      </x:c>
      <x:c r="B982" s="7" t="n">
        <x:f>IF('요약'!$B$4=4,IF(ISNUMBER('input'!A982),'input'!A982,""),IF(981&lt;=1000,CHOOSE('요약'!$B$4,'input'!B982,'input'!C982,'input'!D982),""))</x:f>
        <x:v>0.020235316815751764</x:v>
      </x:c>
      <x:c r="C982" s="7" t="n">
        <x:f>IF(AND(ISNUMBER(B982),'요약'!$B$19),B982-'요약'!$B$7,"")</x:f>
        <x:v>0.020283556142801265</x:v>
      </x:c>
      <x:c r="D982" s="7" t="n">
        <x:f>IF(ISNUMBER(C982),C982^2,"")</x:f>
        <x:v>0.00041142264979817094</x:v>
      </x:c>
      <x:c r="E982" s="15" t="n">
        <x:f>IF(ISNUMBER(C982),C982^3,"")</x:f>
        <x:v>0.000008345114415601263</x:v>
      </x:c>
      <x:c r="F982" s="15" t="n">
        <x:f>IF(ISNUMBER(C982),C982^4,"")</x:f>
        <x:v>1.692685967669484e-7</x:v>
      </x:c>
      <x:c r="G982" s="7" t="n">
        <x:f>IF(ISNUMBER(B982),ABS(B982),"")</x:f>
        <x:v>0.020235316815751764</x:v>
      </x:c>
      <x:c r="H982" s="7" t="n">
        <x:f>IF(ISNUMBER(B982),B982^2,"")</x:f>
        <x:v>0.0004094680466338461</x:v>
      </x:c>
      <x:c r="I982" s="7" t="n">
        <x:f>IF(AND(ISNUMBER(G982),'요약'!$B$19),G982-'요약'!$B$14,"")</x:f>
        <x:v>0.012221800188348909</x:v>
      </x:c>
      <x:c r="J982" s="7" t="n">
        <x:f>IF(AND(ISNUMBER(H982),'요약'!$B$19),H982-'요약'!$B$15,"")</x:f>
        <x:v>0.000307258347447754</x:v>
      </x:c>
      <x:c r="K982" t="str">
        <x:f>IF(ISNUMBER(B982),IF('Hill'!$B$4=1,IF(B982&lt;0,-B982,""),IF('Hill'!$B$4=2,IF(B982&gt;0,B982,""),IF('Hill'!$B$4=3,IF(B982&lt;&gt;0,ABS(B982),""),""))),"")</x:f>
      </x:c>
    </x:row>
    <x:row r="983">
      <x:c r="A983" t="n">
        <x:f>982</x:f>
        <x:v>982</x:v>
      </x:c>
      <x:c r="B983" s="7" t="n">
        <x:f>IF('요약'!$B$4=4,IF(ISNUMBER('input'!A983),'input'!A983,""),IF(982&lt;=1000,CHOOSE('요약'!$B$4,'input'!B983,'input'!C983,'input'!D983),""))</x:f>
        <x:v>-0.005821821321266387</x:v>
      </x:c>
      <x:c r="C983" s="7" t="n">
        <x:f>IF(AND(ISNUMBER(B983),'요약'!$B$19),B983-'요약'!$B$7,"")</x:f>
        <x:v>-0.005773581994216886</x:v>
      </x:c>
      <x:c r="D983" s="7" t="n">
        <x:f>IF(ISNUMBER(C983),C983^2,"")</x:f>
        <x:v>0.00003333424904394543</x:v>
      </x:c>
      <x:c r="E983" s="15" t="n">
        <x:f>IF(ISNUMBER(C983),C983^3,"")</x:f>
        <x:v>-1.9245802007086477e-7</x:v>
      </x:c>
      <x:c r="F983" s="15" t="n">
        <x:f>IF(ISNUMBER(C983),C983^4,"")</x:f>
        <x:v>1.1111721593237769e-9</x:v>
      </x:c>
      <x:c r="G983" s="7" t="n">
        <x:f>IF(ISNUMBER(B983),ABS(B983),"")</x:f>
        <x:v>0.005821821321266387</x:v>
      </x:c>
      <x:c r="H983" s="7" t="n">
        <x:f>IF(ISNUMBER(B983),B983^2,"")</x:f>
        <x:v>0.0000338936034967519</x:v>
      </x:c>
      <x:c r="I983" s="7" t="n">
        <x:f>IF(AND(ISNUMBER(G983),'요약'!$B$19),G983-'요약'!$B$14,"")</x:f>
        <x:v>-0.002191695306136468</x:v>
      </x:c>
      <x:c r="J983" s="7" t="n">
        <x:f>IF(AND(ISNUMBER(H983),'요약'!$B$19),H983-'요약'!$B$15,"")</x:f>
        <x:v>-0.0000683160956893402</x:v>
      </x:c>
      <x:c r="K983" t="n">
        <x:f>IF(ISNUMBER(B983),IF('Hill'!$B$4=1,IF(B983&lt;0,-B983,""),IF('Hill'!$B$4=2,IF(B983&gt;0,B983,""),IF('Hill'!$B$4=3,IF(B983&lt;&gt;0,ABS(B983),""),""))),"")</x:f>
        <x:v>0.005821821321266387</x:v>
      </x:c>
    </x:row>
    <x:row r="984">
      <x:c r="A984" t="n">
        <x:f>983</x:f>
        <x:v>983</x:v>
      </x:c>
      <x:c r="B984" s="7" t="n">
        <x:f>IF('요약'!$B$4=4,IF(ISNUMBER('input'!A984),'input'!A984,""),IF(983&lt;=1000,CHOOSE('요약'!$B$4,'input'!B984,'input'!C984,'input'!D984),""))</x:f>
        <x:v>-0.008458274261792556</x:v>
      </x:c>
      <x:c r="C984" s="7" t="n">
        <x:f>IF(AND(ISNUMBER(B984),'요약'!$B$19),B984-'요약'!$B$7,"")</x:f>
        <x:v>-0.008410034934743056</x:v>
      </x:c>
      <x:c r="D984" s="7" t="n">
        <x:f>IF(ISNUMBER(C984),C984^2,"")</x:f>
        <x:v>0.00007072868760359863</x:v>
      </x:c>
      <x:c r="E984" s="15" t="n">
        <x:f>IF(ISNUMBER(C984),C984^3,"")</x:f>
        <x:v>-5.948307336347926e-7</x:v>
      </x:c>
      <x:c r="F984" s="15" t="n">
        <x:f>IF(ISNUMBER(C984),C984^4,"")</x:f>
        <x:v>5.002547250127447e-9</x:v>
      </x:c>
      <x:c r="G984" s="7" t="n">
        <x:f>IF(ISNUMBER(B984),ABS(B984),"")</x:f>
        <x:v>0.008458274261792556</x:v>
      </x:c>
      <x:c r="H984" s="7" t="n">
        <x:f>IF(ISNUMBER(B984),B984^2,"")</x:f>
        <x:v>0.00007154240348770241</x:v>
      </x:c>
      <x:c r="I984" s="7" t="n">
        <x:f>IF(AND(ISNUMBER(G984),'요약'!$B$19),G984-'요약'!$B$14,"")</x:f>
        <x:v>0.000444757634389701</x:v>
      </x:c>
      <x:c r="J984" s="7" t="n">
        <x:f>IF(AND(ISNUMBER(H984),'요약'!$B$19),H984-'요약'!$B$15,"")</x:f>
        <x:v>-0.00003066729569838969</x:v>
      </x:c>
      <x:c r="K984" t="n">
        <x:f>IF(ISNUMBER(B984),IF('Hill'!$B$4=1,IF(B984&lt;0,-B984,""),IF('Hill'!$B$4=2,IF(B984&gt;0,B984,""),IF('Hill'!$B$4=3,IF(B984&lt;&gt;0,ABS(B984),""),""))),"")</x:f>
        <x:v>0.008458274261792556</x:v>
      </x:c>
    </x:row>
    <x:row r="985">
      <x:c r="A985" t="n">
        <x:f>984</x:f>
        <x:v>984</x:v>
      </x:c>
      <x:c r="B985" s="7" t="n">
        <x:f>IF('요약'!$B$4=4,IF(ISNUMBER('input'!A985),'input'!A985,""),IF(984&lt;=1000,CHOOSE('요약'!$B$4,'input'!B985,'input'!C985,'input'!D985),""))</x:f>
        <x:v>0.0012198373525270304</x:v>
      </x:c>
      <x:c r="C985" s="7" t="n">
        <x:f>IF(AND(ISNUMBER(B985),'요약'!$B$19),B985-'요약'!$B$7,"")</x:f>
        <x:v>0.001268076679576532</x:v>
      </x:c>
      <x:c r="D985" s="7" t="n">
        <x:f>IF(ISNUMBER(C985),C985^2,"")</x:f>
        <x:v>0.0000016080184652858423</x:v>
      </x:c>
      <x:c r="E985" s="15" t="n">
        <x:f>IF(ISNUMBER(C985),C985^3,"")</x:f>
        <x:v>2.039090716157422e-9</x:v>
      </x:c>
      <x:c r="F985" s="15" t="n">
        <x:f>IF(ISNUMBER(C985),C985^4,"")</x:f>
        <x:v>2.585723384700236e-12</x:v>
      </x:c>
      <x:c r="G985" s="7" t="n">
        <x:f>IF(ISNUMBER(B985),ABS(B985),"")</x:f>
        <x:v>0.0012198373525270304</x:v>
      </x:c>
      <x:c r="H985" s="7" t="n">
        <x:f>IF(ISNUMBER(B985),B985^2,"")</x:f>
        <x:v>0.0000014880031666201548</x:v>
      </x:c>
      <x:c r="I985" s="7" t="n">
        <x:f>IF(AND(ISNUMBER(G985),'요약'!$B$19),G985-'요약'!$B$14,"")</x:f>
        <x:v>-0.006793679274875825</x:v>
      </x:c>
      <x:c r="J985" s="7" t="n">
        <x:f>IF(AND(ISNUMBER(H985),'요약'!$B$19),H985-'요약'!$B$15,"")</x:f>
        <x:v>-0.00010072169601947194</x:v>
      </x:c>
      <x:c r="K985" t="str">
        <x:f>IF(ISNUMBER(B985),IF('Hill'!$B$4=1,IF(B985&lt;0,-B985,""),IF('Hill'!$B$4=2,IF(B985&gt;0,B985,""),IF('Hill'!$B$4=3,IF(B985&lt;&gt;0,ABS(B985),""),""))),"")</x:f>
      </x:c>
    </x:row>
    <x:row r="986">
      <x:c r="A986" t="n">
        <x:f>985</x:f>
        <x:v>985</x:v>
      </x:c>
      <x:c r="B986" s="7" t="n">
        <x:f>IF('요약'!$B$4=4,IF(ISNUMBER('input'!A986),'input'!A986,""),IF(985&lt;=1000,CHOOSE('요약'!$B$4,'input'!B986,'input'!C986,'input'!D986),""))</x:f>
        <x:v>-0.0005320697752673096</x:v>
      </x:c>
      <x:c r="C986" s="7" t="n">
        <x:f>IF(AND(ISNUMBER(B986),'요약'!$B$19),B986-'요약'!$B$7,"")</x:f>
        <x:v>-0.0004838304482178082</x:v>
      </x:c>
      <x:c r="D986" s="7" t="n">
        <x:f>IF(ISNUMBER(C986),C986^2,"")</x:f>
        <x:v>2.340919026226452e-7</x:v>
      </x:c>
      <x:c r="E986" s="15" t="n">
        <x:f>IF(ISNUMBER(C986),C986^3,"")</x:f>
        <x:v>-1.1326079017007395e-10</x:v>
      </x:c>
      <x:c r="F986" s="15" t="n">
        <x:f>IF(ISNUMBER(C986),C986^4,"")</x:f>
        <x:v>5.479901887349001e-14</x:v>
      </x:c>
      <x:c r="G986" s="7" t="n">
        <x:f>IF(ISNUMBER(B986),ABS(B986),"")</x:f>
        <x:v>0.0005320697752673096</x:v>
      </x:c>
      <x:c r="H986" s="7" t="n">
        <x:f>IF(ISNUMBER(B986),B986^2,"")</x:f>
        <x:v>2.8309824575300533e-7</x:v>
      </x:c>
      <x:c r="I986" s="7" t="n">
        <x:f>IF(AND(ISNUMBER(G986),'요약'!$B$19),G986-'요약'!$B$14,"")</x:f>
        <x:v>-0.007481446852135545</x:v>
      </x:c>
      <x:c r="J986" s="7" t="n">
        <x:f>IF(AND(ISNUMBER(H986),'요약'!$B$19),H986-'요약'!$B$15,"")</x:f>
        <x:v>-0.0001019266009403391</x:v>
      </x:c>
      <x:c r="K986" t="n">
        <x:f>IF(ISNUMBER(B986),IF('Hill'!$B$4=1,IF(B986&lt;0,-B986,""),IF('Hill'!$B$4=2,IF(B986&gt;0,B986,""),IF('Hill'!$B$4=3,IF(B986&lt;&gt;0,ABS(B986),""),""))),"")</x:f>
        <x:v>0.0005320697752673096</x:v>
      </x:c>
    </x:row>
    <x:row r="987">
      <x:c r="A987" t="n">
        <x:f>986</x:f>
        <x:v>986</x:v>
      </x:c>
      <x:c r="B987" s="7" t="n">
        <x:f>IF('요약'!$B$4=4,IF(ISNUMBER('input'!A987),'input'!A987,""),IF(986&lt;=1000,CHOOSE('요약'!$B$4,'input'!B987,'input'!C987,'input'!D987),""))</x:f>
        <x:v>-0.011507636855559483</x:v>
      </x:c>
      <x:c r="C987" s="7" t="n">
        <x:f>IF(AND(ISNUMBER(B987),'요약'!$B$19),B987-'요약'!$B$7,"")</x:f>
        <x:v>-0.011459397528509982</x:v>
      </x:c>
      <x:c r="D987" s="7" t="n">
        <x:f>IF(ISNUMBER(C987),C987^2,"")</x:f>
        <x:v>0.00013131779171642068</x:v>
      </x:c>
      <x:c r="E987" s="15" t="n">
        <x:f>IF(ISNUMBER(C987),C987^3,"")</x:f>
        <x:v>-0.0000015048227778445398</x:v>
      </x:c>
      <x:c r="F987" s="15" t="n">
        <x:f>IF(ISNUMBER(C987),C987^4,"")</x:f>
        <x:v>1.7244362421277244e-8</x:v>
      </x:c>
      <x:c r="G987" s="7" t="n">
        <x:f>IF(ISNUMBER(B987),ABS(B987),"")</x:f>
        <x:v>0.011507636855559483</x:v>
      </x:c>
      <x:c r="H987" s="7" t="n">
        <x:f>IF(ISNUMBER(B987),B987^2,"")</x:f>
        <x:v>0.00013242570599943093</x:v>
      </x:c>
      <x:c r="I987" s="7" t="n">
        <x:f>IF(AND(ISNUMBER(G987),'요약'!$B$19),G987-'요약'!$B$14,"")</x:f>
        <x:v>0.003494120228156627</x:v>
      </x:c>
      <x:c r="J987" s="7" t="n">
        <x:f>IF(AND(ISNUMBER(H987),'요약'!$B$19),H987-'요약'!$B$15,"")</x:f>
        <x:v>0.00003021600681333883</x:v>
      </x:c>
      <x:c r="K987" t="n">
        <x:f>IF(ISNUMBER(B987),IF('Hill'!$B$4=1,IF(B987&lt;0,-B987,""),IF('Hill'!$B$4=2,IF(B987&gt;0,B987,""),IF('Hill'!$B$4=3,IF(B987&lt;&gt;0,ABS(B987),""),""))),"")</x:f>
        <x:v>0.011507636855559483</x:v>
      </x:c>
    </x:row>
    <x:row r="988">
      <x:c r="A988" t="n">
        <x:f>987</x:f>
        <x:v>987</x:v>
      </x:c>
      <x:c r="B988" s="7" t="n">
        <x:f>IF('요약'!$B$4=4,IF(ISNUMBER('input'!A988),'input'!A988,""),IF(987&lt;=1000,CHOOSE('요약'!$B$4,'input'!B988,'input'!C988,'input'!D988),""))</x:f>
        <x:v>0.015896729546040437</x:v>
      </x:c>
      <x:c r="C988" s="7" t="n">
        <x:f>IF(AND(ISNUMBER(B988),'요약'!$B$19),B988-'요약'!$B$7,"")</x:f>
        <x:v>0.015944968873089937</x:v>
      </x:c>
      <x:c r="D988" s="7" t="n">
        <x:f>IF(ISNUMBER(C988),C988^2,"")</x:f>
        <x:v>0.000254242032363807</x:v>
      </x:c>
      <x:c r="E988" s="15" t="n">
        <x:f>IF(ISNUMBER(C988),C988^3,"")</x:f>
        <x:v>0.000004053881292272027</x:v>
      </x:c>
      <x:c r="F988" s="15" t="n">
        <x:f>IF(ISNUMBER(C988),C988^4,"")</x:f>
        <x:v>6.463901102047909e-8</x:v>
      </x:c>
      <x:c r="G988" s="7" t="n">
        <x:f>IF(ISNUMBER(B988),ABS(B988),"")</x:f>
        <x:v>0.015896729546040437</x:v>
      </x:c>
      <x:c r="H988" s="7" t="n">
        <x:f>IF(ISNUMBER(B988),B988^2,"")</x:f>
        <x:v>0.000252706010259955</x:v>
      </x:c>
      <x:c r="I988" s="7" t="n">
        <x:f>IF(AND(ISNUMBER(G988),'요약'!$B$19),G988-'요약'!$B$14,"")</x:f>
        <x:v>0.007883212918637581</x:v>
      </x:c>
      <x:c r="J988" s="7" t="n">
        <x:f>IF(AND(ISNUMBER(H988),'요약'!$B$19),H988-'요약'!$B$15,"")</x:f>
        <x:v>0.0001504963110738629</x:v>
      </x:c>
      <x:c r="K988" t="str">
        <x:f>IF(ISNUMBER(B988),IF('Hill'!$B$4=1,IF(B988&lt;0,-B988,""),IF('Hill'!$B$4=2,IF(B988&gt;0,B988,""),IF('Hill'!$B$4=3,IF(B988&lt;&gt;0,ABS(B988),""),""))),"")</x:f>
      </x:c>
    </x:row>
    <x:row r="989">
      <x:c r="A989" t="n">
        <x:f>988</x:f>
        <x:v>988</x:v>
      </x:c>
      <x:c r="B989" s="7" t="n">
        <x:f>IF('요약'!$B$4=4,IF(ISNUMBER('input'!A989),'input'!A989,""),IF(988&lt;=1000,CHOOSE('요약'!$B$4,'input'!B989,'input'!C989,'input'!D989),""))</x:f>
        <x:v>-0.018912084285960393</x:v>
      </x:c>
      <x:c r="C989" s="7" t="n">
        <x:f>IF(AND(ISNUMBER(B989),'요약'!$B$19),B989-'요약'!$B$7,"")</x:f>
        <x:v>-0.018863844958910893</x:v>
      </x:c>
      <x:c r="D989" s="7" t="n">
        <x:f>IF(ISNUMBER(C989),C989^2,"")</x:f>
        <x:v>0.0003558446466338279</x:v>
      </x:c>
      <x:c r="E989" s="15" t="n">
        <x:f>IF(ISNUMBER(C989),C989^3,"")</x:f>
        <x:v>-0.0000067125982435589625</x:v>
      </x:c>
      <x:c r="F989" s="15" t="n">
        <x:f>IF(ISNUMBER(C989),C989^4,"")</x:f>
        <x:v>1.2662541253795385e-7</x:v>
      </x:c>
      <x:c r="G989" s="7" t="n">
        <x:f>IF(ISNUMBER(B989),ABS(B989),"")</x:f>
        <x:v>0.018912084285960393</x:v>
      </x:c>
      <x:c r="H989" s="7" t="n">
        <x:f>IF(ISNUMBER(B989),B989^2,"")</x:f>
        <x:v>0.00035766693203927006</x:v>
      </x:c>
      <x:c r="I989" s="7" t="n">
        <x:f>IF(AND(ISNUMBER(G989),'요약'!$B$19),G989-'요약'!$B$14,"")</x:f>
        <x:v>0.010898567658557538</x:v>
      </x:c>
      <x:c r="J989" s="7" t="n">
        <x:f>IF(AND(ISNUMBER(H989),'요약'!$B$19),H989-'요약'!$B$15,"")</x:f>
        <x:v>0.000255457232853178</x:v>
      </x:c>
      <x:c r="K989" t="n">
        <x:f>IF(ISNUMBER(B989),IF('Hill'!$B$4=1,IF(B989&lt;0,-B989,""),IF('Hill'!$B$4=2,IF(B989&gt;0,B989,""),IF('Hill'!$B$4=3,IF(B989&lt;&gt;0,ABS(B989),""),""))),"")</x:f>
        <x:v>0.018912084285960393</x:v>
      </x:c>
    </x:row>
    <x:row r="990">
      <x:c r="A990" t="n">
        <x:f>989</x:f>
        <x:v>989</x:v>
      </x:c>
      <x:c r="B990" s="7" t="n">
        <x:f>IF('요약'!$B$4=4,IF(ISNUMBER('input'!A990),'input'!A990,""),IF(989&lt;=1000,CHOOSE('요약'!$B$4,'input'!B990,'input'!C990,'input'!D990),""))</x:f>
        <x:v>-0.005306209816711059</x:v>
      </x:c>
      <x:c r="C990" s="7" t="n">
        <x:f>IF(AND(ISNUMBER(B990),'요약'!$B$19),B990-'요약'!$B$7,"")</x:f>
        <x:v>-0.005257970489661558</x:v>
      </x:c>
      <x:c r="D990" s="7" t="n">
        <x:f>IF(ISNUMBER(C990),C990^2,"")</x:f>
        <x:v>0.0000276462536701518</x:v>
      </x:c>
      <x:c r="E990" s="15" t="n">
        <x:f>IF(ISNUMBER(C990),C990^3,"")</x:f>
        <x:v>-1.453631859473557e-7</x:v>
      </x:c>
      <x:c r="F990" s="15" t="n">
        <x:f>IF(ISNUMBER(C990),C990^4,"")</x:f>
        <x:v>7.643153419943819e-10</x:v>
      </x:c>
      <x:c r="G990" s="7" t="n">
        <x:f>IF(ISNUMBER(B990),ABS(B990),"")</x:f>
        <x:v>0.005306209816711059</x:v>
      </x:c>
      <x:c r="H990" s="7" t="n">
        <x:f>IF(ISNUMBER(B990),B990^2,"")</x:f>
        <x:v>0.00002815586261896081</x:v>
      </x:c>
      <x:c r="I990" s="7" t="n">
        <x:f>IF(AND(ISNUMBER(G990),'요약'!$B$19),G990-'요약'!$B$14,"")</x:f>
        <x:v>-0.0027073068106917963</x:v>
      </x:c>
      <x:c r="J990" s="7" t="n">
        <x:f>IF(AND(ISNUMBER(H990),'요약'!$B$19),H990-'요약'!$B$15,"")</x:f>
        <x:v>-0.0000740538365671313</x:v>
      </x:c>
      <x:c r="K990" t="n">
        <x:f>IF(ISNUMBER(B990),IF('Hill'!$B$4=1,IF(B990&lt;0,-B990,""),IF('Hill'!$B$4=2,IF(B990&gt;0,B990,""),IF('Hill'!$B$4=3,IF(B990&lt;&gt;0,ABS(B990),""),""))),"")</x:f>
        <x:v>0.005306209816711059</x:v>
      </x:c>
    </x:row>
    <x:row r="991">
      <x:c r="A991" t="n">
        <x:f>990</x:f>
        <x:v>990</x:v>
      </x:c>
      <x:c r="B991" s="7" t="n">
        <x:f>IF('요약'!$B$4=4,IF(ISNUMBER('input'!A991),'input'!A991,""),IF(990&lt;=1000,CHOOSE('요약'!$B$4,'input'!B991,'input'!C991,'input'!D991),""))</x:f>
        <x:v>0.0004900354507954355</x:v>
      </x:c>
      <x:c r="C991" s="7" t="n">
        <x:f>IF(AND(ISNUMBER(B991),'요약'!$B$19),B991-'요약'!$B$7,"")</x:f>
        <x:v>0.0005382747778449368</x:v>
      </x:c>
      <x:c r="D991" s="7" t="n">
        <x:f>IF(ISNUMBER(C991),C991^2,"")</x:f>
        <x:v>2.897397364640161e-7</x:v>
      </x:c>
      <x:c r="E991" s="15" t="n">
        <x:f>IF(ISNUMBER(C991),C991^3,"")</x:f>
        <x:v>1.559595922780188e-10</x:v>
      </x:c>
      <x:c r="F991" s="15" t="n">
        <x:f>IF(ISNUMBER(C991),C991^4,"")</x:f>
        <x:v>8.39491148862375e-14</x:v>
      </x:c>
      <x:c r="G991" s="7" t="n">
        <x:f>IF(ISNUMBER(B991),ABS(B991),"")</x:f>
        <x:v>0.0004900354507954355</x:v>
      </x:c>
      <x:c r="H991" s="7" t="n">
        <x:f>IF(ISNUMBER(B991),B991^2,"")</x:f>
        <x:v>2.4013474303628564e-7</x:v>
      </x:c>
      <x:c r="I991" s="7" t="n">
        <x:f>IF(AND(ISNUMBER(G991),'요약'!$B$19),G991-'요약'!$B$14,"")</x:f>
        <x:v>-0.00752348117660742</x:v>
      </x:c>
      <x:c r="J991" s="7" t="n">
        <x:f>IF(AND(ISNUMBER(H991),'요약'!$B$19),H991-'요약'!$B$15,"")</x:f>
        <x:v>-0.00010196956444305582</x:v>
      </x:c>
      <x:c r="K991" t="str">
        <x:f>IF(ISNUMBER(B991),IF('Hill'!$B$4=1,IF(B991&lt;0,-B991,""),IF('Hill'!$B$4=2,IF(B991&gt;0,B991,""),IF('Hill'!$B$4=3,IF(B991&lt;&gt;0,ABS(B991),""),""))),"")</x:f>
      </x:c>
    </x:row>
    <x:row r="992">
      <x:c r="A992" t="n">
        <x:f>991</x:f>
        <x:v>991</x:v>
      </x:c>
      <x:c r="B992" s="7" t="n">
        <x:f>IF('요약'!$B$4=4,IF(ISNUMBER('input'!A992),'input'!A992,""),IF(991&lt;=1000,CHOOSE('요약'!$B$4,'input'!B992,'input'!C992,'input'!D992),""))</x:f>
        <x:v>0.004237886359939867</x:v>
      </x:c>
      <x:c r="C992" s="7" t="n">
        <x:f>IF(AND(ISNUMBER(B992),'요약'!$B$19),B992-'요약'!$B$7,"")</x:f>
        <x:v>0.004286125686989368</x:v>
      </x:c>
      <x:c r="D992" s="7" t="n">
        <x:f>IF(ISNUMBER(C992),C992^2,"")</x:f>
        <x:v>0.000018370873404670082</x:v>
      </x:c>
      <x:c r="E992" s="15" t="n">
        <x:f>IF(ISNUMBER(C992),C992^3,"")</x:f>
        <x:v>7.873987239218627e-8</x:v>
      </x:c>
      <x:c r="F992" s="15" t="n">
        <x:f>IF(ISNUMBER(C992),C992^4,"")</x:f>
        <x:v>3.374889896504146e-10</x:v>
      </x:c>
      <x:c r="G992" s="7" t="n">
        <x:f>IF(ISNUMBER(B992),ABS(B992),"")</x:f>
        <x:v>0.004237886359939867</x:v>
      </x:c>
      <x:c r="H992" s="7" t="n">
        <x:f>IF(ISNUMBER(B992),B992^2,"")</x:f>
        <x:v>0.000017959680799764374</x:v>
      </x:c>
      <x:c r="I992" s="7" t="n">
        <x:f>IF(AND(ISNUMBER(G992),'요약'!$B$19),G992-'요약'!$B$14,"")</x:f>
        <x:v>-0.0037756302674629887</x:v>
      </x:c>
      <x:c r="J992" s="7" t="n">
        <x:f>IF(AND(ISNUMBER(H992),'요약'!$B$19),H992-'요약'!$B$15,"")</x:f>
        <x:v>-0.00008425001838632773</x:v>
      </x:c>
      <x:c r="K992" t="str">
        <x:f>IF(ISNUMBER(B992),IF('Hill'!$B$4=1,IF(B992&lt;0,-B992,""),IF('Hill'!$B$4=2,IF(B992&gt;0,B992,""),IF('Hill'!$B$4=3,IF(B992&lt;&gt;0,ABS(B992),""),""))),"")</x:f>
      </x:c>
    </x:row>
    <x:row r="993">
      <x:c r="A993" t="n">
        <x:f>992</x:f>
        <x:v>992</x:v>
      </x:c>
      <x:c r="B993" s="7" t="n">
        <x:f>IF('요약'!$B$4=4,IF(ISNUMBER('input'!A993),'input'!A993,""),IF(992&lt;=1000,CHOOSE('요약'!$B$4,'input'!B993,'input'!C993,'input'!D993),""))</x:f>
        <x:v>-0.007919744203596568</x:v>
      </x:c>
      <x:c r="C993" s="7" t="n">
        <x:f>IF(AND(ISNUMBER(B993),'요약'!$B$19),B993-'요약'!$B$7,"")</x:f>
        <x:v>-0.007871504876547067</x:v>
      </x:c>
      <x:c r="D993" s="7" t="n">
        <x:f>IF(ISNUMBER(C993),C993^2,"")</x:f>
        <x:v>0.00006196058902150426</x:v>
      </x:c>
      <x:c r="E993" s="15" t="n">
        <x:f>IF(ISNUMBER(C993),C993^3,"")</x:f>
        <x:v>-4.877230786364995e-7</x:v>
      </x:c>
      <x:c r="F993" s="15" t="n">
        <x:f>IF(ISNUMBER(C993),C993^4,"")</x:f>
        <x:v>3.8391145918917546e-9</x:v>
      </x:c>
      <x:c r="G993" s="7" t="n">
        <x:f>IF(ISNUMBER(B993),ABS(B993),"")</x:f>
        <x:v>0.007919744203596568</x:v>
      </x:c>
      <x:c r="H993" s="7" t="n">
        <x:f>IF(ISNUMBER(B993),B993^2,"")</x:f>
        <x:v>0.00006272234825040143</x:v>
      </x:c>
      <x:c r="I993" s="7" t="n">
        <x:f>IF(AND(ISNUMBER(G993),'요약'!$B$19),G993-'요약'!$B$14,"")</x:f>
        <x:v>-0.00009377242380628759</x:v>
      </x:c>
      <x:c r="J993" s="7" t="n">
        <x:f>IF(AND(ISNUMBER(H993),'요약'!$B$19),H993-'요약'!$B$15,"")</x:f>
        <x:v>-0.000039487350935690674</x:v>
      </x:c>
      <x:c r="K993" t="n">
        <x:f>IF(ISNUMBER(B993),IF('Hill'!$B$4=1,IF(B993&lt;0,-B993,""),IF('Hill'!$B$4=2,IF(B993&gt;0,B993,""),IF('Hill'!$B$4=3,IF(B993&lt;&gt;0,ABS(B993),""),""))),"")</x:f>
        <x:v>0.007919744203596568</x:v>
      </x:c>
    </x:row>
    <x:row r="994">
      <x:c r="A994" t="n">
        <x:f>993</x:f>
        <x:v>993</x:v>
      </x:c>
      <x:c r="B994" s="7" t="n">
        <x:f>IF('요약'!$B$4=4,IF(ISNUMBER('input'!A994),'input'!A994,""),IF(993&lt;=1000,CHOOSE('요약'!$B$4,'input'!B994,'input'!C994,'input'!D994),""))</x:f>
        <x:v>-0.013981776953889436</x:v>
      </x:c>
      <x:c r="C994" s="7" t="n">
        <x:f>IF(AND(ISNUMBER(B994),'요약'!$B$19),B994-'요약'!$B$7,"")</x:f>
        <x:v>-0.013933537626839935</x:v>
      </x:c>
      <x:c r="D994" s="7" t="n">
        <x:f>IF(ISNUMBER(C994),C994^2,"")</x:f>
        <x:v>0.00019414347079856425</x:v>
      </x:c>
      <x:c r="E994" s="15" t="n">
        <x:f>IF(ISNUMBER(C994),C994^3,"")</x:f>
        <x:v>-0.000002705105355377095</x:v>
      </x:c>
      <x:c r="F994" s="15" t="n">
        <x:f>IF(ISNUMBER(C994),C994^4,"")</x:f>
        <x:v>3.769168725371297e-8</x:v>
      </x:c>
      <x:c r="G994" s="7" t="n">
        <x:f>IF(ISNUMBER(B994),ABS(B994),"")</x:f>
        <x:v>0.013981776953889436</x:v>
      </x:c>
      <x:c r="H994" s="7" t="n">
        <x:f>IF(ISNUMBER(B994),B994^2,"")</x:f>
        <x:v>0.00019549008678831375</x:v>
      </x:c>
      <x:c r="I994" s="7" t="n">
        <x:f>IF(AND(ISNUMBER(G994),'요약'!$B$19),G994-'요약'!$B$14,"")</x:f>
        <x:v>0.00596826032648658</x:v>
      </x:c>
      <x:c r="J994" s="7" t="n">
        <x:f>IF(AND(ISNUMBER(H994),'요약'!$B$19),H994-'요약'!$B$15,"")</x:f>
        <x:v>0.00009328038760222164</x:v>
      </x:c>
      <x:c r="K994" t="n">
        <x:f>IF(ISNUMBER(B994),IF('Hill'!$B$4=1,IF(B994&lt;0,-B994,""),IF('Hill'!$B$4=2,IF(B994&gt;0,B994,""),IF('Hill'!$B$4=3,IF(B994&lt;&gt;0,ABS(B994),""),""))),"")</x:f>
        <x:v>0.013981776953889436</x:v>
      </x:c>
    </x:row>
    <x:row r="995">
      <x:c r="A995" t="n">
        <x:f>994</x:f>
        <x:v>994</x:v>
      </x:c>
      <x:c r="B995" s="7" t="n">
        <x:f>IF('요약'!$B$4=4,IF(ISNUMBER('input'!A995),'input'!A995,""),IF(994&lt;=1000,CHOOSE('요약'!$B$4,'input'!B995,'input'!C995,'input'!D995),""))</x:f>
        <x:v>-0.017004056213685045</x:v>
      </x:c>
      <x:c r="C995" s="7" t="n">
        <x:f>IF(AND(ISNUMBER(B995),'요약'!$B$19),B995-'요약'!$B$7,"")</x:f>
        <x:v>-0.016955816886635545</x:v>
      </x:c>
      <x:c r="D995" s="7" t="n">
        <x:f>IF(ISNUMBER(C995),C995^2,"")</x:f>
        <x:v>0.0002874997262931151</x:v>
      </x:c>
      <x:c r="E995" s="15" t="n">
        <x:f>IF(ISNUMBER(C995),C995^3,"")</x:f>
        <x:v>-0.000004874792713983898</x:v>
      </x:c>
      <x:c r="F995" s="15" t="n">
        <x:f>IF(ISNUMBER(C995),C995^4,"")</x:f>
        <x:v>8.26560926186161e-8</x:v>
      </x:c>
      <x:c r="G995" s="7" t="n">
        <x:f>IF(ISNUMBER(B995),ABS(B995),"")</x:f>
        <x:v>0.017004056213685045</x:v>
      </x:c>
      <x:c r="H995" s="7" t="n">
        <x:f>IF(ISNUMBER(B995),B995^2,"")</x:f>
        <x:v>0.000289137927718161</x:v>
      </x:c>
      <x:c r="I995" s="7" t="n">
        <x:f>IF(AND(ISNUMBER(G995),'요약'!$B$19),G995-'요약'!$B$14,"")</x:f>
        <x:v>0.00899053958628219</x:v>
      </x:c>
      <x:c r="J995" s="7" t="n">
        <x:f>IF(AND(ISNUMBER(H995),'요약'!$B$19),H995-'요약'!$B$15,"")</x:f>
        <x:v>0.0001869282285320689</x:v>
      </x:c>
      <x:c r="K995" t="n">
        <x:f>IF(ISNUMBER(B995),IF('Hill'!$B$4=1,IF(B995&lt;0,-B995,""),IF('Hill'!$B$4=2,IF(B995&gt;0,B995,""),IF('Hill'!$B$4=3,IF(B995&lt;&gt;0,ABS(B995),""),""))),"")</x:f>
        <x:v>0.017004056213685045</x:v>
      </x:c>
    </x:row>
    <x:row r="996">
      <x:c r="A996" t="n">
        <x:f>995</x:f>
        <x:v>995</x:v>
      </x:c>
      <x:c r="B996" s="7" t="n">
        <x:f>IF('요약'!$B$4=4,IF(ISNUMBER('input'!A996),'input'!A996,""),IF(995&lt;=1000,CHOOSE('요약'!$B$4,'input'!B996,'input'!C996,'input'!D996),""))</x:f>
        <x:v>-0.009750305965952211</x:v>
      </x:c>
      <x:c r="C996" s="7" t="n">
        <x:f>IF(AND(ISNUMBER(B996),'요약'!$B$19),B996-'요약'!$B$7,"")</x:f>
        <x:v>-0.00970206663890271</x:v>
      </x:c>
      <x:c r="D996" s="7" t="n">
        <x:f>IF(ISNUMBER(C996),C996^2,"")</x:f>
        <x:v>0.00009413009706570894</x:v>
      </x:c>
      <x:c r="E996" s="15" t="n">
        <x:f>IF(ISNUMBER(C996),C996^3,"")</x:f>
        <x:v>-9.132564744578886e-7</x:v>
      </x:c>
      <x:c r="F996" s="15" t="n">
        <x:f>IF(ISNUMBER(C996),C996^4,"")</x:f>
        <x:v>8.860475173599787e-9</x:v>
      </x:c>
      <x:c r="G996" s="7" t="n">
        <x:f>IF(ISNUMBER(B996),ABS(B996),"")</x:f>
        <x:v>0.009750305965952211</x:v>
      </x:c>
      <x:c r="H996" s="7" t="n">
        <x:f>IF(ISNUMBER(B996),B996^2,"")</x:f>
        <x:v>0.00009506846642968328</x:v>
      </x:c>
      <x:c r="I996" s="7" t="n">
        <x:f>IF(AND(ISNUMBER(G996),'요약'!$B$19),G996-'요약'!$B$14,"")</x:f>
        <x:v>0.001736789338549356</x:v>
      </x:c>
      <x:c r="J996" s="7" t="n">
        <x:f>IF(AND(ISNUMBER(H996),'요약'!$B$19),H996-'요약'!$B$15,"")</x:f>
        <x:v>-0.000007141232756408824</x:v>
      </x:c>
      <x:c r="K996" t="n">
        <x:f>IF(ISNUMBER(B996),IF('Hill'!$B$4=1,IF(B996&lt;0,-B996,""),IF('Hill'!$B$4=2,IF(B996&gt;0,B996,""),IF('Hill'!$B$4=3,IF(B996&lt;&gt;0,ABS(B996),""),""))),"")</x:f>
        <x:v>0.009750305965952211</x:v>
      </x:c>
    </x:row>
    <x:row r="997">
      <x:c r="A997" t="n">
        <x:f>996</x:f>
        <x:v>996</x:v>
      </x:c>
      <x:c r="B997" s="7" t="n">
        <x:f>IF('요약'!$B$4=4,IF(ISNUMBER('input'!A997),'input'!A997,""),IF(996&lt;=1000,CHOOSE('요약'!$B$4,'input'!B997,'input'!C997,'input'!D997),""))</x:f>
        <x:v>-0.005524640905539889</x:v>
      </x:c>
      <x:c r="C997" s="7" t="n">
        <x:f>IF(AND(ISNUMBER(B997),'요약'!$B$19),B997-'요약'!$B$7,"")</x:f>
        <x:v>-0.005476401578490387</x:v>
      </x:c>
      <x:c r="D997" s="7" t="n">
        <x:f>IF(ISNUMBER(C997),C997^2,"")</x:f>
        <x:v>0.000029990974248892006</x:v>
      </x:c>
      <x:c r="E997" s="15" t="n">
        <x:f>IF(ISNUMBER(C997),C997^3,"")</x:f>
        <x:v>-1.6424261871709673e-7</x:v>
      </x:c>
      <x:c r="F997" s="15" t="n">
        <x:f>IF(ISNUMBER(C997),C997^4,"")</x:f>
        <x:v>8.994585363977033e-10</x:v>
      </x:c>
      <x:c r="G997" s="7" t="n">
        <x:f>IF(ISNUMBER(B997),ABS(B997),"")</x:f>
        <x:v>0.005524640905539889</x:v>
      </x:c>
      <x:c r="H997" s="7" t="n">
        <x:f>IF(ISNUMBER(B997),B997^2,"")</x:f>
        <x:v>0.000030521657135164603</x:v>
      </x:c>
      <x:c r="I997" s="7" t="n">
        <x:f>IF(AND(ISNUMBER(G997),'요약'!$B$19),G997-'요약'!$B$14,"")</x:f>
        <x:v>-0.0024888757218629667</x:v>
      </x:c>
      <x:c r="J997" s="7" t="n">
        <x:f>IF(AND(ISNUMBER(H997),'요약'!$B$19),H997-'요약'!$B$15,"")</x:f>
        <x:v>-0.0000716880420509275</x:v>
      </x:c>
      <x:c r="K997" t="n">
        <x:f>IF(ISNUMBER(B997),IF('Hill'!$B$4=1,IF(B997&lt;0,-B997,""),IF('Hill'!$B$4=2,IF(B997&gt;0,B997,""),IF('Hill'!$B$4=3,IF(B997&lt;&gt;0,ABS(B997),""),""))),"")</x:f>
        <x:v>0.005524640905539889</x:v>
      </x:c>
    </x:row>
    <x:row r="998">
      <x:c r="A998" t="n">
        <x:f>997</x:f>
        <x:v>997</x:v>
      </x:c>
      <x:c r="B998" s="7" t="n">
        <x:f>IF('요약'!$B$4=4,IF(ISNUMBER('input'!A998),'input'!A998,""),IF(997&lt;=1000,CHOOSE('요약'!$B$4,'input'!B998,'input'!C998,'input'!D998),""))</x:f>
        <x:v>-0.0008147234184977954</x:v>
      </x:c>
      <x:c r="C998" s="7" t="n">
        <x:f>IF(AND(ISNUMBER(B998),'요약'!$B$19),B998-'요약'!$B$7,"")</x:f>
        <x:v>-0.000766484091448294</x:v>
      </x:c>
      <x:c r="D998" s="7" t="n">
        <x:f>IF(ISNUMBER(C998),C998^2,"")</x:f>
        <x:v>5.874978624433168e-7</x:v>
      </x:c>
      <x:c r="E998" s="15" t="n">
        <x:f>IF(ISNUMBER(C998),C998^3,"")</x:f>
        <x:v>-4.5030776532268046e-10</x:v>
      </x:c>
      <x:c r="F998" s="15" t="n">
        <x:f>IF(ISNUMBER(C998),C998^4,"")</x:f>
        <x:v>3.4515373837546636e-13</x:v>
      </x:c>
      <x:c r="G998" s="7" t="n">
        <x:f>IF(ISNUMBER(B998),ABS(B998),"")</x:f>
        <x:v>0.0008147234184977954</x:v>
      </x:c>
      <x:c r="H998" s="7" t="n">
        <x:f>IF(ISNUMBER(B998),B998^2,"")</x:f>
        <x:v>6.637742486487338e-7</x:v>
      </x:c>
      <x:c r="I998" s="7" t="n">
        <x:f>IF(AND(ISNUMBER(G998),'요약'!$B$19),G998-'요약'!$B$14,"")</x:f>
        <x:v>-0.00719879320890506</x:v>
      </x:c>
      <x:c r="J998" s="7" t="n">
        <x:f>IF(AND(ISNUMBER(H998),'요약'!$B$19),H998-'요약'!$B$15,"")</x:f>
        <x:v>-0.00010154592493744337</x:v>
      </x:c>
      <x:c r="K998" t="n">
        <x:f>IF(ISNUMBER(B998),IF('Hill'!$B$4=1,IF(B998&lt;0,-B998,""),IF('Hill'!$B$4=2,IF(B998&gt;0,B998,""),IF('Hill'!$B$4=3,IF(B998&lt;&gt;0,ABS(B998),""),""))),"")</x:f>
        <x:v>0.0008147234184977954</x:v>
      </x:c>
    </x:row>
    <x:row r="999">
      <x:c r="A999" t="n">
        <x:f>998</x:f>
        <x:v>998</x:v>
      </x:c>
      <x:c r="B999" s="7" t="n">
        <x:f>IF('요약'!$B$4=4,IF(ISNUMBER('input'!A999),'input'!A999,""),IF(998&lt;=1000,CHOOSE('요약'!$B$4,'input'!B999,'input'!C999,'input'!D999),""))</x:f>
        <x:v>0.012649029631155648</x:v>
      </x:c>
      <x:c r="C999" s="7" t="n">
        <x:f>IF(AND(ISNUMBER(B999),'요약'!$B$19),B999-'요약'!$B$7,"")</x:f>
        <x:v>0.012697268958205148</x:v>
      </x:c>
      <x:c r="D999" s="7" t="n">
        <x:f>IF(ISNUMBER(C999),C999^2,"")</x:f>
        <x:v>0.00016122063899700004</x:v>
      </x:c>
      <x:c r="E999" s="15" t="n">
        <x:f>IF(ISNUMBER(C999),C999^3,"")</x:f>
        <x:v>0.000002047061814958607</x:v>
      </x:c>
      <x:c r="F999" s="15" t="n">
        <x:f>IF(ISNUMBER(C999),C999^4,"")</x:f>
        <x:v>2.5992094438601014e-8</x:v>
      </x:c>
      <x:c r="G999" s="7" t="n">
        <x:f>IF(ISNUMBER(B999),ABS(B999),"")</x:f>
        <x:v>0.012649029631155648</x:v>
      </x:c>
      <x:c r="H999" s="7" t="n">
        <x:f>IF(ISNUMBER(B999),B999^2,"")</x:f>
        <x:v>0.00015999795060985358</x:v>
      </x:c>
      <x:c r="I999" s="7" t="n">
        <x:f>IF(AND(ISNUMBER(G999),'요약'!$B$19),G999-'요약'!$B$14,"")</x:f>
        <x:v>0.004635513003752792</x:v>
      </x:c>
      <x:c r="J999" s="7" t="n">
        <x:f>IF(AND(ISNUMBER(H999),'요약'!$B$19),H999-'요약'!$B$15,"")</x:f>
        <x:v>0.00005778825142376147</x:v>
      </x:c>
      <x:c r="K999" t="str">
        <x:f>IF(ISNUMBER(B999),IF('Hill'!$B$4=1,IF(B999&lt;0,-B999,""),IF('Hill'!$B$4=2,IF(B999&gt;0,B999,""),IF('Hill'!$B$4=3,IF(B999&lt;&gt;0,ABS(B999),""),""))),"")</x:f>
      </x:c>
    </x:row>
    <x:row r="1000">
      <x:c r="A1000" t="n">
        <x:f>999</x:f>
        <x:v>999</x:v>
      </x:c>
      <x:c r="B1000" s="7" t="n">
        <x:f>IF('요약'!$B$4=4,IF(ISNUMBER('input'!A1000),'input'!A1000,""),IF(999&lt;=1000,CHOOSE('요약'!$B$4,'input'!B1000,'input'!C1000,'input'!D1000),""))</x:f>
        <x:v>-0.016624142777716983</x:v>
      </x:c>
      <x:c r="C1000" s="7" t="n">
        <x:f>IF(AND(ISNUMBER(B1000),'요약'!$B$19),B1000-'요약'!$B$7,"")</x:f>
        <x:v>-0.016575903450667482</x:v>
      </x:c>
      <x:c r="D1000" s="7" t="n">
        <x:f>IF(ISNUMBER(C1000),C1000^2,"")</x:f>
        <x:v>0.00027476057520585016</x:v>
      </x:c>
      <x:c r="E1000" s="15" t="n">
        <x:f>IF(ISNUMBER(C1000),C1000^3,"")</x:f>
        <x:v>-0.000004554404766662034</x:v>
      </x:c>
      <x:c r="F1000" s="15" t="n">
        <x:f>IF(ISNUMBER(C1000),C1000^4,"")</x:f>
        <x:v>7.549337368744963e-8</x:v>
      </x:c>
      <x:c r="G1000" s="7" t="n">
        <x:f>IF(ISNUMBER(B1000),ABS(B1000),"")</x:f>
        <x:v>0.016624142777716983</x:v>
      </x:c>
      <x:c r="H1000" s="7" t="n">
        <x:f>IF(ISNUMBER(B1000),B1000^2,"")</x:f>
        <x:v>0.0002763621230939197</x:v>
      </x:c>
      <x:c r="I1000" s="7" t="n">
        <x:f>IF(AND(ISNUMBER(G1000),'요약'!$B$19),G1000-'요약'!$B$14,"")</x:f>
        <x:v>0.008610626150314127</x:v>
      </x:c>
      <x:c r="J1000" s="7" t="n">
        <x:f>IF(AND(ISNUMBER(H1000),'요약'!$B$19),H1000-'요약'!$B$15,"")</x:f>
        <x:v>0.0001741524239078276</x:v>
      </x:c>
      <x:c r="K1000" t="n">
        <x:f>IF(ISNUMBER(B1000),IF('Hill'!$B$4=1,IF(B1000&lt;0,-B1000,""),IF('Hill'!$B$4=2,IF(B1000&gt;0,B1000,""),IF('Hill'!$B$4=3,IF(B1000&lt;&gt;0,ABS(B1000),""),""))),"")</x:f>
        <x:v>0.016624142777716983</x:v>
      </x:c>
    </x:row>
    <x:row r="1001">
      <x:c r="A1001" t="n">
        <x:f>1000</x:f>
        <x:v>1000</x:v>
      </x:c>
      <x:c r="B1001" s="7" t="n">
        <x:f>IF('요약'!$B$4=4,IF(ISNUMBER('input'!A1001),'input'!A1001,""),IF(1000&lt;=1000,CHOOSE('요약'!$B$4,'input'!B1001,'input'!C1001,'input'!D1001),""))</x:f>
        <x:v>0.024268401717457505</x:v>
      </x:c>
      <x:c r="C1001" s="7" t="n">
        <x:f>IF(AND(ISNUMBER(B1001),'요약'!$B$19),B1001-'요약'!$B$7,"")</x:f>
        <x:v>0.024316641044507006</x:v>
      </x:c>
      <x:c r="D1001" s="7" t="n">
        <x:f>IF(ISNUMBER(C1001),C1001^2,"")</x:f>
        <x:v>0.0005912990316874028</x:v>
      </x:c>
      <x:c r="E1001" s="15" t="n">
        <x:f>IF(ISNUMBER(C1001),C1001^3,"")</x:f>
        <x:v>0.000014378406303507146</x:v>
      </x:c>
      <x:c r="F1001" s="15" t="n">
        <x:f>IF(ISNUMBER(C1001),C1001^4,"")</x:f>
        <x:v>3.4963454487446015e-7</x:v>
      </x:c>
      <x:c r="G1001" s="7" t="n">
        <x:f>IF(ISNUMBER(B1001),ABS(B1001),"")</x:f>
        <x:v>0.024268401717457505</x:v>
      </x:c>
      <x:c r="H1001" s="7" t="n">
        <x:f>IF(ISNUMBER(B1001),B1001^2,"")</x:f>
        <x:v>0.0005889553219198943</x:v>
      </x:c>
      <x:c r="I1001" s="7" t="n">
        <x:f>IF(AND(ISNUMBER(G1001),'요약'!$B$19),G1001-'요약'!$B$14,"")</x:f>
        <x:v>0.016254885090054648</x:v>
      </x:c>
      <x:c r="J1001" s="7" t="n">
        <x:f>IF(AND(ISNUMBER(H1001),'요약'!$B$19),H1001-'요약'!$B$15,"")</x:f>
        <x:v>0.00048674562273380226</x:v>
      </x:c>
      <x:c r="K1001" t="str">
        <x:f>IF(ISNUMBER(B1001),IF('Hill'!$B$4=1,IF(B1001&lt;0,-B1001,""),IF('Hill'!$B$4=2,IF(B1001&gt;0,B1001,""),IF('Hill'!$B$4=3,IF(B1001&lt;&gt;0,ABS(B1001),""),""))),"")</x:f>
      </x:c>
    </x:row>
    <x:row r="1002">
      <x:c r="A1002" t="n">
        <x:f>1001</x:f>
        <x:v>1001</x:v>
      </x:c>
      <x:c r="B1002" s="7" t="str">
        <x:f>IF('요약'!$B$4=4,IF(ISNUMBER('input'!A1002),'input'!A1002,""),IF(1001&lt;=1000,CHOOSE('요약'!$B$4,'input'!B1002,'input'!C1002,'input'!D1002),""))</x:f>
      </x:c>
      <x:c r="C1002" s="7" t="str">
        <x:f>IF(AND(ISNUMBER(B1002),'요약'!$B$19),B1002-'요약'!$B$7,"")</x:f>
      </x:c>
      <x:c r="D1002" s="7" t="str">
        <x:f>IF(ISNUMBER(C1002),C1002^2,"")</x:f>
      </x:c>
      <x:c r="E1002" s="15" t="str">
        <x:f>IF(ISNUMBER(C1002),C1002^3,"")</x:f>
      </x:c>
      <x:c r="F1002" s="15" t="str">
        <x:f>IF(ISNUMBER(C1002),C1002^4,"")</x:f>
      </x:c>
      <x:c r="G1002" s="7" t="str">
        <x:f>IF(ISNUMBER(B1002),ABS(B1002),"")</x:f>
      </x:c>
      <x:c r="H1002" s="7" t="str">
        <x:f>IF(ISNUMBER(B1002),B1002^2,"")</x:f>
      </x:c>
      <x:c r="I1002" s="7" t="str">
        <x:f>IF(AND(ISNUMBER(G1002),'요약'!$B$19),G1002-'요약'!$B$14,"")</x:f>
      </x:c>
      <x:c r="J1002" s="7" t="str">
        <x:f>IF(AND(ISNUMBER(H1002),'요약'!$B$19),H1002-'요약'!$B$15,"")</x:f>
      </x:c>
      <x:c r="K1002" t="str">
        <x:f>IF(ISNUMBER(B1002),IF('Hill'!$B$4=1,IF(B1002&lt;0,-B1002,""),IF('Hill'!$B$4=2,IF(B1002&gt;0,B1002,""),IF('Hill'!$B$4=3,IF(B1002&lt;&gt;0,ABS(B1002),""),""))),"")</x:f>
      </x:c>
    </x:row>
    <x:row r="1003">
      <x:c r="A1003" t="n">
        <x:f>1002</x:f>
        <x:v>1002</x:v>
      </x:c>
      <x:c r="B1003" s="7" t="str">
        <x:f>IF('요약'!$B$4=4,IF(ISNUMBER('input'!A1003),'input'!A1003,""),IF(1002&lt;=1000,CHOOSE('요약'!$B$4,'input'!B1003,'input'!C1003,'input'!D1003),""))</x:f>
      </x:c>
      <x:c r="C1003" s="7" t="str">
        <x:f>IF(AND(ISNUMBER(B1003),'요약'!$B$19),B1003-'요약'!$B$7,"")</x:f>
      </x:c>
      <x:c r="D1003" s="7" t="str">
        <x:f>IF(ISNUMBER(C1003),C1003^2,"")</x:f>
      </x:c>
      <x:c r="E1003" s="15" t="str">
        <x:f>IF(ISNUMBER(C1003),C1003^3,"")</x:f>
      </x:c>
      <x:c r="F1003" s="15" t="str">
        <x:f>IF(ISNUMBER(C1003),C1003^4,"")</x:f>
      </x:c>
      <x:c r="G1003" s="7" t="str">
        <x:f>IF(ISNUMBER(B1003),ABS(B1003),"")</x:f>
      </x:c>
      <x:c r="H1003" s="7" t="str">
        <x:f>IF(ISNUMBER(B1003),B1003^2,"")</x:f>
      </x:c>
      <x:c r="I1003" s="7" t="str">
        <x:f>IF(AND(ISNUMBER(G1003),'요약'!$B$19),G1003-'요약'!$B$14,"")</x:f>
      </x:c>
      <x:c r="J1003" s="7" t="str">
        <x:f>IF(AND(ISNUMBER(H1003),'요약'!$B$19),H1003-'요약'!$B$15,"")</x:f>
      </x:c>
      <x:c r="K1003" t="str">
        <x:f>IF(ISNUMBER(B1003),IF('Hill'!$B$4=1,IF(B1003&lt;0,-B1003,""),IF('Hill'!$B$4=2,IF(B1003&gt;0,B1003,""),IF('Hill'!$B$4=3,IF(B1003&lt;&gt;0,ABS(B1003),""),""))),"")</x:f>
      </x:c>
    </x:row>
    <x:row r="1004">
      <x:c r="A1004" t="n">
        <x:f>1003</x:f>
        <x:v>1003</x:v>
      </x:c>
      <x:c r="B1004" s="7" t="str">
        <x:f>IF('요약'!$B$4=4,IF(ISNUMBER('input'!A1004),'input'!A1004,""),IF(1003&lt;=1000,CHOOSE('요약'!$B$4,'input'!B1004,'input'!C1004,'input'!D1004),""))</x:f>
      </x:c>
      <x:c r="C1004" s="7" t="str">
        <x:f>IF(AND(ISNUMBER(B1004),'요약'!$B$19),B1004-'요약'!$B$7,"")</x:f>
      </x:c>
      <x:c r="D1004" s="7" t="str">
        <x:f>IF(ISNUMBER(C1004),C1004^2,"")</x:f>
      </x:c>
      <x:c r="E1004" s="15" t="str">
        <x:f>IF(ISNUMBER(C1004),C1004^3,"")</x:f>
      </x:c>
      <x:c r="F1004" s="15" t="str">
        <x:f>IF(ISNUMBER(C1004),C1004^4,"")</x:f>
      </x:c>
      <x:c r="G1004" s="7" t="str">
        <x:f>IF(ISNUMBER(B1004),ABS(B1004),"")</x:f>
      </x:c>
      <x:c r="H1004" s="7" t="str">
        <x:f>IF(ISNUMBER(B1004),B1004^2,"")</x:f>
      </x:c>
      <x:c r="I1004" s="7" t="str">
        <x:f>IF(AND(ISNUMBER(G1004),'요약'!$B$19),G1004-'요약'!$B$14,"")</x:f>
      </x:c>
      <x:c r="J1004" s="7" t="str">
        <x:f>IF(AND(ISNUMBER(H1004),'요약'!$B$19),H1004-'요약'!$B$15,"")</x:f>
      </x:c>
      <x:c r="K1004" t="str">
        <x:f>IF(ISNUMBER(B1004),IF('Hill'!$B$4=1,IF(B1004&lt;0,-B1004,""),IF('Hill'!$B$4=2,IF(B1004&gt;0,B1004,""),IF('Hill'!$B$4=3,IF(B1004&lt;&gt;0,ABS(B1004),""),""))),"")</x:f>
      </x:c>
    </x:row>
    <x:row r="1005">
      <x:c r="A1005" t="n">
        <x:f>1004</x:f>
        <x:v>1004</x:v>
      </x:c>
      <x:c r="B1005" s="7" t="str">
        <x:f>IF('요약'!$B$4=4,IF(ISNUMBER('input'!A1005),'input'!A1005,""),IF(1004&lt;=1000,CHOOSE('요약'!$B$4,'input'!B1005,'input'!C1005,'input'!D1005),""))</x:f>
      </x:c>
      <x:c r="C1005" s="7" t="str">
        <x:f>IF(AND(ISNUMBER(B1005),'요약'!$B$19),B1005-'요약'!$B$7,"")</x:f>
      </x:c>
      <x:c r="D1005" s="7" t="str">
        <x:f>IF(ISNUMBER(C1005),C1005^2,"")</x:f>
      </x:c>
      <x:c r="E1005" s="15" t="str">
        <x:f>IF(ISNUMBER(C1005),C1005^3,"")</x:f>
      </x:c>
      <x:c r="F1005" s="15" t="str">
        <x:f>IF(ISNUMBER(C1005),C1005^4,"")</x:f>
      </x:c>
      <x:c r="G1005" s="7" t="str">
        <x:f>IF(ISNUMBER(B1005),ABS(B1005),"")</x:f>
      </x:c>
      <x:c r="H1005" s="7" t="str">
        <x:f>IF(ISNUMBER(B1005),B1005^2,"")</x:f>
      </x:c>
      <x:c r="I1005" s="7" t="str">
        <x:f>IF(AND(ISNUMBER(G1005),'요약'!$B$19),G1005-'요약'!$B$14,"")</x:f>
      </x:c>
      <x:c r="J1005" s="7" t="str">
        <x:f>IF(AND(ISNUMBER(H1005),'요약'!$B$19),H1005-'요약'!$B$15,"")</x:f>
      </x:c>
      <x:c r="K1005" t="str">
        <x:f>IF(ISNUMBER(B1005),IF('Hill'!$B$4=1,IF(B1005&lt;0,-B1005,""),IF('Hill'!$B$4=2,IF(B1005&gt;0,B1005,""),IF('Hill'!$B$4=3,IF(B1005&lt;&gt;0,ABS(B1005),""),""))),"")</x:f>
      </x:c>
    </x:row>
    <x:row r="1006">
      <x:c r="A1006" t="n">
        <x:f>1005</x:f>
        <x:v>1005</x:v>
      </x:c>
      <x:c r="B1006" s="7" t="str">
        <x:f>IF('요약'!$B$4=4,IF(ISNUMBER('input'!A1006),'input'!A1006,""),IF(1005&lt;=1000,CHOOSE('요약'!$B$4,'input'!B1006,'input'!C1006,'input'!D1006),""))</x:f>
      </x:c>
      <x:c r="C1006" s="7" t="str">
        <x:f>IF(AND(ISNUMBER(B1006),'요약'!$B$19),B1006-'요약'!$B$7,"")</x:f>
      </x:c>
      <x:c r="D1006" s="7" t="str">
        <x:f>IF(ISNUMBER(C1006),C1006^2,"")</x:f>
      </x:c>
      <x:c r="E1006" s="15" t="str">
        <x:f>IF(ISNUMBER(C1006),C1006^3,"")</x:f>
      </x:c>
      <x:c r="F1006" s="15" t="str">
        <x:f>IF(ISNUMBER(C1006),C1006^4,"")</x:f>
      </x:c>
      <x:c r="G1006" s="7" t="str">
        <x:f>IF(ISNUMBER(B1006),ABS(B1006),"")</x:f>
      </x:c>
      <x:c r="H1006" s="7" t="str">
        <x:f>IF(ISNUMBER(B1006),B1006^2,"")</x:f>
      </x:c>
      <x:c r="I1006" s="7" t="str">
        <x:f>IF(AND(ISNUMBER(G1006),'요약'!$B$19),G1006-'요약'!$B$14,"")</x:f>
      </x:c>
      <x:c r="J1006" s="7" t="str">
        <x:f>IF(AND(ISNUMBER(H1006),'요약'!$B$19),H1006-'요약'!$B$15,"")</x:f>
      </x:c>
      <x:c r="K1006" t="str">
        <x:f>IF(ISNUMBER(B1006),IF('Hill'!$B$4=1,IF(B1006&lt;0,-B1006,""),IF('Hill'!$B$4=2,IF(B1006&gt;0,B1006,""),IF('Hill'!$B$4=3,IF(B1006&lt;&gt;0,ABS(B1006),""),""))),"")</x:f>
      </x:c>
    </x:row>
    <x:row r="1007">
      <x:c r="A1007" t="n">
        <x:f>1006</x:f>
        <x:v>1006</x:v>
      </x:c>
      <x:c r="B1007" s="7" t="str">
        <x:f>IF('요약'!$B$4=4,IF(ISNUMBER('input'!A1007),'input'!A1007,""),IF(1006&lt;=1000,CHOOSE('요약'!$B$4,'input'!B1007,'input'!C1007,'input'!D1007),""))</x:f>
      </x:c>
      <x:c r="C1007" s="7" t="str">
        <x:f>IF(AND(ISNUMBER(B1007),'요약'!$B$19),B1007-'요약'!$B$7,"")</x:f>
      </x:c>
      <x:c r="D1007" s="7" t="str">
        <x:f>IF(ISNUMBER(C1007),C1007^2,"")</x:f>
      </x:c>
      <x:c r="E1007" s="15" t="str">
        <x:f>IF(ISNUMBER(C1007),C1007^3,"")</x:f>
      </x:c>
      <x:c r="F1007" s="15" t="str">
        <x:f>IF(ISNUMBER(C1007),C1007^4,"")</x:f>
      </x:c>
      <x:c r="G1007" s="7" t="str">
        <x:f>IF(ISNUMBER(B1007),ABS(B1007),"")</x:f>
      </x:c>
      <x:c r="H1007" s="7" t="str">
        <x:f>IF(ISNUMBER(B1007),B1007^2,"")</x:f>
      </x:c>
      <x:c r="I1007" s="7" t="str">
        <x:f>IF(AND(ISNUMBER(G1007),'요약'!$B$19),G1007-'요약'!$B$14,"")</x:f>
      </x:c>
      <x:c r="J1007" s="7" t="str">
        <x:f>IF(AND(ISNUMBER(H1007),'요약'!$B$19),H1007-'요약'!$B$15,"")</x:f>
      </x:c>
      <x:c r="K1007" t="str">
        <x:f>IF(ISNUMBER(B1007),IF('Hill'!$B$4=1,IF(B1007&lt;0,-B1007,""),IF('Hill'!$B$4=2,IF(B1007&gt;0,B1007,""),IF('Hill'!$B$4=3,IF(B1007&lt;&gt;0,ABS(B1007),""),""))),"")</x:f>
      </x:c>
    </x:row>
    <x:row r="1008">
      <x:c r="A1008" t="n">
        <x:f>1007</x:f>
        <x:v>1007</x:v>
      </x:c>
      <x:c r="B1008" s="7" t="str">
        <x:f>IF('요약'!$B$4=4,IF(ISNUMBER('input'!A1008),'input'!A1008,""),IF(1007&lt;=1000,CHOOSE('요약'!$B$4,'input'!B1008,'input'!C1008,'input'!D1008),""))</x:f>
      </x:c>
      <x:c r="C1008" s="7" t="str">
        <x:f>IF(AND(ISNUMBER(B1008),'요약'!$B$19),B1008-'요약'!$B$7,"")</x:f>
      </x:c>
      <x:c r="D1008" s="7" t="str">
        <x:f>IF(ISNUMBER(C1008),C1008^2,"")</x:f>
      </x:c>
      <x:c r="E1008" s="15" t="str">
        <x:f>IF(ISNUMBER(C1008),C1008^3,"")</x:f>
      </x:c>
      <x:c r="F1008" s="15" t="str">
        <x:f>IF(ISNUMBER(C1008),C1008^4,"")</x:f>
      </x:c>
      <x:c r="G1008" s="7" t="str">
        <x:f>IF(ISNUMBER(B1008),ABS(B1008),"")</x:f>
      </x:c>
      <x:c r="H1008" s="7" t="str">
        <x:f>IF(ISNUMBER(B1008),B1008^2,"")</x:f>
      </x:c>
      <x:c r="I1008" s="7" t="str">
        <x:f>IF(AND(ISNUMBER(G1008),'요약'!$B$19),G1008-'요약'!$B$14,"")</x:f>
      </x:c>
      <x:c r="J1008" s="7" t="str">
        <x:f>IF(AND(ISNUMBER(H1008),'요약'!$B$19),H1008-'요약'!$B$15,"")</x:f>
      </x:c>
      <x:c r="K1008" t="str">
        <x:f>IF(ISNUMBER(B1008),IF('Hill'!$B$4=1,IF(B1008&lt;0,-B1008,""),IF('Hill'!$B$4=2,IF(B1008&gt;0,B1008,""),IF('Hill'!$B$4=3,IF(B1008&lt;&gt;0,ABS(B1008),""),""))),"")</x:f>
      </x:c>
    </x:row>
    <x:row r="1009">
      <x:c r="A1009" t="n">
        <x:f>1008</x:f>
        <x:v>1008</x:v>
      </x:c>
      <x:c r="B1009" s="7" t="str">
        <x:f>IF('요약'!$B$4=4,IF(ISNUMBER('input'!A1009),'input'!A1009,""),IF(1008&lt;=1000,CHOOSE('요약'!$B$4,'input'!B1009,'input'!C1009,'input'!D1009),""))</x:f>
      </x:c>
      <x:c r="C1009" s="7" t="str">
        <x:f>IF(AND(ISNUMBER(B1009),'요약'!$B$19),B1009-'요약'!$B$7,"")</x:f>
      </x:c>
      <x:c r="D1009" s="7" t="str">
        <x:f>IF(ISNUMBER(C1009),C1009^2,"")</x:f>
      </x:c>
      <x:c r="E1009" s="15" t="str">
        <x:f>IF(ISNUMBER(C1009),C1009^3,"")</x:f>
      </x:c>
      <x:c r="F1009" s="15" t="str">
        <x:f>IF(ISNUMBER(C1009),C1009^4,"")</x:f>
      </x:c>
      <x:c r="G1009" s="7" t="str">
        <x:f>IF(ISNUMBER(B1009),ABS(B1009),"")</x:f>
      </x:c>
      <x:c r="H1009" s="7" t="str">
        <x:f>IF(ISNUMBER(B1009),B1009^2,"")</x:f>
      </x:c>
      <x:c r="I1009" s="7" t="str">
        <x:f>IF(AND(ISNUMBER(G1009),'요약'!$B$19),G1009-'요약'!$B$14,"")</x:f>
      </x:c>
      <x:c r="J1009" s="7" t="str">
        <x:f>IF(AND(ISNUMBER(H1009),'요약'!$B$19),H1009-'요약'!$B$15,"")</x:f>
      </x:c>
      <x:c r="K1009" t="str">
        <x:f>IF(ISNUMBER(B1009),IF('Hill'!$B$4=1,IF(B1009&lt;0,-B1009,""),IF('Hill'!$B$4=2,IF(B1009&gt;0,B1009,""),IF('Hill'!$B$4=3,IF(B1009&lt;&gt;0,ABS(B1009),""),""))),"")</x:f>
      </x:c>
    </x:row>
    <x:row r="1010">
      <x:c r="A1010" t="n">
        <x:f>1009</x:f>
        <x:v>1009</x:v>
      </x:c>
      <x:c r="B1010" s="7" t="str">
        <x:f>IF('요약'!$B$4=4,IF(ISNUMBER('input'!A1010),'input'!A1010,""),IF(1009&lt;=1000,CHOOSE('요약'!$B$4,'input'!B1010,'input'!C1010,'input'!D1010),""))</x:f>
      </x:c>
      <x:c r="C1010" s="7" t="str">
        <x:f>IF(AND(ISNUMBER(B1010),'요약'!$B$19),B1010-'요약'!$B$7,"")</x:f>
      </x:c>
      <x:c r="D1010" s="7" t="str">
        <x:f>IF(ISNUMBER(C1010),C1010^2,"")</x:f>
      </x:c>
      <x:c r="E1010" s="15" t="str">
        <x:f>IF(ISNUMBER(C1010),C1010^3,"")</x:f>
      </x:c>
      <x:c r="F1010" s="15" t="str">
        <x:f>IF(ISNUMBER(C1010),C1010^4,"")</x:f>
      </x:c>
      <x:c r="G1010" s="7" t="str">
        <x:f>IF(ISNUMBER(B1010),ABS(B1010),"")</x:f>
      </x:c>
      <x:c r="H1010" s="7" t="str">
        <x:f>IF(ISNUMBER(B1010),B1010^2,"")</x:f>
      </x:c>
      <x:c r="I1010" s="7" t="str">
        <x:f>IF(AND(ISNUMBER(G1010),'요약'!$B$19),G1010-'요약'!$B$14,"")</x:f>
      </x:c>
      <x:c r="J1010" s="7" t="str">
        <x:f>IF(AND(ISNUMBER(H1010),'요약'!$B$19),H1010-'요약'!$B$15,"")</x:f>
      </x:c>
      <x:c r="K1010" t="str">
        <x:f>IF(ISNUMBER(B1010),IF('Hill'!$B$4=1,IF(B1010&lt;0,-B1010,""),IF('Hill'!$B$4=2,IF(B1010&gt;0,B1010,""),IF('Hill'!$B$4=3,IF(B1010&lt;&gt;0,ABS(B1010),""),""))),"")</x:f>
      </x:c>
    </x:row>
    <x:row r="1011">
      <x:c r="A1011" t="n">
        <x:f>1010</x:f>
        <x:v>1010</x:v>
      </x:c>
      <x:c r="B1011" s="7" t="str">
        <x:f>IF('요약'!$B$4=4,IF(ISNUMBER('input'!A1011),'input'!A1011,""),IF(1010&lt;=1000,CHOOSE('요약'!$B$4,'input'!B1011,'input'!C1011,'input'!D1011),""))</x:f>
      </x:c>
      <x:c r="C1011" s="7" t="str">
        <x:f>IF(AND(ISNUMBER(B1011),'요약'!$B$19),B1011-'요약'!$B$7,"")</x:f>
      </x:c>
      <x:c r="D1011" s="7" t="str">
        <x:f>IF(ISNUMBER(C1011),C1011^2,"")</x:f>
      </x:c>
      <x:c r="E1011" s="15" t="str">
        <x:f>IF(ISNUMBER(C1011),C1011^3,"")</x:f>
      </x:c>
      <x:c r="F1011" s="15" t="str">
        <x:f>IF(ISNUMBER(C1011),C1011^4,"")</x:f>
      </x:c>
      <x:c r="G1011" s="7" t="str">
        <x:f>IF(ISNUMBER(B1011),ABS(B1011),"")</x:f>
      </x:c>
      <x:c r="H1011" s="7" t="str">
        <x:f>IF(ISNUMBER(B1011),B1011^2,"")</x:f>
      </x:c>
      <x:c r="I1011" s="7" t="str">
        <x:f>IF(AND(ISNUMBER(G1011),'요약'!$B$19),G1011-'요약'!$B$14,"")</x:f>
      </x:c>
      <x:c r="J1011" s="7" t="str">
        <x:f>IF(AND(ISNUMBER(H1011),'요약'!$B$19),H1011-'요약'!$B$15,"")</x:f>
      </x:c>
      <x:c r="K1011" t="str">
        <x:f>IF(ISNUMBER(B1011),IF('Hill'!$B$4=1,IF(B1011&lt;0,-B1011,""),IF('Hill'!$B$4=2,IF(B1011&gt;0,B1011,""),IF('Hill'!$B$4=3,IF(B1011&lt;&gt;0,ABS(B1011),""),""))),"")</x:f>
      </x:c>
    </x:row>
    <x:row r="1012">
      <x:c r="A1012" t="n">
        <x:f>1011</x:f>
        <x:v>1011</x:v>
      </x:c>
      <x:c r="B1012" s="7" t="str">
        <x:f>IF('요약'!$B$4=4,IF(ISNUMBER('input'!A1012),'input'!A1012,""),IF(1011&lt;=1000,CHOOSE('요약'!$B$4,'input'!B1012,'input'!C1012,'input'!D1012),""))</x:f>
      </x:c>
      <x:c r="C1012" s="7" t="str">
        <x:f>IF(AND(ISNUMBER(B1012),'요약'!$B$19),B1012-'요약'!$B$7,"")</x:f>
      </x:c>
      <x:c r="D1012" s="7" t="str">
        <x:f>IF(ISNUMBER(C1012),C1012^2,"")</x:f>
      </x:c>
      <x:c r="E1012" s="15" t="str">
        <x:f>IF(ISNUMBER(C1012),C1012^3,"")</x:f>
      </x:c>
      <x:c r="F1012" s="15" t="str">
        <x:f>IF(ISNUMBER(C1012),C1012^4,"")</x:f>
      </x:c>
      <x:c r="G1012" s="7" t="str">
        <x:f>IF(ISNUMBER(B1012),ABS(B1012),"")</x:f>
      </x:c>
      <x:c r="H1012" s="7" t="str">
        <x:f>IF(ISNUMBER(B1012),B1012^2,"")</x:f>
      </x:c>
      <x:c r="I1012" s="7" t="str">
        <x:f>IF(AND(ISNUMBER(G1012),'요약'!$B$19),G1012-'요약'!$B$14,"")</x:f>
      </x:c>
      <x:c r="J1012" s="7" t="str">
        <x:f>IF(AND(ISNUMBER(H1012),'요약'!$B$19),H1012-'요약'!$B$15,"")</x:f>
      </x:c>
      <x:c r="K1012" t="str">
        <x:f>IF(ISNUMBER(B1012),IF('Hill'!$B$4=1,IF(B1012&lt;0,-B1012,""),IF('Hill'!$B$4=2,IF(B1012&gt;0,B1012,""),IF('Hill'!$B$4=3,IF(B1012&lt;&gt;0,ABS(B1012),""),""))),"")</x:f>
      </x:c>
    </x:row>
    <x:row r="1013">
      <x:c r="A1013" t="n">
        <x:f>1012</x:f>
        <x:v>1012</x:v>
      </x:c>
      <x:c r="B1013" s="7" t="str">
        <x:f>IF('요약'!$B$4=4,IF(ISNUMBER('input'!A1013),'input'!A1013,""),IF(1012&lt;=1000,CHOOSE('요약'!$B$4,'input'!B1013,'input'!C1013,'input'!D1013),""))</x:f>
      </x:c>
      <x:c r="C1013" s="7" t="str">
        <x:f>IF(AND(ISNUMBER(B1013),'요약'!$B$19),B1013-'요약'!$B$7,"")</x:f>
      </x:c>
      <x:c r="D1013" s="7" t="str">
        <x:f>IF(ISNUMBER(C1013),C1013^2,"")</x:f>
      </x:c>
      <x:c r="E1013" s="15" t="str">
        <x:f>IF(ISNUMBER(C1013),C1013^3,"")</x:f>
      </x:c>
      <x:c r="F1013" s="15" t="str">
        <x:f>IF(ISNUMBER(C1013),C1013^4,"")</x:f>
      </x:c>
      <x:c r="G1013" s="7" t="str">
        <x:f>IF(ISNUMBER(B1013),ABS(B1013),"")</x:f>
      </x:c>
      <x:c r="H1013" s="7" t="str">
        <x:f>IF(ISNUMBER(B1013),B1013^2,"")</x:f>
      </x:c>
      <x:c r="I1013" s="7" t="str">
        <x:f>IF(AND(ISNUMBER(G1013),'요약'!$B$19),G1013-'요약'!$B$14,"")</x:f>
      </x:c>
      <x:c r="J1013" s="7" t="str">
        <x:f>IF(AND(ISNUMBER(H1013),'요약'!$B$19),H1013-'요약'!$B$15,"")</x:f>
      </x:c>
      <x:c r="K1013" t="str">
        <x:f>IF(ISNUMBER(B1013),IF('Hill'!$B$4=1,IF(B1013&lt;0,-B1013,""),IF('Hill'!$B$4=2,IF(B1013&gt;0,B1013,""),IF('Hill'!$B$4=3,IF(B1013&lt;&gt;0,ABS(B1013),""),""))),"")</x:f>
      </x:c>
    </x:row>
    <x:row r="1014">
      <x:c r="A1014" t="n">
        <x:f>1013</x:f>
        <x:v>1013</x:v>
      </x:c>
      <x:c r="B1014" s="7" t="str">
        <x:f>IF('요약'!$B$4=4,IF(ISNUMBER('input'!A1014),'input'!A1014,""),IF(1013&lt;=1000,CHOOSE('요약'!$B$4,'input'!B1014,'input'!C1014,'input'!D1014),""))</x:f>
      </x:c>
      <x:c r="C1014" s="7" t="str">
        <x:f>IF(AND(ISNUMBER(B1014),'요약'!$B$19),B1014-'요약'!$B$7,"")</x:f>
      </x:c>
      <x:c r="D1014" s="7" t="str">
        <x:f>IF(ISNUMBER(C1014),C1014^2,"")</x:f>
      </x:c>
      <x:c r="E1014" s="15" t="str">
        <x:f>IF(ISNUMBER(C1014),C1014^3,"")</x:f>
      </x:c>
      <x:c r="F1014" s="15" t="str">
        <x:f>IF(ISNUMBER(C1014),C1014^4,"")</x:f>
      </x:c>
      <x:c r="G1014" s="7" t="str">
        <x:f>IF(ISNUMBER(B1014),ABS(B1014),"")</x:f>
      </x:c>
      <x:c r="H1014" s="7" t="str">
        <x:f>IF(ISNUMBER(B1014),B1014^2,"")</x:f>
      </x:c>
      <x:c r="I1014" s="7" t="str">
        <x:f>IF(AND(ISNUMBER(G1014),'요약'!$B$19),G1014-'요약'!$B$14,"")</x:f>
      </x:c>
      <x:c r="J1014" s="7" t="str">
        <x:f>IF(AND(ISNUMBER(H1014),'요약'!$B$19),H1014-'요약'!$B$15,"")</x:f>
      </x:c>
      <x:c r="K1014" t="str">
        <x:f>IF(ISNUMBER(B1014),IF('Hill'!$B$4=1,IF(B1014&lt;0,-B1014,""),IF('Hill'!$B$4=2,IF(B1014&gt;0,B1014,""),IF('Hill'!$B$4=3,IF(B1014&lt;&gt;0,ABS(B1014),""),""))),"")</x:f>
      </x:c>
    </x:row>
    <x:row r="1015">
      <x:c r="A1015" t="n">
        <x:f>1014</x:f>
        <x:v>1014</x:v>
      </x:c>
      <x:c r="B1015" s="7" t="str">
        <x:f>IF('요약'!$B$4=4,IF(ISNUMBER('input'!A1015),'input'!A1015,""),IF(1014&lt;=1000,CHOOSE('요약'!$B$4,'input'!B1015,'input'!C1015,'input'!D1015),""))</x:f>
      </x:c>
      <x:c r="C1015" s="7" t="str">
        <x:f>IF(AND(ISNUMBER(B1015),'요약'!$B$19),B1015-'요약'!$B$7,"")</x:f>
      </x:c>
      <x:c r="D1015" s="7" t="str">
        <x:f>IF(ISNUMBER(C1015),C1015^2,"")</x:f>
      </x:c>
      <x:c r="E1015" s="15" t="str">
        <x:f>IF(ISNUMBER(C1015),C1015^3,"")</x:f>
      </x:c>
      <x:c r="F1015" s="15" t="str">
        <x:f>IF(ISNUMBER(C1015),C1015^4,"")</x:f>
      </x:c>
      <x:c r="G1015" s="7" t="str">
        <x:f>IF(ISNUMBER(B1015),ABS(B1015),"")</x:f>
      </x:c>
      <x:c r="H1015" s="7" t="str">
        <x:f>IF(ISNUMBER(B1015),B1015^2,"")</x:f>
      </x:c>
      <x:c r="I1015" s="7" t="str">
        <x:f>IF(AND(ISNUMBER(G1015),'요약'!$B$19),G1015-'요약'!$B$14,"")</x:f>
      </x:c>
      <x:c r="J1015" s="7" t="str">
        <x:f>IF(AND(ISNUMBER(H1015),'요약'!$B$19),H1015-'요약'!$B$15,"")</x:f>
      </x:c>
      <x:c r="K1015" t="str">
        <x:f>IF(ISNUMBER(B1015),IF('Hill'!$B$4=1,IF(B1015&lt;0,-B1015,""),IF('Hill'!$B$4=2,IF(B1015&gt;0,B1015,""),IF('Hill'!$B$4=3,IF(B1015&lt;&gt;0,ABS(B1015),""),""))),"")</x:f>
      </x:c>
    </x:row>
    <x:row r="1016">
      <x:c r="A1016" t="n">
        <x:f>1015</x:f>
        <x:v>1015</x:v>
      </x:c>
      <x:c r="B1016" s="7" t="str">
        <x:f>IF('요약'!$B$4=4,IF(ISNUMBER('input'!A1016),'input'!A1016,""),IF(1015&lt;=1000,CHOOSE('요약'!$B$4,'input'!B1016,'input'!C1016,'input'!D1016),""))</x:f>
      </x:c>
      <x:c r="C1016" s="7" t="str">
        <x:f>IF(AND(ISNUMBER(B1016),'요약'!$B$19),B1016-'요약'!$B$7,"")</x:f>
      </x:c>
      <x:c r="D1016" s="7" t="str">
        <x:f>IF(ISNUMBER(C1016),C1016^2,"")</x:f>
      </x:c>
      <x:c r="E1016" s="15" t="str">
        <x:f>IF(ISNUMBER(C1016),C1016^3,"")</x:f>
      </x:c>
      <x:c r="F1016" s="15" t="str">
        <x:f>IF(ISNUMBER(C1016),C1016^4,"")</x:f>
      </x:c>
      <x:c r="G1016" s="7" t="str">
        <x:f>IF(ISNUMBER(B1016),ABS(B1016),"")</x:f>
      </x:c>
      <x:c r="H1016" s="7" t="str">
        <x:f>IF(ISNUMBER(B1016),B1016^2,"")</x:f>
      </x:c>
      <x:c r="I1016" s="7" t="str">
        <x:f>IF(AND(ISNUMBER(G1016),'요약'!$B$19),G1016-'요약'!$B$14,"")</x:f>
      </x:c>
      <x:c r="J1016" s="7" t="str">
        <x:f>IF(AND(ISNUMBER(H1016),'요약'!$B$19),H1016-'요약'!$B$15,"")</x:f>
      </x:c>
      <x:c r="K1016" t="str">
        <x:f>IF(ISNUMBER(B1016),IF('Hill'!$B$4=1,IF(B1016&lt;0,-B1016,""),IF('Hill'!$B$4=2,IF(B1016&gt;0,B1016,""),IF('Hill'!$B$4=3,IF(B1016&lt;&gt;0,ABS(B1016),""),""))),"")</x:f>
      </x:c>
    </x:row>
    <x:row r="1017">
      <x:c r="A1017" t="n">
        <x:f>1016</x:f>
        <x:v>1016</x:v>
      </x:c>
      <x:c r="B1017" s="7" t="str">
        <x:f>IF('요약'!$B$4=4,IF(ISNUMBER('input'!A1017),'input'!A1017,""),IF(1016&lt;=1000,CHOOSE('요약'!$B$4,'input'!B1017,'input'!C1017,'input'!D1017),""))</x:f>
      </x:c>
      <x:c r="C1017" s="7" t="str">
        <x:f>IF(AND(ISNUMBER(B1017),'요약'!$B$19),B1017-'요약'!$B$7,"")</x:f>
      </x:c>
      <x:c r="D1017" s="7" t="str">
        <x:f>IF(ISNUMBER(C1017),C1017^2,"")</x:f>
      </x:c>
      <x:c r="E1017" s="15" t="str">
        <x:f>IF(ISNUMBER(C1017),C1017^3,"")</x:f>
      </x:c>
      <x:c r="F1017" s="15" t="str">
        <x:f>IF(ISNUMBER(C1017),C1017^4,"")</x:f>
      </x:c>
      <x:c r="G1017" s="7" t="str">
        <x:f>IF(ISNUMBER(B1017),ABS(B1017),"")</x:f>
      </x:c>
      <x:c r="H1017" s="7" t="str">
        <x:f>IF(ISNUMBER(B1017),B1017^2,"")</x:f>
      </x:c>
      <x:c r="I1017" s="7" t="str">
        <x:f>IF(AND(ISNUMBER(G1017),'요약'!$B$19),G1017-'요약'!$B$14,"")</x:f>
      </x:c>
      <x:c r="J1017" s="7" t="str">
        <x:f>IF(AND(ISNUMBER(H1017),'요약'!$B$19),H1017-'요약'!$B$15,"")</x:f>
      </x:c>
      <x:c r="K1017" t="str">
        <x:f>IF(ISNUMBER(B1017),IF('Hill'!$B$4=1,IF(B1017&lt;0,-B1017,""),IF('Hill'!$B$4=2,IF(B1017&gt;0,B1017,""),IF('Hill'!$B$4=3,IF(B1017&lt;&gt;0,ABS(B1017),""),""))),"")</x:f>
      </x:c>
    </x:row>
    <x:row r="1018">
      <x:c r="A1018" t="n">
        <x:f>1017</x:f>
        <x:v>1017</x:v>
      </x:c>
      <x:c r="B1018" s="7" t="str">
        <x:f>IF('요약'!$B$4=4,IF(ISNUMBER('input'!A1018),'input'!A1018,""),IF(1017&lt;=1000,CHOOSE('요약'!$B$4,'input'!B1018,'input'!C1018,'input'!D1018),""))</x:f>
      </x:c>
      <x:c r="C1018" s="7" t="str">
        <x:f>IF(AND(ISNUMBER(B1018),'요약'!$B$19),B1018-'요약'!$B$7,"")</x:f>
      </x:c>
      <x:c r="D1018" s="7" t="str">
        <x:f>IF(ISNUMBER(C1018),C1018^2,"")</x:f>
      </x:c>
      <x:c r="E1018" s="15" t="str">
        <x:f>IF(ISNUMBER(C1018),C1018^3,"")</x:f>
      </x:c>
      <x:c r="F1018" s="15" t="str">
        <x:f>IF(ISNUMBER(C1018),C1018^4,"")</x:f>
      </x:c>
      <x:c r="G1018" s="7" t="str">
        <x:f>IF(ISNUMBER(B1018),ABS(B1018),"")</x:f>
      </x:c>
      <x:c r="H1018" s="7" t="str">
        <x:f>IF(ISNUMBER(B1018),B1018^2,"")</x:f>
      </x:c>
      <x:c r="I1018" s="7" t="str">
        <x:f>IF(AND(ISNUMBER(G1018),'요약'!$B$19),G1018-'요약'!$B$14,"")</x:f>
      </x:c>
      <x:c r="J1018" s="7" t="str">
        <x:f>IF(AND(ISNUMBER(H1018),'요약'!$B$19),H1018-'요약'!$B$15,"")</x:f>
      </x:c>
      <x:c r="K1018" t="str">
        <x:f>IF(ISNUMBER(B1018),IF('Hill'!$B$4=1,IF(B1018&lt;0,-B1018,""),IF('Hill'!$B$4=2,IF(B1018&gt;0,B1018,""),IF('Hill'!$B$4=3,IF(B1018&lt;&gt;0,ABS(B1018),""),""))),"")</x:f>
      </x:c>
    </x:row>
    <x:row r="1019">
      <x:c r="A1019" t="n">
        <x:f>1018</x:f>
        <x:v>1018</x:v>
      </x:c>
      <x:c r="B1019" s="7" t="str">
        <x:f>IF('요약'!$B$4=4,IF(ISNUMBER('input'!A1019),'input'!A1019,""),IF(1018&lt;=1000,CHOOSE('요약'!$B$4,'input'!B1019,'input'!C1019,'input'!D1019),""))</x:f>
      </x:c>
      <x:c r="C1019" s="7" t="str">
        <x:f>IF(AND(ISNUMBER(B1019),'요약'!$B$19),B1019-'요약'!$B$7,"")</x:f>
      </x:c>
      <x:c r="D1019" s="7" t="str">
        <x:f>IF(ISNUMBER(C1019),C1019^2,"")</x:f>
      </x:c>
      <x:c r="E1019" s="15" t="str">
        <x:f>IF(ISNUMBER(C1019),C1019^3,"")</x:f>
      </x:c>
      <x:c r="F1019" s="15" t="str">
        <x:f>IF(ISNUMBER(C1019),C1019^4,"")</x:f>
      </x:c>
      <x:c r="G1019" s="7" t="str">
        <x:f>IF(ISNUMBER(B1019),ABS(B1019),"")</x:f>
      </x:c>
      <x:c r="H1019" s="7" t="str">
        <x:f>IF(ISNUMBER(B1019),B1019^2,"")</x:f>
      </x:c>
      <x:c r="I1019" s="7" t="str">
        <x:f>IF(AND(ISNUMBER(G1019),'요약'!$B$19),G1019-'요약'!$B$14,"")</x:f>
      </x:c>
      <x:c r="J1019" s="7" t="str">
        <x:f>IF(AND(ISNUMBER(H1019),'요약'!$B$19),H1019-'요약'!$B$15,"")</x:f>
      </x:c>
      <x:c r="K1019" t="str">
        <x:f>IF(ISNUMBER(B1019),IF('Hill'!$B$4=1,IF(B1019&lt;0,-B1019,""),IF('Hill'!$B$4=2,IF(B1019&gt;0,B1019,""),IF('Hill'!$B$4=3,IF(B1019&lt;&gt;0,ABS(B1019),""),""))),"")</x:f>
      </x:c>
    </x:row>
    <x:row r="1020">
      <x:c r="A1020" t="n">
        <x:f>1019</x:f>
        <x:v>1019</x:v>
      </x:c>
      <x:c r="B1020" s="7" t="str">
        <x:f>IF('요약'!$B$4=4,IF(ISNUMBER('input'!A1020),'input'!A1020,""),IF(1019&lt;=1000,CHOOSE('요약'!$B$4,'input'!B1020,'input'!C1020,'input'!D1020),""))</x:f>
      </x:c>
      <x:c r="C1020" s="7" t="str">
        <x:f>IF(AND(ISNUMBER(B1020),'요약'!$B$19),B1020-'요약'!$B$7,"")</x:f>
      </x:c>
      <x:c r="D1020" s="7" t="str">
        <x:f>IF(ISNUMBER(C1020),C1020^2,"")</x:f>
      </x:c>
      <x:c r="E1020" s="15" t="str">
        <x:f>IF(ISNUMBER(C1020),C1020^3,"")</x:f>
      </x:c>
      <x:c r="F1020" s="15" t="str">
        <x:f>IF(ISNUMBER(C1020),C1020^4,"")</x:f>
      </x:c>
      <x:c r="G1020" s="7" t="str">
        <x:f>IF(ISNUMBER(B1020),ABS(B1020),"")</x:f>
      </x:c>
      <x:c r="H1020" s="7" t="str">
        <x:f>IF(ISNUMBER(B1020),B1020^2,"")</x:f>
      </x:c>
      <x:c r="I1020" s="7" t="str">
        <x:f>IF(AND(ISNUMBER(G1020),'요약'!$B$19),G1020-'요약'!$B$14,"")</x:f>
      </x:c>
      <x:c r="J1020" s="7" t="str">
        <x:f>IF(AND(ISNUMBER(H1020),'요약'!$B$19),H1020-'요약'!$B$15,"")</x:f>
      </x:c>
      <x:c r="K1020" t="str">
        <x:f>IF(ISNUMBER(B1020),IF('Hill'!$B$4=1,IF(B1020&lt;0,-B1020,""),IF('Hill'!$B$4=2,IF(B1020&gt;0,B1020,""),IF('Hill'!$B$4=3,IF(B1020&lt;&gt;0,ABS(B1020),""),""))),"")</x:f>
      </x:c>
    </x:row>
    <x:row r="1021">
      <x:c r="A1021" t="n">
        <x:f>1020</x:f>
        <x:v>1020</x:v>
      </x:c>
      <x:c r="B1021" s="7" t="str">
        <x:f>IF('요약'!$B$4=4,IF(ISNUMBER('input'!A1021),'input'!A1021,""),IF(1020&lt;=1000,CHOOSE('요약'!$B$4,'input'!B1021,'input'!C1021,'input'!D1021),""))</x:f>
      </x:c>
      <x:c r="C1021" s="7" t="str">
        <x:f>IF(AND(ISNUMBER(B1021),'요약'!$B$19),B1021-'요약'!$B$7,"")</x:f>
      </x:c>
      <x:c r="D1021" s="7" t="str">
        <x:f>IF(ISNUMBER(C1021),C1021^2,"")</x:f>
      </x:c>
      <x:c r="E1021" s="15" t="str">
        <x:f>IF(ISNUMBER(C1021),C1021^3,"")</x:f>
      </x:c>
      <x:c r="F1021" s="15" t="str">
        <x:f>IF(ISNUMBER(C1021),C1021^4,"")</x:f>
      </x:c>
      <x:c r="G1021" s="7" t="str">
        <x:f>IF(ISNUMBER(B1021),ABS(B1021),"")</x:f>
      </x:c>
      <x:c r="H1021" s="7" t="str">
        <x:f>IF(ISNUMBER(B1021),B1021^2,"")</x:f>
      </x:c>
      <x:c r="I1021" s="7" t="str">
        <x:f>IF(AND(ISNUMBER(G1021),'요약'!$B$19),G1021-'요약'!$B$14,"")</x:f>
      </x:c>
      <x:c r="J1021" s="7" t="str">
        <x:f>IF(AND(ISNUMBER(H1021),'요약'!$B$19),H1021-'요약'!$B$15,"")</x:f>
      </x:c>
      <x:c r="K1021" t="str">
        <x:f>IF(ISNUMBER(B1021),IF('Hill'!$B$4=1,IF(B1021&lt;0,-B1021,""),IF('Hill'!$B$4=2,IF(B1021&gt;0,B1021,""),IF('Hill'!$B$4=3,IF(B1021&lt;&gt;0,ABS(B1021),""),""))),"")</x:f>
      </x:c>
    </x:row>
    <x:row r="1022">
      <x:c r="A1022" t="n">
        <x:f>1021</x:f>
        <x:v>1021</x:v>
      </x:c>
      <x:c r="B1022" s="7" t="str">
        <x:f>IF('요약'!$B$4=4,IF(ISNUMBER('input'!A1022),'input'!A1022,""),IF(1021&lt;=1000,CHOOSE('요약'!$B$4,'input'!B1022,'input'!C1022,'input'!D1022),""))</x:f>
      </x:c>
      <x:c r="C1022" s="7" t="str">
        <x:f>IF(AND(ISNUMBER(B1022),'요약'!$B$19),B1022-'요약'!$B$7,"")</x:f>
      </x:c>
      <x:c r="D1022" s="7" t="str">
        <x:f>IF(ISNUMBER(C1022),C1022^2,"")</x:f>
      </x:c>
      <x:c r="E1022" s="15" t="str">
        <x:f>IF(ISNUMBER(C1022),C1022^3,"")</x:f>
      </x:c>
      <x:c r="F1022" s="15" t="str">
        <x:f>IF(ISNUMBER(C1022),C1022^4,"")</x:f>
      </x:c>
      <x:c r="G1022" s="7" t="str">
        <x:f>IF(ISNUMBER(B1022),ABS(B1022),"")</x:f>
      </x:c>
      <x:c r="H1022" s="7" t="str">
        <x:f>IF(ISNUMBER(B1022),B1022^2,"")</x:f>
      </x:c>
      <x:c r="I1022" s="7" t="str">
        <x:f>IF(AND(ISNUMBER(G1022),'요약'!$B$19),G1022-'요약'!$B$14,"")</x:f>
      </x:c>
      <x:c r="J1022" s="7" t="str">
        <x:f>IF(AND(ISNUMBER(H1022),'요약'!$B$19),H1022-'요약'!$B$15,"")</x:f>
      </x:c>
      <x:c r="K1022" t="str">
        <x:f>IF(ISNUMBER(B1022),IF('Hill'!$B$4=1,IF(B1022&lt;0,-B1022,""),IF('Hill'!$B$4=2,IF(B1022&gt;0,B1022,""),IF('Hill'!$B$4=3,IF(B1022&lt;&gt;0,ABS(B1022),""),""))),"")</x:f>
      </x:c>
    </x:row>
    <x:row r="1023">
      <x:c r="A1023" t="n">
        <x:f>1022</x:f>
        <x:v>1022</x:v>
      </x:c>
      <x:c r="B1023" s="7" t="str">
        <x:f>IF('요약'!$B$4=4,IF(ISNUMBER('input'!A1023),'input'!A1023,""),IF(1022&lt;=1000,CHOOSE('요약'!$B$4,'input'!B1023,'input'!C1023,'input'!D1023),""))</x:f>
      </x:c>
      <x:c r="C1023" s="7" t="str">
        <x:f>IF(AND(ISNUMBER(B1023),'요약'!$B$19),B1023-'요약'!$B$7,"")</x:f>
      </x:c>
      <x:c r="D1023" s="7" t="str">
        <x:f>IF(ISNUMBER(C1023),C1023^2,"")</x:f>
      </x:c>
      <x:c r="E1023" s="15" t="str">
        <x:f>IF(ISNUMBER(C1023),C1023^3,"")</x:f>
      </x:c>
      <x:c r="F1023" s="15" t="str">
        <x:f>IF(ISNUMBER(C1023),C1023^4,"")</x:f>
      </x:c>
      <x:c r="G1023" s="7" t="str">
        <x:f>IF(ISNUMBER(B1023),ABS(B1023),"")</x:f>
      </x:c>
      <x:c r="H1023" s="7" t="str">
        <x:f>IF(ISNUMBER(B1023),B1023^2,"")</x:f>
      </x:c>
      <x:c r="I1023" s="7" t="str">
        <x:f>IF(AND(ISNUMBER(G1023),'요약'!$B$19),G1023-'요약'!$B$14,"")</x:f>
      </x:c>
      <x:c r="J1023" s="7" t="str">
        <x:f>IF(AND(ISNUMBER(H1023),'요약'!$B$19),H1023-'요약'!$B$15,"")</x:f>
      </x:c>
      <x:c r="K1023" t="str">
        <x:f>IF(ISNUMBER(B1023),IF('Hill'!$B$4=1,IF(B1023&lt;0,-B1023,""),IF('Hill'!$B$4=2,IF(B1023&gt;0,B1023,""),IF('Hill'!$B$4=3,IF(B1023&lt;&gt;0,ABS(B1023),""),""))),"")</x:f>
      </x:c>
    </x:row>
    <x:row r="1024">
      <x:c r="A1024" t="n">
        <x:f>1023</x:f>
        <x:v>1023</x:v>
      </x:c>
      <x:c r="B1024" s="7" t="str">
        <x:f>IF('요약'!$B$4=4,IF(ISNUMBER('input'!A1024),'input'!A1024,""),IF(1023&lt;=1000,CHOOSE('요약'!$B$4,'input'!B1024,'input'!C1024,'input'!D1024),""))</x:f>
      </x:c>
      <x:c r="C1024" s="7" t="str">
        <x:f>IF(AND(ISNUMBER(B1024),'요약'!$B$19),B1024-'요약'!$B$7,"")</x:f>
      </x:c>
      <x:c r="D1024" s="7" t="str">
        <x:f>IF(ISNUMBER(C1024),C1024^2,"")</x:f>
      </x:c>
      <x:c r="E1024" s="15" t="str">
        <x:f>IF(ISNUMBER(C1024),C1024^3,"")</x:f>
      </x:c>
      <x:c r="F1024" s="15" t="str">
        <x:f>IF(ISNUMBER(C1024),C1024^4,"")</x:f>
      </x:c>
      <x:c r="G1024" s="7" t="str">
        <x:f>IF(ISNUMBER(B1024),ABS(B1024),"")</x:f>
      </x:c>
      <x:c r="H1024" s="7" t="str">
        <x:f>IF(ISNUMBER(B1024),B1024^2,"")</x:f>
      </x:c>
      <x:c r="I1024" s="7" t="str">
        <x:f>IF(AND(ISNUMBER(G1024),'요약'!$B$19),G1024-'요약'!$B$14,"")</x:f>
      </x:c>
      <x:c r="J1024" s="7" t="str">
        <x:f>IF(AND(ISNUMBER(H1024),'요약'!$B$19),H1024-'요약'!$B$15,"")</x:f>
      </x:c>
      <x:c r="K1024" t="str">
        <x:f>IF(ISNUMBER(B1024),IF('Hill'!$B$4=1,IF(B1024&lt;0,-B1024,""),IF('Hill'!$B$4=2,IF(B1024&gt;0,B1024,""),IF('Hill'!$B$4=3,IF(B1024&lt;&gt;0,ABS(B1024),""),""))),"")</x:f>
      </x:c>
    </x:row>
    <x:row r="1025">
      <x:c r="A1025" t="n">
        <x:f>1024</x:f>
        <x:v>1024</x:v>
      </x:c>
      <x:c r="B1025" s="7" t="str">
        <x:f>IF('요약'!$B$4=4,IF(ISNUMBER('input'!A1025),'input'!A1025,""),IF(1024&lt;=1000,CHOOSE('요약'!$B$4,'input'!B1025,'input'!C1025,'input'!D1025),""))</x:f>
      </x:c>
      <x:c r="C1025" s="7" t="str">
        <x:f>IF(AND(ISNUMBER(B1025),'요약'!$B$19),B1025-'요약'!$B$7,"")</x:f>
      </x:c>
      <x:c r="D1025" s="7" t="str">
        <x:f>IF(ISNUMBER(C1025),C1025^2,"")</x:f>
      </x:c>
      <x:c r="E1025" s="15" t="str">
        <x:f>IF(ISNUMBER(C1025),C1025^3,"")</x:f>
      </x:c>
      <x:c r="F1025" s="15" t="str">
        <x:f>IF(ISNUMBER(C1025),C1025^4,"")</x:f>
      </x:c>
      <x:c r="G1025" s="7" t="str">
        <x:f>IF(ISNUMBER(B1025),ABS(B1025),"")</x:f>
      </x:c>
      <x:c r="H1025" s="7" t="str">
        <x:f>IF(ISNUMBER(B1025),B1025^2,"")</x:f>
      </x:c>
      <x:c r="I1025" s="7" t="str">
        <x:f>IF(AND(ISNUMBER(G1025),'요약'!$B$19),G1025-'요약'!$B$14,"")</x:f>
      </x:c>
      <x:c r="J1025" s="7" t="str">
        <x:f>IF(AND(ISNUMBER(H1025),'요약'!$B$19),H1025-'요약'!$B$15,"")</x:f>
      </x:c>
      <x:c r="K1025" t="str">
        <x:f>IF(ISNUMBER(B1025),IF('Hill'!$B$4=1,IF(B1025&lt;0,-B1025,""),IF('Hill'!$B$4=2,IF(B1025&gt;0,B1025,""),IF('Hill'!$B$4=3,IF(B1025&lt;&gt;0,ABS(B1025),""),""))),"")</x:f>
      </x:c>
    </x:row>
    <x:row r="1026">
      <x:c r="A1026" t="n">
        <x:f>1025</x:f>
        <x:v>1025</x:v>
      </x:c>
      <x:c r="B1026" s="7" t="str">
        <x:f>IF('요약'!$B$4=4,IF(ISNUMBER('input'!A1026),'input'!A1026,""),IF(1025&lt;=1000,CHOOSE('요약'!$B$4,'input'!B1026,'input'!C1026,'input'!D1026),""))</x:f>
      </x:c>
      <x:c r="C1026" s="7" t="str">
        <x:f>IF(AND(ISNUMBER(B1026),'요약'!$B$19),B1026-'요약'!$B$7,"")</x:f>
      </x:c>
      <x:c r="D1026" s="7" t="str">
        <x:f>IF(ISNUMBER(C1026),C1026^2,"")</x:f>
      </x:c>
      <x:c r="E1026" s="15" t="str">
        <x:f>IF(ISNUMBER(C1026),C1026^3,"")</x:f>
      </x:c>
      <x:c r="F1026" s="15" t="str">
        <x:f>IF(ISNUMBER(C1026),C1026^4,"")</x:f>
      </x:c>
      <x:c r="G1026" s="7" t="str">
        <x:f>IF(ISNUMBER(B1026),ABS(B1026),"")</x:f>
      </x:c>
      <x:c r="H1026" s="7" t="str">
        <x:f>IF(ISNUMBER(B1026),B1026^2,"")</x:f>
      </x:c>
      <x:c r="I1026" s="7" t="str">
        <x:f>IF(AND(ISNUMBER(G1026),'요약'!$B$19),G1026-'요약'!$B$14,"")</x:f>
      </x:c>
      <x:c r="J1026" s="7" t="str">
        <x:f>IF(AND(ISNUMBER(H1026),'요약'!$B$19),H1026-'요약'!$B$15,"")</x:f>
      </x:c>
      <x:c r="K1026" t="str">
        <x:f>IF(ISNUMBER(B1026),IF('Hill'!$B$4=1,IF(B1026&lt;0,-B1026,""),IF('Hill'!$B$4=2,IF(B1026&gt;0,B1026,""),IF('Hill'!$B$4=3,IF(B1026&lt;&gt;0,ABS(B1026),""),""))),"")</x:f>
      </x:c>
    </x:row>
    <x:row r="1027">
      <x:c r="A1027" t="n">
        <x:f>1026</x:f>
        <x:v>1026</x:v>
      </x:c>
      <x:c r="B1027" s="7" t="str">
        <x:f>IF('요약'!$B$4=4,IF(ISNUMBER('input'!A1027),'input'!A1027,""),IF(1026&lt;=1000,CHOOSE('요약'!$B$4,'input'!B1027,'input'!C1027,'input'!D1027),""))</x:f>
      </x:c>
      <x:c r="C1027" s="7" t="str">
        <x:f>IF(AND(ISNUMBER(B1027),'요약'!$B$19),B1027-'요약'!$B$7,"")</x:f>
      </x:c>
      <x:c r="D1027" s="7" t="str">
        <x:f>IF(ISNUMBER(C1027),C1027^2,"")</x:f>
      </x:c>
      <x:c r="E1027" s="15" t="str">
        <x:f>IF(ISNUMBER(C1027),C1027^3,"")</x:f>
      </x:c>
      <x:c r="F1027" s="15" t="str">
        <x:f>IF(ISNUMBER(C1027),C1027^4,"")</x:f>
      </x:c>
      <x:c r="G1027" s="7" t="str">
        <x:f>IF(ISNUMBER(B1027),ABS(B1027),"")</x:f>
      </x:c>
      <x:c r="H1027" s="7" t="str">
        <x:f>IF(ISNUMBER(B1027),B1027^2,"")</x:f>
      </x:c>
      <x:c r="I1027" s="7" t="str">
        <x:f>IF(AND(ISNUMBER(G1027),'요약'!$B$19),G1027-'요약'!$B$14,"")</x:f>
      </x:c>
      <x:c r="J1027" s="7" t="str">
        <x:f>IF(AND(ISNUMBER(H1027),'요약'!$B$19),H1027-'요약'!$B$15,"")</x:f>
      </x:c>
      <x:c r="K1027" t="str">
        <x:f>IF(ISNUMBER(B1027),IF('Hill'!$B$4=1,IF(B1027&lt;0,-B1027,""),IF('Hill'!$B$4=2,IF(B1027&gt;0,B1027,""),IF('Hill'!$B$4=3,IF(B1027&lt;&gt;0,ABS(B1027),""),""))),"")</x:f>
      </x:c>
    </x:row>
    <x:row r="1028">
      <x:c r="A1028" t="n">
        <x:f>1027</x:f>
        <x:v>1027</x:v>
      </x:c>
      <x:c r="B1028" s="7" t="str">
        <x:f>IF('요약'!$B$4=4,IF(ISNUMBER('input'!A1028),'input'!A1028,""),IF(1027&lt;=1000,CHOOSE('요약'!$B$4,'input'!B1028,'input'!C1028,'input'!D1028),""))</x:f>
      </x:c>
      <x:c r="C1028" s="7" t="str">
        <x:f>IF(AND(ISNUMBER(B1028),'요약'!$B$19),B1028-'요약'!$B$7,"")</x:f>
      </x:c>
      <x:c r="D1028" s="7" t="str">
        <x:f>IF(ISNUMBER(C1028),C1028^2,"")</x:f>
      </x:c>
      <x:c r="E1028" s="15" t="str">
        <x:f>IF(ISNUMBER(C1028),C1028^3,"")</x:f>
      </x:c>
      <x:c r="F1028" s="15" t="str">
        <x:f>IF(ISNUMBER(C1028),C1028^4,"")</x:f>
      </x:c>
      <x:c r="G1028" s="7" t="str">
        <x:f>IF(ISNUMBER(B1028),ABS(B1028),"")</x:f>
      </x:c>
      <x:c r="H1028" s="7" t="str">
        <x:f>IF(ISNUMBER(B1028),B1028^2,"")</x:f>
      </x:c>
      <x:c r="I1028" s="7" t="str">
        <x:f>IF(AND(ISNUMBER(G1028),'요약'!$B$19),G1028-'요약'!$B$14,"")</x:f>
      </x:c>
      <x:c r="J1028" s="7" t="str">
        <x:f>IF(AND(ISNUMBER(H1028),'요약'!$B$19),H1028-'요약'!$B$15,"")</x:f>
      </x:c>
      <x:c r="K1028" t="str">
        <x:f>IF(ISNUMBER(B1028),IF('Hill'!$B$4=1,IF(B1028&lt;0,-B1028,""),IF('Hill'!$B$4=2,IF(B1028&gt;0,B1028,""),IF('Hill'!$B$4=3,IF(B1028&lt;&gt;0,ABS(B1028),""),""))),"")</x:f>
      </x:c>
    </x:row>
    <x:row r="1029">
      <x:c r="A1029" t="n">
        <x:f>1028</x:f>
        <x:v>1028</x:v>
      </x:c>
      <x:c r="B1029" s="7" t="str">
        <x:f>IF('요약'!$B$4=4,IF(ISNUMBER('input'!A1029),'input'!A1029,""),IF(1028&lt;=1000,CHOOSE('요약'!$B$4,'input'!B1029,'input'!C1029,'input'!D1029),""))</x:f>
      </x:c>
      <x:c r="C1029" s="7" t="str">
        <x:f>IF(AND(ISNUMBER(B1029),'요약'!$B$19),B1029-'요약'!$B$7,"")</x:f>
      </x:c>
      <x:c r="D1029" s="7" t="str">
        <x:f>IF(ISNUMBER(C1029),C1029^2,"")</x:f>
      </x:c>
      <x:c r="E1029" s="15" t="str">
        <x:f>IF(ISNUMBER(C1029),C1029^3,"")</x:f>
      </x:c>
      <x:c r="F1029" s="15" t="str">
        <x:f>IF(ISNUMBER(C1029),C1029^4,"")</x:f>
      </x:c>
      <x:c r="G1029" s="7" t="str">
        <x:f>IF(ISNUMBER(B1029),ABS(B1029),"")</x:f>
      </x:c>
      <x:c r="H1029" s="7" t="str">
        <x:f>IF(ISNUMBER(B1029),B1029^2,"")</x:f>
      </x:c>
      <x:c r="I1029" s="7" t="str">
        <x:f>IF(AND(ISNUMBER(G1029),'요약'!$B$19),G1029-'요약'!$B$14,"")</x:f>
      </x:c>
      <x:c r="J1029" s="7" t="str">
        <x:f>IF(AND(ISNUMBER(H1029),'요약'!$B$19),H1029-'요약'!$B$15,"")</x:f>
      </x:c>
      <x:c r="K1029" t="str">
        <x:f>IF(ISNUMBER(B1029),IF('Hill'!$B$4=1,IF(B1029&lt;0,-B1029,""),IF('Hill'!$B$4=2,IF(B1029&gt;0,B1029,""),IF('Hill'!$B$4=3,IF(B1029&lt;&gt;0,ABS(B1029),""),""))),"")</x:f>
      </x:c>
    </x:row>
    <x:row r="1030">
      <x:c r="A1030" t="n">
        <x:f>1029</x:f>
        <x:v>1029</x:v>
      </x:c>
      <x:c r="B1030" s="7" t="str">
        <x:f>IF('요약'!$B$4=4,IF(ISNUMBER('input'!A1030),'input'!A1030,""),IF(1029&lt;=1000,CHOOSE('요약'!$B$4,'input'!B1030,'input'!C1030,'input'!D1030),""))</x:f>
      </x:c>
      <x:c r="C1030" s="7" t="str">
        <x:f>IF(AND(ISNUMBER(B1030),'요약'!$B$19),B1030-'요약'!$B$7,"")</x:f>
      </x:c>
      <x:c r="D1030" s="7" t="str">
        <x:f>IF(ISNUMBER(C1030),C1030^2,"")</x:f>
      </x:c>
      <x:c r="E1030" s="15" t="str">
        <x:f>IF(ISNUMBER(C1030),C1030^3,"")</x:f>
      </x:c>
      <x:c r="F1030" s="15" t="str">
        <x:f>IF(ISNUMBER(C1030),C1030^4,"")</x:f>
      </x:c>
      <x:c r="G1030" s="7" t="str">
        <x:f>IF(ISNUMBER(B1030),ABS(B1030),"")</x:f>
      </x:c>
      <x:c r="H1030" s="7" t="str">
        <x:f>IF(ISNUMBER(B1030),B1030^2,"")</x:f>
      </x:c>
      <x:c r="I1030" s="7" t="str">
        <x:f>IF(AND(ISNUMBER(G1030),'요약'!$B$19),G1030-'요약'!$B$14,"")</x:f>
      </x:c>
      <x:c r="J1030" s="7" t="str">
        <x:f>IF(AND(ISNUMBER(H1030),'요약'!$B$19),H1030-'요약'!$B$15,"")</x:f>
      </x:c>
      <x:c r="K1030" t="str">
        <x:f>IF(ISNUMBER(B1030),IF('Hill'!$B$4=1,IF(B1030&lt;0,-B1030,""),IF('Hill'!$B$4=2,IF(B1030&gt;0,B1030,""),IF('Hill'!$B$4=3,IF(B1030&lt;&gt;0,ABS(B1030),""),""))),"")</x:f>
      </x:c>
    </x:row>
    <x:row r="1031">
      <x:c r="A1031" t="n">
        <x:f>1030</x:f>
        <x:v>1030</x:v>
      </x:c>
      <x:c r="B1031" s="7" t="str">
        <x:f>IF('요약'!$B$4=4,IF(ISNUMBER('input'!A1031),'input'!A1031,""),IF(1030&lt;=1000,CHOOSE('요약'!$B$4,'input'!B1031,'input'!C1031,'input'!D1031),""))</x:f>
      </x:c>
      <x:c r="C1031" s="7" t="str">
        <x:f>IF(AND(ISNUMBER(B1031),'요약'!$B$19),B1031-'요약'!$B$7,"")</x:f>
      </x:c>
      <x:c r="D1031" s="7" t="str">
        <x:f>IF(ISNUMBER(C1031),C1031^2,"")</x:f>
      </x:c>
      <x:c r="E1031" s="15" t="str">
        <x:f>IF(ISNUMBER(C1031),C1031^3,"")</x:f>
      </x:c>
      <x:c r="F1031" s="15" t="str">
        <x:f>IF(ISNUMBER(C1031),C1031^4,"")</x:f>
      </x:c>
      <x:c r="G1031" s="7" t="str">
        <x:f>IF(ISNUMBER(B1031),ABS(B1031),"")</x:f>
      </x:c>
      <x:c r="H1031" s="7" t="str">
        <x:f>IF(ISNUMBER(B1031),B1031^2,"")</x:f>
      </x:c>
      <x:c r="I1031" s="7" t="str">
        <x:f>IF(AND(ISNUMBER(G1031),'요약'!$B$19),G1031-'요약'!$B$14,"")</x:f>
      </x:c>
      <x:c r="J1031" s="7" t="str">
        <x:f>IF(AND(ISNUMBER(H1031),'요약'!$B$19),H1031-'요약'!$B$15,"")</x:f>
      </x:c>
      <x:c r="K1031" t="str">
        <x:f>IF(ISNUMBER(B1031),IF('Hill'!$B$4=1,IF(B1031&lt;0,-B1031,""),IF('Hill'!$B$4=2,IF(B1031&gt;0,B1031,""),IF('Hill'!$B$4=3,IF(B1031&lt;&gt;0,ABS(B1031),""),""))),"")</x:f>
      </x:c>
    </x:row>
    <x:row r="1032">
      <x:c r="A1032" t="n">
        <x:f>1031</x:f>
        <x:v>1031</x:v>
      </x:c>
      <x:c r="B1032" s="7" t="str">
        <x:f>IF('요약'!$B$4=4,IF(ISNUMBER('input'!A1032),'input'!A1032,""),IF(1031&lt;=1000,CHOOSE('요약'!$B$4,'input'!B1032,'input'!C1032,'input'!D1032),""))</x:f>
      </x:c>
      <x:c r="C1032" s="7" t="str">
        <x:f>IF(AND(ISNUMBER(B1032),'요약'!$B$19),B1032-'요약'!$B$7,"")</x:f>
      </x:c>
      <x:c r="D1032" s="7" t="str">
        <x:f>IF(ISNUMBER(C1032),C1032^2,"")</x:f>
      </x:c>
      <x:c r="E1032" s="15" t="str">
        <x:f>IF(ISNUMBER(C1032),C1032^3,"")</x:f>
      </x:c>
      <x:c r="F1032" s="15" t="str">
        <x:f>IF(ISNUMBER(C1032),C1032^4,"")</x:f>
      </x:c>
      <x:c r="G1032" s="7" t="str">
        <x:f>IF(ISNUMBER(B1032),ABS(B1032),"")</x:f>
      </x:c>
      <x:c r="H1032" s="7" t="str">
        <x:f>IF(ISNUMBER(B1032),B1032^2,"")</x:f>
      </x:c>
      <x:c r="I1032" s="7" t="str">
        <x:f>IF(AND(ISNUMBER(G1032),'요약'!$B$19),G1032-'요약'!$B$14,"")</x:f>
      </x:c>
      <x:c r="J1032" s="7" t="str">
        <x:f>IF(AND(ISNUMBER(H1032),'요약'!$B$19),H1032-'요약'!$B$15,"")</x:f>
      </x:c>
      <x:c r="K1032" t="str">
        <x:f>IF(ISNUMBER(B1032),IF('Hill'!$B$4=1,IF(B1032&lt;0,-B1032,""),IF('Hill'!$B$4=2,IF(B1032&gt;0,B1032,""),IF('Hill'!$B$4=3,IF(B1032&lt;&gt;0,ABS(B1032),""),""))),"")</x:f>
      </x:c>
    </x:row>
    <x:row r="1033">
      <x:c r="A1033" t="n">
        <x:f>1032</x:f>
        <x:v>1032</x:v>
      </x:c>
      <x:c r="B1033" s="7" t="str">
        <x:f>IF('요약'!$B$4=4,IF(ISNUMBER('input'!A1033),'input'!A1033,""),IF(1032&lt;=1000,CHOOSE('요약'!$B$4,'input'!B1033,'input'!C1033,'input'!D1033),""))</x:f>
      </x:c>
      <x:c r="C1033" s="7" t="str">
        <x:f>IF(AND(ISNUMBER(B1033),'요약'!$B$19),B1033-'요약'!$B$7,"")</x:f>
      </x:c>
      <x:c r="D1033" s="7" t="str">
        <x:f>IF(ISNUMBER(C1033),C1033^2,"")</x:f>
      </x:c>
      <x:c r="E1033" s="15" t="str">
        <x:f>IF(ISNUMBER(C1033),C1033^3,"")</x:f>
      </x:c>
      <x:c r="F1033" s="15" t="str">
        <x:f>IF(ISNUMBER(C1033),C1033^4,"")</x:f>
      </x:c>
      <x:c r="G1033" s="7" t="str">
        <x:f>IF(ISNUMBER(B1033),ABS(B1033),"")</x:f>
      </x:c>
      <x:c r="H1033" s="7" t="str">
        <x:f>IF(ISNUMBER(B1033),B1033^2,"")</x:f>
      </x:c>
      <x:c r="I1033" s="7" t="str">
        <x:f>IF(AND(ISNUMBER(G1033),'요약'!$B$19),G1033-'요약'!$B$14,"")</x:f>
      </x:c>
      <x:c r="J1033" s="7" t="str">
        <x:f>IF(AND(ISNUMBER(H1033),'요약'!$B$19),H1033-'요약'!$B$15,"")</x:f>
      </x:c>
      <x:c r="K1033" t="str">
        <x:f>IF(ISNUMBER(B1033),IF('Hill'!$B$4=1,IF(B1033&lt;0,-B1033,""),IF('Hill'!$B$4=2,IF(B1033&gt;0,B1033,""),IF('Hill'!$B$4=3,IF(B1033&lt;&gt;0,ABS(B1033),""),""))),"")</x:f>
      </x:c>
    </x:row>
    <x:row r="1034">
      <x:c r="A1034" t="n">
        <x:f>1033</x:f>
        <x:v>1033</x:v>
      </x:c>
      <x:c r="B1034" s="7" t="str">
        <x:f>IF('요약'!$B$4=4,IF(ISNUMBER('input'!A1034),'input'!A1034,""),IF(1033&lt;=1000,CHOOSE('요약'!$B$4,'input'!B1034,'input'!C1034,'input'!D1034),""))</x:f>
      </x:c>
      <x:c r="C1034" s="7" t="str">
        <x:f>IF(AND(ISNUMBER(B1034),'요약'!$B$19),B1034-'요약'!$B$7,"")</x:f>
      </x:c>
      <x:c r="D1034" s="7" t="str">
        <x:f>IF(ISNUMBER(C1034),C1034^2,"")</x:f>
      </x:c>
      <x:c r="E1034" s="15" t="str">
        <x:f>IF(ISNUMBER(C1034),C1034^3,"")</x:f>
      </x:c>
      <x:c r="F1034" s="15" t="str">
        <x:f>IF(ISNUMBER(C1034),C1034^4,"")</x:f>
      </x:c>
      <x:c r="G1034" s="7" t="str">
        <x:f>IF(ISNUMBER(B1034),ABS(B1034),"")</x:f>
      </x:c>
      <x:c r="H1034" s="7" t="str">
        <x:f>IF(ISNUMBER(B1034),B1034^2,"")</x:f>
      </x:c>
      <x:c r="I1034" s="7" t="str">
        <x:f>IF(AND(ISNUMBER(G1034),'요약'!$B$19),G1034-'요약'!$B$14,"")</x:f>
      </x:c>
      <x:c r="J1034" s="7" t="str">
        <x:f>IF(AND(ISNUMBER(H1034),'요약'!$B$19),H1034-'요약'!$B$15,"")</x:f>
      </x:c>
      <x:c r="K1034" t="str">
        <x:f>IF(ISNUMBER(B1034),IF('Hill'!$B$4=1,IF(B1034&lt;0,-B1034,""),IF('Hill'!$B$4=2,IF(B1034&gt;0,B1034,""),IF('Hill'!$B$4=3,IF(B1034&lt;&gt;0,ABS(B1034),""),""))),"")</x:f>
      </x:c>
    </x:row>
    <x:row r="1035">
      <x:c r="A1035" t="n">
        <x:f>1034</x:f>
        <x:v>1034</x:v>
      </x:c>
      <x:c r="B1035" s="7" t="str">
        <x:f>IF('요약'!$B$4=4,IF(ISNUMBER('input'!A1035),'input'!A1035,""),IF(1034&lt;=1000,CHOOSE('요약'!$B$4,'input'!B1035,'input'!C1035,'input'!D1035),""))</x:f>
      </x:c>
      <x:c r="C1035" s="7" t="str">
        <x:f>IF(AND(ISNUMBER(B1035),'요약'!$B$19),B1035-'요약'!$B$7,"")</x:f>
      </x:c>
      <x:c r="D1035" s="7" t="str">
        <x:f>IF(ISNUMBER(C1035),C1035^2,"")</x:f>
      </x:c>
      <x:c r="E1035" s="15" t="str">
        <x:f>IF(ISNUMBER(C1035),C1035^3,"")</x:f>
      </x:c>
      <x:c r="F1035" s="15" t="str">
        <x:f>IF(ISNUMBER(C1035),C1035^4,"")</x:f>
      </x:c>
      <x:c r="G1035" s="7" t="str">
        <x:f>IF(ISNUMBER(B1035),ABS(B1035),"")</x:f>
      </x:c>
      <x:c r="H1035" s="7" t="str">
        <x:f>IF(ISNUMBER(B1035),B1035^2,"")</x:f>
      </x:c>
      <x:c r="I1035" s="7" t="str">
        <x:f>IF(AND(ISNUMBER(G1035),'요약'!$B$19),G1035-'요약'!$B$14,"")</x:f>
      </x:c>
      <x:c r="J1035" s="7" t="str">
        <x:f>IF(AND(ISNUMBER(H1035),'요약'!$B$19),H1035-'요약'!$B$15,"")</x:f>
      </x:c>
      <x:c r="K1035" t="str">
        <x:f>IF(ISNUMBER(B1035),IF('Hill'!$B$4=1,IF(B1035&lt;0,-B1035,""),IF('Hill'!$B$4=2,IF(B1035&gt;0,B1035,""),IF('Hill'!$B$4=3,IF(B1035&lt;&gt;0,ABS(B1035),""),""))),"")</x:f>
      </x:c>
    </x:row>
    <x:row r="1036">
      <x:c r="A1036" t="n">
        <x:f>1035</x:f>
        <x:v>1035</x:v>
      </x:c>
      <x:c r="B1036" s="7" t="str">
        <x:f>IF('요약'!$B$4=4,IF(ISNUMBER('input'!A1036),'input'!A1036,""),IF(1035&lt;=1000,CHOOSE('요약'!$B$4,'input'!B1036,'input'!C1036,'input'!D1036),""))</x:f>
      </x:c>
      <x:c r="C1036" s="7" t="str">
        <x:f>IF(AND(ISNUMBER(B1036),'요약'!$B$19),B1036-'요약'!$B$7,"")</x:f>
      </x:c>
      <x:c r="D1036" s="7" t="str">
        <x:f>IF(ISNUMBER(C1036),C1036^2,"")</x:f>
      </x:c>
      <x:c r="E1036" s="15" t="str">
        <x:f>IF(ISNUMBER(C1036),C1036^3,"")</x:f>
      </x:c>
      <x:c r="F1036" s="15" t="str">
        <x:f>IF(ISNUMBER(C1036),C1036^4,"")</x:f>
      </x:c>
      <x:c r="G1036" s="7" t="str">
        <x:f>IF(ISNUMBER(B1036),ABS(B1036),"")</x:f>
      </x:c>
      <x:c r="H1036" s="7" t="str">
        <x:f>IF(ISNUMBER(B1036),B1036^2,"")</x:f>
      </x:c>
      <x:c r="I1036" s="7" t="str">
        <x:f>IF(AND(ISNUMBER(G1036),'요약'!$B$19),G1036-'요약'!$B$14,"")</x:f>
      </x:c>
      <x:c r="J1036" s="7" t="str">
        <x:f>IF(AND(ISNUMBER(H1036),'요약'!$B$19),H1036-'요약'!$B$15,"")</x:f>
      </x:c>
      <x:c r="K1036" t="str">
        <x:f>IF(ISNUMBER(B1036),IF('Hill'!$B$4=1,IF(B1036&lt;0,-B1036,""),IF('Hill'!$B$4=2,IF(B1036&gt;0,B1036,""),IF('Hill'!$B$4=3,IF(B1036&lt;&gt;0,ABS(B1036),""),""))),"")</x:f>
      </x:c>
    </x:row>
    <x:row r="1037">
      <x:c r="A1037" t="n">
        <x:f>1036</x:f>
        <x:v>1036</x:v>
      </x:c>
      <x:c r="B1037" s="7" t="str">
        <x:f>IF('요약'!$B$4=4,IF(ISNUMBER('input'!A1037),'input'!A1037,""),IF(1036&lt;=1000,CHOOSE('요약'!$B$4,'input'!B1037,'input'!C1037,'input'!D1037),""))</x:f>
      </x:c>
      <x:c r="C1037" s="7" t="str">
        <x:f>IF(AND(ISNUMBER(B1037),'요약'!$B$19),B1037-'요약'!$B$7,"")</x:f>
      </x:c>
      <x:c r="D1037" s="7" t="str">
        <x:f>IF(ISNUMBER(C1037),C1037^2,"")</x:f>
      </x:c>
      <x:c r="E1037" s="15" t="str">
        <x:f>IF(ISNUMBER(C1037),C1037^3,"")</x:f>
      </x:c>
      <x:c r="F1037" s="15" t="str">
        <x:f>IF(ISNUMBER(C1037),C1037^4,"")</x:f>
      </x:c>
      <x:c r="G1037" s="7" t="str">
        <x:f>IF(ISNUMBER(B1037),ABS(B1037),"")</x:f>
      </x:c>
      <x:c r="H1037" s="7" t="str">
        <x:f>IF(ISNUMBER(B1037),B1037^2,"")</x:f>
      </x:c>
      <x:c r="I1037" s="7" t="str">
        <x:f>IF(AND(ISNUMBER(G1037),'요약'!$B$19),G1037-'요약'!$B$14,"")</x:f>
      </x:c>
      <x:c r="J1037" s="7" t="str">
        <x:f>IF(AND(ISNUMBER(H1037),'요약'!$B$19),H1037-'요약'!$B$15,"")</x:f>
      </x:c>
      <x:c r="K1037" t="str">
        <x:f>IF(ISNUMBER(B1037),IF('Hill'!$B$4=1,IF(B1037&lt;0,-B1037,""),IF('Hill'!$B$4=2,IF(B1037&gt;0,B1037,""),IF('Hill'!$B$4=3,IF(B1037&lt;&gt;0,ABS(B1037),""),""))),"")</x:f>
      </x:c>
    </x:row>
    <x:row r="1038">
      <x:c r="A1038" t="n">
        <x:f>1037</x:f>
        <x:v>1037</x:v>
      </x:c>
      <x:c r="B1038" s="7" t="str">
        <x:f>IF('요약'!$B$4=4,IF(ISNUMBER('input'!A1038),'input'!A1038,""),IF(1037&lt;=1000,CHOOSE('요약'!$B$4,'input'!B1038,'input'!C1038,'input'!D1038),""))</x:f>
      </x:c>
      <x:c r="C1038" s="7" t="str">
        <x:f>IF(AND(ISNUMBER(B1038),'요약'!$B$19),B1038-'요약'!$B$7,"")</x:f>
      </x:c>
      <x:c r="D1038" s="7" t="str">
        <x:f>IF(ISNUMBER(C1038),C1038^2,"")</x:f>
      </x:c>
      <x:c r="E1038" s="15" t="str">
        <x:f>IF(ISNUMBER(C1038),C1038^3,"")</x:f>
      </x:c>
      <x:c r="F1038" s="15" t="str">
        <x:f>IF(ISNUMBER(C1038),C1038^4,"")</x:f>
      </x:c>
      <x:c r="G1038" s="7" t="str">
        <x:f>IF(ISNUMBER(B1038),ABS(B1038),"")</x:f>
      </x:c>
      <x:c r="H1038" s="7" t="str">
        <x:f>IF(ISNUMBER(B1038),B1038^2,"")</x:f>
      </x:c>
      <x:c r="I1038" s="7" t="str">
        <x:f>IF(AND(ISNUMBER(G1038),'요약'!$B$19),G1038-'요약'!$B$14,"")</x:f>
      </x:c>
      <x:c r="J1038" s="7" t="str">
        <x:f>IF(AND(ISNUMBER(H1038),'요약'!$B$19),H1038-'요약'!$B$15,"")</x:f>
      </x:c>
      <x:c r="K1038" t="str">
        <x:f>IF(ISNUMBER(B1038),IF('Hill'!$B$4=1,IF(B1038&lt;0,-B1038,""),IF('Hill'!$B$4=2,IF(B1038&gt;0,B1038,""),IF('Hill'!$B$4=3,IF(B1038&lt;&gt;0,ABS(B1038),""),""))),"")</x:f>
      </x:c>
    </x:row>
    <x:row r="1039">
      <x:c r="A1039" t="n">
        <x:f>1038</x:f>
        <x:v>1038</x:v>
      </x:c>
      <x:c r="B1039" s="7" t="str">
        <x:f>IF('요약'!$B$4=4,IF(ISNUMBER('input'!A1039),'input'!A1039,""),IF(1038&lt;=1000,CHOOSE('요약'!$B$4,'input'!B1039,'input'!C1039,'input'!D1039),""))</x:f>
      </x:c>
      <x:c r="C1039" s="7" t="str">
        <x:f>IF(AND(ISNUMBER(B1039),'요약'!$B$19),B1039-'요약'!$B$7,"")</x:f>
      </x:c>
      <x:c r="D1039" s="7" t="str">
        <x:f>IF(ISNUMBER(C1039),C1039^2,"")</x:f>
      </x:c>
      <x:c r="E1039" s="15" t="str">
        <x:f>IF(ISNUMBER(C1039),C1039^3,"")</x:f>
      </x:c>
      <x:c r="F1039" s="15" t="str">
        <x:f>IF(ISNUMBER(C1039),C1039^4,"")</x:f>
      </x:c>
      <x:c r="G1039" s="7" t="str">
        <x:f>IF(ISNUMBER(B1039),ABS(B1039),"")</x:f>
      </x:c>
      <x:c r="H1039" s="7" t="str">
        <x:f>IF(ISNUMBER(B1039),B1039^2,"")</x:f>
      </x:c>
      <x:c r="I1039" s="7" t="str">
        <x:f>IF(AND(ISNUMBER(G1039),'요약'!$B$19),G1039-'요약'!$B$14,"")</x:f>
      </x:c>
      <x:c r="J1039" s="7" t="str">
        <x:f>IF(AND(ISNUMBER(H1039),'요약'!$B$19),H1039-'요약'!$B$15,"")</x:f>
      </x:c>
      <x:c r="K1039" t="str">
        <x:f>IF(ISNUMBER(B1039),IF('Hill'!$B$4=1,IF(B1039&lt;0,-B1039,""),IF('Hill'!$B$4=2,IF(B1039&gt;0,B1039,""),IF('Hill'!$B$4=3,IF(B1039&lt;&gt;0,ABS(B1039),""),""))),"")</x:f>
      </x:c>
    </x:row>
    <x:row r="1040">
      <x:c r="A1040" t="n">
        <x:f>1039</x:f>
        <x:v>1039</x:v>
      </x:c>
      <x:c r="B1040" s="7" t="str">
        <x:f>IF('요약'!$B$4=4,IF(ISNUMBER('input'!A1040),'input'!A1040,""),IF(1039&lt;=1000,CHOOSE('요약'!$B$4,'input'!B1040,'input'!C1040,'input'!D1040),""))</x:f>
      </x:c>
      <x:c r="C1040" s="7" t="str">
        <x:f>IF(AND(ISNUMBER(B1040),'요약'!$B$19),B1040-'요약'!$B$7,"")</x:f>
      </x:c>
      <x:c r="D1040" s="7" t="str">
        <x:f>IF(ISNUMBER(C1040),C1040^2,"")</x:f>
      </x:c>
      <x:c r="E1040" s="15" t="str">
        <x:f>IF(ISNUMBER(C1040),C1040^3,"")</x:f>
      </x:c>
      <x:c r="F1040" s="15" t="str">
        <x:f>IF(ISNUMBER(C1040),C1040^4,"")</x:f>
      </x:c>
      <x:c r="G1040" s="7" t="str">
        <x:f>IF(ISNUMBER(B1040),ABS(B1040),"")</x:f>
      </x:c>
      <x:c r="H1040" s="7" t="str">
        <x:f>IF(ISNUMBER(B1040),B1040^2,"")</x:f>
      </x:c>
      <x:c r="I1040" s="7" t="str">
        <x:f>IF(AND(ISNUMBER(G1040),'요약'!$B$19),G1040-'요약'!$B$14,"")</x:f>
      </x:c>
      <x:c r="J1040" s="7" t="str">
        <x:f>IF(AND(ISNUMBER(H1040),'요약'!$B$19),H1040-'요약'!$B$15,"")</x:f>
      </x:c>
      <x:c r="K1040" t="str">
        <x:f>IF(ISNUMBER(B1040),IF('Hill'!$B$4=1,IF(B1040&lt;0,-B1040,""),IF('Hill'!$B$4=2,IF(B1040&gt;0,B1040,""),IF('Hill'!$B$4=3,IF(B1040&lt;&gt;0,ABS(B1040),""),""))),"")</x:f>
      </x:c>
    </x:row>
    <x:row r="1041">
      <x:c r="A1041" t="n">
        <x:f>1040</x:f>
        <x:v>1040</x:v>
      </x:c>
      <x:c r="B1041" s="7" t="str">
        <x:f>IF('요약'!$B$4=4,IF(ISNUMBER('input'!A1041),'input'!A1041,""),IF(1040&lt;=1000,CHOOSE('요약'!$B$4,'input'!B1041,'input'!C1041,'input'!D1041),""))</x:f>
      </x:c>
      <x:c r="C1041" s="7" t="str">
        <x:f>IF(AND(ISNUMBER(B1041),'요약'!$B$19),B1041-'요약'!$B$7,"")</x:f>
      </x:c>
      <x:c r="D1041" s="7" t="str">
        <x:f>IF(ISNUMBER(C1041),C1041^2,"")</x:f>
      </x:c>
      <x:c r="E1041" s="15" t="str">
        <x:f>IF(ISNUMBER(C1041),C1041^3,"")</x:f>
      </x:c>
      <x:c r="F1041" s="15" t="str">
        <x:f>IF(ISNUMBER(C1041),C1041^4,"")</x:f>
      </x:c>
      <x:c r="G1041" s="7" t="str">
        <x:f>IF(ISNUMBER(B1041),ABS(B1041),"")</x:f>
      </x:c>
      <x:c r="H1041" s="7" t="str">
        <x:f>IF(ISNUMBER(B1041),B1041^2,"")</x:f>
      </x:c>
      <x:c r="I1041" s="7" t="str">
        <x:f>IF(AND(ISNUMBER(G1041),'요약'!$B$19),G1041-'요약'!$B$14,"")</x:f>
      </x:c>
      <x:c r="J1041" s="7" t="str">
        <x:f>IF(AND(ISNUMBER(H1041),'요약'!$B$19),H1041-'요약'!$B$15,"")</x:f>
      </x:c>
      <x:c r="K1041" t="str">
        <x:f>IF(ISNUMBER(B1041),IF('Hill'!$B$4=1,IF(B1041&lt;0,-B1041,""),IF('Hill'!$B$4=2,IF(B1041&gt;0,B1041,""),IF('Hill'!$B$4=3,IF(B1041&lt;&gt;0,ABS(B1041),""),""))),"")</x:f>
      </x:c>
    </x:row>
    <x:row r="1042">
      <x:c r="A1042" t="n">
        <x:f>1041</x:f>
        <x:v>1041</x:v>
      </x:c>
      <x:c r="B1042" s="7" t="str">
        <x:f>IF('요약'!$B$4=4,IF(ISNUMBER('input'!A1042),'input'!A1042,""),IF(1041&lt;=1000,CHOOSE('요약'!$B$4,'input'!B1042,'input'!C1042,'input'!D1042),""))</x:f>
      </x:c>
      <x:c r="C1042" s="7" t="str">
        <x:f>IF(AND(ISNUMBER(B1042),'요약'!$B$19),B1042-'요약'!$B$7,"")</x:f>
      </x:c>
      <x:c r="D1042" s="7" t="str">
        <x:f>IF(ISNUMBER(C1042),C1042^2,"")</x:f>
      </x:c>
      <x:c r="E1042" s="15" t="str">
        <x:f>IF(ISNUMBER(C1042),C1042^3,"")</x:f>
      </x:c>
      <x:c r="F1042" s="15" t="str">
        <x:f>IF(ISNUMBER(C1042),C1042^4,"")</x:f>
      </x:c>
      <x:c r="G1042" s="7" t="str">
        <x:f>IF(ISNUMBER(B1042),ABS(B1042),"")</x:f>
      </x:c>
      <x:c r="H1042" s="7" t="str">
        <x:f>IF(ISNUMBER(B1042),B1042^2,"")</x:f>
      </x:c>
      <x:c r="I1042" s="7" t="str">
        <x:f>IF(AND(ISNUMBER(G1042),'요약'!$B$19),G1042-'요약'!$B$14,"")</x:f>
      </x:c>
      <x:c r="J1042" s="7" t="str">
        <x:f>IF(AND(ISNUMBER(H1042),'요약'!$B$19),H1042-'요약'!$B$15,"")</x:f>
      </x:c>
      <x:c r="K1042" t="str">
        <x:f>IF(ISNUMBER(B1042),IF('Hill'!$B$4=1,IF(B1042&lt;0,-B1042,""),IF('Hill'!$B$4=2,IF(B1042&gt;0,B1042,""),IF('Hill'!$B$4=3,IF(B1042&lt;&gt;0,ABS(B1042),""),""))),"")</x:f>
      </x:c>
    </x:row>
    <x:row r="1043">
      <x:c r="A1043" t="n">
        <x:f>1042</x:f>
        <x:v>1042</x:v>
      </x:c>
      <x:c r="B1043" s="7" t="str">
        <x:f>IF('요약'!$B$4=4,IF(ISNUMBER('input'!A1043),'input'!A1043,""),IF(1042&lt;=1000,CHOOSE('요약'!$B$4,'input'!B1043,'input'!C1043,'input'!D1043),""))</x:f>
      </x:c>
      <x:c r="C1043" s="7" t="str">
        <x:f>IF(AND(ISNUMBER(B1043),'요약'!$B$19),B1043-'요약'!$B$7,"")</x:f>
      </x:c>
      <x:c r="D1043" s="7" t="str">
        <x:f>IF(ISNUMBER(C1043),C1043^2,"")</x:f>
      </x:c>
      <x:c r="E1043" s="15" t="str">
        <x:f>IF(ISNUMBER(C1043),C1043^3,"")</x:f>
      </x:c>
      <x:c r="F1043" s="15" t="str">
        <x:f>IF(ISNUMBER(C1043),C1043^4,"")</x:f>
      </x:c>
      <x:c r="G1043" s="7" t="str">
        <x:f>IF(ISNUMBER(B1043),ABS(B1043),"")</x:f>
      </x:c>
      <x:c r="H1043" s="7" t="str">
        <x:f>IF(ISNUMBER(B1043),B1043^2,"")</x:f>
      </x:c>
      <x:c r="I1043" s="7" t="str">
        <x:f>IF(AND(ISNUMBER(G1043),'요약'!$B$19),G1043-'요약'!$B$14,"")</x:f>
      </x:c>
      <x:c r="J1043" s="7" t="str">
        <x:f>IF(AND(ISNUMBER(H1043),'요약'!$B$19),H1043-'요약'!$B$15,"")</x:f>
      </x:c>
      <x:c r="K1043" t="str">
        <x:f>IF(ISNUMBER(B1043),IF('Hill'!$B$4=1,IF(B1043&lt;0,-B1043,""),IF('Hill'!$B$4=2,IF(B1043&gt;0,B1043,""),IF('Hill'!$B$4=3,IF(B1043&lt;&gt;0,ABS(B1043),""),""))),"")</x:f>
      </x:c>
    </x:row>
    <x:row r="1044">
      <x:c r="A1044" t="n">
        <x:f>1043</x:f>
        <x:v>1043</x:v>
      </x:c>
      <x:c r="B1044" s="7" t="str">
        <x:f>IF('요약'!$B$4=4,IF(ISNUMBER('input'!A1044),'input'!A1044,""),IF(1043&lt;=1000,CHOOSE('요약'!$B$4,'input'!B1044,'input'!C1044,'input'!D1044),""))</x:f>
      </x:c>
      <x:c r="C1044" s="7" t="str">
        <x:f>IF(AND(ISNUMBER(B1044),'요약'!$B$19),B1044-'요약'!$B$7,"")</x:f>
      </x:c>
      <x:c r="D1044" s="7" t="str">
        <x:f>IF(ISNUMBER(C1044),C1044^2,"")</x:f>
      </x:c>
      <x:c r="E1044" s="15" t="str">
        <x:f>IF(ISNUMBER(C1044),C1044^3,"")</x:f>
      </x:c>
      <x:c r="F1044" s="15" t="str">
        <x:f>IF(ISNUMBER(C1044),C1044^4,"")</x:f>
      </x:c>
      <x:c r="G1044" s="7" t="str">
        <x:f>IF(ISNUMBER(B1044),ABS(B1044),"")</x:f>
      </x:c>
      <x:c r="H1044" s="7" t="str">
        <x:f>IF(ISNUMBER(B1044),B1044^2,"")</x:f>
      </x:c>
      <x:c r="I1044" s="7" t="str">
        <x:f>IF(AND(ISNUMBER(G1044),'요약'!$B$19),G1044-'요약'!$B$14,"")</x:f>
      </x:c>
      <x:c r="J1044" s="7" t="str">
        <x:f>IF(AND(ISNUMBER(H1044),'요약'!$B$19),H1044-'요약'!$B$15,"")</x:f>
      </x:c>
      <x:c r="K1044" t="str">
        <x:f>IF(ISNUMBER(B1044),IF('Hill'!$B$4=1,IF(B1044&lt;0,-B1044,""),IF('Hill'!$B$4=2,IF(B1044&gt;0,B1044,""),IF('Hill'!$B$4=3,IF(B1044&lt;&gt;0,ABS(B1044),""),""))),"")</x:f>
      </x:c>
    </x:row>
    <x:row r="1045">
      <x:c r="A1045" t="n">
        <x:f>1044</x:f>
        <x:v>1044</x:v>
      </x:c>
      <x:c r="B1045" s="7" t="str">
        <x:f>IF('요약'!$B$4=4,IF(ISNUMBER('input'!A1045),'input'!A1045,""),IF(1044&lt;=1000,CHOOSE('요약'!$B$4,'input'!B1045,'input'!C1045,'input'!D1045),""))</x:f>
      </x:c>
      <x:c r="C1045" s="7" t="str">
        <x:f>IF(AND(ISNUMBER(B1045),'요약'!$B$19),B1045-'요약'!$B$7,"")</x:f>
      </x:c>
      <x:c r="D1045" s="7" t="str">
        <x:f>IF(ISNUMBER(C1045),C1045^2,"")</x:f>
      </x:c>
      <x:c r="E1045" s="15" t="str">
        <x:f>IF(ISNUMBER(C1045),C1045^3,"")</x:f>
      </x:c>
      <x:c r="F1045" s="15" t="str">
        <x:f>IF(ISNUMBER(C1045),C1045^4,"")</x:f>
      </x:c>
      <x:c r="G1045" s="7" t="str">
        <x:f>IF(ISNUMBER(B1045),ABS(B1045),"")</x:f>
      </x:c>
      <x:c r="H1045" s="7" t="str">
        <x:f>IF(ISNUMBER(B1045),B1045^2,"")</x:f>
      </x:c>
      <x:c r="I1045" s="7" t="str">
        <x:f>IF(AND(ISNUMBER(G1045),'요약'!$B$19),G1045-'요약'!$B$14,"")</x:f>
      </x:c>
      <x:c r="J1045" s="7" t="str">
        <x:f>IF(AND(ISNUMBER(H1045),'요약'!$B$19),H1045-'요약'!$B$15,"")</x:f>
      </x:c>
      <x:c r="K1045" t="str">
        <x:f>IF(ISNUMBER(B1045),IF('Hill'!$B$4=1,IF(B1045&lt;0,-B1045,""),IF('Hill'!$B$4=2,IF(B1045&gt;0,B1045,""),IF('Hill'!$B$4=3,IF(B1045&lt;&gt;0,ABS(B1045),""),""))),"")</x:f>
      </x:c>
    </x:row>
    <x:row r="1046">
      <x:c r="A1046" t="n">
        <x:f>1045</x:f>
        <x:v>1045</x:v>
      </x:c>
      <x:c r="B1046" s="7" t="str">
        <x:f>IF('요약'!$B$4=4,IF(ISNUMBER('input'!A1046),'input'!A1046,""),IF(1045&lt;=1000,CHOOSE('요약'!$B$4,'input'!B1046,'input'!C1046,'input'!D1046),""))</x:f>
      </x:c>
      <x:c r="C1046" s="7" t="str">
        <x:f>IF(AND(ISNUMBER(B1046),'요약'!$B$19),B1046-'요약'!$B$7,"")</x:f>
      </x:c>
      <x:c r="D1046" s="7" t="str">
        <x:f>IF(ISNUMBER(C1046),C1046^2,"")</x:f>
      </x:c>
      <x:c r="E1046" s="15" t="str">
        <x:f>IF(ISNUMBER(C1046),C1046^3,"")</x:f>
      </x:c>
      <x:c r="F1046" s="15" t="str">
        <x:f>IF(ISNUMBER(C1046),C1046^4,"")</x:f>
      </x:c>
      <x:c r="G1046" s="7" t="str">
        <x:f>IF(ISNUMBER(B1046),ABS(B1046),"")</x:f>
      </x:c>
      <x:c r="H1046" s="7" t="str">
        <x:f>IF(ISNUMBER(B1046),B1046^2,"")</x:f>
      </x:c>
      <x:c r="I1046" s="7" t="str">
        <x:f>IF(AND(ISNUMBER(G1046),'요약'!$B$19),G1046-'요약'!$B$14,"")</x:f>
      </x:c>
      <x:c r="J1046" s="7" t="str">
        <x:f>IF(AND(ISNUMBER(H1046),'요약'!$B$19),H1046-'요약'!$B$15,"")</x:f>
      </x:c>
      <x:c r="K1046" t="str">
        <x:f>IF(ISNUMBER(B1046),IF('Hill'!$B$4=1,IF(B1046&lt;0,-B1046,""),IF('Hill'!$B$4=2,IF(B1046&gt;0,B1046,""),IF('Hill'!$B$4=3,IF(B1046&lt;&gt;0,ABS(B1046),""),""))),"")</x:f>
      </x:c>
    </x:row>
    <x:row r="1047">
      <x:c r="A1047" t="n">
        <x:f>1046</x:f>
        <x:v>1046</x:v>
      </x:c>
      <x:c r="B1047" s="7" t="str">
        <x:f>IF('요약'!$B$4=4,IF(ISNUMBER('input'!A1047),'input'!A1047,""),IF(1046&lt;=1000,CHOOSE('요약'!$B$4,'input'!B1047,'input'!C1047,'input'!D1047),""))</x:f>
      </x:c>
      <x:c r="C1047" s="7" t="str">
        <x:f>IF(AND(ISNUMBER(B1047),'요약'!$B$19),B1047-'요약'!$B$7,"")</x:f>
      </x:c>
      <x:c r="D1047" s="7" t="str">
        <x:f>IF(ISNUMBER(C1047),C1047^2,"")</x:f>
      </x:c>
      <x:c r="E1047" s="15" t="str">
        <x:f>IF(ISNUMBER(C1047),C1047^3,"")</x:f>
      </x:c>
      <x:c r="F1047" s="15" t="str">
        <x:f>IF(ISNUMBER(C1047),C1047^4,"")</x:f>
      </x:c>
      <x:c r="G1047" s="7" t="str">
        <x:f>IF(ISNUMBER(B1047),ABS(B1047),"")</x:f>
      </x:c>
      <x:c r="H1047" s="7" t="str">
        <x:f>IF(ISNUMBER(B1047),B1047^2,"")</x:f>
      </x:c>
      <x:c r="I1047" s="7" t="str">
        <x:f>IF(AND(ISNUMBER(G1047),'요약'!$B$19),G1047-'요약'!$B$14,"")</x:f>
      </x:c>
      <x:c r="J1047" s="7" t="str">
        <x:f>IF(AND(ISNUMBER(H1047),'요약'!$B$19),H1047-'요약'!$B$15,"")</x:f>
      </x:c>
      <x:c r="K1047" t="str">
        <x:f>IF(ISNUMBER(B1047),IF('Hill'!$B$4=1,IF(B1047&lt;0,-B1047,""),IF('Hill'!$B$4=2,IF(B1047&gt;0,B1047,""),IF('Hill'!$B$4=3,IF(B1047&lt;&gt;0,ABS(B1047),""),""))),"")</x:f>
      </x:c>
    </x:row>
    <x:row r="1048">
      <x:c r="A1048" t="n">
        <x:f>1047</x:f>
        <x:v>1047</x:v>
      </x:c>
      <x:c r="B1048" s="7" t="str">
        <x:f>IF('요약'!$B$4=4,IF(ISNUMBER('input'!A1048),'input'!A1048,""),IF(1047&lt;=1000,CHOOSE('요약'!$B$4,'input'!B1048,'input'!C1048,'input'!D1048),""))</x:f>
      </x:c>
      <x:c r="C1048" s="7" t="str">
        <x:f>IF(AND(ISNUMBER(B1048),'요약'!$B$19),B1048-'요약'!$B$7,"")</x:f>
      </x:c>
      <x:c r="D1048" s="7" t="str">
        <x:f>IF(ISNUMBER(C1048),C1048^2,"")</x:f>
      </x:c>
      <x:c r="E1048" s="15" t="str">
        <x:f>IF(ISNUMBER(C1048),C1048^3,"")</x:f>
      </x:c>
      <x:c r="F1048" s="15" t="str">
        <x:f>IF(ISNUMBER(C1048),C1048^4,"")</x:f>
      </x:c>
      <x:c r="G1048" s="7" t="str">
        <x:f>IF(ISNUMBER(B1048),ABS(B1048),"")</x:f>
      </x:c>
      <x:c r="H1048" s="7" t="str">
        <x:f>IF(ISNUMBER(B1048),B1048^2,"")</x:f>
      </x:c>
      <x:c r="I1048" s="7" t="str">
        <x:f>IF(AND(ISNUMBER(G1048),'요약'!$B$19),G1048-'요약'!$B$14,"")</x:f>
      </x:c>
      <x:c r="J1048" s="7" t="str">
        <x:f>IF(AND(ISNUMBER(H1048),'요약'!$B$19),H1048-'요약'!$B$15,"")</x:f>
      </x:c>
      <x:c r="K1048" t="str">
        <x:f>IF(ISNUMBER(B1048),IF('Hill'!$B$4=1,IF(B1048&lt;0,-B1048,""),IF('Hill'!$B$4=2,IF(B1048&gt;0,B1048,""),IF('Hill'!$B$4=3,IF(B1048&lt;&gt;0,ABS(B1048),""),""))),"")</x:f>
      </x:c>
    </x:row>
    <x:row r="1049">
      <x:c r="A1049" t="n">
        <x:f>1048</x:f>
        <x:v>1048</x:v>
      </x:c>
      <x:c r="B1049" s="7" t="str">
        <x:f>IF('요약'!$B$4=4,IF(ISNUMBER('input'!A1049),'input'!A1049,""),IF(1048&lt;=1000,CHOOSE('요약'!$B$4,'input'!B1049,'input'!C1049,'input'!D1049),""))</x:f>
      </x:c>
      <x:c r="C1049" s="7" t="str">
        <x:f>IF(AND(ISNUMBER(B1049),'요약'!$B$19),B1049-'요약'!$B$7,"")</x:f>
      </x:c>
      <x:c r="D1049" s="7" t="str">
        <x:f>IF(ISNUMBER(C1049),C1049^2,"")</x:f>
      </x:c>
      <x:c r="E1049" s="15" t="str">
        <x:f>IF(ISNUMBER(C1049),C1049^3,"")</x:f>
      </x:c>
      <x:c r="F1049" s="15" t="str">
        <x:f>IF(ISNUMBER(C1049),C1049^4,"")</x:f>
      </x:c>
      <x:c r="G1049" s="7" t="str">
        <x:f>IF(ISNUMBER(B1049),ABS(B1049),"")</x:f>
      </x:c>
      <x:c r="H1049" s="7" t="str">
        <x:f>IF(ISNUMBER(B1049),B1049^2,"")</x:f>
      </x:c>
      <x:c r="I1049" s="7" t="str">
        <x:f>IF(AND(ISNUMBER(G1049),'요약'!$B$19),G1049-'요약'!$B$14,"")</x:f>
      </x:c>
      <x:c r="J1049" s="7" t="str">
        <x:f>IF(AND(ISNUMBER(H1049),'요약'!$B$19),H1049-'요약'!$B$15,"")</x:f>
      </x:c>
      <x:c r="K1049" t="str">
        <x:f>IF(ISNUMBER(B1049),IF('Hill'!$B$4=1,IF(B1049&lt;0,-B1049,""),IF('Hill'!$B$4=2,IF(B1049&gt;0,B1049,""),IF('Hill'!$B$4=3,IF(B1049&lt;&gt;0,ABS(B1049),""),""))),"")</x:f>
      </x:c>
    </x:row>
    <x:row r="1050">
      <x:c r="A1050" t="n">
        <x:f>1049</x:f>
        <x:v>1049</x:v>
      </x:c>
      <x:c r="B1050" s="7" t="str">
        <x:f>IF('요약'!$B$4=4,IF(ISNUMBER('input'!A1050),'input'!A1050,""),IF(1049&lt;=1000,CHOOSE('요약'!$B$4,'input'!B1050,'input'!C1050,'input'!D1050),""))</x:f>
      </x:c>
      <x:c r="C1050" s="7" t="str">
        <x:f>IF(AND(ISNUMBER(B1050),'요약'!$B$19),B1050-'요약'!$B$7,"")</x:f>
      </x:c>
      <x:c r="D1050" s="7" t="str">
        <x:f>IF(ISNUMBER(C1050),C1050^2,"")</x:f>
      </x:c>
      <x:c r="E1050" s="15" t="str">
        <x:f>IF(ISNUMBER(C1050),C1050^3,"")</x:f>
      </x:c>
      <x:c r="F1050" s="15" t="str">
        <x:f>IF(ISNUMBER(C1050),C1050^4,"")</x:f>
      </x:c>
      <x:c r="G1050" s="7" t="str">
        <x:f>IF(ISNUMBER(B1050),ABS(B1050),"")</x:f>
      </x:c>
      <x:c r="H1050" s="7" t="str">
        <x:f>IF(ISNUMBER(B1050),B1050^2,"")</x:f>
      </x:c>
      <x:c r="I1050" s="7" t="str">
        <x:f>IF(AND(ISNUMBER(G1050),'요약'!$B$19),G1050-'요약'!$B$14,"")</x:f>
      </x:c>
      <x:c r="J1050" s="7" t="str">
        <x:f>IF(AND(ISNUMBER(H1050),'요약'!$B$19),H1050-'요약'!$B$15,"")</x:f>
      </x:c>
      <x:c r="K1050" t="str">
        <x:f>IF(ISNUMBER(B1050),IF('Hill'!$B$4=1,IF(B1050&lt;0,-B1050,""),IF('Hill'!$B$4=2,IF(B1050&gt;0,B1050,""),IF('Hill'!$B$4=3,IF(B1050&lt;&gt;0,ABS(B1050),""),""))),"")</x:f>
      </x:c>
    </x:row>
    <x:row r="1051">
      <x:c r="A1051" t="n">
        <x:f>1050</x:f>
        <x:v>1050</x:v>
      </x:c>
      <x:c r="B1051" s="7" t="str">
        <x:f>IF('요약'!$B$4=4,IF(ISNUMBER('input'!A1051),'input'!A1051,""),IF(1050&lt;=1000,CHOOSE('요약'!$B$4,'input'!B1051,'input'!C1051,'input'!D1051),""))</x:f>
      </x:c>
      <x:c r="C1051" s="7" t="str">
        <x:f>IF(AND(ISNUMBER(B1051),'요약'!$B$19),B1051-'요약'!$B$7,"")</x:f>
      </x:c>
      <x:c r="D1051" s="7" t="str">
        <x:f>IF(ISNUMBER(C1051),C1051^2,"")</x:f>
      </x:c>
      <x:c r="E1051" s="15" t="str">
        <x:f>IF(ISNUMBER(C1051),C1051^3,"")</x:f>
      </x:c>
      <x:c r="F1051" s="15" t="str">
        <x:f>IF(ISNUMBER(C1051),C1051^4,"")</x:f>
      </x:c>
      <x:c r="G1051" s="7" t="str">
        <x:f>IF(ISNUMBER(B1051),ABS(B1051),"")</x:f>
      </x:c>
      <x:c r="H1051" s="7" t="str">
        <x:f>IF(ISNUMBER(B1051),B1051^2,"")</x:f>
      </x:c>
      <x:c r="I1051" s="7" t="str">
        <x:f>IF(AND(ISNUMBER(G1051),'요약'!$B$19),G1051-'요약'!$B$14,"")</x:f>
      </x:c>
      <x:c r="J1051" s="7" t="str">
        <x:f>IF(AND(ISNUMBER(H1051),'요약'!$B$19),H1051-'요약'!$B$15,"")</x:f>
      </x:c>
      <x:c r="K1051" t="str">
        <x:f>IF(ISNUMBER(B1051),IF('Hill'!$B$4=1,IF(B1051&lt;0,-B1051,""),IF('Hill'!$B$4=2,IF(B1051&gt;0,B1051,""),IF('Hill'!$B$4=3,IF(B1051&lt;&gt;0,ABS(B1051),""),""))),"")</x:f>
      </x:c>
    </x:row>
    <x:row r="1052">
      <x:c r="A1052" t="n">
        <x:f>1051</x:f>
        <x:v>1051</x:v>
      </x:c>
      <x:c r="B1052" s="7" t="str">
        <x:f>IF('요약'!$B$4=4,IF(ISNUMBER('input'!A1052),'input'!A1052,""),IF(1051&lt;=1000,CHOOSE('요약'!$B$4,'input'!B1052,'input'!C1052,'input'!D1052),""))</x:f>
      </x:c>
      <x:c r="C1052" s="7" t="str">
        <x:f>IF(AND(ISNUMBER(B1052),'요약'!$B$19),B1052-'요약'!$B$7,"")</x:f>
      </x:c>
      <x:c r="D1052" s="7" t="str">
        <x:f>IF(ISNUMBER(C1052),C1052^2,"")</x:f>
      </x:c>
      <x:c r="E1052" s="15" t="str">
        <x:f>IF(ISNUMBER(C1052),C1052^3,"")</x:f>
      </x:c>
      <x:c r="F1052" s="15" t="str">
        <x:f>IF(ISNUMBER(C1052),C1052^4,"")</x:f>
      </x:c>
      <x:c r="G1052" s="7" t="str">
        <x:f>IF(ISNUMBER(B1052),ABS(B1052),"")</x:f>
      </x:c>
      <x:c r="H1052" s="7" t="str">
        <x:f>IF(ISNUMBER(B1052),B1052^2,"")</x:f>
      </x:c>
      <x:c r="I1052" s="7" t="str">
        <x:f>IF(AND(ISNUMBER(G1052),'요약'!$B$19),G1052-'요약'!$B$14,"")</x:f>
      </x:c>
      <x:c r="J1052" s="7" t="str">
        <x:f>IF(AND(ISNUMBER(H1052),'요약'!$B$19),H1052-'요약'!$B$15,"")</x:f>
      </x:c>
      <x:c r="K1052" t="str">
        <x:f>IF(ISNUMBER(B1052),IF('Hill'!$B$4=1,IF(B1052&lt;0,-B1052,""),IF('Hill'!$B$4=2,IF(B1052&gt;0,B1052,""),IF('Hill'!$B$4=3,IF(B1052&lt;&gt;0,ABS(B1052),""),""))),"")</x:f>
      </x:c>
    </x:row>
    <x:row r="1053">
      <x:c r="A1053" t="n">
        <x:f>1052</x:f>
        <x:v>1052</x:v>
      </x:c>
      <x:c r="B1053" s="7" t="str">
        <x:f>IF('요약'!$B$4=4,IF(ISNUMBER('input'!A1053),'input'!A1053,""),IF(1052&lt;=1000,CHOOSE('요약'!$B$4,'input'!B1053,'input'!C1053,'input'!D1053),""))</x:f>
      </x:c>
      <x:c r="C1053" s="7" t="str">
        <x:f>IF(AND(ISNUMBER(B1053),'요약'!$B$19),B1053-'요약'!$B$7,"")</x:f>
      </x:c>
      <x:c r="D1053" s="7" t="str">
        <x:f>IF(ISNUMBER(C1053),C1053^2,"")</x:f>
      </x:c>
      <x:c r="E1053" s="15" t="str">
        <x:f>IF(ISNUMBER(C1053),C1053^3,"")</x:f>
      </x:c>
      <x:c r="F1053" s="15" t="str">
        <x:f>IF(ISNUMBER(C1053),C1053^4,"")</x:f>
      </x:c>
      <x:c r="G1053" s="7" t="str">
        <x:f>IF(ISNUMBER(B1053),ABS(B1053),"")</x:f>
      </x:c>
      <x:c r="H1053" s="7" t="str">
        <x:f>IF(ISNUMBER(B1053),B1053^2,"")</x:f>
      </x:c>
      <x:c r="I1053" s="7" t="str">
        <x:f>IF(AND(ISNUMBER(G1053),'요약'!$B$19),G1053-'요약'!$B$14,"")</x:f>
      </x:c>
      <x:c r="J1053" s="7" t="str">
        <x:f>IF(AND(ISNUMBER(H1053),'요약'!$B$19),H1053-'요약'!$B$15,"")</x:f>
      </x:c>
      <x:c r="K1053" t="str">
        <x:f>IF(ISNUMBER(B1053),IF('Hill'!$B$4=1,IF(B1053&lt;0,-B1053,""),IF('Hill'!$B$4=2,IF(B1053&gt;0,B1053,""),IF('Hill'!$B$4=3,IF(B1053&lt;&gt;0,ABS(B1053),""),""))),"")</x:f>
      </x:c>
    </x:row>
    <x:row r="1054">
      <x:c r="A1054" t="n">
        <x:f>1053</x:f>
        <x:v>1053</x:v>
      </x:c>
      <x:c r="B1054" s="7" t="str">
        <x:f>IF('요약'!$B$4=4,IF(ISNUMBER('input'!A1054),'input'!A1054,""),IF(1053&lt;=1000,CHOOSE('요약'!$B$4,'input'!B1054,'input'!C1054,'input'!D1054),""))</x:f>
      </x:c>
      <x:c r="C1054" s="7" t="str">
        <x:f>IF(AND(ISNUMBER(B1054),'요약'!$B$19),B1054-'요약'!$B$7,"")</x:f>
      </x:c>
      <x:c r="D1054" s="7" t="str">
        <x:f>IF(ISNUMBER(C1054),C1054^2,"")</x:f>
      </x:c>
      <x:c r="E1054" s="15" t="str">
        <x:f>IF(ISNUMBER(C1054),C1054^3,"")</x:f>
      </x:c>
      <x:c r="F1054" s="15" t="str">
        <x:f>IF(ISNUMBER(C1054),C1054^4,"")</x:f>
      </x:c>
      <x:c r="G1054" s="7" t="str">
        <x:f>IF(ISNUMBER(B1054),ABS(B1054),"")</x:f>
      </x:c>
      <x:c r="H1054" s="7" t="str">
        <x:f>IF(ISNUMBER(B1054),B1054^2,"")</x:f>
      </x:c>
      <x:c r="I1054" s="7" t="str">
        <x:f>IF(AND(ISNUMBER(G1054),'요약'!$B$19),G1054-'요약'!$B$14,"")</x:f>
      </x:c>
      <x:c r="J1054" s="7" t="str">
        <x:f>IF(AND(ISNUMBER(H1054),'요약'!$B$19),H1054-'요약'!$B$15,"")</x:f>
      </x:c>
      <x:c r="K1054" t="str">
        <x:f>IF(ISNUMBER(B1054),IF('Hill'!$B$4=1,IF(B1054&lt;0,-B1054,""),IF('Hill'!$B$4=2,IF(B1054&gt;0,B1054,""),IF('Hill'!$B$4=3,IF(B1054&lt;&gt;0,ABS(B1054),""),""))),"")</x:f>
      </x:c>
    </x:row>
    <x:row r="1055">
      <x:c r="A1055" t="n">
        <x:f>1054</x:f>
        <x:v>1054</x:v>
      </x:c>
      <x:c r="B1055" s="7" t="str">
        <x:f>IF('요약'!$B$4=4,IF(ISNUMBER('input'!A1055),'input'!A1055,""),IF(1054&lt;=1000,CHOOSE('요약'!$B$4,'input'!B1055,'input'!C1055,'input'!D1055),""))</x:f>
      </x:c>
      <x:c r="C1055" s="7" t="str">
        <x:f>IF(AND(ISNUMBER(B1055),'요약'!$B$19),B1055-'요약'!$B$7,"")</x:f>
      </x:c>
      <x:c r="D1055" s="7" t="str">
        <x:f>IF(ISNUMBER(C1055),C1055^2,"")</x:f>
      </x:c>
      <x:c r="E1055" s="15" t="str">
        <x:f>IF(ISNUMBER(C1055),C1055^3,"")</x:f>
      </x:c>
      <x:c r="F1055" s="15" t="str">
        <x:f>IF(ISNUMBER(C1055),C1055^4,"")</x:f>
      </x:c>
      <x:c r="G1055" s="7" t="str">
        <x:f>IF(ISNUMBER(B1055),ABS(B1055),"")</x:f>
      </x:c>
      <x:c r="H1055" s="7" t="str">
        <x:f>IF(ISNUMBER(B1055),B1055^2,"")</x:f>
      </x:c>
      <x:c r="I1055" s="7" t="str">
        <x:f>IF(AND(ISNUMBER(G1055),'요약'!$B$19),G1055-'요약'!$B$14,"")</x:f>
      </x:c>
      <x:c r="J1055" s="7" t="str">
        <x:f>IF(AND(ISNUMBER(H1055),'요약'!$B$19),H1055-'요약'!$B$15,"")</x:f>
      </x:c>
      <x:c r="K1055" t="str">
        <x:f>IF(ISNUMBER(B1055),IF('Hill'!$B$4=1,IF(B1055&lt;0,-B1055,""),IF('Hill'!$B$4=2,IF(B1055&gt;0,B1055,""),IF('Hill'!$B$4=3,IF(B1055&lt;&gt;0,ABS(B1055),""),""))),"")</x:f>
      </x:c>
    </x:row>
    <x:row r="1056">
      <x:c r="A1056" t="n">
        <x:f>1055</x:f>
        <x:v>1055</x:v>
      </x:c>
      <x:c r="B1056" s="7" t="str">
        <x:f>IF('요약'!$B$4=4,IF(ISNUMBER('input'!A1056),'input'!A1056,""),IF(1055&lt;=1000,CHOOSE('요약'!$B$4,'input'!B1056,'input'!C1056,'input'!D1056),""))</x:f>
      </x:c>
      <x:c r="C1056" s="7" t="str">
        <x:f>IF(AND(ISNUMBER(B1056),'요약'!$B$19),B1056-'요약'!$B$7,"")</x:f>
      </x:c>
      <x:c r="D1056" s="7" t="str">
        <x:f>IF(ISNUMBER(C1056),C1056^2,"")</x:f>
      </x:c>
      <x:c r="E1056" s="15" t="str">
        <x:f>IF(ISNUMBER(C1056),C1056^3,"")</x:f>
      </x:c>
      <x:c r="F1056" s="15" t="str">
        <x:f>IF(ISNUMBER(C1056),C1056^4,"")</x:f>
      </x:c>
      <x:c r="G1056" s="7" t="str">
        <x:f>IF(ISNUMBER(B1056),ABS(B1056),"")</x:f>
      </x:c>
      <x:c r="H1056" s="7" t="str">
        <x:f>IF(ISNUMBER(B1056),B1056^2,"")</x:f>
      </x:c>
      <x:c r="I1056" s="7" t="str">
        <x:f>IF(AND(ISNUMBER(G1056),'요약'!$B$19),G1056-'요약'!$B$14,"")</x:f>
      </x:c>
      <x:c r="J1056" s="7" t="str">
        <x:f>IF(AND(ISNUMBER(H1056),'요약'!$B$19),H1056-'요약'!$B$15,"")</x:f>
      </x:c>
      <x:c r="K1056" t="str">
        <x:f>IF(ISNUMBER(B1056),IF('Hill'!$B$4=1,IF(B1056&lt;0,-B1056,""),IF('Hill'!$B$4=2,IF(B1056&gt;0,B1056,""),IF('Hill'!$B$4=3,IF(B1056&lt;&gt;0,ABS(B1056),""),""))),"")</x:f>
      </x:c>
    </x:row>
    <x:row r="1057">
      <x:c r="A1057" t="n">
        <x:f>1056</x:f>
        <x:v>1056</x:v>
      </x:c>
      <x:c r="B1057" s="7" t="str">
        <x:f>IF('요약'!$B$4=4,IF(ISNUMBER('input'!A1057),'input'!A1057,""),IF(1056&lt;=1000,CHOOSE('요약'!$B$4,'input'!B1057,'input'!C1057,'input'!D1057),""))</x:f>
      </x:c>
      <x:c r="C1057" s="7" t="str">
        <x:f>IF(AND(ISNUMBER(B1057),'요약'!$B$19),B1057-'요약'!$B$7,"")</x:f>
      </x:c>
      <x:c r="D1057" s="7" t="str">
        <x:f>IF(ISNUMBER(C1057),C1057^2,"")</x:f>
      </x:c>
      <x:c r="E1057" s="15" t="str">
        <x:f>IF(ISNUMBER(C1057),C1057^3,"")</x:f>
      </x:c>
      <x:c r="F1057" s="15" t="str">
        <x:f>IF(ISNUMBER(C1057),C1057^4,"")</x:f>
      </x:c>
      <x:c r="G1057" s="7" t="str">
        <x:f>IF(ISNUMBER(B1057),ABS(B1057),"")</x:f>
      </x:c>
      <x:c r="H1057" s="7" t="str">
        <x:f>IF(ISNUMBER(B1057),B1057^2,"")</x:f>
      </x:c>
      <x:c r="I1057" s="7" t="str">
        <x:f>IF(AND(ISNUMBER(G1057),'요약'!$B$19),G1057-'요약'!$B$14,"")</x:f>
      </x:c>
      <x:c r="J1057" s="7" t="str">
        <x:f>IF(AND(ISNUMBER(H1057),'요약'!$B$19),H1057-'요약'!$B$15,"")</x:f>
      </x:c>
      <x:c r="K1057" t="str">
        <x:f>IF(ISNUMBER(B1057),IF('Hill'!$B$4=1,IF(B1057&lt;0,-B1057,""),IF('Hill'!$B$4=2,IF(B1057&gt;0,B1057,""),IF('Hill'!$B$4=3,IF(B1057&lt;&gt;0,ABS(B1057),""),""))),"")</x:f>
      </x:c>
    </x:row>
    <x:row r="1058">
      <x:c r="A1058" t="n">
        <x:f>1057</x:f>
        <x:v>1057</x:v>
      </x:c>
      <x:c r="B1058" s="7" t="str">
        <x:f>IF('요약'!$B$4=4,IF(ISNUMBER('input'!A1058),'input'!A1058,""),IF(1057&lt;=1000,CHOOSE('요약'!$B$4,'input'!B1058,'input'!C1058,'input'!D1058),""))</x:f>
      </x:c>
      <x:c r="C1058" s="7" t="str">
        <x:f>IF(AND(ISNUMBER(B1058),'요약'!$B$19),B1058-'요약'!$B$7,"")</x:f>
      </x:c>
      <x:c r="D1058" s="7" t="str">
        <x:f>IF(ISNUMBER(C1058),C1058^2,"")</x:f>
      </x:c>
      <x:c r="E1058" s="15" t="str">
        <x:f>IF(ISNUMBER(C1058),C1058^3,"")</x:f>
      </x:c>
      <x:c r="F1058" s="15" t="str">
        <x:f>IF(ISNUMBER(C1058),C1058^4,"")</x:f>
      </x:c>
      <x:c r="G1058" s="7" t="str">
        <x:f>IF(ISNUMBER(B1058),ABS(B1058),"")</x:f>
      </x:c>
      <x:c r="H1058" s="7" t="str">
        <x:f>IF(ISNUMBER(B1058),B1058^2,"")</x:f>
      </x:c>
      <x:c r="I1058" s="7" t="str">
        <x:f>IF(AND(ISNUMBER(G1058),'요약'!$B$19),G1058-'요약'!$B$14,"")</x:f>
      </x:c>
      <x:c r="J1058" s="7" t="str">
        <x:f>IF(AND(ISNUMBER(H1058),'요약'!$B$19),H1058-'요약'!$B$15,"")</x:f>
      </x:c>
      <x:c r="K1058" t="str">
        <x:f>IF(ISNUMBER(B1058),IF('Hill'!$B$4=1,IF(B1058&lt;0,-B1058,""),IF('Hill'!$B$4=2,IF(B1058&gt;0,B1058,""),IF('Hill'!$B$4=3,IF(B1058&lt;&gt;0,ABS(B1058),""),""))),"")</x:f>
      </x:c>
    </x:row>
    <x:row r="1059">
      <x:c r="A1059" t="n">
        <x:f>1058</x:f>
        <x:v>1058</x:v>
      </x:c>
      <x:c r="B1059" s="7" t="str">
        <x:f>IF('요약'!$B$4=4,IF(ISNUMBER('input'!A1059),'input'!A1059,""),IF(1058&lt;=1000,CHOOSE('요약'!$B$4,'input'!B1059,'input'!C1059,'input'!D1059),""))</x:f>
      </x:c>
      <x:c r="C1059" s="7" t="str">
        <x:f>IF(AND(ISNUMBER(B1059),'요약'!$B$19),B1059-'요약'!$B$7,"")</x:f>
      </x:c>
      <x:c r="D1059" s="7" t="str">
        <x:f>IF(ISNUMBER(C1059),C1059^2,"")</x:f>
      </x:c>
      <x:c r="E1059" s="15" t="str">
        <x:f>IF(ISNUMBER(C1059),C1059^3,"")</x:f>
      </x:c>
      <x:c r="F1059" s="15" t="str">
        <x:f>IF(ISNUMBER(C1059),C1059^4,"")</x:f>
      </x:c>
      <x:c r="G1059" s="7" t="str">
        <x:f>IF(ISNUMBER(B1059),ABS(B1059),"")</x:f>
      </x:c>
      <x:c r="H1059" s="7" t="str">
        <x:f>IF(ISNUMBER(B1059),B1059^2,"")</x:f>
      </x:c>
      <x:c r="I1059" s="7" t="str">
        <x:f>IF(AND(ISNUMBER(G1059),'요약'!$B$19),G1059-'요약'!$B$14,"")</x:f>
      </x:c>
      <x:c r="J1059" s="7" t="str">
        <x:f>IF(AND(ISNUMBER(H1059),'요약'!$B$19),H1059-'요약'!$B$15,"")</x:f>
      </x:c>
      <x:c r="K1059" t="str">
        <x:f>IF(ISNUMBER(B1059),IF('Hill'!$B$4=1,IF(B1059&lt;0,-B1059,""),IF('Hill'!$B$4=2,IF(B1059&gt;0,B1059,""),IF('Hill'!$B$4=3,IF(B1059&lt;&gt;0,ABS(B1059),""),""))),"")</x:f>
      </x:c>
    </x:row>
    <x:row r="1060">
      <x:c r="A1060" t="n">
        <x:f>1059</x:f>
        <x:v>1059</x:v>
      </x:c>
      <x:c r="B1060" s="7" t="str">
        <x:f>IF('요약'!$B$4=4,IF(ISNUMBER('input'!A1060),'input'!A1060,""),IF(1059&lt;=1000,CHOOSE('요약'!$B$4,'input'!B1060,'input'!C1060,'input'!D1060),""))</x:f>
      </x:c>
      <x:c r="C1060" s="7" t="str">
        <x:f>IF(AND(ISNUMBER(B1060),'요약'!$B$19),B1060-'요약'!$B$7,"")</x:f>
      </x:c>
      <x:c r="D1060" s="7" t="str">
        <x:f>IF(ISNUMBER(C1060),C1060^2,"")</x:f>
      </x:c>
      <x:c r="E1060" s="15" t="str">
        <x:f>IF(ISNUMBER(C1060),C1060^3,"")</x:f>
      </x:c>
      <x:c r="F1060" s="15" t="str">
        <x:f>IF(ISNUMBER(C1060),C1060^4,"")</x:f>
      </x:c>
      <x:c r="G1060" s="7" t="str">
        <x:f>IF(ISNUMBER(B1060),ABS(B1060),"")</x:f>
      </x:c>
      <x:c r="H1060" s="7" t="str">
        <x:f>IF(ISNUMBER(B1060),B1060^2,"")</x:f>
      </x:c>
      <x:c r="I1060" s="7" t="str">
        <x:f>IF(AND(ISNUMBER(G1060),'요약'!$B$19),G1060-'요약'!$B$14,"")</x:f>
      </x:c>
      <x:c r="J1060" s="7" t="str">
        <x:f>IF(AND(ISNUMBER(H1060),'요약'!$B$19),H1060-'요약'!$B$15,"")</x:f>
      </x:c>
      <x:c r="K1060" t="str">
        <x:f>IF(ISNUMBER(B1060),IF('Hill'!$B$4=1,IF(B1060&lt;0,-B1060,""),IF('Hill'!$B$4=2,IF(B1060&gt;0,B1060,""),IF('Hill'!$B$4=3,IF(B1060&lt;&gt;0,ABS(B1060),""),""))),"")</x:f>
      </x:c>
    </x:row>
    <x:row r="1061">
      <x:c r="A1061" t="n">
        <x:f>1060</x:f>
        <x:v>1060</x:v>
      </x:c>
      <x:c r="B1061" s="7" t="str">
        <x:f>IF('요약'!$B$4=4,IF(ISNUMBER('input'!A1061),'input'!A1061,""),IF(1060&lt;=1000,CHOOSE('요약'!$B$4,'input'!B1061,'input'!C1061,'input'!D1061),""))</x:f>
      </x:c>
      <x:c r="C1061" s="7" t="str">
        <x:f>IF(AND(ISNUMBER(B1061),'요약'!$B$19),B1061-'요약'!$B$7,"")</x:f>
      </x:c>
      <x:c r="D1061" s="7" t="str">
        <x:f>IF(ISNUMBER(C1061),C1061^2,"")</x:f>
      </x:c>
      <x:c r="E1061" s="15" t="str">
        <x:f>IF(ISNUMBER(C1061),C1061^3,"")</x:f>
      </x:c>
      <x:c r="F1061" s="15" t="str">
        <x:f>IF(ISNUMBER(C1061),C1061^4,"")</x:f>
      </x:c>
      <x:c r="G1061" s="7" t="str">
        <x:f>IF(ISNUMBER(B1061),ABS(B1061),"")</x:f>
      </x:c>
      <x:c r="H1061" s="7" t="str">
        <x:f>IF(ISNUMBER(B1061),B1061^2,"")</x:f>
      </x:c>
      <x:c r="I1061" s="7" t="str">
        <x:f>IF(AND(ISNUMBER(G1061),'요약'!$B$19),G1061-'요약'!$B$14,"")</x:f>
      </x:c>
      <x:c r="J1061" s="7" t="str">
        <x:f>IF(AND(ISNUMBER(H1061),'요약'!$B$19),H1061-'요약'!$B$15,"")</x:f>
      </x:c>
      <x:c r="K1061" t="str">
        <x:f>IF(ISNUMBER(B1061),IF('Hill'!$B$4=1,IF(B1061&lt;0,-B1061,""),IF('Hill'!$B$4=2,IF(B1061&gt;0,B1061,""),IF('Hill'!$B$4=3,IF(B1061&lt;&gt;0,ABS(B1061),""),""))),"")</x:f>
      </x:c>
    </x:row>
    <x:row r="1062">
      <x:c r="A1062" t="n">
        <x:f>1061</x:f>
        <x:v>1061</x:v>
      </x:c>
      <x:c r="B1062" s="7" t="str">
        <x:f>IF('요약'!$B$4=4,IF(ISNUMBER('input'!A1062),'input'!A1062,""),IF(1061&lt;=1000,CHOOSE('요약'!$B$4,'input'!B1062,'input'!C1062,'input'!D1062),""))</x:f>
      </x:c>
      <x:c r="C1062" s="7" t="str">
        <x:f>IF(AND(ISNUMBER(B1062),'요약'!$B$19),B1062-'요약'!$B$7,"")</x:f>
      </x:c>
      <x:c r="D1062" s="7" t="str">
        <x:f>IF(ISNUMBER(C1062),C1062^2,"")</x:f>
      </x:c>
      <x:c r="E1062" s="15" t="str">
        <x:f>IF(ISNUMBER(C1062),C1062^3,"")</x:f>
      </x:c>
      <x:c r="F1062" s="15" t="str">
        <x:f>IF(ISNUMBER(C1062),C1062^4,"")</x:f>
      </x:c>
      <x:c r="G1062" s="7" t="str">
        <x:f>IF(ISNUMBER(B1062),ABS(B1062),"")</x:f>
      </x:c>
      <x:c r="H1062" s="7" t="str">
        <x:f>IF(ISNUMBER(B1062),B1062^2,"")</x:f>
      </x:c>
      <x:c r="I1062" s="7" t="str">
        <x:f>IF(AND(ISNUMBER(G1062),'요약'!$B$19),G1062-'요약'!$B$14,"")</x:f>
      </x:c>
      <x:c r="J1062" s="7" t="str">
        <x:f>IF(AND(ISNUMBER(H1062),'요약'!$B$19),H1062-'요약'!$B$15,"")</x:f>
      </x:c>
      <x:c r="K1062" t="str">
        <x:f>IF(ISNUMBER(B1062),IF('Hill'!$B$4=1,IF(B1062&lt;0,-B1062,""),IF('Hill'!$B$4=2,IF(B1062&gt;0,B1062,""),IF('Hill'!$B$4=3,IF(B1062&lt;&gt;0,ABS(B1062),""),""))),"")</x:f>
      </x:c>
    </x:row>
    <x:row r="1063">
      <x:c r="A1063" t="n">
        <x:f>1062</x:f>
        <x:v>1062</x:v>
      </x:c>
      <x:c r="B1063" s="7" t="str">
        <x:f>IF('요약'!$B$4=4,IF(ISNUMBER('input'!A1063),'input'!A1063,""),IF(1062&lt;=1000,CHOOSE('요약'!$B$4,'input'!B1063,'input'!C1063,'input'!D1063),""))</x:f>
      </x:c>
      <x:c r="C1063" s="7" t="str">
        <x:f>IF(AND(ISNUMBER(B1063),'요약'!$B$19),B1063-'요약'!$B$7,"")</x:f>
      </x:c>
      <x:c r="D1063" s="7" t="str">
        <x:f>IF(ISNUMBER(C1063),C1063^2,"")</x:f>
      </x:c>
      <x:c r="E1063" s="15" t="str">
        <x:f>IF(ISNUMBER(C1063),C1063^3,"")</x:f>
      </x:c>
      <x:c r="F1063" s="15" t="str">
        <x:f>IF(ISNUMBER(C1063),C1063^4,"")</x:f>
      </x:c>
      <x:c r="G1063" s="7" t="str">
        <x:f>IF(ISNUMBER(B1063),ABS(B1063),"")</x:f>
      </x:c>
      <x:c r="H1063" s="7" t="str">
        <x:f>IF(ISNUMBER(B1063),B1063^2,"")</x:f>
      </x:c>
      <x:c r="I1063" s="7" t="str">
        <x:f>IF(AND(ISNUMBER(G1063),'요약'!$B$19),G1063-'요약'!$B$14,"")</x:f>
      </x:c>
      <x:c r="J1063" s="7" t="str">
        <x:f>IF(AND(ISNUMBER(H1063),'요약'!$B$19),H1063-'요약'!$B$15,"")</x:f>
      </x:c>
      <x:c r="K1063" t="str">
        <x:f>IF(ISNUMBER(B1063),IF('Hill'!$B$4=1,IF(B1063&lt;0,-B1063,""),IF('Hill'!$B$4=2,IF(B1063&gt;0,B1063,""),IF('Hill'!$B$4=3,IF(B1063&lt;&gt;0,ABS(B1063),""),""))),"")</x:f>
      </x:c>
    </x:row>
    <x:row r="1064">
      <x:c r="A1064" t="n">
        <x:f>1063</x:f>
        <x:v>1063</x:v>
      </x:c>
      <x:c r="B1064" s="7" t="str">
        <x:f>IF('요약'!$B$4=4,IF(ISNUMBER('input'!A1064),'input'!A1064,""),IF(1063&lt;=1000,CHOOSE('요약'!$B$4,'input'!B1064,'input'!C1064,'input'!D1064),""))</x:f>
      </x:c>
      <x:c r="C1064" s="7" t="str">
        <x:f>IF(AND(ISNUMBER(B1064),'요약'!$B$19),B1064-'요약'!$B$7,"")</x:f>
      </x:c>
      <x:c r="D1064" s="7" t="str">
        <x:f>IF(ISNUMBER(C1064),C1064^2,"")</x:f>
      </x:c>
      <x:c r="E1064" s="15" t="str">
        <x:f>IF(ISNUMBER(C1064),C1064^3,"")</x:f>
      </x:c>
      <x:c r="F1064" s="15" t="str">
        <x:f>IF(ISNUMBER(C1064),C1064^4,"")</x:f>
      </x:c>
      <x:c r="G1064" s="7" t="str">
        <x:f>IF(ISNUMBER(B1064),ABS(B1064),"")</x:f>
      </x:c>
      <x:c r="H1064" s="7" t="str">
        <x:f>IF(ISNUMBER(B1064),B1064^2,"")</x:f>
      </x:c>
      <x:c r="I1064" s="7" t="str">
        <x:f>IF(AND(ISNUMBER(G1064),'요약'!$B$19),G1064-'요약'!$B$14,"")</x:f>
      </x:c>
      <x:c r="J1064" s="7" t="str">
        <x:f>IF(AND(ISNUMBER(H1064),'요약'!$B$19),H1064-'요약'!$B$15,"")</x:f>
      </x:c>
      <x:c r="K1064" t="str">
        <x:f>IF(ISNUMBER(B1064),IF('Hill'!$B$4=1,IF(B1064&lt;0,-B1064,""),IF('Hill'!$B$4=2,IF(B1064&gt;0,B1064,""),IF('Hill'!$B$4=3,IF(B1064&lt;&gt;0,ABS(B1064),""),""))),"")</x:f>
      </x:c>
    </x:row>
    <x:row r="1065">
      <x:c r="A1065" t="n">
        <x:f>1064</x:f>
        <x:v>1064</x:v>
      </x:c>
      <x:c r="B1065" s="7" t="str">
        <x:f>IF('요약'!$B$4=4,IF(ISNUMBER('input'!A1065),'input'!A1065,""),IF(1064&lt;=1000,CHOOSE('요약'!$B$4,'input'!B1065,'input'!C1065,'input'!D1065),""))</x:f>
      </x:c>
      <x:c r="C1065" s="7" t="str">
        <x:f>IF(AND(ISNUMBER(B1065),'요약'!$B$19),B1065-'요약'!$B$7,"")</x:f>
      </x:c>
      <x:c r="D1065" s="7" t="str">
        <x:f>IF(ISNUMBER(C1065),C1065^2,"")</x:f>
      </x:c>
      <x:c r="E1065" s="15" t="str">
        <x:f>IF(ISNUMBER(C1065),C1065^3,"")</x:f>
      </x:c>
      <x:c r="F1065" s="15" t="str">
        <x:f>IF(ISNUMBER(C1065),C1065^4,"")</x:f>
      </x:c>
      <x:c r="G1065" s="7" t="str">
        <x:f>IF(ISNUMBER(B1065),ABS(B1065),"")</x:f>
      </x:c>
      <x:c r="H1065" s="7" t="str">
        <x:f>IF(ISNUMBER(B1065),B1065^2,"")</x:f>
      </x:c>
      <x:c r="I1065" s="7" t="str">
        <x:f>IF(AND(ISNUMBER(G1065),'요약'!$B$19),G1065-'요약'!$B$14,"")</x:f>
      </x:c>
      <x:c r="J1065" s="7" t="str">
        <x:f>IF(AND(ISNUMBER(H1065),'요약'!$B$19),H1065-'요약'!$B$15,"")</x:f>
      </x:c>
      <x:c r="K1065" t="str">
        <x:f>IF(ISNUMBER(B1065),IF('Hill'!$B$4=1,IF(B1065&lt;0,-B1065,""),IF('Hill'!$B$4=2,IF(B1065&gt;0,B1065,""),IF('Hill'!$B$4=3,IF(B1065&lt;&gt;0,ABS(B1065),""),""))),"")</x:f>
      </x:c>
    </x:row>
    <x:row r="1066">
      <x:c r="A1066" t="n">
        <x:f>1065</x:f>
        <x:v>1065</x:v>
      </x:c>
      <x:c r="B1066" s="7" t="str">
        <x:f>IF('요약'!$B$4=4,IF(ISNUMBER('input'!A1066),'input'!A1066,""),IF(1065&lt;=1000,CHOOSE('요약'!$B$4,'input'!B1066,'input'!C1066,'input'!D1066),""))</x:f>
      </x:c>
      <x:c r="C1066" s="7" t="str">
        <x:f>IF(AND(ISNUMBER(B1066),'요약'!$B$19),B1066-'요약'!$B$7,"")</x:f>
      </x:c>
      <x:c r="D1066" s="7" t="str">
        <x:f>IF(ISNUMBER(C1066),C1066^2,"")</x:f>
      </x:c>
      <x:c r="E1066" s="15" t="str">
        <x:f>IF(ISNUMBER(C1066),C1066^3,"")</x:f>
      </x:c>
      <x:c r="F1066" s="15" t="str">
        <x:f>IF(ISNUMBER(C1066),C1066^4,"")</x:f>
      </x:c>
      <x:c r="G1066" s="7" t="str">
        <x:f>IF(ISNUMBER(B1066),ABS(B1066),"")</x:f>
      </x:c>
      <x:c r="H1066" s="7" t="str">
        <x:f>IF(ISNUMBER(B1066),B1066^2,"")</x:f>
      </x:c>
      <x:c r="I1066" s="7" t="str">
        <x:f>IF(AND(ISNUMBER(G1066),'요약'!$B$19),G1066-'요약'!$B$14,"")</x:f>
      </x:c>
      <x:c r="J1066" s="7" t="str">
        <x:f>IF(AND(ISNUMBER(H1066),'요약'!$B$19),H1066-'요약'!$B$15,"")</x:f>
      </x:c>
      <x:c r="K1066" t="str">
        <x:f>IF(ISNUMBER(B1066),IF('Hill'!$B$4=1,IF(B1066&lt;0,-B1066,""),IF('Hill'!$B$4=2,IF(B1066&gt;0,B1066,""),IF('Hill'!$B$4=3,IF(B1066&lt;&gt;0,ABS(B1066),""),""))),"")</x:f>
      </x:c>
    </x:row>
    <x:row r="1067">
      <x:c r="A1067" t="n">
        <x:f>1066</x:f>
        <x:v>1066</x:v>
      </x:c>
      <x:c r="B1067" s="7" t="str">
        <x:f>IF('요약'!$B$4=4,IF(ISNUMBER('input'!A1067),'input'!A1067,""),IF(1066&lt;=1000,CHOOSE('요약'!$B$4,'input'!B1067,'input'!C1067,'input'!D1067),""))</x:f>
      </x:c>
      <x:c r="C1067" s="7" t="str">
        <x:f>IF(AND(ISNUMBER(B1067),'요약'!$B$19),B1067-'요약'!$B$7,"")</x:f>
      </x:c>
      <x:c r="D1067" s="7" t="str">
        <x:f>IF(ISNUMBER(C1067),C1067^2,"")</x:f>
      </x:c>
      <x:c r="E1067" s="15" t="str">
        <x:f>IF(ISNUMBER(C1067),C1067^3,"")</x:f>
      </x:c>
      <x:c r="F1067" s="15" t="str">
        <x:f>IF(ISNUMBER(C1067),C1067^4,"")</x:f>
      </x:c>
      <x:c r="G1067" s="7" t="str">
        <x:f>IF(ISNUMBER(B1067),ABS(B1067),"")</x:f>
      </x:c>
      <x:c r="H1067" s="7" t="str">
        <x:f>IF(ISNUMBER(B1067),B1067^2,"")</x:f>
      </x:c>
      <x:c r="I1067" s="7" t="str">
        <x:f>IF(AND(ISNUMBER(G1067),'요약'!$B$19),G1067-'요약'!$B$14,"")</x:f>
      </x:c>
      <x:c r="J1067" s="7" t="str">
        <x:f>IF(AND(ISNUMBER(H1067),'요약'!$B$19),H1067-'요약'!$B$15,"")</x:f>
      </x:c>
      <x:c r="K1067" t="str">
        <x:f>IF(ISNUMBER(B1067),IF('Hill'!$B$4=1,IF(B1067&lt;0,-B1067,""),IF('Hill'!$B$4=2,IF(B1067&gt;0,B1067,""),IF('Hill'!$B$4=3,IF(B1067&lt;&gt;0,ABS(B1067),""),""))),"")</x:f>
      </x:c>
    </x:row>
    <x:row r="1068">
      <x:c r="A1068" t="n">
        <x:f>1067</x:f>
        <x:v>1067</x:v>
      </x:c>
      <x:c r="B1068" s="7" t="str">
        <x:f>IF('요약'!$B$4=4,IF(ISNUMBER('input'!A1068),'input'!A1068,""),IF(1067&lt;=1000,CHOOSE('요약'!$B$4,'input'!B1068,'input'!C1068,'input'!D1068),""))</x:f>
      </x:c>
      <x:c r="C1068" s="7" t="str">
        <x:f>IF(AND(ISNUMBER(B1068),'요약'!$B$19),B1068-'요약'!$B$7,"")</x:f>
      </x:c>
      <x:c r="D1068" s="7" t="str">
        <x:f>IF(ISNUMBER(C1068),C1068^2,"")</x:f>
      </x:c>
      <x:c r="E1068" s="15" t="str">
        <x:f>IF(ISNUMBER(C1068),C1068^3,"")</x:f>
      </x:c>
      <x:c r="F1068" s="15" t="str">
        <x:f>IF(ISNUMBER(C1068),C1068^4,"")</x:f>
      </x:c>
      <x:c r="G1068" s="7" t="str">
        <x:f>IF(ISNUMBER(B1068),ABS(B1068),"")</x:f>
      </x:c>
      <x:c r="H1068" s="7" t="str">
        <x:f>IF(ISNUMBER(B1068),B1068^2,"")</x:f>
      </x:c>
      <x:c r="I1068" s="7" t="str">
        <x:f>IF(AND(ISNUMBER(G1068),'요약'!$B$19),G1068-'요약'!$B$14,"")</x:f>
      </x:c>
      <x:c r="J1068" s="7" t="str">
        <x:f>IF(AND(ISNUMBER(H1068),'요약'!$B$19),H1068-'요약'!$B$15,"")</x:f>
      </x:c>
      <x:c r="K1068" t="str">
        <x:f>IF(ISNUMBER(B1068),IF('Hill'!$B$4=1,IF(B1068&lt;0,-B1068,""),IF('Hill'!$B$4=2,IF(B1068&gt;0,B1068,""),IF('Hill'!$B$4=3,IF(B1068&lt;&gt;0,ABS(B1068),""),""))),"")</x:f>
      </x:c>
    </x:row>
    <x:row r="1069">
      <x:c r="A1069" t="n">
        <x:f>1068</x:f>
        <x:v>1068</x:v>
      </x:c>
      <x:c r="B1069" s="7" t="str">
        <x:f>IF('요약'!$B$4=4,IF(ISNUMBER('input'!A1069),'input'!A1069,""),IF(1068&lt;=1000,CHOOSE('요약'!$B$4,'input'!B1069,'input'!C1069,'input'!D1069),""))</x:f>
      </x:c>
      <x:c r="C1069" s="7" t="str">
        <x:f>IF(AND(ISNUMBER(B1069),'요약'!$B$19),B1069-'요약'!$B$7,"")</x:f>
      </x:c>
      <x:c r="D1069" s="7" t="str">
        <x:f>IF(ISNUMBER(C1069),C1069^2,"")</x:f>
      </x:c>
      <x:c r="E1069" s="15" t="str">
        <x:f>IF(ISNUMBER(C1069),C1069^3,"")</x:f>
      </x:c>
      <x:c r="F1069" s="15" t="str">
        <x:f>IF(ISNUMBER(C1069),C1069^4,"")</x:f>
      </x:c>
      <x:c r="G1069" s="7" t="str">
        <x:f>IF(ISNUMBER(B1069),ABS(B1069),"")</x:f>
      </x:c>
      <x:c r="H1069" s="7" t="str">
        <x:f>IF(ISNUMBER(B1069),B1069^2,"")</x:f>
      </x:c>
      <x:c r="I1069" s="7" t="str">
        <x:f>IF(AND(ISNUMBER(G1069),'요약'!$B$19),G1069-'요약'!$B$14,"")</x:f>
      </x:c>
      <x:c r="J1069" s="7" t="str">
        <x:f>IF(AND(ISNUMBER(H1069),'요약'!$B$19),H1069-'요약'!$B$15,"")</x:f>
      </x:c>
      <x:c r="K1069" t="str">
        <x:f>IF(ISNUMBER(B1069),IF('Hill'!$B$4=1,IF(B1069&lt;0,-B1069,""),IF('Hill'!$B$4=2,IF(B1069&gt;0,B1069,""),IF('Hill'!$B$4=3,IF(B1069&lt;&gt;0,ABS(B1069),""),""))),"")</x:f>
      </x:c>
    </x:row>
    <x:row r="1070">
      <x:c r="A1070" t="n">
        <x:f>1069</x:f>
        <x:v>1069</x:v>
      </x:c>
      <x:c r="B1070" s="7" t="str">
        <x:f>IF('요약'!$B$4=4,IF(ISNUMBER('input'!A1070),'input'!A1070,""),IF(1069&lt;=1000,CHOOSE('요약'!$B$4,'input'!B1070,'input'!C1070,'input'!D1070),""))</x:f>
      </x:c>
      <x:c r="C1070" s="7" t="str">
        <x:f>IF(AND(ISNUMBER(B1070),'요약'!$B$19),B1070-'요약'!$B$7,"")</x:f>
      </x:c>
      <x:c r="D1070" s="7" t="str">
        <x:f>IF(ISNUMBER(C1070),C1070^2,"")</x:f>
      </x:c>
      <x:c r="E1070" s="15" t="str">
        <x:f>IF(ISNUMBER(C1070),C1070^3,"")</x:f>
      </x:c>
      <x:c r="F1070" s="15" t="str">
        <x:f>IF(ISNUMBER(C1070),C1070^4,"")</x:f>
      </x:c>
      <x:c r="G1070" s="7" t="str">
        <x:f>IF(ISNUMBER(B1070),ABS(B1070),"")</x:f>
      </x:c>
      <x:c r="H1070" s="7" t="str">
        <x:f>IF(ISNUMBER(B1070),B1070^2,"")</x:f>
      </x:c>
      <x:c r="I1070" s="7" t="str">
        <x:f>IF(AND(ISNUMBER(G1070),'요약'!$B$19),G1070-'요약'!$B$14,"")</x:f>
      </x:c>
      <x:c r="J1070" s="7" t="str">
        <x:f>IF(AND(ISNUMBER(H1070),'요약'!$B$19),H1070-'요약'!$B$15,"")</x:f>
      </x:c>
      <x:c r="K1070" t="str">
        <x:f>IF(ISNUMBER(B1070),IF('Hill'!$B$4=1,IF(B1070&lt;0,-B1070,""),IF('Hill'!$B$4=2,IF(B1070&gt;0,B1070,""),IF('Hill'!$B$4=3,IF(B1070&lt;&gt;0,ABS(B1070),""),""))),"")</x:f>
      </x:c>
    </x:row>
    <x:row r="1071">
      <x:c r="A1071" t="n">
        <x:f>1070</x:f>
        <x:v>1070</x:v>
      </x:c>
      <x:c r="B1071" s="7" t="str">
        <x:f>IF('요약'!$B$4=4,IF(ISNUMBER('input'!A1071),'input'!A1071,""),IF(1070&lt;=1000,CHOOSE('요약'!$B$4,'input'!B1071,'input'!C1071,'input'!D1071),""))</x:f>
      </x:c>
      <x:c r="C1071" s="7" t="str">
        <x:f>IF(AND(ISNUMBER(B1071),'요약'!$B$19),B1071-'요약'!$B$7,"")</x:f>
      </x:c>
      <x:c r="D1071" s="7" t="str">
        <x:f>IF(ISNUMBER(C1071),C1071^2,"")</x:f>
      </x:c>
      <x:c r="E1071" s="15" t="str">
        <x:f>IF(ISNUMBER(C1071),C1071^3,"")</x:f>
      </x:c>
      <x:c r="F1071" s="15" t="str">
        <x:f>IF(ISNUMBER(C1071),C1071^4,"")</x:f>
      </x:c>
      <x:c r="G1071" s="7" t="str">
        <x:f>IF(ISNUMBER(B1071),ABS(B1071),"")</x:f>
      </x:c>
      <x:c r="H1071" s="7" t="str">
        <x:f>IF(ISNUMBER(B1071),B1071^2,"")</x:f>
      </x:c>
      <x:c r="I1071" s="7" t="str">
        <x:f>IF(AND(ISNUMBER(G1071),'요약'!$B$19),G1071-'요약'!$B$14,"")</x:f>
      </x:c>
      <x:c r="J1071" s="7" t="str">
        <x:f>IF(AND(ISNUMBER(H1071),'요약'!$B$19),H1071-'요약'!$B$15,"")</x:f>
      </x:c>
      <x:c r="K1071" t="str">
        <x:f>IF(ISNUMBER(B1071),IF('Hill'!$B$4=1,IF(B1071&lt;0,-B1071,""),IF('Hill'!$B$4=2,IF(B1071&gt;0,B1071,""),IF('Hill'!$B$4=3,IF(B1071&lt;&gt;0,ABS(B1071),""),""))),"")</x:f>
      </x:c>
    </x:row>
    <x:row r="1072">
      <x:c r="A1072" t="n">
        <x:f>1071</x:f>
        <x:v>1071</x:v>
      </x:c>
      <x:c r="B1072" s="7" t="str">
        <x:f>IF('요약'!$B$4=4,IF(ISNUMBER('input'!A1072),'input'!A1072,""),IF(1071&lt;=1000,CHOOSE('요약'!$B$4,'input'!B1072,'input'!C1072,'input'!D1072),""))</x:f>
      </x:c>
      <x:c r="C1072" s="7" t="str">
        <x:f>IF(AND(ISNUMBER(B1072),'요약'!$B$19),B1072-'요약'!$B$7,"")</x:f>
      </x:c>
      <x:c r="D1072" s="7" t="str">
        <x:f>IF(ISNUMBER(C1072),C1072^2,"")</x:f>
      </x:c>
      <x:c r="E1072" s="15" t="str">
        <x:f>IF(ISNUMBER(C1072),C1072^3,"")</x:f>
      </x:c>
      <x:c r="F1072" s="15" t="str">
        <x:f>IF(ISNUMBER(C1072),C1072^4,"")</x:f>
      </x:c>
      <x:c r="G1072" s="7" t="str">
        <x:f>IF(ISNUMBER(B1072),ABS(B1072),"")</x:f>
      </x:c>
      <x:c r="H1072" s="7" t="str">
        <x:f>IF(ISNUMBER(B1072),B1072^2,"")</x:f>
      </x:c>
      <x:c r="I1072" s="7" t="str">
        <x:f>IF(AND(ISNUMBER(G1072),'요약'!$B$19),G1072-'요약'!$B$14,"")</x:f>
      </x:c>
      <x:c r="J1072" s="7" t="str">
        <x:f>IF(AND(ISNUMBER(H1072),'요약'!$B$19),H1072-'요약'!$B$15,"")</x:f>
      </x:c>
      <x:c r="K1072" t="str">
        <x:f>IF(ISNUMBER(B1072),IF('Hill'!$B$4=1,IF(B1072&lt;0,-B1072,""),IF('Hill'!$B$4=2,IF(B1072&gt;0,B1072,""),IF('Hill'!$B$4=3,IF(B1072&lt;&gt;0,ABS(B1072),""),""))),"")</x:f>
      </x:c>
    </x:row>
    <x:row r="1073">
      <x:c r="A1073" t="n">
        <x:f>1072</x:f>
        <x:v>1072</x:v>
      </x:c>
      <x:c r="B1073" s="7" t="str">
        <x:f>IF('요약'!$B$4=4,IF(ISNUMBER('input'!A1073),'input'!A1073,""),IF(1072&lt;=1000,CHOOSE('요약'!$B$4,'input'!B1073,'input'!C1073,'input'!D1073),""))</x:f>
      </x:c>
      <x:c r="C1073" s="7" t="str">
        <x:f>IF(AND(ISNUMBER(B1073),'요약'!$B$19),B1073-'요약'!$B$7,"")</x:f>
      </x:c>
      <x:c r="D1073" s="7" t="str">
        <x:f>IF(ISNUMBER(C1073),C1073^2,"")</x:f>
      </x:c>
      <x:c r="E1073" s="15" t="str">
        <x:f>IF(ISNUMBER(C1073),C1073^3,"")</x:f>
      </x:c>
      <x:c r="F1073" s="15" t="str">
        <x:f>IF(ISNUMBER(C1073),C1073^4,"")</x:f>
      </x:c>
      <x:c r="G1073" s="7" t="str">
        <x:f>IF(ISNUMBER(B1073),ABS(B1073),"")</x:f>
      </x:c>
      <x:c r="H1073" s="7" t="str">
        <x:f>IF(ISNUMBER(B1073),B1073^2,"")</x:f>
      </x:c>
      <x:c r="I1073" s="7" t="str">
        <x:f>IF(AND(ISNUMBER(G1073),'요약'!$B$19),G1073-'요약'!$B$14,"")</x:f>
      </x:c>
      <x:c r="J1073" s="7" t="str">
        <x:f>IF(AND(ISNUMBER(H1073),'요약'!$B$19),H1073-'요약'!$B$15,"")</x:f>
      </x:c>
      <x:c r="K1073" t="str">
        <x:f>IF(ISNUMBER(B1073),IF('Hill'!$B$4=1,IF(B1073&lt;0,-B1073,""),IF('Hill'!$B$4=2,IF(B1073&gt;0,B1073,""),IF('Hill'!$B$4=3,IF(B1073&lt;&gt;0,ABS(B1073),""),""))),"")</x:f>
      </x:c>
    </x:row>
    <x:row r="1074">
      <x:c r="A1074" t="n">
        <x:f>1073</x:f>
        <x:v>1073</x:v>
      </x:c>
      <x:c r="B1074" s="7" t="str">
        <x:f>IF('요약'!$B$4=4,IF(ISNUMBER('input'!A1074),'input'!A1074,""),IF(1073&lt;=1000,CHOOSE('요약'!$B$4,'input'!B1074,'input'!C1074,'input'!D1074),""))</x:f>
      </x:c>
      <x:c r="C1074" s="7" t="str">
        <x:f>IF(AND(ISNUMBER(B1074),'요약'!$B$19),B1074-'요약'!$B$7,"")</x:f>
      </x:c>
      <x:c r="D1074" s="7" t="str">
        <x:f>IF(ISNUMBER(C1074),C1074^2,"")</x:f>
      </x:c>
      <x:c r="E1074" s="15" t="str">
        <x:f>IF(ISNUMBER(C1074),C1074^3,"")</x:f>
      </x:c>
      <x:c r="F1074" s="15" t="str">
        <x:f>IF(ISNUMBER(C1074),C1074^4,"")</x:f>
      </x:c>
      <x:c r="G1074" s="7" t="str">
        <x:f>IF(ISNUMBER(B1074),ABS(B1074),"")</x:f>
      </x:c>
      <x:c r="H1074" s="7" t="str">
        <x:f>IF(ISNUMBER(B1074),B1074^2,"")</x:f>
      </x:c>
      <x:c r="I1074" s="7" t="str">
        <x:f>IF(AND(ISNUMBER(G1074),'요약'!$B$19),G1074-'요약'!$B$14,"")</x:f>
      </x:c>
      <x:c r="J1074" s="7" t="str">
        <x:f>IF(AND(ISNUMBER(H1074),'요약'!$B$19),H1074-'요약'!$B$15,"")</x:f>
      </x:c>
      <x:c r="K1074" t="str">
        <x:f>IF(ISNUMBER(B1074),IF('Hill'!$B$4=1,IF(B1074&lt;0,-B1074,""),IF('Hill'!$B$4=2,IF(B1074&gt;0,B1074,""),IF('Hill'!$B$4=3,IF(B1074&lt;&gt;0,ABS(B1074),""),""))),"")</x:f>
      </x:c>
    </x:row>
    <x:row r="1075">
      <x:c r="A1075" t="n">
        <x:f>1074</x:f>
        <x:v>1074</x:v>
      </x:c>
      <x:c r="B1075" s="7" t="str">
        <x:f>IF('요약'!$B$4=4,IF(ISNUMBER('input'!A1075),'input'!A1075,""),IF(1074&lt;=1000,CHOOSE('요약'!$B$4,'input'!B1075,'input'!C1075,'input'!D1075),""))</x:f>
      </x:c>
      <x:c r="C1075" s="7" t="str">
        <x:f>IF(AND(ISNUMBER(B1075),'요약'!$B$19),B1075-'요약'!$B$7,"")</x:f>
      </x:c>
      <x:c r="D1075" s="7" t="str">
        <x:f>IF(ISNUMBER(C1075),C1075^2,"")</x:f>
      </x:c>
      <x:c r="E1075" s="15" t="str">
        <x:f>IF(ISNUMBER(C1075),C1075^3,"")</x:f>
      </x:c>
      <x:c r="F1075" s="15" t="str">
        <x:f>IF(ISNUMBER(C1075),C1075^4,"")</x:f>
      </x:c>
      <x:c r="G1075" s="7" t="str">
        <x:f>IF(ISNUMBER(B1075),ABS(B1075),"")</x:f>
      </x:c>
      <x:c r="H1075" s="7" t="str">
        <x:f>IF(ISNUMBER(B1075),B1075^2,"")</x:f>
      </x:c>
      <x:c r="I1075" s="7" t="str">
        <x:f>IF(AND(ISNUMBER(G1075),'요약'!$B$19),G1075-'요약'!$B$14,"")</x:f>
      </x:c>
      <x:c r="J1075" s="7" t="str">
        <x:f>IF(AND(ISNUMBER(H1075),'요약'!$B$19),H1075-'요약'!$B$15,"")</x:f>
      </x:c>
      <x:c r="K1075" t="str">
        <x:f>IF(ISNUMBER(B1075),IF('Hill'!$B$4=1,IF(B1075&lt;0,-B1075,""),IF('Hill'!$B$4=2,IF(B1075&gt;0,B1075,""),IF('Hill'!$B$4=3,IF(B1075&lt;&gt;0,ABS(B1075),""),""))),"")</x:f>
      </x:c>
    </x:row>
    <x:row r="1076">
      <x:c r="A1076" t="n">
        <x:f>1075</x:f>
        <x:v>1075</x:v>
      </x:c>
      <x:c r="B1076" s="7" t="str">
        <x:f>IF('요약'!$B$4=4,IF(ISNUMBER('input'!A1076),'input'!A1076,""),IF(1075&lt;=1000,CHOOSE('요약'!$B$4,'input'!B1076,'input'!C1076,'input'!D1076),""))</x:f>
      </x:c>
      <x:c r="C1076" s="7" t="str">
        <x:f>IF(AND(ISNUMBER(B1076),'요약'!$B$19),B1076-'요약'!$B$7,"")</x:f>
      </x:c>
      <x:c r="D1076" s="7" t="str">
        <x:f>IF(ISNUMBER(C1076),C1076^2,"")</x:f>
      </x:c>
      <x:c r="E1076" s="15" t="str">
        <x:f>IF(ISNUMBER(C1076),C1076^3,"")</x:f>
      </x:c>
      <x:c r="F1076" s="15" t="str">
        <x:f>IF(ISNUMBER(C1076),C1076^4,"")</x:f>
      </x:c>
      <x:c r="G1076" s="7" t="str">
        <x:f>IF(ISNUMBER(B1076),ABS(B1076),"")</x:f>
      </x:c>
      <x:c r="H1076" s="7" t="str">
        <x:f>IF(ISNUMBER(B1076),B1076^2,"")</x:f>
      </x:c>
      <x:c r="I1076" s="7" t="str">
        <x:f>IF(AND(ISNUMBER(G1076),'요약'!$B$19),G1076-'요약'!$B$14,"")</x:f>
      </x:c>
      <x:c r="J1076" s="7" t="str">
        <x:f>IF(AND(ISNUMBER(H1076),'요약'!$B$19),H1076-'요약'!$B$15,"")</x:f>
      </x:c>
      <x:c r="K1076" t="str">
        <x:f>IF(ISNUMBER(B1076),IF('Hill'!$B$4=1,IF(B1076&lt;0,-B1076,""),IF('Hill'!$B$4=2,IF(B1076&gt;0,B1076,""),IF('Hill'!$B$4=3,IF(B1076&lt;&gt;0,ABS(B1076),""),""))),"")</x:f>
      </x:c>
    </x:row>
    <x:row r="1077">
      <x:c r="A1077" t="n">
        <x:f>1076</x:f>
        <x:v>1076</x:v>
      </x:c>
      <x:c r="B1077" s="7" t="str">
        <x:f>IF('요약'!$B$4=4,IF(ISNUMBER('input'!A1077),'input'!A1077,""),IF(1076&lt;=1000,CHOOSE('요약'!$B$4,'input'!B1077,'input'!C1077,'input'!D1077),""))</x:f>
      </x:c>
      <x:c r="C1077" s="7" t="str">
        <x:f>IF(AND(ISNUMBER(B1077),'요약'!$B$19),B1077-'요약'!$B$7,"")</x:f>
      </x:c>
      <x:c r="D1077" s="7" t="str">
        <x:f>IF(ISNUMBER(C1077),C1077^2,"")</x:f>
      </x:c>
      <x:c r="E1077" s="15" t="str">
        <x:f>IF(ISNUMBER(C1077),C1077^3,"")</x:f>
      </x:c>
      <x:c r="F1077" s="15" t="str">
        <x:f>IF(ISNUMBER(C1077),C1077^4,"")</x:f>
      </x:c>
      <x:c r="G1077" s="7" t="str">
        <x:f>IF(ISNUMBER(B1077),ABS(B1077),"")</x:f>
      </x:c>
      <x:c r="H1077" s="7" t="str">
        <x:f>IF(ISNUMBER(B1077),B1077^2,"")</x:f>
      </x:c>
      <x:c r="I1077" s="7" t="str">
        <x:f>IF(AND(ISNUMBER(G1077),'요약'!$B$19),G1077-'요약'!$B$14,"")</x:f>
      </x:c>
      <x:c r="J1077" s="7" t="str">
        <x:f>IF(AND(ISNUMBER(H1077),'요약'!$B$19),H1077-'요약'!$B$15,"")</x:f>
      </x:c>
      <x:c r="K1077" t="str">
        <x:f>IF(ISNUMBER(B1077),IF('Hill'!$B$4=1,IF(B1077&lt;0,-B1077,""),IF('Hill'!$B$4=2,IF(B1077&gt;0,B1077,""),IF('Hill'!$B$4=3,IF(B1077&lt;&gt;0,ABS(B1077),""),""))),"")</x:f>
      </x:c>
    </x:row>
    <x:row r="1078">
      <x:c r="A1078" t="n">
        <x:f>1077</x:f>
        <x:v>1077</x:v>
      </x:c>
      <x:c r="B1078" s="7" t="str">
        <x:f>IF('요약'!$B$4=4,IF(ISNUMBER('input'!A1078),'input'!A1078,""),IF(1077&lt;=1000,CHOOSE('요약'!$B$4,'input'!B1078,'input'!C1078,'input'!D1078),""))</x:f>
      </x:c>
      <x:c r="C1078" s="7" t="str">
        <x:f>IF(AND(ISNUMBER(B1078),'요약'!$B$19),B1078-'요약'!$B$7,"")</x:f>
      </x:c>
      <x:c r="D1078" s="7" t="str">
        <x:f>IF(ISNUMBER(C1078),C1078^2,"")</x:f>
      </x:c>
      <x:c r="E1078" s="15" t="str">
        <x:f>IF(ISNUMBER(C1078),C1078^3,"")</x:f>
      </x:c>
      <x:c r="F1078" s="15" t="str">
        <x:f>IF(ISNUMBER(C1078),C1078^4,"")</x:f>
      </x:c>
      <x:c r="G1078" s="7" t="str">
        <x:f>IF(ISNUMBER(B1078),ABS(B1078),"")</x:f>
      </x:c>
      <x:c r="H1078" s="7" t="str">
        <x:f>IF(ISNUMBER(B1078),B1078^2,"")</x:f>
      </x:c>
      <x:c r="I1078" s="7" t="str">
        <x:f>IF(AND(ISNUMBER(G1078),'요약'!$B$19),G1078-'요약'!$B$14,"")</x:f>
      </x:c>
      <x:c r="J1078" s="7" t="str">
        <x:f>IF(AND(ISNUMBER(H1078),'요약'!$B$19),H1078-'요약'!$B$15,"")</x:f>
      </x:c>
      <x:c r="K1078" t="str">
        <x:f>IF(ISNUMBER(B1078),IF('Hill'!$B$4=1,IF(B1078&lt;0,-B1078,""),IF('Hill'!$B$4=2,IF(B1078&gt;0,B1078,""),IF('Hill'!$B$4=3,IF(B1078&lt;&gt;0,ABS(B1078),""),""))),"")</x:f>
      </x:c>
    </x:row>
    <x:row r="1079">
      <x:c r="A1079" t="n">
        <x:f>1078</x:f>
        <x:v>1078</x:v>
      </x:c>
      <x:c r="B1079" s="7" t="str">
        <x:f>IF('요약'!$B$4=4,IF(ISNUMBER('input'!A1079),'input'!A1079,""),IF(1078&lt;=1000,CHOOSE('요약'!$B$4,'input'!B1079,'input'!C1079,'input'!D1079),""))</x:f>
      </x:c>
      <x:c r="C1079" s="7" t="str">
        <x:f>IF(AND(ISNUMBER(B1079),'요약'!$B$19),B1079-'요약'!$B$7,"")</x:f>
      </x:c>
      <x:c r="D1079" s="7" t="str">
        <x:f>IF(ISNUMBER(C1079),C1079^2,"")</x:f>
      </x:c>
      <x:c r="E1079" s="15" t="str">
        <x:f>IF(ISNUMBER(C1079),C1079^3,"")</x:f>
      </x:c>
      <x:c r="F1079" s="15" t="str">
        <x:f>IF(ISNUMBER(C1079),C1079^4,"")</x:f>
      </x:c>
      <x:c r="G1079" s="7" t="str">
        <x:f>IF(ISNUMBER(B1079),ABS(B1079),"")</x:f>
      </x:c>
      <x:c r="H1079" s="7" t="str">
        <x:f>IF(ISNUMBER(B1079),B1079^2,"")</x:f>
      </x:c>
      <x:c r="I1079" s="7" t="str">
        <x:f>IF(AND(ISNUMBER(G1079),'요약'!$B$19),G1079-'요약'!$B$14,"")</x:f>
      </x:c>
      <x:c r="J1079" s="7" t="str">
        <x:f>IF(AND(ISNUMBER(H1079),'요약'!$B$19),H1079-'요약'!$B$15,"")</x:f>
      </x:c>
      <x:c r="K1079" t="str">
        <x:f>IF(ISNUMBER(B1079),IF('Hill'!$B$4=1,IF(B1079&lt;0,-B1079,""),IF('Hill'!$B$4=2,IF(B1079&gt;0,B1079,""),IF('Hill'!$B$4=3,IF(B1079&lt;&gt;0,ABS(B1079),""),""))),"")</x:f>
      </x:c>
    </x:row>
    <x:row r="1080">
      <x:c r="A1080" t="n">
        <x:f>1079</x:f>
        <x:v>1079</x:v>
      </x:c>
      <x:c r="B1080" s="7" t="str">
        <x:f>IF('요약'!$B$4=4,IF(ISNUMBER('input'!A1080),'input'!A1080,""),IF(1079&lt;=1000,CHOOSE('요약'!$B$4,'input'!B1080,'input'!C1080,'input'!D1080),""))</x:f>
      </x:c>
      <x:c r="C1080" s="7" t="str">
        <x:f>IF(AND(ISNUMBER(B1080),'요약'!$B$19),B1080-'요약'!$B$7,"")</x:f>
      </x:c>
      <x:c r="D1080" s="7" t="str">
        <x:f>IF(ISNUMBER(C1080),C1080^2,"")</x:f>
      </x:c>
      <x:c r="E1080" s="15" t="str">
        <x:f>IF(ISNUMBER(C1080),C1080^3,"")</x:f>
      </x:c>
      <x:c r="F1080" s="15" t="str">
        <x:f>IF(ISNUMBER(C1080),C1080^4,"")</x:f>
      </x:c>
      <x:c r="G1080" s="7" t="str">
        <x:f>IF(ISNUMBER(B1080),ABS(B1080),"")</x:f>
      </x:c>
      <x:c r="H1080" s="7" t="str">
        <x:f>IF(ISNUMBER(B1080),B1080^2,"")</x:f>
      </x:c>
      <x:c r="I1080" s="7" t="str">
        <x:f>IF(AND(ISNUMBER(G1080),'요약'!$B$19),G1080-'요약'!$B$14,"")</x:f>
      </x:c>
      <x:c r="J1080" s="7" t="str">
        <x:f>IF(AND(ISNUMBER(H1080),'요약'!$B$19),H1080-'요약'!$B$15,"")</x:f>
      </x:c>
      <x:c r="K1080" t="str">
        <x:f>IF(ISNUMBER(B1080),IF('Hill'!$B$4=1,IF(B1080&lt;0,-B1080,""),IF('Hill'!$B$4=2,IF(B1080&gt;0,B1080,""),IF('Hill'!$B$4=3,IF(B1080&lt;&gt;0,ABS(B1080),""),""))),"")</x:f>
      </x:c>
    </x:row>
    <x:row r="1081">
      <x:c r="A1081" t="n">
        <x:f>1080</x:f>
        <x:v>1080</x:v>
      </x:c>
      <x:c r="B1081" s="7" t="str">
        <x:f>IF('요약'!$B$4=4,IF(ISNUMBER('input'!A1081),'input'!A1081,""),IF(1080&lt;=1000,CHOOSE('요약'!$B$4,'input'!B1081,'input'!C1081,'input'!D1081),""))</x:f>
      </x:c>
      <x:c r="C1081" s="7" t="str">
        <x:f>IF(AND(ISNUMBER(B1081),'요약'!$B$19),B1081-'요약'!$B$7,"")</x:f>
      </x:c>
      <x:c r="D1081" s="7" t="str">
        <x:f>IF(ISNUMBER(C1081),C1081^2,"")</x:f>
      </x:c>
      <x:c r="E1081" s="15" t="str">
        <x:f>IF(ISNUMBER(C1081),C1081^3,"")</x:f>
      </x:c>
      <x:c r="F1081" s="15" t="str">
        <x:f>IF(ISNUMBER(C1081),C1081^4,"")</x:f>
      </x:c>
      <x:c r="G1081" s="7" t="str">
        <x:f>IF(ISNUMBER(B1081),ABS(B1081),"")</x:f>
      </x:c>
      <x:c r="H1081" s="7" t="str">
        <x:f>IF(ISNUMBER(B1081),B1081^2,"")</x:f>
      </x:c>
      <x:c r="I1081" s="7" t="str">
        <x:f>IF(AND(ISNUMBER(G1081),'요약'!$B$19),G1081-'요약'!$B$14,"")</x:f>
      </x:c>
      <x:c r="J1081" s="7" t="str">
        <x:f>IF(AND(ISNUMBER(H1081),'요약'!$B$19),H1081-'요약'!$B$15,"")</x:f>
      </x:c>
      <x:c r="K1081" t="str">
        <x:f>IF(ISNUMBER(B1081),IF('Hill'!$B$4=1,IF(B1081&lt;0,-B1081,""),IF('Hill'!$B$4=2,IF(B1081&gt;0,B1081,""),IF('Hill'!$B$4=3,IF(B1081&lt;&gt;0,ABS(B1081),""),""))),"")</x:f>
      </x:c>
    </x:row>
    <x:row r="1082">
      <x:c r="A1082" t="n">
        <x:f>1081</x:f>
        <x:v>1081</x:v>
      </x:c>
      <x:c r="B1082" s="7" t="str">
        <x:f>IF('요약'!$B$4=4,IF(ISNUMBER('input'!A1082),'input'!A1082,""),IF(1081&lt;=1000,CHOOSE('요약'!$B$4,'input'!B1082,'input'!C1082,'input'!D1082),""))</x:f>
      </x:c>
      <x:c r="C1082" s="7" t="str">
        <x:f>IF(AND(ISNUMBER(B1082),'요약'!$B$19),B1082-'요약'!$B$7,"")</x:f>
      </x:c>
      <x:c r="D1082" s="7" t="str">
        <x:f>IF(ISNUMBER(C1082),C1082^2,"")</x:f>
      </x:c>
      <x:c r="E1082" s="15" t="str">
        <x:f>IF(ISNUMBER(C1082),C1082^3,"")</x:f>
      </x:c>
      <x:c r="F1082" s="15" t="str">
        <x:f>IF(ISNUMBER(C1082),C1082^4,"")</x:f>
      </x:c>
      <x:c r="G1082" s="7" t="str">
        <x:f>IF(ISNUMBER(B1082),ABS(B1082),"")</x:f>
      </x:c>
      <x:c r="H1082" s="7" t="str">
        <x:f>IF(ISNUMBER(B1082),B1082^2,"")</x:f>
      </x:c>
      <x:c r="I1082" s="7" t="str">
        <x:f>IF(AND(ISNUMBER(G1082),'요약'!$B$19),G1082-'요약'!$B$14,"")</x:f>
      </x:c>
      <x:c r="J1082" s="7" t="str">
        <x:f>IF(AND(ISNUMBER(H1082),'요약'!$B$19),H1082-'요약'!$B$15,"")</x:f>
      </x:c>
      <x:c r="K1082" t="str">
        <x:f>IF(ISNUMBER(B1082),IF('Hill'!$B$4=1,IF(B1082&lt;0,-B1082,""),IF('Hill'!$B$4=2,IF(B1082&gt;0,B1082,""),IF('Hill'!$B$4=3,IF(B1082&lt;&gt;0,ABS(B1082),""),""))),"")</x:f>
      </x:c>
    </x:row>
    <x:row r="1083">
      <x:c r="A1083" t="n">
        <x:f>1082</x:f>
        <x:v>1082</x:v>
      </x:c>
      <x:c r="B1083" s="7" t="str">
        <x:f>IF('요약'!$B$4=4,IF(ISNUMBER('input'!A1083),'input'!A1083,""),IF(1082&lt;=1000,CHOOSE('요약'!$B$4,'input'!B1083,'input'!C1083,'input'!D1083),""))</x:f>
      </x:c>
      <x:c r="C1083" s="7" t="str">
        <x:f>IF(AND(ISNUMBER(B1083),'요약'!$B$19),B1083-'요약'!$B$7,"")</x:f>
      </x:c>
      <x:c r="D1083" s="7" t="str">
        <x:f>IF(ISNUMBER(C1083),C1083^2,"")</x:f>
      </x:c>
      <x:c r="E1083" s="15" t="str">
        <x:f>IF(ISNUMBER(C1083),C1083^3,"")</x:f>
      </x:c>
      <x:c r="F1083" s="15" t="str">
        <x:f>IF(ISNUMBER(C1083),C1083^4,"")</x:f>
      </x:c>
      <x:c r="G1083" s="7" t="str">
        <x:f>IF(ISNUMBER(B1083),ABS(B1083),"")</x:f>
      </x:c>
      <x:c r="H1083" s="7" t="str">
        <x:f>IF(ISNUMBER(B1083),B1083^2,"")</x:f>
      </x:c>
      <x:c r="I1083" s="7" t="str">
        <x:f>IF(AND(ISNUMBER(G1083),'요약'!$B$19),G1083-'요약'!$B$14,"")</x:f>
      </x:c>
      <x:c r="J1083" s="7" t="str">
        <x:f>IF(AND(ISNUMBER(H1083),'요약'!$B$19),H1083-'요약'!$B$15,"")</x:f>
      </x:c>
      <x:c r="K1083" t="str">
        <x:f>IF(ISNUMBER(B1083),IF('Hill'!$B$4=1,IF(B1083&lt;0,-B1083,""),IF('Hill'!$B$4=2,IF(B1083&gt;0,B1083,""),IF('Hill'!$B$4=3,IF(B1083&lt;&gt;0,ABS(B1083),""),""))),"")</x:f>
      </x:c>
    </x:row>
    <x:row r="1084">
      <x:c r="A1084" t="n">
        <x:f>1083</x:f>
        <x:v>1083</x:v>
      </x:c>
      <x:c r="B1084" s="7" t="str">
        <x:f>IF('요약'!$B$4=4,IF(ISNUMBER('input'!A1084),'input'!A1084,""),IF(1083&lt;=1000,CHOOSE('요약'!$B$4,'input'!B1084,'input'!C1084,'input'!D1084),""))</x:f>
      </x:c>
      <x:c r="C1084" s="7" t="str">
        <x:f>IF(AND(ISNUMBER(B1084),'요약'!$B$19),B1084-'요약'!$B$7,"")</x:f>
      </x:c>
      <x:c r="D1084" s="7" t="str">
        <x:f>IF(ISNUMBER(C1084),C1084^2,"")</x:f>
      </x:c>
      <x:c r="E1084" s="15" t="str">
        <x:f>IF(ISNUMBER(C1084),C1084^3,"")</x:f>
      </x:c>
      <x:c r="F1084" s="15" t="str">
        <x:f>IF(ISNUMBER(C1084),C1084^4,"")</x:f>
      </x:c>
      <x:c r="G1084" s="7" t="str">
        <x:f>IF(ISNUMBER(B1084),ABS(B1084),"")</x:f>
      </x:c>
      <x:c r="H1084" s="7" t="str">
        <x:f>IF(ISNUMBER(B1084),B1084^2,"")</x:f>
      </x:c>
      <x:c r="I1084" s="7" t="str">
        <x:f>IF(AND(ISNUMBER(G1084),'요약'!$B$19),G1084-'요약'!$B$14,"")</x:f>
      </x:c>
      <x:c r="J1084" s="7" t="str">
        <x:f>IF(AND(ISNUMBER(H1084),'요약'!$B$19),H1084-'요약'!$B$15,"")</x:f>
      </x:c>
      <x:c r="K1084" t="str">
        <x:f>IF(ISNUMBER(B1084),IF('Hill'!$B$4=1,IF(B1084&lt;0,-B1084,""),IF('Hill'!$B$4=2,IF(B1084&gt;0,B1084,""),IF('Hill'!$B$4=3,IF(B1084&lt;&gt;0,ABS(B1084),""),""))),"")</x:f>
      </x:c>
    </x:row>
    <x:row r="1085">
      <x:c r="A1085" t="n">
        <x:f>1084</x:f>
        <x:v>1084</x:v>
      </x:c>
      <x:c r="B1085" s="7" t="str">
        <x:f>IF('요약'!$B$4=4,IF(ISNUMBER('input'!A1085),'input'!A1085,""),IF(1084&lt;=1000,CHOOSE('요약'!$B$4,'input'!B1085,'input'!C1085,'input'!D1085),""))</x:f>
      </x:c>
      <x:c r="C1085" s="7" t="str">
        <x:f>IF(AND(ISNUMBER(B1085),'요약'!$B$19),B1085-'요약'!$B$7,"")</x:f>
      </x:c>
      <x:c r="D1085" s="7" t="str">
        <x:f>IF(ISNUMBER(C1085),C1085^2,"")</x:f>
      </x:c>
      <x:c r="E1085" s="15" t="str">
        <x:f>IF(ISNUMBER(C1085),C1085^3,"")</x:f>
      </x:c>
      <x:c r="F1085" s="15" t="str">
        <x:f>IF(ISNUMBER(C1085),C1085^4,"")</x:f>
      </x:c>
      <x:c r="G1085" s="7" t="str">
        <x:f>IF(ISNUMBER(B1085),ABS(B1085),"")</x:f>
      </x:c>
      <x:c r="H1085" s="7" t="str">
        <x:f>IF(ISNUMBER(B1085),B1085^2,"")</x:f>
      </x:c>
      <x:c r="I1085" s="7" t="str">
        <x:f>IF(AND(ISNUMBER(G1085),'요약'!$B$19),G1085-'요약'!$B$14,"")</x:f>
      </x:c>
      <x:c r="J1085" s="7" t="str">
        <x:f>IF(AND(ISNUMBER(H1085),'요약'!$B$19),H1085-'요약'!$B$15,"")</x:f>
      </x:c>
      <x:c r="K1085" t="str">
        <x:f>IF(ISNUMBER(B1085),IF('Hill'!$B$4=1,IF(B1085&lt;0,-B1085,""),IF('Hill'!$B$4=2,IF(B1085&gt;0,B1085,""),IF('Hill'!$B$4=3,IF(B1085&lt;&gt;0,ABS(B1085),""),""))),"")</x:f>
      </x:c>
    </x:row>
    <x:row r="1086">
      <x:c r="A1086" t="n">
        <x:f>1085</x:f>
        <x:v>1085</x:v>
      </x:c>
      <x:c r="B1086" s="7" t="str">
        <x:f>IF('요약'!$B$4=4,IF(ISNUMBER('input'!A1086),'input'!A1086,""),IF(1085&lt;=1000,CHOOSE('요약'!$B$4,'input'!B1086,'input'!C1086,'input'!D1086),""))</x:f>
      </x:c>
      <x:c r="C1086" s="7" t="str">
        <x:f>IF(AND(ISNUMBER(B1086),'요약'!$B$19),B1086-'요약'!$B$7,"")</x:f>
      </x:c>
      <x:c r="D1086" s="7" t="str">
        <x:f>IF(ISNUMBER(C1086),C1086^2,"")</x:f>
      </x:c>
      <x:c r="E1086" s="15" t="str">
        <x:f>IF(ISNUMBER(C1086),C1086^3,"")</x:f>
      </x:c>
      <x:c r="F1086" s="15" t="str">
        <x:f>IF(ISNUMBER(C1086),C1086^4,"")</x:f>
      </x:c>
      <x:c r="G1086" s="7" t="str">
        <x:f>IF(ISNUMBER(B1086),ABS(B1086),"")</x:f>
      </x:c>
      <x:c r="H1086" s="7" t="str">
        <x:f>IF(ISNUMBER(B1086),B1086^2,"")</x:f>
      </x:c>
      <x:c r="I1086" s="7" t="str">
        <x:f>IF(AND(ISNUMBER(G1086),'요약'!$B$19),G1086-'요약'!$B$14,"")</x:f>
      </x:c>
      <x:c r="J1086" s="7" t="str">
        <x:f>IF(AND(ISNUMBER(H1086),'요약'!$B$19),H1086-'요약'!$B$15,"")</x:f>
      </x:c>
      <x:c r="K1086" t="str">
        <x:f>IF(ISNUMBER(B1086),IF('Hill'!$B$4=1,IF(B1086&lt;0,-B1086,""),IF('Hill'!$B$4=2,IF(B1086&gt;0,B1086,""),IF('Hill'!$B$4=3,IF(B1086&lt;&gt;0,ABS(B1086),""),""))),"")</x:f>
      </x:c>
    </x:row>
    <x:row r="1087">
      <x:c r="A1087" t="n">
        <x:f>1086</x:f>
        <x:v>1086</x:v>
      </x:c>
      <x:c r="B1087" s="7" t="str">
        <x:f>IF('요약'!$B$4=4,IF(ISNUMBER('input'!A1087),'input'!A1087,""),IF(1086&lt;=1000,CHOOSE('요약'!$B$4,'input'!B1087,'input'!C1087,'input'!D1087),""))</x:f>
      </x:c>
      <x:c r="C1087" s="7" t="str">
        <x:f>IF(AND(ISNUMBER(B1087),'요약'!$B$19),B1087-'요약'!$B$7,"")</x:f>
      </x:c>
      <x:c r="D1087" s="7" t="str">
        <x:f>IF(ISNUMBER(C1087),C1087^2,"")</x:f>
      </x:c>
      <x:c r="E1087" s="15" t="str">
        <x:f>IF(ISNUMBER(C1087),C1087^3,"")</x:f>
      </x:c>
      <x:c r="F1087" s="15" t="str">
        <x:f>IF(ISNUMBER(C1087),C1087^4,"")</x:f>
      </x:c>
      <x:c r="G1087" s="7" t="str">
        <x:f>IF(ISNUMBER(B1087),ABS(B1087),"")</x:f>
      </x:c>
      <x:c r="H1087" s="7" t="str">
        <x:f>IF(ISNUMBER(B1087),B1087^2,"")</x:f>
      </x:c>
      <x:c r="I1087" s="7" t="str">
        <x:f>IF(AND(ISNUMBER(G1087),'요약'!$B$19),G1087-'요약'!$B$14,"")</x:f>
      </x:c>
      <x:c r="J1087" s="7" t="str">
        <x:f>IF(AND(ISNUMBER(H1087),'요약'!$B$19),H1087-'요약'!$B$15,"")</x:f>
      </x:c>
      <x:c r="K1087" t="str">
        <x:f>IF(ISNUMBER(B1087),IF('Hill'!$B$4=1,IF(B1087&lt;0,-B1087,""),IF('Hill'!$B$4=2,IF(B1087&gt;0,B1087,""),IF('Hill'!$B$4=3,IF(B1087&lt;&gt;0,ABS(B1087),""),""))),"")</x:f>
      </x:c>
    </x:row>
    <x:row r="1088">
      <x:c r="A1088" t="n">
        <x:f>1087</x:f>
        <x:v>1087</x:v>
      </x:c>
      <x:c r="B1088" s="7" t="str">
        <x:f>IF('요약'!$B$4=4,IF(ISNUMBER('input'!A1088),'input'!A1088,""),IF(1087&lt;=1000,CHOOSE('요약'!$B$4,'input'!B1088,'input'!C1088,'input'!D1088),""))</x:f>
      </x:c>
      <x:c r="C1088" s="7" t="str">
        <x:f>IF(AND(ISNUMBER(B1088),'요약'!$B$19),B1088-'요약'!$B$7,"")</x:f>
      </x:c>
      <x:c r="D1088" s="7" t="str">
        <x:f>IF(ISNUMBER(C1088),C1088^2,"")</x:f>
      </x:c>
      <x:c r="E1088" s="15" t="str">
        <x:f>IF(ISNUMBER(C1088),C1088^3,"")</x:f>
      </x:c>
      <x:c r="F1088" s="15" t="str">
        <x:f>IF(ISNUMBER(C1088),C1088^4,"")</x:f>
      </x:c>
      <x:c r="G1088" s="7" t="str">
        <x:f>IF(ISNUMBER(B1088),ABS(B1088),"")</x:f>
      </x:c>
      <x:c r="H1088" s="7" t="str">
        <x:f>IF(ISNUMBER(B1088),B1088^2,"")</x:f>
      </x:c>
      <x:c r="I1088" s="7" t="str">
        <x:f>IF(AND(ISNUMBER(G1088),'요약'!$B$19),G1088-'요약'!$B$14,"")</x:f>
      </x:c>
      <x:c r="J1088" s="7" t="str">
        <x:f>IF(AND(ISNUMBER(H1088),'요약'!$B$19),H1088-'요약'!$B$15,"")</x:f>
      </x:c>
      <x:c r="K1088" t="str">
        <x:f>IF(ISNUMBER(B1088),IF('Hill'!$B$4=1,IF(B1088&lt;0,-B1088,""),IF('Hill'!$B$4=2,IF(B1088&gt;0,B1088,""),IF('Hill'!$B$4=3,IF(B1088&lt;&gt;0,ABS(B1088),""),""))),"")</x:f>
      </x:c>
    </x:row>
    <x:row r="1089">
      <x:c r="A1089" t="n">
        <x:f>1088</x:f>
        <x:v>1088</x:v>
      </x:c>
      <x:c r="B1089" s="7" t="str">
        <x:f>IF('요약'!$B$4=4,IF(ISNUMBER('input'!A1089),'input'!A1089,""),IF(1088&lt;=1000,CHOOSE('요약'!$B$4,'input'!B1089,'input'!C1089,'input'!D1089),""))</x:f>
      </x:c>
      <x:c r="C1089" s="7" t="str">
        <x:f>IF(AND(ISNUMBER(B1089),'요약'!$B$19),B1089-'요약'!$B$7,"")</x:f>
      </x:c>
      <x:c r="D1089" s="7" t="str">
        <x:f>IF(ISNUMBER(C1089),C1089^2,"")</x:f>
      </x:c>
      <x:c r="E1089" s="15" t="str">
        <x:f>IF(ISNUMBER(C1089),C1089^3,"")</x:f>
      </x:c>
      <x:c r="F1089" s="15" t="str">
        <x:f>IF(ISNUMBER(C1089),C1089^4,"")</x:f>
      </x:c>
      <x:c r="G1089" s="7" t="str">
        <x:f>IF(ISNUMBER(B1089),ABS(B1089),"")</x:f>
      </x:c>
      <x:c r="H1089" s="7" t="str">
        <x:f>IF(ISNUMBER(B1089),B1089^2,"")</x:f>
      </x:c>
      <x:c r="I1089" s="7" t="str">
        <x:f>IF(AND(ISNUMBER(G1089),'요약'!$B$19),G1089-'요약'!$B$14,"")</x:f>
      </x:c>
      <x:c r="J1089" s="7" t="str">
        <x:f>IF(AND(ISNUMBER(H1089),'요약'!$B$19),H1089-'요약'!$B$15,"")</x:f>
      </x:c>
      <x:c r="K1089" t="str">
        <x:f>IF(ISNUMBER(B1089),IF('Hill'!$B$4=1,IF(B1089&lt;0,-B1089,""),IF('Hill'!$B$4=2,IF(B1089&gt;0,B1089,""),IF('Hill'!$B$4=3,IF(B1089&lt;&gt;0,ABS(B1089),""),""))),"")</x:f>
      </x:c>
    </x:row>
    <x:row r="1090">
      <x:c r="A1090" t="n">
        <x:f>1089</x:f>
        <x:v>1089</x:v>
      </x:c>
      <x:c r="B1090" s="7" t="str">
        <x:f>IF('요약'!$B$4=4,IF(ISNUMBER('input'!A1090),'input'!A1090,""),IF(1089&lt;=1000,CHOOSE('요약'!$B$4,'input'!B1090,'input'!C1090,'input'!D1090),""))</x:f>
      </x:c>
      <x:c r="C1090" s="7" t="str">
        <x:f>IF(AND(ISNUMBER(B1090),'요약'!$B$19),B1090-'요약'!$B$7,"")</x:f>
      </x:c>
      <x:c r="D1090" s="7" t="str">
        <x:f>IF(ISNUMBER(C1090),C1090^2,"")</x:f>
      </x:c>
      <x:c r="E1090" s="15" t="str">
        <x:f>IF(ISNUMBER(C1090),C1090^3,"")</x:f>
      </x:c>
      <x:c r="F1090" s="15" t="str">
        <x:f>IF(ISNUMBER(C1090),C1090^4,"")</x:f>
      </x:c>
      <x:c r="G1090" s="7" t="str">
        <x:f>IF(ISNUMBER(B1090),ABS(B1090),"")</x:f>
      </x:c>
      <x:c r="H1090" s="7" t="str">
        <x:f>IF(ISNUMBER(B1090),B1090^2,"")</x:f>
      </x:c>
      <x:c r="I1090" s="7" t="str">
        <x:f>IF(AND(ISNUMBER(G1090),'요약'!$B$19),G1090-'요약'!$B$14,"")</x:f>
      </x:c>
      <x:c r="J1090" s="7" t="str">
        <x:f>IF(AND(ISNUMBER(H1090),'요약'!$B$19),H1090-'요약'!$B$15,"")</x:f>
      </x:c>
      <x:c r="K1090" t="str">
        <x:f>IF(ISNUMBER(B1090),IF('Hill'!$B$4=1,IF(B1090&lt;0,-B1090,""),IF('Hill'!$B$4=2,IF(B1090&gt;0,B1090,""),IF('Hill'!$B$4=3,IF(B1090&lt;&gt;0,ABS(B1090),""),""))),"")</x:f>
      </x:c>
    </x:row>
    <x:row r="1091">
      <x:c r="A1091" t="n">
        <x:f>1090</x:f>
        <x:v>1090</x:v>
      </x:c>
      <x:c r="B1091" s="7" t="str">
        <x:f>IF('요약'!$B$4=4,IF(ISNUMBER('input'!A1091),'input'!A1091,""),IF(1090&lt;=1000,CHOOSE('요약'!$B$4,'input'!B1091,'input'!C1091,'input'!D1091),""))</x:f>
      </x:c>
      <x:c r="C1091" s="7" t="str">
        <x:f>IF(AND(ISNUMBER(B1091),'요약'!$B$19),B1091-'요약'!$B$7,"")</x:f>
      </x:c>
      <x:c r="D1091" s="7" t="str">
        <x:f>IF(ISNUMBER(C1091),C1091^2,"")</x:f>
      </x:c>
      <x:c r="E1091" s="15" t="str">
        <x:f>IF(ISNUMBER(C1091),C1091^3,"")</x:f>
      </x:c>
      <x:c r="F1091" s="15" t="str">
        <x:f>IF(ISNUMBER(C1091),C1091^4,"")</x:f>
      </x:c>
      <x:c r="G1091" s="7" t="str">
        <x:f>IF(ISNUMBER(B1091),ABS(B1091),"")</x:f>
      </x:c>
      <x:c r="H1091" s="7" t="str">
        <x:f>IF(ISNUMBER(B1091),B1091^2,"")</x:f>
      </x:c>
      <x:c r="I1091" s="7" t="str">
        <x:f>IF(AND(ISNUMBER(G1091),'요약'!$B$19),G1091-'요약'!$B$14,"")</x:f>
      </x:c>
      <x:c r="J1091" s="7" t="str">
        <x:f>IF(AND(ISNUMBER(H1091),'요약'!$B$19),H1091-'요약'!$B$15,"")</x:f>
      </x:c>
      <x:c r="K1091" t="str">
        <x:f>IF(ISNUMBER(B1091),IF('Hill'!$B$4=1,IF(B1091&lt;0,-B1091,""),IF('Hill'!$B$4=2,IF(B1091&gt;0,B1091,""),IF('Hill'!$B$4=3,IF(B1091&lt;&gt;0,ABS(B1091),""),""))),"")</x:f>
      </x:c>
    </x:row>
    <x:row r="1092">
      <x:c r="A1092" t="n">
        <x:f>1091</x:f>
        <x:v>1091</x:v>
      </x:c>
      <x:c r="B1092" s="7" t="str">
        <x:f>IF('요약'!$B$4=4,IF(ISNUMBER('input'!A1092),'input'!A1092,""),IF(1091&lt;=1000,CHOOSE('요약'!$B$4,'input'!B1092,'input'!C1092,'input'!D1092),""))</x:f>
      </x:c>
      <x:c r="C1092" s="7" t="str">
        <x:f>IF(AND(ISNUMBER(B1092),'요약'!$B$19),B1092-'요약'!$B$7,"")</x:f>
      </x:c>
      <x:c r="D1092" s="7" t="str">
        <x:f>IF(ISNUMBER(C1092),C1092^2,"")</x:f>
      </x:c>
      <x:c r="E1092" s="15" t="str">
        <x:f>IF(ISNUMBER(C1092),C1092^3,"")</x:f>
      </x:c>
      <x:c r="F1092" s="15" t="str">
        <x:f>IF(ISNUMBER(C1092),C1092^4,"")</x:f>
      </x:c>
      <x:c r="G1092" s="7" t="str">
        <x:f>IF(ISNUMBER(B1092),ABS(B1092),"")</x:f>
      </x:c>
      <x:c r="H1092" s="7" t="str">
        <x:f>IF(ISNUMBER(B1092),B1092^2,"")</x:f>
      </x:c>
      <x:c r="I1092" s="7" t="str">
        <x:f>IF(AND(ISNUMBER(G1092),'요약'!$B$19),G1092-'요약'!$B$14,"")</x:f>
      </x:c>
      <x:c r="J1092" s="7" t="str">
        <x:f>IF(AND(ISNUMBER(H1092),'요약'!$B$19),H1092-'요약'!$B$15,"")</x:f>
      </x:c>
      <x:c r="K1092" t="str">
        <x:f>IF(ISNUMBER(B1092),IF('Hill'!$B$4=1,IF(B1092&lt;0,-B1092,""),IF('Hill'!$B$4=2,IF(B1092&gt;0,B1092,""),IF('Hill'!$B$4=3,IF(B1092&lt;&gt;0,ABS(B1092),""),""))),"")</x:f>
      </x:c>
    </x:row>
    <x:row r="1093">
      <x:c r="A1093" t="n">
        <x:f>1092</x:f>
        <x:v>1092</x:v>
      </x:c>
      <x:c r="B1093" s="7" t="str">
        <x:f>IF('요약'!$B$4=4,IF(ISNUMBER('input'!A1093),'input'!A1093,""),IF(1092&lt;=1000,CHOOSE('요약'!$B$4,'input'!B1093,'input'!C1093,'input'!D1093),""))</x:f>
      </x:c>
      <x:c r="C1093" s="7" t="str">
        <x:f>IF(AND(ISNUMBER(B1093),'요약'!$B$19),B1093-'요약'!$B$7,"")</x:f>
      </x:c>
      <x:c r="D1093" s="7" t="str">
        <x:f>IF(ISNUMBER(C1093),C1093^2,"")</x:f>
      </x:c>
      <x:c r="E1093" s="15" t="str">
        <x:f>IF(ISNUMBER(C1093),C1093^3,"")</x:f>
      </x:c>
      <x:c r="F1093" s="15" t="str">
        <x:f>IF(ISNUMBER(C1093),C1093^4,"")</x:f>
      </x:c>
      <x:c r="G1093" s="7" t="str">
        <x:f>IF(ISNUMBER(B1093),ABS(B1093),"")</x:f>
      </x:c>
      <x:c r="H1093" s="7" t="str">
        <x:f>IF(ISNUMBER(B1093),B1093^2,"")</x:f>
      </x:c>
      <x:c r="I1093" s="7" t="str">
        <x:f>IF(AND(ISNUMBER(G1093),'요약'!$B$19),G1093-'요약'!$B$14,"")</x:f>
      </x:c>
      <x:c r="J1093" s="7" t="str">
        <x:f>IF(AND(ISNUMBER(H1093),'요약'!$B$19),H1093-'요약'!$B$15,"")</x:f>
      </x:c>
      <x:c r="K1093" t="str">
        <x:f>IF(ISNUMBER(B1093),IF('Hill'!$B$4=1,IF(B1093&lt;0,-B1093,""),IF('Hill'!$B$4=2,IF(B1093&gt;0,B1093,""),IF('Hill'!$B$4=3,IF(B1093&lt;&gt;0,ABS(B1093),""),""))),"")</x:f>
      </x:c>
    </x:row>
    <x:row r="1094">
      <x:c r="A1094" t="n">
        <x:f>1093</x:f>
        <x:v>1093</x:v>
      </x:c>
      <x:c r="B1094" s="7" t="str">
        <x:f>IF('요약'!$B$4=4,IF(ISNUMBER('input'!A1094),'input'!A1094,""),IF(1093&lt;=1000,CHOOSE('요약'!$B$4,'input'!B1094,'input'!C1094,'input'!D1094),""))</x:f>
      </x:c>
      <x:c r="C1094" s="7" t="str">
        <x:f>IF(AND(ISNUMBER(B1094),'요약'!$B$19),B1094-'요약'!$B$7,"")</x:f>
      </x:c>
      <x:c r="D1094" s="7" t="str">
        <x:f>IF(ISNUMBER(C1094),C1094^2,"")</x:f>
      </x:c>
      <x:c r="E1094" s="15" t="str">
        <x:f>IF(ISNUMBER(C1094),C1094^3,"")</x:f>
      </x:c>
      <x:c r="F1094" s="15" t="str">
        <x:f>IF(ISNUMBER(C1094),C1094^4,"")</x:f>
      </x:c>
      <x:c r="G1094" s="7" t="str">
        <x:f>IF(ISNUMBER(B1094),ABS(B1094),"")</x:f>
      </x:c>
      <x:c r="H1094" s="7" t="str">
        <x:f>IF(ISNUMBER(B1094),B1094^2,"")</x:f>
      </x:c>
      <x:c r="I1094" s="7" t="str">
        <x:f>IF(AND(ISNUMBER(G1094),'요약'!$B$19),G1094-'요약'!$B$14,"")</x:f>
      </x:c>
      <x:c r="J1094" s="7" t="str">
        <x:f>IF(AND(ISNUMBER(H1094),'요약'!$B$19),H1094-'요약'!$B$15,"")</x:f>
      </x:c>
      <x:c r="K1094" t="str">
        <x:f>IF(ISNUMBER(B1094),IF('Hill'!$B$4=1,IF(B1094&lt;0,-B1094,""),IF('Hill'!$B$4=2,IF(B1094&gt;0,B1094,""),IF('Hill'!$B$4=3,IF(B1094&lt;&gt;0,ABS(B1094),""),""))),"")</x:f>
      </x:c>
    </x:row>
    <x:row r="1095">
      <x:c r="A1095" t="n">
        <x:f>1094</x:f>
        <x:v>1094</x:v>
      </x:c>
      <x:c r="B1095" s="7" t="str">
        <x:f>IF('요약'!$B$4=4,IF(ISNUMBER('input'!A1095),'input'!A1095,""),IF(1094&lt;=1000,CHOOSE('요약'!$B$4,'input'!B1095,'input'!C1095,'input'!D1095),""))</x:f>
      </x:c>
      <x:c r="C1095" s="7" t="str">
        <x:f>IF(AND(ISNUMBER(B1095),'요약'!$B$19),B1095-'요약'!$B$7,"")</x:f>
      </x:c>
      <x:c r="D1095" s="7" t="str">
        <x:f>IF(ISNUMBER(C1095),C1095^2,"")</x:f>
      </x:c>
      <x:c r="E1095" s="15" t="str">
        <x:f>IF(ISNUMBER(C1095),C1095^3,"")</x:f>
      </x:c>
      <x:c r="F1095" s="15" t="str">
        <x:f>IF(ISNUMBER(C1095),C1095^4,"")</x:f>
      </x:c>
      <x:c r="G1095" s="7" t="str">
        <x:f>IF(ISNUMBER(B1095),ABS(B1095),"")</x:f>
      </x:c>
      <x:c r="H1095" s="7" t="str">
        <x:f>IF(ISNUMBER(B1095),B1095^2,"")</x:f>
      </x:c>
      <x:c r="I1095" s="7" t="str">
        <x:f>IF(AND(ISNUMBER(G1095),'요약'!$B$19),G1095-'요약'!$B$14,"")</x:f>
      </x:c>
      <x:c r="J1095" s="7" t="str">
        <x:f>IF(AND(ISNUMBER(H1095),'요약'!$B$19),H1095-'요약'!$B$15,"")</x:f>
      </x:c>
      <x:c r="K1095" t="str">
        <x:f>IF(ISNUMBER(B1095),IF('Hill'!$B$4=1,IF(B1095&lt;0,-B1095,""),IF('Hill'!$B$4=2,IF(B1095&gt;0,B1095,""),IF('Hill'!$B$4=3,IF(B1095&lt;&gt;0,ABS(B1095),""),""))),"")</x:f>
      </x:c>
    </x:row>
    <x:row r="1096">
      <x:c r="A1096" t="n">
        <x:f>1095</x:f>
        <x:v>1095</x:v>
      </x:c>
      <x:c r="B1096" s="7" t="str">
        <x:f>IF('요약'!$B$4=4,IF(ISNUMBER('input'!A1096),'input'!A1096,""),IF(1095&lt;=1000,CHOOSE('요약'!$B$4,'input'!B1096,'input'!C1096,'input'!D1096),""))</x:f>
      </x:c>
      <x:c r="C1096" s="7" t="str">
        <x:f>IF(AND(ISNUMBER(B1096),'요약'!$B$19),B1096-'요약'!$B$7,"")</x:f>
      </x:c>
      <x:c r="D1096" s="7" t="str">
        <x:f>IF(ISNUMBER(C1096),C1096^2,"")</x:f>
      </x:c>
      <x:c r="E1096" s="15" t="str">
        <x:f>IF(ISNUMBER(C1096),C1096^3,"")</x:f>
      </x:c>
      <x:c r="F1096" s="15" t="str">
        <x:f>IF(ISNUMBER(C1096),C1096^4,"")</x:f>
      </x:c>
      <x:c r="G1096" s="7" t="str">
        <x:f>IF(ISNUMBER(B1096),ABS(B1096),"")</x:f>
      </x:c>
      <x:c r="H1096" s="7" t="str">
        <x:f>IF(ISNUMBER(B1096),B1096^2,"")</x:f>
      </x:c>
      <x:c r="I1096" s="7" t="str">
        <x:f>IF(AND(ISNUMBER(G1096),'요약'!$B$19),G1096-'요약'!$B$14,"")</x:f>
      </x:c>
      <x:c r="J1096" s="7" t="str">
        <x:f>IF(AND(ISNUMBER(H1096),'요약'!$B$19),H1096-'요약'!$B$15,"")</x:f>
      </x:c>
      <x:c r="K1096" t="str">
        <x:f>IF(ISNUMBER(B1096),IF('Hill'!$B$4=1,IF(B1096&lt;0,-B1096,""),IF('Hill'!$B$4=2,IF(B1096&gt;0,B1096,""),IF('Hill'!$B$4=3,IF(B1096&lt;&gt;0,ABS(B1096),""),""))),"")</x:f>
      </x:c>
    </x:row>
    <x:row r="1097">
      <x:c r="A1097" t="n">
        <x:f>1096</x:f>
        <x:v>1096</x:v>
      </x:c>
      <x:c r="B1097" s="7" t="str">
        <x:f>IF('요약'!$B$4=4,IF(ISNUMBER('input'!A1097),'input'!A1097,""),IF(1096&lt;=1000,CHOOSE('요약'!$B$4,'input'!B1097,'input'!C1097,'input'!D1097),""))</x:f>
      </x:c>
      <x:c r="C1097" s="7" t="str">
        <x:f>IF(AND(ISNUMBER(B1097),'요약'!$B$19),B1097-'요약'!$B$7,"")</x:f>
      </x:c>
      <x:c r="D1097" s="7" t="str">
        <x:f>IF(ISNUMBER(C1097),C1097^2,"")</x:f>
      </x:c>
      <x:c r="E1097" s="15" t="str">
        <x:f>IF(ISNUMBER(C1097),C1097^3,"")</x:f>
      </x:c>
      <x:c r="F1097" s="15" t="str">
        <x:f>IF(ISNUMBER(C1097),C1097^4,"")</x:f>
      </x:c>
      <x:c r="G1097" s="7" t="str">
        <x:f>IF(ISNUMBER(B1097),ABS(B1097),"")</x:f>
      </x:c>
      <x:c r="H1097" s="7" t="str">
        <x:f>IF(ISNUMBER(B1097),B1097^2,"")</x:f>
      </x:c>
      <x:c r="I1097" s="7" t="str">
        <x:f>IF(AND(ISNUMBER(G1097),'요약'!$B$19),G1097-'요약'!$B$14,"")</x:f>
      </x:c>
      <x:c r="J1097" s="7" t="str">
        <x:f>IF(AND(ISNUMBER(H1097),'요약'!$B$19),H1097-'요약'!$B$15,"")</x:f>
      </x:c>
      <x:c r="K1097" t="str">
        <x:f>IF(ISNUMBER(B1097),IF('Hill'!$B$4=1,IF(B1097&lt;0,-B1097,""),IF('Hill'!$B$4=2,IF(B1097&gt;0,B1097,""),IF('Hill'!$B$4=3,IF(B1097&lt;&gt;0,ABS(B1097),""),""))),"")</x:f>
      </x:c>
    </x:row>
    <x:row r="1098">
      <x:c r="A1098" t="n">
        <x:f>1097</x:f>
        <x:v>1097</x:v>
      </x:c>
      <x:c r="B1098" s="7" t="str">
        <x:f>IF('요약'!$B$4=4,IF(ISNUMBER('input'!A1098),'input'!A1098,""),IF(1097&lt;=1000,CHOOSE('요약'!$B$4,'input'!B1098,'input'!C1098,'input'!D1098),""))</x:f>
      </x:c>
      <x:c r="C1098" s="7" t="str">
        <x:f>IF(AND(ISNUMBER(B1098),'요약'!$B$19),B1098-'요약'!$B$7,"")</x:f>
      </x:c>
      <x:c r="D1098" s="7" t="str">
        <x:f>IF(ISNUMBER(C1098),C1098^2,"")</x:f>
      </x:c>
      <x:c r="E1098" s="15" t="str">
        <x:f>IF(ISNUMBER(C1098),C1098^3,"")</x:f>
      </x:c>
      <x:c r="F1098" s="15" t="str">
        <x:f>IF(ISNUMBER(C1098),C1098^4,"")</x:f>
      </x:c>
      <x:c r="G1098" s="7" t="str">
        <x:f>IF(ISNUMBER(B1098),ABS(B1098),"")</x:f>
      </x:c>
      <x:c r="H1098" s="7" t="str">
        <x:f>IF(ISNUMBER(B1098),B1098^2,"")</x:f>
      </x:c>
      <x:c r="I1098" s="7" t="str">
        <x:f>IF(AND(ISNUMBER(G1098),'요약'!$B$19),G1098-'요약'!$B$14,"")</x:f>
      </x:c>
      <x:c r="J1098" s="7" t="str">
        <x:f>IF(AND(ISNUMBER(H1098),'요약'!$B$19),H1098-'요약'!$B$15,"")</x:f>
      </x:c>
      <x:c r="K1098" t="str">
        <x:f>IF(ISNUMBER(B1098),IF('Hill'!$B$4=1,IF(B1098&lt;0,-B1098,""),IF('Hill'!$B$4=2,IF(B1098&gt;0,B1098,""),IF('Hill'!$B$4=3,IF(B1098&lt;&gt;0,ABS(B1098),""),""))),"")</x:f>
      </x:c>
    </x:row>
    <x:row r="1099">
      <x:c r="A1099" t="n">
        <x:f>1098</x:f>
        <x:v>1098</x:v>
      </x:c>
      <x:c r="B1099" s="7" t="str">
        <x:f>IF('요약'!$B$4=4,IF(ISNUMBER('input'!A1099),'input'!A1099,""),IF(1098&lt;=1000,CHOOSE('요약'!$B$4,'input'!B1099,'input'!C1099,'input'!D1099),""))</x:f>
      </x:c>
      <x:c r="C1099" s="7" t="str">
        <x:f>IF(AND(ISNUMBER(B1099),'요약'!$B$19),B1099-'요약'!$B$7,"")</x:f>
      </x:c>
      <x:c r="D1099" s="7" t="str">
        <x:f>IF(ISNUMBER(C1099),C1099^2,"")</x:f>
      </x:c>
      <x:c r="E1099" s="15" t="str">
        <x:f>IF(ISNUMBER(C1099),C1099^3,"")</x:f>
      </x:c>
      <x:c r="F1099" s="15" t="str">
        <x:f>IF(ISNUMBER(C1099),C1099^4,"")</x:f>
      </x:c>
      <x:c r="G1099" s="7" t="str">
        <x:f>IF(ISNUMBER(B1099),ABS(B1099),"")</x:f>
      </x:c>
      <x:c r="H1099" s="7" t="str">
        <x:f>IF(ISNUMBER(B1099),B1099^2,"")</x:f>
      </x:c>
      <x:c r="I1099" s="7" t="str">
        <x:f>IF(AND(ISNUMBER(G1099),'요약'!$B$19),G1099-'요약'!$B$14,"")</x:f>
      </x:c>
      <x:c r="J1099" s="7" t="str">
        <x:f>IF(AND(ISNUMBER(H1099),'요약'!$B$19),H1099-'요약'!$B$15,"")</x:f>
      </x:c>
      <x:c r="K1099" t="str">
        <x:f>IF(ISNUMBER(B1099),IF('Hill'!$B$4=1,IF(B1099&lt;0,-B1099,""),IF('Hill'!$B$4=2,IF(B1099&gt;0,B1099,""),IF('Hill'!$B$4=3,IF(B1099&lt;&gt;0,ABS(B1099),""),""))),"")</x:f>
      </x:c>
    </x:row>
    <x:row r="1100">
      <x:c r="A1100" t="n">
        <x:f>1099</x:f>
        <x:v>1099</x:v>
      </x:c>
      <x:c r="B1100" s="7" t="str">
        <x:f>IF('요약'!$B$4=4,IF(ISNUMBER('input'!A1100),'input'!A1100,""),IF(1099&lt;=1000,CHOOSE('요약'!$B$4,'input'!B1100,'input'!C1100,'input'!D1100),""))</x:f>
      </x:c>
      <x:c r="C1100" s="7" t="str">
        <x:f>IF(AND(ISNUMBER(B1100),'요약'!$B$19),B1100-'요약'!$B$7,"")</x:f>
      </x:c>
      <x:c r="D1100" s="7" t="str">
        <x:f>IF(ISNUMBER(C1100),C1100^2,"")</x:f>
      </x:c>
      <x:c r="E1100" s="15" t="str">
        <x:f>IF(ISNUMBER(C1100),C1100^3,"")</x:f>
      </x:c>
      <x:c r="F1100" s="15" t="str">
        <x:f>IF(ISNUMBER(C1100),C1100^4,"")</x:f>
      </x:c>
      <x:c r="G1100" s="7" t="str">
        <x:f>IF(ISNUMBER(B1100),ABS(B1100),"")</x:f>
      </x:c>
      <x:c r="H1100" s="7" t="str">
        <x:f>IF(ISNUMBER(B1100),B1100^2,"")</x:f>
      </x:c>
      <x:c r="I1100" s="7" t="str">
        <x:f>IF(AND(ISNUMBER(G1100),'요약'!$B$19),G1100-'요약'!$B$14,"")</x:f>
      </x:c>
      <x:c r="J1100" s="7" t="str">
        <x:f>IF(AND(ISNUMBER(H1100),'요약'!$B$19),H1100-'요약'!$B$15,"")</x:f>
      </x:c>
      <x:c r="K1100" t="str">
        <x:f>IF(ISNUMBER(B1100),IF('Hill'!$B$4=1,IF(B1100&lt;0,-B1100,""),IF('Hill'!$B$4=2,IF(B1100&gt;0,B1100,""),IF('Hill'!$B$4=3,IF(B1100&lt;&gt;0,ABS(B1100),""),""))),"")</x:f>
      </x:c>
    </x:row>
    <x:row r="1101">
      <x:c r="A1101" t="n">
        <x:f>1100</x:f>
        <x:v>1100</x:v>
      </x:c>
      <x:c r="B1101" s="7" t="str">
        <x:f>IF('요약'!$B$4=4,IF(ISNUMBER('input'!A1101),'input'!A1101,""),IF(1100&lt;=1000,CHOOSE('요약'!$B$4,'input'!B1101,'input'!C1101,'input'!D1101),""))</x:f>
      </x:c>
      <x:c r="C1101" s="7" t="str">
        <x:f>IF(AND(ISNUMBER(B1101),'요약'!$B$19),B1101-'요약'!$B$7,"")</x:f>
      </x:c>
      <x:c r="D1101" s="7" t="str">
        <x:f>IF(ISNUMBER(C1101),C1101^2,"")</x:f>
      </x:c>
      <x:c r="E1101" s="15" t="str">
        <x:f>IF(ISNUMBER(C1101),C1101^3,"")</x:f>
      </x:c>
      <x:c r="F1101" s="15" t="str">
        <x:f>IF(ISNUMBER(C1101),C1101^4,"")</x:f>
      </x:c>
      <x:c r="G1101" s="7" t="str">
        <x:f>IF(ISNUMBER(B1101),ABS(B1101),"")</x:f>
      </x:c>
      <x:c r="H1101" s="7" t="str">
        <x:f>IF(ISNUMBER(B1101),B1101^2,"")</x:f>
      </x:c>
      <x:c r="I1101" s="7" t="str">
        <x:f>IF(AND(ISNUMBER(G1101),'요약'!$B$19),G1101-'요약'!$B$14,"")</x:f>
      </x:c>
      <x:c r="J1101" s="7" t="str">
        <x:f>IF(AND(ISNUMBER(H1101),'요약'!$B$19),H1101-'요약'!$B$15,"")</x:f>
      </x:c>
      <x:c r="K1101" t="str">
        <x:f>IF(ISNUMBER(B1101),IF('Hill'!$B$4=1,IF(B1101&lt;0,-B1101,""),IF('Hill'!$B$4=2,IF(B1101&gt;0,B1101,""),IF('Hill'!$B$4=3,IF(B1101&lt;&gt;0,ABS(B1101),""),""))),"")</x:f>
      </x:c>
    </x:row>
    <x:row r="1102">
      <x:c r="A1102" t="n">
        <x:f>1101</x:f>
        <x:v>1101</x:v>
      </x:c>
      <x:c r="B1102" s="7" t="str">
        <x:f>IF('요약'!$B$4=4,IF(ISNUMBER('input'!A1102),'input'!A1102,""),IF(1101&lt;=1000,CHOOSE('요약'!$B$4,'input'!B1102,'input'!C1102,'input'!D1102),""))</x:f>
      </x:c>
      <x:c r="C1102" s="7" t="str">
        <x:f>IF(AND(ISNUMBER(B1102),'요약'!$B$19),B1102-'요약'!$B$7,"")</x:f>
      </x:c>
      <x:c r="D1102" s="7" t="str">
        <x:f>IF(ISNUMBER(C1102),C1102^2,"")</x:f>
      </x:c>
      <x:c r="E1102" s="15" t="str">
        <x:f>IF(ISNUMBER(C1102),C1102^3,"")</x:f>
      </x:c>
      <x:c r="F1102" s="15" t="str">
        <x:f>IF(ISNUMBER(C1102),C1102^4,"")</x:f>
      </x:c>
      <x:c r="G1102" s="7" t="str">
        <x:f>IF(ISNUMBER(B1102),ABS(B1102),"")</x:f>
      </x:c>
      <x:c r="H1102" s="7" t="str">
        <x:f>IF(ISNUMBER(B1102),B1102^2,"")</x:f>
      </x:c>
      <x:c r="I1102" s="7" t="str">
        <x:f>IF(AND(ISNUMBER(G1102),'요약'!$B$19),G1102-'요약'!$B$14,"")</x:f>
      </x:c>
      <x:c r="J1102" s="7" t="str">
        <x:f>IF(AND(ISNUMBER(H1102),'요약'!$B$19),H1102-'요약'!$B$15,"")</x:f>
      </x:c>
      <x:c r="K1102" t="str">
        <x:f>IF(ISNUMBER(B1102),IF('Hill'!$B$4=1,IF(B1102&lt;0,-B1102,""),IF('Hill'!$B$4=2,IF(B1102&gt;0,B1102,""),IF('Hill'!$B$4=3,IF(B1102&lt;&gt;0,ABS(B1102),""),""))),"")</x:f>
      </x:c>
    </x:row>
    <x:row r="1103">
      <x:c r="A1103" t="n">
        <x:f>1102</x:f>
        <x:v>1102</x:v>
      </x:c>
      <x:c r="B1103" s="7" t="str">
        <x:f>IF('요약'!$B$4=4,IF(ISNUMBER('input'!A1103),'input'!A1103,""),IF(1102&lt;=1000,CHOOSE('요약'!$B$4,'input'!B1103,'input'!C1103,'input'!D1103),""))</x:f>
      </x:c>
      <x:c r="C1103" s="7" t="str">
        <x:f>IF(AND(ISNUMBER(B1103),'요약'!$B$19),B1103-'요약'!$B$7,"")</x:f>
      </x:c>
      <x:c r="D1103" s="7" t="str">
        <x:f>IF(ISNUMBER(C1103),C1103^2,"")</x:f>
      </x:c>
      <x:c r="E1103" s="15" t="str">
        <x:f>IF(ISNUMBER(C1103),C1103^3,"")</x:f>
      </x:c>
      <x:c r="F1103" s="15" t="str">
        <x:f>IF(ISNUMBER(C1103),C1103^4,"")</x:f>
      </x:c>
      <x:c r="G1103" s="7" t="str">
        <x:f>IF(ISNUMBER(B1103),ABS(B1103),"")</x:f>
      </x:c>
      <x:c r="H1103" s="7" t="str">
        <x:f>IF(ISNUMBER(B1103),B1103^2,"")</x:f>
      </x:c>
      <x:c r="I1103" s="7" t="str">
        <x:f>IF(AND(ISNUMBER(G1103),'요약'!$B$19),G1103-'요약'!$B$14,"")</x:f>
      </x:c>
      <x:c r="J1103" s="7" t="str">
        <x:f>IF(AND(ISNUMBER(H1103),'요약'!$B$19),H1103-'요약'!$B$15,"")</x:f>
      </x:c>
      <x:c r="K1103" t="str">
        <x:f>IF(ISNUMBER(B1103),IF('Hill'!$B$4=1,IF(B1103&lt;0,-B1103,""),IF('Hill'!$B$4=2,IF(B1103&gt;0,B1103,""),IF('Hill'!$B$4=3,IF(B1103&lt;&gt;0,ABS(B1103),""),""))),"")</x:f>
      </x:c>
    </x:row>
    <x:row r="1104">
      <x:c r="A1104" t="n">
        <x:f>1103</x:f>
        <x:v>1103</x:v>
      </x:c>
      <x:c r="B1104" s="7" t="str">
        <x:f>IF('요약'!$B$4=4,IF(ISNUMBER('input'!A1104),'input'!A1104,""),IF(1103&lt;=1000,CHOOSE('요약'!$B$4,'input'!B1104,'input'!C1104,'input'!D1104),""))</x:f>
      </x:c>
      <x:c r="C1104" s="7" t="str">
        <x:f>IF(AND(ISNUMBER(B1104),'요약'!$B$19),B1104-'요약'!$B$7,"")</x:f>
      </x:c>
      <x:c r="D1104" s="7" t="str">
        <x:f>IF(ISNUMBER(C1104),C1104^2,"")</x:f>
      </x:c>
      <x:c r="E1104" s="15" t="str">
        <x:f>IF(ISNUMBER(C1104),C1104^3,"")</x:f>
      </x:c>
      <x:c r="F1104" s="15" t="str">
        <x:f>IF(ISNUMBER(C1104),C1104^4,"")</x:f>
      </x:c>
      <x:c r="G1104" s="7" t="str">
        <x:f>IF(ISNUMBER(B1104),ABS(B1104),"")</x:f>
      </x:c>
      <x:c r="H1104" s="7" t="str">
        <x:f>IF(ISNUMBER(B1104),B1104^2,"")</x:f>
      </x:c>
      <x:c r="I1104" s="7" t="str">
        <x:f>IF(AND(ISNUMBER(G1104),'요약'!$B$19),G1104-'요약'!$B$14,"")</x:f>
      </x:c>
      <x:c r="J1104" s="7" t="str">
        <x:f>IF(AND(ISNUMBER(H1104),'요약'!$B$19),H1104-'요약'!$B$15,"")</x:f>
      </x:c>
      <x:c r="K1104" t="str">
        <x:f>IF(ISNUMBER(B1104),IF('Hill'!$B$4=1,IF(B1104&lt;0,-B1104,""),IF('Hill'!$B$4=2,IF(B1104&gt;0,B1104,""),IF('Hill'!$B$4=3,IF(B1104&lt;&gt;0,ABS(B1104),""),""))),"")</x:f>
      </x:c>
    </x:row>
    <x:row r="1105">
      <x:c r="A1105" t="n">
        <x:f>1104</x:f>
        <x:v>1104</x:v>
      </x:c>
      <x:c r="B1105" s="7" t="str">
        <x:f>IF('요약'!$B$4=4,IF(ISNUMBER('input'!A1105),'input'!A1105,""),IF(1104&lt;=1000,CHOOSE('요약'!$B$4,'input'!B1105,'input'!C1105,'input'!D1105),""))</x:f>
      </x:c>
      <x:c r="C1105" s="7" t="str">
        <x:f>IF(AND(ISNUMBER(B1105),'요약'!$B$19),B1105-'요약'!$B$7,"")</x:f>
      </x:c>
      <x:c r="D1105" s="7" t="str">
        <x:f>IF(ISNUMBER(C1105),C1105^2,"")</x:f>
      </x:c>
      <x:c r="E1105" s="15" t="str">
        <x:f>IF(ISNUMBER(C1105),C1105^3,"")</x:f>
      </x:c>
      <x:c r="F1105" s="15" t="str">
        <x:f>IF(ISNUMBER(C1105),C1105^4,"")</x:f>
      </x:c>
      <x:c r="G1105" s="7" t="str">
        <x:f>IF(ISNUMBER(B1105),ABS(B1105),"")</x:f>
      </x:c>
      <x:c r="H1105" s="7" t="str">
        <x:f>IF(ISNUMBER(B1105),B1105^2,"")</x:f>
      </x:c>
      <x:c r="I1105" s="7" t="str">
        <x:f>IF(AND(ISNUMBER(G1105),'요약'!$B$19),G1105-'요약'!$B$14,"")</x:f>
      </x:c>
      <x:c r="J1105" s="7" t="str">
        <x:f>IF(AND(ISNUMBER(H1105),'요약'!$B$19),H1105-'요약'!$B$15,"")</x:f>
      </x:c>
      <x:c r="K1105" t="str">
        <x:f>IF(ISNUMBER(B1105),IF('Hill'!$B$4=1,IF(B1105&lt;0,-B1105,""),IF('Hill'!$B$4=2,IF(B1105&gt;0,B1105,""),IF('Hill'!$B$4=3,IF(B1105&lt;&gt;0,ABS(B1105),""),""))),"")</x:f>
      </x:c>
    </x:row>
    <x:row r="1106">
      <x:c r="A1106" t="n">
        <x:f>1105</x:f>
        <x:v>1105</x:v>
      </x:c>
      <x:c r="B1106" s="7" t="str">
        <x:f>IF('요약'!$B$4=4,IF(ISNUMBER('input'!A1106),'input'!A1106,""),IF(1105&lt;=1000,CHOOSE('요약'!$B$4,'input'!B1106,'input'!C1106,'input'!D1106),""))</x:f>
      </x:c>
      <x:c r="C1106" s="7" t="str">
        <x:f>IF(AND(ISNUMBER(B1106),'요약'!$B$19),B1106-'요약'!$B$7,"")</x:f>
      </x:c>
      <x:c r="D1106" s="7" t="str">
        <x:f>IF(ISNUMBER(C1106),C1106^2,"")</x:f>
      </x:c>
      <x:c r="E1106" s="15" t="str">
        <x:f>IF(ISNUMBER(C1106),C1106^3,"")</x:f>
      </x:c>
      <x:c r="F1106" s="15" t="str">
        <x:f>IF(ISNUMBER(C1106),C1106^4,"")</x:f>
      </x:c>
      <x:c r="G1106" s="7" t="str">
        <x:f>IF(ISNUMBER(B1106),ABS(B1106),"")</x:f>
      </x:c>
      <x:c r="H1106" s="7" t="str">
        <x:f>IF(ISNUMBER(B1106),B1106^2,"")</x:f>
      </x:c>
      <x:c r="I1106" s="7" t="str">
        <x:f>IF(AND(ISNUMBER(G1106),'요약'!$B$19),G1106-'요약'!$B$14,"")</x:f>
      </x:c>
      <x:c r="J1106" s="7" t="str">
        <x:f>IF(AND(ISNUMBER(H1106),'요약'!$B$19),H1106-'요약'!$B$15,"")</x:f>
      </x:c>
      <x:c r="K1106" t="str">
        <x:f>IF(ISNUMBER(B1106),IF('Hill'!$B$4=1,IF(B1106&lt;0,-B1106,""),IF('Hill'!$B$4=2,IF(B1106&gt;0,B1106,""),IF('Hill'!$B$4=3,IF(B1106&lt;&gt;0,ABS(B1106),""),""))),"")</x:f>
      </x:c>
    </x:row>
    <x:row r="1107">
      <x:c r="A1107" t="n">
        <x:f>1106</x:f>
        <x:v>1106</x:v>
      </x:c>
      <x:c r="B1107" s="7" t="str">
        <x:f>IF('요약'!$B$4=4,IF(ISNUMBER('input'!A1107),'input'!A1107,""),IF(1106&lt;=1000,CHOOSE('요약'!$B$4,'input'!B1107,'input'!C1107,'input'!D1107),""))</x:f>
      </x:c>
      <x:c r="C1107" s="7" t="str">
        <x:f>IF(AND(ISNUMBER(B1107),'요약'!$B$19),B1107-'요약'!$B$7,"")</x:f>
      </x:c>
      <x:c r="D1107" s="7" t="str">
        <x:f>IF(ISNUMBER(C1107),C1107^2,"")</x:f>
      </x:c>
      <x:c r="E1107" s="15" t="str">
        <x:f>IF(ISNUMBER(C1107),C1107^3,"")</x:f>
      </x:c>
      <x:c r="F1107" s="15" t="str">
        <x:f>IF(ISNUMBER(C1107),C1107^4,"")</x:f>
      </x:c>
      <x:c r="G1107" s="7" t="str">
        <x:f>IF(ISNUMBER(B1107),ABS(B1107),"")</x:f>
      </x:c>
      <x:c r="H1107" s="7" t="str">
        <x:f>IF(ISNUMBER(B1107),B1107^2,"")</x:f>
      </x:c>
      <x:c r="I1107" s="7" t="str">
        <x:f>IF(AND(ISNUMBER(G1107),'요약'!$B$19),G1107-'요약'!$B$14,"")</x:f>
      </x:c>
      <x:c r="J1107" s="7" t="str">
        <x:f>IF(AND(ISNUMBER(H1107),'요약'!$B$19),H1107-'요약'!$B$15,"")</x:f>
      </x:c>
      <x:c r="K1107" t="str">
        <x:f>IF(ISNUMBER(B1107),IF('Hill'!$B$4=1,IF(B1107&lt;0,-B1107,""),IF('Hill'!$B$4=2,IF(B1107&gt;0,B1107,""),IF('Hill'!$B$4=3,IF(B1107&lt;&gt;0,ABS(B1107),""),""))),"")</x:f>
      </x:c>
    </x:row>
    <x:row r="1108">
      <x:c r="A1108" t="n">
        <x:f>1107</x:f>
        <x:v>1107</x:v>
      </x:c>
      <x:c r="B1108" s="7" t="str">
        <x:f>IF('요약'!$B$4=4,IF(ISNUMBER('input'!A1108),'input'!A1108,""),IF(1107&lt;=1000,CHOOSE('요약'!$B$4,'input'!B1108,'input'!C1108,'input'!D1108),""))</x:f>
      </x:c>
      <x:c r="C1108" s="7" t="str">
        <x:f>IF(AND(ISNUMBER(B1108),'요약'!$B$19),B1108-'요약'!$B$7,"")</x:f>
      </x:c>
      <x:c r="D1108" s="7" t="str">
        <x:f>IF(ISNUMBER(C1108),C1108^2,"")</x:f>
      </x:c>
      <x:c r="E1108" s="15" t="str">
        <x:f>IF(ISNUMBER(C1108),C1108^3,"")</x:f>
      </x:c>
      <x:c r="F1108" s="15" t="str">
        <x:f>IF(ISNUMBER(C1108),C1108^4,"")</x:f>
      </x:c>
      <x:c r="G1108" s="7" t="str">
        <x:f>IF(ISNUMBER(B1108),ABS(B1108),"")</x:f>
      </x:c>
      <x:c r="H1108" s="7" t="str">
        <x:f>IF(ISNUMBER(B1108),B1108^2,"")</x:f>
      </x:c>
      <x:c r="I1108" s="7" t="str">
        <x:f>IF(AND(ISNUMBER(G1108),'요약'!$B$19),G1108-'요약'!$B$14,"")</x:f>
      </x:c>
      <x:c r="J1108" s="7" t="str">
        <x:f>IF(AND(ISNUMBER(H1108),'요약'!$B$19),H1108-'요약'!$B$15,"")</x:f>
      </x:c>
      <x:c r="K1108" t="str">
        <x:f>IF(ISNUMBER(B1108),IF('Hill'!$B$4=1,IF(B1108&lt;0,-B1108,""),IF('Hill'!$B$4=2,IF(B1108&gt;0,B1108,""),IF('Hill'!$B$4=3,IF(B1108&lt;&gt;0,ABS(B1108),""),""))),"")</x:f>
      </x:c>
    </x:row>
    <x:row r="1109">
      <x:c r="A1109" t="n">
        <x:f>1108</x:f>
        <x:v>1108</x:v>
      </x:c>
      <x:c r="B1109" s="7" t="str">
        <x:f>IF('요약'!$B$4=4,IF(ISNUMBER('input'!A1109),'input'!A1109,""),IF(1108&lt;=1000,CHOOSE('요약'!$B$4,'input'!B1109,'input'!C1109,'input'!D1109),""))</x:f>
      </x:c>
      <x:c r="C1109" s="7" t="str">
        <x:f>IF(AND(ISNUMBER(B1109),'요약'!$B$19),B1109-'요약'!$B$7,"")</x:f>
      </x:c>
      <x:c r="D1109" s="7" t="str">
        <x:f>IF(ISNUMBER(C1109),C1109^2,"")</x:f>
      </x:c>
      <x:c r="E1109" s="15" t="str">
        <x:f>IF(ISNUMBER(C1109),C1109^3,"")</x:f>
      </x:c>
      <x:c r="F1109" s="15" t="str">
        <x:f>IF(ISNUMBER(C1109),C1109^4,"")</x:f>
      </x:c>
      <x:c r="G1109" s="7" t="str">
        <x:f>IF(ISNUMBER(B1109),ABS(B1109),"")</x:f>
      </x:c>
      <x:c r="H1109" s="7" t="str">
        <x:f>IF(ISNUMBER(B1109),B1109^2,"")</x:f>
      </x:c>
      <x:c r="I1109" s="7" t="str">
        <x:f>IF(AND(ISNUMBER(G1109),'요약'!$B$19),G1109-'요약'!$B$14,"")</x:f>
      </x:c>
      <x:c r="J1109" s="7" t="str">
        <x:f>IF(AND(ISNUMBER(H1109),'요약'!$B$19),H1109-'요약'!$B$15,"")</x:f>
      </x:c>
      <x:c r="K1109" t="str">
        <x:f>IF(ISNUMBER(B1109),IF('Hill'!$B$4=1,IF(B1109&lt;0,-B1109,""),IF('Hill'!$B$4=2,IF(B1109&gt;0,B1109,""),IF('Hill'!$B$4=3,IF(B1109&lt;&gt;0,ABS(B1109),""),""))),"")</x:f>
      </x:c>
    </x:row>
    <x:row r="1110">
      <x:c r="A1110" t="n">
        <x:f>1109</x:f>
        <x:v>1109</x:v>
      </x:c>
      <x:c r="B1110" s="7" t="str">
        <x:f>IF('요약'!$B$4=4,IF(ISNUMBER('input'!A1110),'input'!A1110,""),IF(1109&lt;=1000,CHOOSE('요약'!$B$4,'input'!B1110,'input'!C1110,'input'!D1110),""))</x:f>
      </x:c>
      <x:c r="C1110" s="7" t="str">
        <x:f>IF(AND(ISNUMBER(B1110),'요약'!$B$19),B1110-'요약'!$B$7,"")</x:f>
      </x:c>
      <x:c r="D1110" s="7" t="str">
        <x:f>IF(ISNUMBER(C1110),C1110^2,"")</x:f>
      </x:c>
      <x:c r="E1110" s="15" t="str">
        <x:f>IF(ISNUMBER(C1110),C1110^3,"")</x:f>
      </x:c>
      <x:c r="F1110" s="15" t="str">
        <x:f>IF(ISNUMBER(C1110),C1110^4,"")</x:f>
      </x:c>
      <x:c r="G1110" s="7" t="str">
        <x:f>IF(ISNUMBER(B1110),ABS(B1110),"")</x:f>
      </x:c>
      <x:c r="H1110" s="7" t="str">
        <x:f>IF(ISNUMBER(B1110),B1110^2,"")</x:f>
      </x:c>
      <x:c r="I1110" s="7" t="str">
        <x:f>IF(AND(ISNUMBER(G1110),'요약'!$B$19),G1110-'요약'!$B$14,"")</x:f>
      </x:c>
      <x:c r="J1110" s="7" t="str">
        <x:f>IF(AND(ISNUMBER(H1110),'요약'!$B$19),H1110-'요약'!$B$15,"")</x:f>
      </x:c>
      <x:c r="K1110" t="str">
        <x:f>IF(ISNUMBER(B1110),IF('Hill'!$B$4=1,IF(B1110&lt;0,-B1110,""),IF('Hill'!$B$4=2,IF(B1110&gt;0,B1110,""),IF('Hill'!$B$4=3,IF(B1110&lt;&gt;0,ABS(B1110),""),""))),"")</x:f>
      </x:c>
    </x:row>
    <x:row r="1111">
      <x:c r="A1111" t="n">
        <x:f>1110</x:f>
        <x:v>1110</x:v>
      </x:c>
      <x:c r="B1111" s="7" t="str">
        <x:f>IF('요약'!$B$4=4,IF(ISNUMBER('input'!A1111),'input'!A1111,""),IF(1110&lt;=1000,CHOOSE('요약'!$B$4,'input'!B1111,'input'!C1111,'input'!D1111),""))</x:f>
      </x:c>
      <x:c r="C1111" s="7" t="str">
        <x:f>IF(AND(ISNUMBER(B1111),'요약'!$B$19),B1111-'요약'!$B$7,"")</x:f>
      </x:c>
      <x:c r="D1111" s="7" t="str">
        <x:f>IF(ISNUMBER(C1111),C1111^2,"")</x:f>
      </x:c>
      <x:c r="E1111" s="15" t="str">
        <x:f>IF(ISNUMBER(C1111),C1111^3,"")</x:f>
      </x:c>
      <x:c r="F1111" s="15" t="str">
        <x:f>IF(ISNUMBER(C1111),C1111^4,"")</x:f>
      </x:c>
      <x:c r="G1111" s="7" t="str">
        <x:f>IF(ISNUMBER(B1111),ABS(B1111),"")</x:f>
      </x:c>
      <x:c r="H1111" s="7" t="str">
        <x:f>IF(ISNUMBER(B1111),B1111^2,"")</x:f>
      </x:c>
      <x:c r="I1111" s="7" t="str">
        <x:f>IF(AND(ISNUMBER(G1111),'요약'!$B$19),G1111-'요약'!$B$14,"")</x:f>
      </x:c>
      <x:c r="J1111" s="7" t="str">
        <x:f>IF(AND(ISNUMBER(H1111),'요약'!$B$19),H1111-'요약'!$B$15,"")</x:f>
      </x:c>
      <x:c r="K1111" t="str">
        <x:f>IF(ISNUMBER(B1111),IF('Hill'!$B$4=1,IF(B1111&lt;0,-B1111,""),IF('Hill'!$B$4=2,IF(B1111&gt;0,B1111,""),IF('Hill'!$B$4=3,IF(B1111&lt;&gt;0,ABS(B1111),""),""))),"")</x:f>
      </x:c>
    </x:row>
    <x:row r="1112">
      <x:c r="A1112" t="n">
        <x:f>1111</x:f>
        <x:v>1111</x:v>
      </x:c>
      <x:c r="B1112" s="7" t="str">
        <x:f>IF('요약'!$B$4=4,IF(ISNUMBER('input'!A1112),'input'!A1112,""),IF(1111&lt;=1000,CHOOSE('요약'!$B$4,'input'!B1112,'input'!C1112,'input'!D1112),""))</x:f>
      </x:c>
      <x:c r="C1112" s="7" t="str">
        <x:f>IF(AND(ISNUMBER(B1112),'요약'!$B$19),B1112-'요약'!$B$7,"")</x:f>
      </x:c>
      <x:c r="D1112" s="7" t="str">
        <x:f>IF(ISNUMBER(C1112),C1112^2,"")</x:f>
      </x:c>
      <x:c r="E1112" s="15" t="str">
        <x:f>IF(ISNUMBER(C1112),C1112^3,"")</x:f>
      </x:c>
      <x:c r="F1112" s="15" t="str">
        <x:f>IF(ISNUMBER(C1112),C1112^4,"")</x:f>
      </x:c>
      <x:c r="G1112" s="7" t="str">
        <x:f>IF(ISNUMBER(B1112),ABS(B1112),"")</x:f>
      </x:c>
      <x:c r="H1112" s="7" t="str">
        <x:f>IF(ISNUMBER(B1112),B1112^2,"")</x:f>
      </x:c>
      <x:c r="I1112" s="7" t="str">
        <x:f>IF(AND(ISNUMBER(G1112),'요약'!$B$19),G1112-'요약'!$B$14,"")</x:f>
      </x:c>
      <x:c r="J1112" s="7" t="str">
        <x:f>IF(AND(ISNUMBER(H1112),'요약'!$B$19),H1112-'요약'!$B$15,"")</x:f>
      </x:c>
      <x:c r="K1112" t="str">
        <x:f>IF(ISNUMBER(B1112),IF('Hill'!$B$4=1,IF(B1112&lt;0,-B1112,""),IF('Hill'!$B$4=2,IF(B1112&gt;0,B1112,""),IF('Hill'!$B$4=3,IF(B1112&lt;&gt;0,ABS(B1112),""),""))),"")</x:f>
      </x:c>
    </x:row>
    <x:row r="1113">
      <x:c r="A1113" t="n">
        <x:f>1112</x:f>
        <x:v>1112</x:v>
      </x:c>
      <x:c r="B1113" s="7" t="str">
        <x:f>IF('요약'!$B$4=4,IF(ISNUMBER('input'!A1113),'input'!A1113,""),IF(1112&lt;=1000,CHOOSE('요약'!$B$4,'input'!B1113,'input'!C1113,'input'!D1113),""))</x:f>
      </x:c>
      <x:c r="C1113" s="7" t="str">
        <x:f>IF(AND(ISNUMBER(B1113),'요약'!$B$19),B1113-'요약'!$B$7,"")</x:f>
      </x:c>
      <x:c r="D1113" s="7" t="str">
        <x:f>IF(ISNUMBER(C1113),C1113^2,"")</x:f>
      </x:c>
      <x:c r="E1113" s="15" t="str">
        <x:f>IF(ISNUMBER(C1113),C1113^3,"")</x:f>
      </x:c>
      <x:c r="F1113" s="15" t="str">
        <x:f>IF(ISNUMBER(C1113),C1113^4,"")</x:f>
      </x:c>
      <x:c r="G1113" s="7" t="str">
        <x:f>IF(ISNUMBER(B1113),ABS(B1113),"")</x:f>
      </x:c>
      <x:c r="H1113" s="7" t="str">
        <x:f>IF(ISNUMBER(B1113),B1113^2,"")</x:f>
      </x:c>
      <x:c r="I1113" s="7" t="str">
        <x:f>IF(AND(ISNUMBER(G1113),'요약'!$B$19),G1113-'요약'!$B$14,"")</x:f>
      </x:c>
      <x:c r="J1113" s="7" t="str">
        <x:f>IF(AND(ISNUMBER(H1113),'요약'!$B$19),H1113-'요약'!$B$15,"")</x:f>
      </x:c>
      <x:c r="K1113" t="str">
        <x:f>IF(ISNUMBER(B1113),IF('Hill'!$B$4=1,IF(B1113&lt;0,-B1113,""),IF('Hill'!$B$4=2,IF(B1113&gt;0,B1113,""),IF('Hill'!$B$4=3,IF(B1113&lt;&gt;0,ABS(B1113),""),""))),"")</x:f>
      </x:c>
    </x:row>
    <x:row r="1114">
      <x:c r="A1114" t="n">
        <x:f>1113</x:f>
        <x:v>1113</x:v>
      </x:c>
      <x:c r="B1114" s="7" t="str">
        <x:f>IF('요약'!$B$4=4,IF(ISNUMBER('input'!A1114),'input'!A1114,""),IF(1113&lt;=1000,CHOOSE('요약'!$B$4,'input'!B1114,'input'!C1114,'input'!D1114),""))</x:f>
      </x:c>
      <x:c r="C1114" s="7" t="str">
        <x:f>IF(AND(ISNUMBER(B1114),'요약'!$B$19),B1114-'요약'!$B$7,"")</x:f>
      </x:c>
      <x:c r="D1114" s="7" t="str">
        <x:f>IF(ISNUMBER(C1114),C1114^2,"")</x:f>
      </x:c>
      <x:c r="E1114" s="15" t="str">
        <x:f>IF(ISNUMBER(C1114),C1114^3,"")</x:f>
      </x:c>
      <x:c r="F1114" s="15" t="str">
        <x:f>IF(ISNUMBER(C1114),C1114^4,"")</x:f>
      </x:c>
      <x:c r="G1114" s="7" t="str">
        <x:f>IF(ISNUMBER(B1114),ABS(B1114),"")</x:f>
      </x:c>
      <x:c r="H1114" s="7" t="str">
        <x:f>IF(ISNUMBER(B1114),B1114^2,"")</x:f>
      </x:c>
      <x:c r="I1114" s="7" t="str">
        <x:f>IF(AND(ISNUMBER(G1114),'요약'!$B$19),G1114-'요약'!$B$14,"")</x:f>
      </x:c>
      <x:c r="J1114" s="7" t="str">
        <x:f>IF(AND(ISNUMBER(H1114),'요약'!$B$19),H1114-'요약'!$B$15,"")</x:f>
      </x:c>
      <x:c r="K1114" t="str">
        <x:f>IF(ISNUMBER(B1114),IF('Hill'!$B$4=1,IF(B1114&lt;0,-B1114,""),IF('Hill'!$B$4=2,IF(B1114&gt;0,B1114,""),IF('Hill'!$B$4=3,IF(B1114&lt;&gt;0,ABS(B1114),""),""))),"")</x:f>
      </x:c>
    </x:row>
    <x:row r="1115">
      <x:c r="A1115" t="n">
        <x:f>1114</x:f>
        <x:v>1114</x:v>
      </x:c>
      <x:c r="B1115" s="7" t="str">
        <x:f>IF('요약'!$B$4=4,IF(ISNUMBER('input'!A1115),'input'!A1115,""),IF(1114&lt;=1000,CHOOSE('요약'!$B$4,'input'!B1115,'input'!C1115,'input'!D1115),""))</x:f>
      </x:c>
      <x:c r="C1115" s="7" t="str">
        <x:f>IF(AND(ISNUMBER(B1115),'요약'!$B$19),B1115-'요약'!$B$7,"")</x:f>
      </x:c>
      <x:c r="D1115" s="7" t="str">
        <x:f>IF(ISNUMBER(C1115),C1115^2,"")</x:f>
      </x:c>
      <x:c r="E1115" s="15" t="str">
        <x:f>IF(ISNUMBER(C1115),C1115^3,"")</x:f>
      </x:c>
      <x:c r="F1115" s="15" t="str">
        <x:f>IF(ISNUMBER(C1115),C1115^4,"")</x:f>
      </x:c>
      <x:c r="G1115" s="7" t="str">
        <x:f>IF(ISNUMBER(B1115),ABS(B1115),"")</x:f>
      </x:c>
      <x:c r="H1115" s="7" t="str">
        <x:f>IF(ISNUMBER(B1115),B1115^2,"")</x:f>
      </x:c>
      <x:c r="I1115" s="7" t="str">
        <x:f>IF(AND(ISNUMBER(G1115),'요약'!$B$19),G1115-'요약'!$B$14,"")</x:f>
      </x:c>
      <x:c r="J1115" s="7" t="str">
        <x:f>IF(AND(ISNUMBER(H1115),'요약'!$B$19),H1115-'요약'!$B$15,"")</x:f>
      </x:c>
      <x:c r="K1115" t="str">
        <x:f>IF(ISNUMBER(B1115),IF('Hill'!$B$4=1,IF(B1115&lt;0,-B1115,""),IF('Hill'!$B$4=2,IF(B1115&gt;0,B1115,""),IF('Hill'!$B$4=3,IF(B1115&lt;&gt;0,ABS(B1115),""),""))),"")</x:f>
      </x:c>
    </x:row>
    <x:row r="1116">
      <x:c r="A1116" t="n">
        <x:f>1115</x:f>
        <x:v>1115</x:v>
      </x:c>
      <x:c r="B1116" s="7" t="str">
        <x:f>IF('요약'!$B$4=4,IF(ISNUMBER('input'!A1116),'input'!A1116,""),IF(1115&lt;=1000,CHOOSE('요약'!$B$4,'input'!B1116,'input'!C1116,'input'!D1116),""))</x:f>
      </x:c>
      <x:c r="C1116" s="7" t="str">
        <x:f>IF(AND(ISNUMBER(B1116),'요약'!$B$19),B1116-'요약'!$B$7,"")</x:f>
      </x:c>
      <x:c r="D1116" s="7" t="str">
        <x:f>IF(ISNUMBER(C1116),C1116^2,"")</x:f>
      </x:c>
      <x:c r="E1116" s="15" t="str">
        <x:f>IF(ISNUMBER(C1116),C1116^3,"")</x:f>
      </x:c>
      <x:c r="F1116" s="15" t="str">
        <x:f>IF(ISNUMBER(C1116),C1116^4,"")</x:f>
      </x:c>
      <x:c r="G1116" s="7" t="str">
        <x:f>IF(ISNUMBER(B1116),ABS(B1116),"")</x:f>
      </x:c>
      <x:c r="H1116" s="7" t="str">
        <x:f>IF(ISNUMBER(B1116),B1116^2,"")</x:f>
      </x:c>
      <x:c r="I1116" s="7" t="str">
        <x:f>IF(AND(ISNUMBER(G1116),'요약'!$B$19),G1116-'요약'!$B$14,"")</x:f>
      </x:c>
      <x:c r="J1116" s="7" t="str">
        <x:f>IF(AND(ISNUMBER(H1116),'요약'!$B$19),H1116-'요약'!$B$15,"")</x:f>
      </x:c>
      <x:c r="K1116" t="str">
        <x:f>IF(ISNUMBER(B1116),IF('Hill'!$B$4=1,IF(B1116&lt;0,-B1116,""),IF('Hill'!$B$4=2,IF(B1116&gt;0,B1116,""),IF('Hill'!$B$4=3,IF(B1116&lt;&gt;0,ABS(B1116),""),""))),"")</x:f>
      </x:c>
    </x:row>
    <x:row r="1117">
      <x:c r="A1117" t="n">
        <x:f>1116</x:f>
        <x:v>1116</x:v>
      </x:c>
      <x:c r="B1117" s="7" t="str">
        <x:f>IF('요약'!$B$4=4,IF(ISNUMBER('input'!A1117),'input'!A1117,""),IF(1116&lt;=1000,CHOOSE('요약'!$B$4,'input'!B1117,'input'!C1117,'input'!D1117),""))</x:f>
      </x:c>
      <x:c r="C1117" s="7" t="str">
        <x:f>IF(AND(ISNUMBER(B1117),'요약'!$B$19),B1117-'요약'!$B$7,"")</x:f>
      </x:c>
      <x:c r="D1117" s="7" t="str">
        <x:f>IF(ISNUMBER(C1117),C1117^2,"")</x:f>
      </x:c>
      <x:c r="E1117" s="15" t="str">
        <x:f>IF(ISNUMBER(C1117),C1117^3,"")</x:f>
      </x:c>
      <x:c r="F1117" s="15" t="str">
        <x:f>IF(ISNUMBER(C1117),C1117^4,"")</x:f>
      </x:c>
      <x:c r="G1117" s="7" t="str">
        <x:f>IF(ISNUMBER(B1117),ABS(B1117),"")</x:f>
      </x:c>
      <x:c r="H1117" s="7" t="str">
        <x:f>IF(ISNUMBER(B1117),B1117^2,"")</x:f>
      </x:c>
      <x:c r="I1117" s="7" t="str">
        <x:f>IF(AND(ISNUMBER(G1117),'요약'!$B$19),G1117-'요약'!$B$14,"")</x:f>
      </x:c>
      <x:c r="J1117" s="7" t="str">
        <x:f>IF(AND(ISNUMBER(H1117),'요약'!$B$19),H1117-'요약'!$B$15,"")</x:f>
      </x:c>
      <x:c r="K1117" t="str">
        <x:f>IF(ISNUMBER(B1117),IF('Hill'!$B$4=1,IF(B1117&lt;0,-B1117,""),IF('Hill'!$B$4=2,IF(B1117&gt;0,B1117,""),IF('Hill'!$B$4=3,IF(B1117&lt;&gt;0,ABS(B1117),""),""))),"")</x:f>
      </x:c>
    </x:row>
    <x:row r="1118">
      <x:c r="A1118" t="n">
        <x:f>1117</x:f>
        <x:v>1117</x:v>
      </x:c>
      <x:c r="B1118" s="7" t="str">
        <x:f>IF('요약'!$B$4=4,IF(ISNUMBER('input'!A1118),'input'!A1118,""),IF(1117&lt;=1000,CHOOSE('요약'!$B$4,'input'!B1118,'input'!C1118,'input'!D1118),""))</x:f>
      </x:c>
      <x:c r="C1118" s="7" t="str">
        <x:f>IF(AND(ISNUMBER(B1118),'요약'!$B$19),B1118-'요약'!$B$7,"")</x:f>
      </x:c>
      <x:c r="D1118" s="7" t="str">
        <x:f>IF(ISNUMBER(C1118),C1118^2,"")</x:f>
      </x:c>
      <x:c r="E1118" s="15" t="str">
        <x:f>IF(ISNUMBER(C1118),C1118^3,"")</x:f>
      </x:c>
      <x:c r="F1118" s="15" t="str">
        <x:f>IF(ISNUMBER(C1118),C1118^4,"")</x:f>
      </x:c>
      <x:c r="G1118" s="7" t="str">
        <x:f>IF(ISNUMBER(B1118),ABS(B1118),"")</x:f>
      </x:c>
      <x:c r="H1118" s="7" t="str">
        <x:f>IF(ISNUMBER(B1118),B1118^2,"")</x:f>
      </x:c>
      <x:c r="I1118" s="7" t="str">
        <x:f>IF(AND(ISNUMBER(G1118),'요약'!$B$19),G1118-'요약'!$B$14,"")</x:f>
      </x:c>
      <x:c r="J1118" s="7" t="str">
        <x:f>IF(AND(ISNUMBER(H1118),'요약'!$B$19),H1118-'요약'!$B$15,"")</x:f>
      </x:c>
      <x:c r="K1118" t="str">
        <x:f>IF(ISNUMBER(B1118),IF('Hill'!$B$4=1,IF(B1118&lt;0,-B1118,""),IF('Hill'!$B$4=2,IF(B1118&gt;0,B1118,""),IF('Hill'!$B$4=3,IF(B1118&lt;&gt;0,ABS(B1118),""),""))),"")</x:f>
      </x:c>
    </x:row>
    <x:row r="1119">
      <x:c r="A1119" t="n">
        <x:f>1118</x:f>
        <x:v>1118</x:v>
      </x:c>
      <x:c r="B1119" s="7" t="str">
        <x:f>IF('요약'!$B$4=4,IF(ISNUMBER('input'!A1119),'input'!A1119,""),IF(1118&lt;=1000,CHOOSE('요약'!$B$4,'input'!B1119,'input'!C1119,'input'!D1119),""))</x:f>
      </x:c>
      <x:c r="C1119" s="7" t="str">
        <x:f>IF(AND(ISNUMBER(B1119),'요약'!$B$19),B1119-'요약'!$B$7,"")</x:f>
      </x:c>
      <x:c r="D1119" s="7" t="str">
        <x:f>IF(ISNUMBER(C1119),C1119^2,"")</x:f>
      </x:c>
      <x:c r="E1119" s="15" t="str">
        <x:f>IF(ISNUMBER(C1119),C1119^3,"")</x:f>
      </x:c>
      <x:c r="F1119" s="15" t="str">
        <x:f>IF(ISNUMBER(C1119),C1119^4,"")</x:f>
      </x:c>
      <x:c r="G1119" s="7" t="str">
        <x:f>IF(ISNUMBER(B1119),ABS(B1119),"")</x:f>
      </x:c>
      <x:c r="H1119" s="7" t="str">
        <x:f>IF(ISNUMBER(B1119),B1119^2,"")</x:f>
      </x:c>
      <x:c r="I1119" s="7" t="str">
        <x:f>IF(AND(ISNUMBER(G1119),'요약'!$B$19),G1119-'요약'!$B$14,"")</x:f>
      </x:c>
      <x:c r="J1119" s="7" t="str">
        <x:f>IF(AND(ISNUMBER(H1119),'요약'!$B$19),H1119-'요약'!$B$15,"")</x:f>
      </x:c>
      <x:c r="K1119" t="str">
        <x:f>IF(ISNUMBER(B1119),IF('Hill'!$B$4=1,IF(B1119&lt;0,-B1119,""),IF('Hill'!$B$4=2,IF(B1119&gt;0,B1119,""),IF('Hill'!$B$4=3,IF(B1119&lt;&gt;0,ABS(B1119),""),""))),"")</x:f>
      </x:c>
    </x:row>
    <x:row r="1120">
      <x:c r="A1120" t="n">
        <x:f>1119</x:f>
        <x:v>1119</x:v>
      </x:c>
      <x:c r="B1120" s="7" t="str">
        <x:f>IF('요약'!$B$4=4,IF(ISNUMBER('input'!A1120),'input'!A1120,""),IF(1119&lt;=1000,CHOOSE('요약'!$B$4,'input'!B1120,'input'!C1120,'input'!D1120),""))</x:f>
      </x:c>
      <x:c r="C1120" s="7" t="str">
        <x:f>IF(AND(ISNUMBER(B1120),'요약'!$B$19),B1120-'요약'!$B$7,"")</x:f>
      </x:c>
      <x:c r="D1120" s="7" t="str">
        <x:f>IF(ISNUMBER(C1120),C1120^2,"")</x:f>
      </x:c>
      <x:c r="E1120" s="15" t="str">
        <x:f>IF(ISNUMBER(C1120),C1120^3,"")</x:f>
      </x:c>
      <x:c r="F1120" s="15" t="str">
        <x:f>IF(ISNUMBER(C1120),C1120^4,"")</x:f>
      </x:c>
      <x:c r="G1120" s="7" t="str">
        <x:f>IF(ISNUMBER(B1120),ABS(B1120),"")</x:f>
      </x:c>
      <x:c r="H1120" s="7" t="str">
        <x:f>IF(ISNUMBER(B1120),B1120^2,"")</x:f>
      </x:c>
      <x:c r="I1120" s="7" t="str">
        <x:f>IF(AND(ISNUMBER(G1120),'요약'!$B$19),G1120-'요약'!$B$14,"")</x:f>
      </x:c>
      <x:c r="J1120" s="7" t="str">
        <x:f>IF(AND(ISNUMBER(H1120),'요약'!$B$19),H1120-'요약'!$B$15,"")</x:f>
      </x:c>
      <x:c r="K1120" t="str">
        <x:f>IF(ISNUMBER(B1120),IF('Hill'!$B$4=1,IF(B1120&lt;0,-B1120,""),IF('Hill'!$B$4=2,IF(B1120&gt;0,B1120,""),IF('Hill'!$B$4=3,IF(B1120&lt;&gt;0,ABS(B1120),""),""))),"")</x:f>
      </x:c>
    </x:row>
    <x:row r="1121">
      <x:c r="A1121" t="n">
        <x:f>1120</x:f>
        <x:v>1120</x:v>
      </x:c>
      <x:c r="B1121" s="7" t="str">
        <x:f>IF('요약'!$B$4=4,IF(ISNUMBER('input'!A1121),'input'!A1121,""),IF(1120&lt;=1000,CHOOSE('요약'!$B$4,'input'!B1121,'input'!C1121,'input'!D1121),""))</x:f>
      </x:c>
      <x:c r="C1121" s="7" t="str">
        <x:f>IF(AND(ISNUMBER(B1121),'요약'!$B$19),B1121-'요약'!$B$7,"")</x:f>
      </x:c>
      <x:c r="D1121" s="7" t="str">
        <x:f>IF(ISNUMBER(C1121),C1121^2,"")</x:f>
      </x:c>
      <x:c r="E1121" s="15" t="str">
        <x:f>IF(ISNUMBER(C1121),C1121^3,"")</x:f>
      </x:c>
      <x:c r="F1121" s="15" t="str">
        <x:f>IF(ISNUMBER(C1121),C1121^4,"")</x:f>
      </x:c>
      <x:c r="G1121" s="7" t="str">
        <x:f>IF(ISNUMBER(B1121),ABS(B1121),"")</x:f>
      </x:c>
      <x:c r="H1121" s="7" t="str">
        <x:f>IF(ISNUMBER(B1121),B1121^2,"")</x:f>
      </x:c>
      <x:c r="I1121" s="7" t="str">
        <x:f>IF(AND(ISNUMBER(G1121),'요약'!$B$19),G1121-'요약'!$B$14,"")</x:f>
      </x:c>
      <x:c r="J1121" s="7" t="str">
        <x:f>IF(AND(ISNUMBER(H1121),'요약'!$B$19),H1121-'요약'!$B$15,"")</x:f>
      </x:c>
      <x:c r="K1121" t="str">
        <x:f>IF(ISNUMBER(B1121),IF('Hill'!$B$4=1,IF(B1121&lt;0,-B1121,""),IF('Hill'!$B$4=2,IF(B1121&gt;0,B1121,""),IF('Hill'!$B$4=3,IF(B1121&lt;&gt;0,ABS(B1121),""),""))),"")</x:f>
      </x:c>
    </x:row>
    <x:row r="1122">
      <x:c r="A1122" t="n">
        <x:f>1121</x:f>
        <x:v>1121</x:v>
      </x:c>
      <x:c r="B1122" s="7" t="str">
        <x:f>IF('요약'!$B$4=4,IF(ISNUMBER('input'!A1122),'input'!A1122,""),IF(1121&lt;=1000,CHOOSE('요약'!$B$4,'input'!B1122,'input'!C1122,'input'!D1122),""))</x:f>
      </x:c>
      <x:c r="C1122" s="7" t="str">
        <x:f>IF(AND(ISNUMBER(B1122),'요약'!$B$19),B1122-'요약'!$B$7,"")</x:f>
      </x:c>
      <x:c r="D1122" s="7" t="str">
        <x:f>IF(ISNUMBER(C1122),C1122^2,"")</x:f>
      </x:c>
      <x:c r="E1122" s="15" t="str">
        <x:f>IF(ISNUMBER(C1122),C1122^3,"")</x:f>
      </x:c>
      <x:c r="F1122" s="15" t="str">
        <x:f>IF(ISNUMBER(C1122),C1122^4,"")</x:f>
      </x:c>
      <x:c r="G1122" s="7" t="str">
        <x:f>IF(ISNUMBER(B1122),ABS(B1122),"")</x:f>
      </x:c>
      <x:c r="H1122" s="7" t="str">
        <x:f>IF(ISNUMBER(B1122),B1122^2,"")</x:f>
      </x:c>
      <x:c r="I1122" s="7" t="str">
        <x:f>IF(AND(ISNUMBER(G1122),'요약'!$B$19),G1122-'요약'!$B$14,"")</x:f>
      </x:c>
      <x:c r="J1122" s="7" t="str">
        <x:f>IF(AND(ISNUMBER(H1122),'요약'!$B$19),H1122-'요약'!$B$15,"")</x:f>
      </x:c>
      <x:c r="K1122" t="str">
        <x:f>IF(ISNUMBER(B1122),IF('Hill'!$B$4=1,IF(B1122&lt;0,-B1122,""),IF('Hill'!$B$4=2,IF(B1122&gt;0,B1122,""),IF('Hill'!$B$4=3,IF(B1122&lt;&gt;0,ABS(B1122),""),""))),"")</x:f>
      </x:c>
    </x:row>
    <x:row r="1123">
      <x:c r="A1123" t="n">
        <x:f>1122</x:f>
        <x:v>1122</x:v>
      </x:c>
      <x:c r="B1123" s="7" t="str">
        <x:f>IF('요약'!$B$4=4,IF(ISNUMBER('input'!A1123),'input'!A1123,""),IF(1122&lt;=1000,CHOOSE('요약'!$B$4,'input'!B1123,'input'!C1123,'input'!D1123),""))</x:f>
      </x:c>
      <x:c r="C1123" s="7" t="str">
        <x:f>IF(AND(ISNUMBER(B1123),'요약'!$B$19),B1123-'요약'!$B$7,"")</x:f>
      </x:c>
      <x:c r="D1123" s="7" t="str">
        <x:f>IF(ISNUMBER(C1123),C1123^2,"")</x:f>
      </x:c>
      <x:c r="E1123" s="15" t="str">
        <x:f>IF(ISNUMBER(C1123),C1123^3,"")</x:f>
      </x:c>
      <x:c r="F1123" s="15" t="str">
        <x:f>IF(ISNUMBER(C1123),C1123^4,"")</x:f>
      </x:c>
      <x:c r="G1123" s="7" t="str">
        <x:f>IF(ISNUMBER(B1123),ABS(B1123),"")</x:f>
      </x:c>
      <x:c r="H1123" s="7" t="str">
        <x:f>IF(ISNUMBER(B1123),B1123^2,"")</x:f>
      </x:c>
      <x:c r="I1123" s="7" t="str">
        <x:f>IF(AND(ISNUMBER(G1123),'요약'!$B$19),G1123-'요약'!$B$14,"")</x:f>
      </x:c>
      <x:c r="J1123" s="7" t="str">
        <x:f>IF(AND(ISNUMBER(H1123),'요약'!$B$19),H1123-'요약'!$B$15,"")</x:f>
      </x:c>
      <x:c r="K1123" t="str">
        <x:f>IF(ISNUMBER(B1123),IF('Hill'!$B$4=1,IF(B1123&lt;0,-B1123,""),IF('Hill'!$B$4=2,IF(B1123&gt;0,B1123,""),IF('Hill'!$B$4=3,IF(B1123&lt;&gt;0,ABS(B1123),""),""))),"")</x:f>
      </x:c>
    </x:row>
    <x:row r="1124">
      <x:c r="A1124" t="n">
        <x:f>1123</x:f>
        <x:v>1123</x:v>
      </x:c>
      <x:c r="B1124" s="7" t="str">
        <x:f>IF('요약'!$B$4=4,IF(ISNUMBER('input'!A1124),'input'!A1124,""),IF(1123&lt;=1000,CHOOSE('요약'!$B$4,'input'!B1124,'input'!C1124,'input'!D1124),""))</x:f>
      </x:c>
      <x:c r="C1124" s="7" t="str">
        <x:f>IF(AND(ISNUMBER(B1124),'요약'!$B$19),B1124-'요약'!$B$7,"")</x:f>
      </x:c>
      <x:c r="D1124" s="7" t="str">
        <x:f>IF(ISNUMBER(C1124),C1124^2,"")</x:f>
      </x:c>
      <x:c r="E1124" s="15" t="str">
        <x:f>IF(ISNUMBER(C1124),C1124^3,"")</x:f>
      </x:c>
      <x:c r="F1124" s="15" t="str">
        <x:f>IF(ISNUMBER(C1124),C1124^4,"")</x:f>
      </x:c>
      <x:c r="G1124" s="7" t="str">
        <x:f>IF(ISNUMBER(B1124),ABS(B1124),"")</x:f>
      </x:c>
      <x:c r="H1124" s="7" t="str">
        <x:f>IF(ISNUMBER(B1124),B1124^2,"")</x:f>
      </x:c>
      <x:c r="I1124" s="7" t="str">
        <x:f>IF(AND(ISNUMBER(G1124),'요약'!$B$19),G1124-'요약'!$B$14,"")</x:f>
      </x:c>
      <x:c r="J1124" s="7" t="str">
        <x:f>IF(AND(ISNUMBER(H1124),'요약'!$B$19),H1124-'요약'!$B$15,"")</x:f>
      </x:c>
      <x:c r="K1124" t="str">
        <x:f>IF(ISNUMBER(B1124),IF('Hill'!$B$4=1,IF(B1124&lt;0,-B1124,""),IF('Hill'!$B$4=2,IF(B1124&gt;0,B1124,""),IF('Hill'!$B$4=3,IF(B1124&lt;&gt;0,ABS(B1124),""),""))),"")</x:f>
      </x:c>
    </x:row>
    <x:row r="1125">
      <x:c r="A1125" t="n">
        <x:f>1124</x:f>
        <x:v>1124</x:v>
      </x:c>
      <x:c r="B1125" s="7" t="str">
        <x:f>IF('요약'!$B$4=4,IF(ISNUMBER('input'!A1125),'input'!A1125,""),IF(1124&lt;=1000,CHOOSE('요약'!$B$4,'input'!B1125,'input'!C1125,'input'!D1125),""))</x:f>
      </x:c>
      <x:c r="C1125" s="7" t="str">
        <x:f>IF(AND(ISNUMBER(B1125),'요약'!$B$19),B1125-'요약'!$B$7,"")</x:f>
      </x:c>
      <x:c r="D1125" s="7" t="str">
        <x:f>IF(ISNUMBER(C1125),C1125^2,"")</x:f>
      </x:c>
      <x:c r="E1125" s="15" t="str">
        <x:f>IF(ISNUMBER(C1125),C1125^3,"")</x:f>
      </x:c>
      <x:c r="F1125" s="15" t="str">
        <x:f>IF(ISNUMBER(C1125),C1125^4,"")</x:f>
      </x:c>
      <x:c r="G1125" s="7" t="str">
        <x:f>IF(ISNUMBER(B1125),ABS(B1125),"")</x:f>
      </x:c>
      <x:c r="H1125" s="7" t="str">
        <x:f>IF(ISNUMBER(B1125),B1125^2,"")</x:f>
      </x:c>
      <x:c r="I1125" s="7" t="str">
        <x:f>IF(AND(ISNUMBER(G1125),'요약'!$B$19),G1125-'요약'!$B$14,"")</x:f>
      </x:c>
      <x:c r="J1125" s="7" t="str">
        <x:f>IF(AND(ISNUMBER(H1125),'요약'!$B$19),H1125-'요약'!$B$15,"")</x:f>
      </x:c>
      <x:c r="K1125" t="str">
        <x:f>IF(ISNUMBER(B1125),IF('Hill'!$B$4=1,IF(B1125&lt;0,-B1125,""),IF('Hill'!$B$4=2,IF(B1125&gt;0,B1125,""),IF('Hill'!$B$4=3,IF(B1125&lt;&gt;0,ABS(B1125),""),""))),"")</x:f>
      </x:c>
    </x:row>
    <x:row r="1126">
      <x:c r="A1126" t="n">
        <x:f>1125</x:f>
        <x:v>1125</x:v>
      </x:c>
      <x:c r="B1126" s="7" t="str">
        <x:f>IF('요약'!$B$4=4,IF(ISNUMBER('input'!A1126),'input'!A1126,""),IF(1125&lt;=1000,CHOOSE('요약'!$B$4,'input'!B1126,'input'!C1126,'input'!D1126),""))</x:f>
      </x:c>
      <x:c r="C1126" s="7" t="str">
        <x:f>IF(AND(ISNUMBER(B1126),'요약'!$B$19),B1126-'요약'!$B$7,"")</x:f>
      </x:c>
      <x:c r="D1126" s="7" t="str">
        <x:f>IF(ISNUMBER(C1126),C1126^2,"")</x:f>
      </x:c>
      <x:c r="E1126" s="15" t="str">
        <x:f>IF(ISNUMBER(C1126),C1126^3,"")</x:f>
      </x:c>
      <x:c r="F1126" s="15" t="str">
        <x:f>IF(ISNUMBER(C1126),C1126^4,"")</x:f>
      </x:c>
      <x:c r="G1126" s="7" t="str">
        <x:f>IF(ISNUMBER(B1126),ABS(B1126),"")</x:f>
      </x:c>
      <x:c r="H1126" s="7" t="str">
        <x:f>IF(ISNUMBER(B1126),B1126^2,"")</x:f>
      </x:c>
      <x:c r="I1126" s="7" t="str">
        <x:f>IF(AND(ISNUMBER(G1126),'요약'!$B$19),G1126-'요약'!$B$14,"")</x:f>
      </x:c>
      <x:c r="J1126" s="7" t="str">
        <x:f>IF(AND(ISNUMBER(H1126),'요약'!$B$19),H1126-'요약'!$B$15,"")</x:f>
      </x:c>
      <x:c r="K1126" t="str">
        <x:f>IF(ISNUMBER(B1126),IF('Hill'!$B$4=1,IF(B1126&lt;0,-B1126,""),IF('Hill'!$B$4=2,IF(B1126&gt;0,B1126,""),IF('Hill'!$B$4=3,IF(B1126&lt;&gt;0,ABS(B1126),""),""))),"")</x:f>
      </x:c>
    </x:row>
    <x:row r="1127">
      <x:c r="A1127" t="n">
        <x:f>1126</x:f>
        <x:v>1126</x:v>
      </x:c>
      <x:c r="B1127" s="7" t="str">
        <x:f>IF('요약'!$B$4=4,IF(ISNUMBER('input'!A1127),'input'!A1127,""),IF(1126&lt;=1000,CHOOSE('요약'!$B$4,'input'!B1127,'input'!C1127,'input'!D1127),""))</x:f>
      </x:c>
      <x:c r="C1127" s="7" t="str">
        <x:f>IF(AND(ISNUMBER(B1127),'요약'!$B$19),B1127-'요약'!$B$7,"")</x:f>
      </x:c>
      <x:c r="D1127" s="7" t="str">
        <x:f>IF(ISNUMBER(C1127),C1127^2,"")</x:f>
      </x:c>
      <x:c r="E1127" s="15" t="str">
        <x:f>IF(ISNUMBER(C1127),C1127^3,"")</x:f>
      </x:c>
      <x:c r="F1127" s="15" t="str">
        <x:f>IF(ISNUMBER(C1127),C1127^4,"")</x:f>
      </x:c>
      <x:c r="G1127" s="7" t="str">
        <x:f>IF(ISNUMBER(B1127),ABS(B1127),"")</x:f>
      </x:c>
      <x:c r="H1127" s="7" t="str">
        <x:f>IF(ISNUMBER(B1127),B1127^2,"")</x:f>
      </x:c>
      <x:c r="I1127" s="7" t="str">
        <x:f>IF(AND(ISNUMBER(G1127),'요약'!$B$19),G1127-'요약'!$B$14,"")</x:f>
      </x:c>
      <x:c r="J1127" s="7" t="str">
        <x:f>IF(AND(ISNUMBER(H1127),'요약'!$B$19),H1127-'요약'!$B$15,"")</x:f>
      </x:c>
      <x:c r="K1127" t="str">
        <x:f>IF(ISNUMBER(B1127),IF('Hill'!$B$4=1,IF(B1127&lt;0,-B1127,""),IF('Hill'!$B$4=2,IF(B1127&gt;0,B1127,""),IF('Hill'!$B$4=3,IF(B1127&lt;&gt;0,ABS(B1127),""),""))),"")</x:f>
      </x:c>
    </x:row>
    <x:row r="1128">
      <x:c r="A1128" t="n">
        <x:f>1127</x:f>
        <x:v>1127</x:v>
      </x:c>
      <x:c r="B1128" s="7" t="str">
        <x:f>IF('요약'!$B$4=4,IF(ISNUMBER('input'!A1128),'input'!A1128,""),IF(1127&lt;=1000,CHOOSE('요약'!$B$4,'input'!B1128,'input'!C1128,'input'!D1128),""))</x:f>
      </x:c>
      <x:c r="C1128" s="7" t="str">
        <x:f>IF(AND(ISNUMBER(B1128),'요약'!$B$19),B1128-'요약'!$B$7,"")</x:f>
      </x:c>
      <x:c r="D1128" s="7" t="str">
        <x:f>IF(ISNUMBER(C1128),C1128^2,"")</x:f>
      </x:c>
      <x:c r="E1128" s="15" t="str">
        <x:f>IF(ISNUMBER(C1128),C1128^3,"")</x:f>
      </x:c>
      <x:c r="F1128" s="15" t="str">
        <x:f>IF(ISNUMBER(C1128),C1128^4,"")</x:f>
      </x:c>
      <x:c r="G1128" s="7" t="str">
        <x:f>IF(ISNUMBER(B1128),ABS(B1128),"")</x:f>
      </x:c>
      <x:c r="H1128" s="7" t="str">
        <x:f>IF(ISNUMBER(B1128),B1128^2,"")</x:f>
      </x:c>
      <x:c r="I1128" s="7" t="str">
        <x:f>IF(AND(ISNUMBER(G1128),'요약'!$B$19),G1128-'요약'!$B$14,"")</x:f>
      </x:c>
      <x:c r="J1128" s="7" t="str">
        <x:f>IF(AND(ISNUMBER(H1128),'요약'!$B$19),H1128-'요약'!$B$15,"")</x:f>
      </x:c>
      <x:c r="K1128" t="str">
        <x:f>IF(ISNUMBER(B1128),IF('Hill'!$B$4=1,IF(B1128&lt;0,-B1128,""),IF('Hill'!$B$4=2,IF(B1128&gt;0,B1128,""),IF('Hill'!$B$4=3,IF(B1128&lt;&gt;0,ABS(B1128),""),""))),"")</x:f>
      </x:c>
    </x:row>
    <x:row r="1129">
      <x:c r="A1129" t="n">
        <x:f>1128</x:f>
        <x:v>1128</x:v>
      </x:c>
      <x:c r="B1129" s="7" t="str">
        <x:f>IF('요약'!$B$4=4,IF(ISNUMBER('input'!A1129),'input'!A1129,""),IF(1128&lt;=1000,CHOOSE('요약'!$B$4,'input'!B1129,'input'!C1129,'input'!D1129),""))</x:f>
      </x:c>
      <x:c r="C1129" s="7" t="str">
        <x:f>IF(AND(ISNUMBER(B1129),'요약'!$B$19),B1129-'요약'!$B$7,"")</x:f>
      </x:c>
      <x:c r="D1129" s="7" t="str">
        <x:f>IF(ISNUMBER(C1129),C1129^2,"")</x:f>
      </x:c>
      <x:c r="E1129" s="15" t="str">
        <x:f>IF(ISNUMBER(C1129),C1129^3,"")</x:f>
      </x:c>
      <x:c r="F1129" s="15" t="str">
        <x:f>IF(ISNUMBER(C1129),C1129^4,"")</x:f>
      </x:c>
      <x:c r="G1129" s="7" t="str">
        <x:f>IF(ISNUMBER(B1129),ABS(B1129),"")</x:f>
      </x:c>
      <x:c r="H1129" s="7" t="str">
        <x:f>IF(ISNUMBER(B1129),B1129^2,"")</x:f>
      </x:c>
      <x:c r="I1129" s="7" t="str">
        <x:f>IF(AND(ISNUMBER(G1129),'요약'!$B$19),G1129-'요약'!$B$14,"")</x:f>
      </x:c>
      <x:c r="J1129" s="7" t="str">
        <x:f>IF(AND(ISNUMBER(H1129),'요약'!$B$19),H1129-'요약'!$B$15,"")</x:f>
      </x:c>
      <x:c r="K1129" t="str">
        <x:f>IF(ISNUMBER(B1129),IF('Hill'!$B$4=1,IF(B1129&lt;0,-B1129,""),IF('Hill'!$B$4=2,IF(B1129&gt;0,B1129,""),IF('Hill'!$B$4=3,IF(B1129&lt;&gt;0,ABS(B1129),""),""))),"")</x:f>
      </x:c>
    </x:row>
    <x:row r="1130">
      <x:c r="A1130" t="n">
        <x:f>1129</x:f>
        <x:v>1129</x:v>
      </x:c>
      <x:c r="B1130" s="7" t="str">
        <x:f>IF('요약'!$B$4=4,IF(ISNUMBER('input'!A1130),'input'!A1130,""),IF(1129&lt;=1000,CHOOSE('요약'!$B$4,'input'!B1130,'input'!C1130,'input'!D1130),""))</x:f>
      </x:c>
      <x:c r="C1130" s="7" t="str">
        <x:f>IF(AND(ISNUMBER(B1130),'요약'!$B$19),B1130-'요약'!$B$7,"")</x:f>
      </x:c>
      <x:c r="D1130" s="7" t="str">
        <x:f>IF(ISNUMBER(C1130),C1130^2,"")</x:f>
      </x:c>
      <x:c r="E1130" s="15" t="str">
        <x:f>IF(ISNUMBER(C1130),C1130^3,"")</x:f>
      </x:c>
      <x:c r="F1130" s="15" t="str">
        <x:f>IF(ISNUMBER(C1130),C1130^4,"")</x:f>
      </x:c>
      <x:c r="G1130" s="7" t="str">
        <x:f>IF(ISNUMBER(B1130),ABS(B1130),"")</x:f>
      </x:c>
      <x:c r="H1130" s="7" t="str">
        <x:f>IF(ISNUMBER(B1130),B1130^2,"")</x:f>
      </x:c>
      <x:c r="I1130" s="7" t="str">
        <x:f>IF(AND(ISNUMBER(G1130),'요약'!$B$19),G1130-'요약'!$B$14,"")</x:f>
      </x:c>
      <x:c r="J1130" s="7" t="str">
        <x:f>IF(AND(ISNUMBER(H1130),'요약'!$B$19),H1130-'요약'!$B$15,"")</x:f>
      </x:c>
      <x:c r="K1130" t="str">
        <x:f>IF(ISNUMBER(B1130),IF('Hill'!$B$4=1,IF(B1130&lt;0,-B1130,""),IF('Hill'!$B$4=2,IF(B1130&gt;0,B1130,""),IF('Hill'!$B$4=3,IF(B1130&lt;&gt;0,ABS(B1130),""),""))),"")</x:f>
      </x:c>
    </x:row>
    <x:row r="1131">
      <x:c r="A1131" t="n">
        <x:f>1130</x:f>
        <x:v>1130</x:v>
      </x:c>
      <x:c r="B1131" s="7" t="str">
        <x:f>IF('요약'!$B$4=4,IF(ISNUMBER('input'!A1131),'input'!A1131,""),IF(1130&lt;=1000,CHOOSE('요약'!$B$4,'input'!B1131,'input'!C1131,'input'!D1131),""))</x:f>
      </x:c>
      <x:c r="C1131" s="7" t="str">
        <x:f>IF(AND(ISNUMBER(B1131),'요약'!$B$19),B1131-'요약'!$B$7,"")</x:f>
      </x:c>
      <x:c r="D1131" s="7" t="str">
        <x:f>IF(ISNUMBER(C1131),C1131^2,"")</x:f>
      </x:c>
      <x:c r="E1131" s="15" t="str">
        <x:f>IF(ISNUMBER(C1131),C1131^3,"")</x:f>
      </x:c>
      <x:c r="F1131" s="15" t="str">
        <x:f>IF(ISNUMBER(C1131),C1131^4,"")</x:f>
      </x:c>
      <x:c r="G1131" s="7" t="str">
        <x:f>IF(ISNUMBER(B1131),ABS(B1131),"")</x:f>
      </x:c>
      <x:c r="H1131" s="7" t="str">
        <x:f>IF(ISNUMBER(B1131),B1131^2,"")</x:f>
      </x:c>
      <x:c r="I1131" s="7" t="str">
        <x:f>IF(AND(ISNUMBER(G1131),'요약'!$B$19),G1131-'요약'!$B$14,"")</x:f>
      </x:c>
      <x:c r="J1131" s="7" t="str">
        <x:f>IF(AND(ISNUMBER(H1131),'요약'!$B$19),H1131-'요약'!$B$15,"")</x:f>
      </x:c>
      <x:c r="K1131" t="str">
        <x:f>IF(ISNUMBER(B1131),IF('Hill'!$B$4=1,IF(B1131&lt;0,-B1131,""),IF('Hill'!$B$4=2,IF(B1131&gt;0,B1131,""),IF('Hill'!$B$4=3,IF(B1131&lt;&gt;0,ABS(B1131),""),""))),"")</x:f>
      </x:c>
    </x:row>
    <x:row r="1132">
      <x:c r="A1132" t="n">
        <x:f>1131</x:f>
        <x:v>1131</x:v>
      </x:c>
      <x:c r="B1132" s="7" t="str">
        <x:f>IF('요약'!$B$4=4,IF(ISNUMBER('input'!A1132),'input'!A1132,""),IF(1131&lt;=1000,CHOOSE('요약'!$B$4,'input'!B1132,'input'!C1132,'input'!D1132),""))</x:f>
      </x:c>
      <x:c r="C1132" s="7" t="str">
        <x:f>IF(AND(ISNUMBER(B1132),'요약'!$B$19),B1132-'요약'!$B$7,"")</x:f>
      </x:c>
      <x:c r="D1132" s="7" t="str">
        <x:f>IF(ISNUMBER(C1132),C1132^2,"")</x:f>
      </x:c>
      <x:c r="E1132" s="15" t="str">
        <x:f>IF(ISNUMBER(C1132),C1132^3,"")</x:f>
      </x:c>
      <x:c r="F1132" s="15" t="str">
        <x:f>IF(ISNUMBER(C1132),C1132^4,"")</x:f>
      </x:c>
      <x:c r="G1132" s="7" t="str">
        <x:f>IF(ISNUMBER(B1132),ABS(B1132),"")</x:f>
      </x:c>
      <x:c r="H1132" s="7" t="str">
        <x:f>IF(ISNUMBER(B1132),B1132^2,"")</x:f>
      </x:c>
      <x:c r="I1132" s="7" t="str">
        <x:f>IF(AND(ISNUMBER(G1132),'요약'!$B$19),G1132-'요약'!$B$14,"")</x:f>
      </x:c>
      <x:c r="J1132" s="7" t="str">
        <x:f>IF(AND(ISNUMBER(H1132),'요약'!$B$19),H1132-'요약'!$B$15,"")</x:f>
      </x:c>
      <x:c r="K1132" t="str">
        <x:f>IF(ISNUMBER(B1132),IF('Hill'!$B$4=1,IF(B1132&lt;0,-B1132,""),IF('Hill'!$B$4=2,IF(B1132&gt;0,B1132,""),IF('Hill'!$B$4=3,IF(B1132&lt;&gt;0,ABS(B1132),""),""))),"")</x:f>
      </x:c>
    </x:row>
    <x:row r="1133">
      <x:c r="A1133" t="n">
        <x:f>1132</x:f>
        <x:v>1132</x:v>
      </x:c>
      <x:c r="B1133" s="7" t="str">
        <x:f>IF('요약'!$B$4=4,IF(ISNUMBER('input'!A1133),'input'!A1133,""),IF(1132&lt;=1000,CHOOSE('요약'!$B$4,'input'!B1133,'input'!C1133,'input'!D1133),""))</x:f>
      </x:c>
      <x:c r="C1133" s="7" t="str">
        <x:f>IF(AND(ISNUMBER(B1133),'요약'!$B$19),B1133-'요약'!$B$7,"")</x:f>
      </x:c>
      <x:c r="D1133" s="7" t="str">
        <x:f>IF(ISNUMBER(C1133),C1133^2,"")</x:f>
      </x:c>
      <x:c r="E1133" s="15" t="str">
        <x:f>IF(ISNUMBER(C1133),C1133^3,"")</x:f>
      </x:c>
      <x:c r="F1133" s="15" t="str">
        <x:f>IF(ISNUMBER(C1133),C1133^4,"")</x:f>
      </x:c>
      <x:c r="G1133" s="7" t="str">
        <x:f>IF(ISNUMBER(B1133),ABS(B1133),"")</x:f>
      </x:c>
      <x:c r="H1133" s="7" t="str">
        <x:f>IF(ISNUMBER(B1133),B1133^2,"")</x:f>
      </x:c>
      <x:c r="I1133" s="7" t="str">
        <x:f>IF(AND(ISNUMBER(G1133),'요약'!$B$19),G1133-'요약'!$B$14,"")</x:f>
      </x:c>
      <x:c r="J1133" s="7" t="str">
        <x:f>IF(AND(ISNUMBER(H1133),'요약'!$B$19),H1133-'요약'!$B$15,"")</x:f>
      </x:c>
      <x:c r="K1133" t="str">
        <x:f>IF(ISNUMBER(B1133),IF('Hill'!$B$4=1,IF(B1133&lt;0,-B1133,""),IF('Hill'!$B$4=2,IF(B1133&gt;0,B1133,""),IF('Hill'!$B$4=3,IF(B1133&lt;&gt;0,ABS(B1133),""),""))),"")</x:f>
      </x:c>
    </x:row>
    <x:row r="1134">
      <x:c r="A1134" t="n">
        <x:f>1133</x:f>
        <x:v>1133</x:v>
      </x:c>
      <x:c r="B1134" s="7" t="str">
        <x:f>IF('요약'!$B$4=4,IF(ISNUMBER('input'!A1134),'input'!A1134,""),IF(1133&lt;=1000,CHOOSE('요약'!$B$4,'input'!B1134,'input'!C1134,'input'!D1134),""))</x:f>
      </x:c>
      <x:c r="C1134" s="7" t="str">
        <x:f>IF(AND(ISNUMBER(B1134),'요약'!$B$19),B1134-'요약'!$B$7,"")</x:f>
      </x:c>
      <x:c r="D1134" s="7" t="str">
        <x:f>IF(ISNUMBER(C1134),C1134^2,"")</x:f>
      </x:c>
      <x:c r="E1134" s="15" t="str">
        <x:f>IF(ISNUMBER(C1134),C1134^3,"")</x:f>
      </x:c>
      <x:c r="F1134" s="15" t="str">
        <x:f>IF(ISNUMBER(C1134),C1134^4,"")</x:f>
      </x:c>
      <x:c r="G1134" s="7" t="str">
        <x:f>IF(ISNUMBER(B1134),ABS(B1134),"")</x:f>
      </x:c>
      <x:c r="H1134" s="7" t="str">
        <x:f>IF(ISNUMBER(B1134),B1134^2,"")</x:f>
      </x:c>
      <x:c r="I1134" s="7" t="str">
        <x:f>IF(AND(ISNUMBER(G1134),'요약'!$B$19),G1134-'요약'!$B$14,"")</x:f>
      </x:c>
      <x:c r="J1134" s="7" t="str">
        <x:f>IF(AND(ISNUMBER(H1134),'요약'!$B$19),H1134-'요약'!$B$15,"")</x:f>
      </x:c>
      <x:c r="K1134" t="str">
        <x:f>IF(ISNUMBER(B1134),IF('Hill'!$B$4=1,IF(B1134&lt;0,-B1134,""),IF('Hill'!$B$4=2,IF(B1134&gt;0,B1134,""),IF('Hill'!$B$4=3,IF(B1134&lt;&gt;0,ABS(B1134),""),""))),"")</x:f>
      </x:c>
    </x:row>
    <x:row r="1135">
      <x:c r="A1135" t="n">
        <x:f>1134</x:f>
        <x:v>1134</x:v>
      </x:c>
      <x:c r="B1135" s="7" t="str">
        <x:f>IF('요약'!$B$4=4,IF(ISNUMBER('input'!A1135),'input'!A1135,""),IF(1134&lt;=1000,CHOOSE('요약'!$B$4,'input'!B1135,'input'!C1135,'input'!D1135),""))</x:f>
      </x:c>
      <x:c r="C1135" s="7" t="str">
        <x:f>IF(AND(ISNUMBER(B1135),'요약'!$B$19),B1135-'요약'!$B$7,"")</x:f>
      </x:c>
      <x:c r="D1135" s="7" t="str">
        <x:f>IF(ISNUMBER(C1135),C1135^2,"")</x:f>
      </x:c>
      <x:c r="E1135" s="15" t="str">
        <x:f>IF(ISNUMBER(C1135),C1135^3,"")</x:f>
      </x:c>
      <x:c r="F1135" s="15" t="str">
        <x:f>IF(ISNUMBER(C1135),C1135^4,"")</x:f>
      </x:c>
      <x:c r="G1135" s="7" t="str">
        <x:f>IF(ISNUMBER(B1135),ABS(B1135),"")</x:f>
      </x:c>
      <x:c r="H1135" s="7" t="str">
        <x:f>IF(ISNUMBER(B1135),B1135^2,"")</x:f>
      </x:c>
      <x:c r="I1135" s="7" t="str">
        <x:f>IF(AND(ISNUMBER(G1135),'요약'!$B$19),G1135-'요약'!$B$14,"")</x:f>
      </x:c>
      <x:c r="J1135" s="7" t="str">
        <x:f>IF(AND(ISNUMBER(H1135),'요약'!$B$19),H1135-'요약'!$B$15,"")</x:f>
      </x:c>
      <x:c r="K1135" t="str">
        <x:f>IF(ISNUMBER(B1135),IF('Hill'!$B$4=1,IF(B1135&lt;0,-B1135,""),IF('Hill'!$B$4=2,IF(B1135&gt;0,B1135,""),IF('Hill'!$B$4=3,IF(B1135&lt;&gt;0,ABS(B1135),""),""))),"")</x:f>
      </x:c>
    </x:row>
    <x:row r="1136">
      <x:c r="A1136" t="n">
        <x:f>1135</x:f>
        <x:v>1135</x:v>
      </x:c>
      <x:c r="B1136" s="7" t="str">
        <x:f>IF('요약'!$B$4=4,IF(ISNUMBER('input'!A1136),'input'!A1136,""),IF(1135&lt;=1000,CHOOSE('요약'!$B$4,'input'!B1136,'input'!C1136,'input'!D1136),""))</x:f>
      </x:c>
      <x:c r="C1136" s="7" t="str">
        <x:f>IF(AND(ISNUMBER(B1136),'요약'!$B$19),B1136-'요약'!$B$7,"")</x:f>
      </x:c>
      <x:c r="D1136" s="7" t="str">
        <x:f>IF(ISNUMBER(C1136),C1136^2,"")</x:f>
      </x:c>
      <x:c r="E1136" s="15" t="str">
        <x:f>IF(ISNUMBER(C1136),C1136^3,"")</x:f>
      </x:c>
      <x:c r="F1136" s="15" t="str">
        <x:f>IF(ISNUMBER(C1136),C1136^4,"")</x:f>
      </x:c>
      <x:c r="G1136" s="7" t="str">
        <x:f>IF(ISNUMBER(B1136),ABS(B1136),"")</x:f>
      </x:c>
      <x:c r="H1136" s="7" t="str">
        <x:f>IF(ISNUMBER(B1136),B1136^2,"")</x:f>
      </x:c>
      <x:c r="I1136" s="7" t="str">
        <x:f>IF(AND(ISNUMBER(G1136),'요약'!$B$19),G1136-'요약'!$B$14,"")</x:f>
      </x:c>
      <x:c r="J1136" s="7" t="str">
        <x:f>IF(AND(ISNUMBER(H1136),'요약'!$B$19),H1136-'요약'!$B$15,"")</x:f>
      </x:c>
      <x:c r="K1136" t="str">
        <x:f>IF(ISNUMBER(B1136),IF('Hill'!$B$4=1,IF(B1136&lt;0,-B1136,""),IF('Hill'!$B$4=2,IF(B1136&gt;0,B1136,""),IF('Hill'!$B$4=3,IF(B1136&lt;&gt;0,ABS(B1136),""),""))),"")</x:f>
      </x:c>
    </x:row>
    <x:row r="1137">
      <x:c r="A1137" t="n">
        <x:f>1136</x:f>
        <x:v>1136</x:v>
      </x:c>
      <x:c r="B1137" s="7" t="str">
        <x:f>IF('요약'!$B$4=4,IF(ISNUMBER('input'!A1137),'input'!A1137,""),IF(1136&lt;=1000,CHOOSE('요약'!$B$4,'input'!B1137,'input'!C1137,'input'!D1137),""))</x:f>
      </x:c>
      <x:c r="C1137" s="7" t="str">
        <x:f>IF(AND(ISNUMBER(B1137),'요약'!$B$19),B1137-'요약'!$B$7,"")</x:f>
      </x:c>
      <x:c r="D1137" s="7" t="str">
        <x:f>IF(ISNUMBER(C1137),C1137^2,"")</x:f>
      </x:c>
      <x:c r="E1137" s="15" t="str">
        <x:f>IF(ISNUMBER(C1137),C1137^3,"")</x:f>
      </x:c>
      <x:c r="F1137" s="15" t="str">
        <x:f>IF(ISNUMBER(C1137),C1137^4,"")</x:f>
      </x:c>
      <x:c r="G1137" s="7" t="str">
        <x:f>IF(ISNUMBER(B1137),ABS(B1137),"")</x:f>
      </x:c>
      <x:c r="H1137" s="7" t="str">
        <x:f>IF(ISNUMBER(B1137),B1137^2,"")</x:f>
      </x:c>
      <x:c r="I1137" s="7" t="str">
        <x:f>IF(AND(ISNUMBER(G1137),'요약'!$B$19),G1137-'요약'!$B$14,"")</x:f>
      </x:c>
      <x:c r="J1137" s="7" t="str">
        <x:f>IF(AND(ISNUMBER(H1137),'요약'!$B$19),H1137-'요약'!$B$15,"")</x:f>
      </x:c>
      <x:c r="K1137" t="str">
        <x:f>IF(ISNUMBER(B1137),IF('Hill'!$B$4=1,IF(B1137&lt;0,-B1137,""),IF('Hill'!$B$4=2,IF(B1137&gt;0,B1137,""),IF('Hill'!$B$4=3,IF(B1137&lt;&gt;0,ABS(B1137),""),""))),"")</x:f>
      </x:c>
    </x:row>
    <x:row r="1138">
      <x:c r="A1138" t="n">
        <x:f>1137</x:f>
        <x:v>1137</x:v>
      </x:c>
      <x:c r="B1138" s="7" t="str">
        <x:f>IF('요약'!$B$4=4,IF(ISNUMBER('input'!A1138),'input'!A1138,""),IF(1137&lt;=1000,CHOOSE('요약'!$B$4,'input'!B1138,'input'!C1138,'input'!D1138),""))</x:f>
      </x:c>
      <x:c r="C1138" s="7" t="str">
        <x:f>IF(AND(ISNUMBER(B1138),'요약'!$B$19),B1138-'요약'!$B$7,"")</x:f>
      </x:c>
      <x:c r="D1138" s="7" t="str">
        <x:f>IF(ISNUMBER(C1138),C1138^2,"")</x:f>
      </x:c>
      <x:c r="E1138" s="15" t="str">
        <x:f>IF(ISNUMBER(C1138),C1138^3,"")</x:f>
      </x:c>
      <x:c r="F1138" s="15" t="str">
        <x:f>IF(ISNUMBER(C1138),C1138^4,"")</x:f>
      </x:c>
      <x:c r="G1138" s="7" t="str">
        <x:f>IF(ISNUMBER(B1138),ABS(B1138),"")</x:f>
      </x:c>
      <x:c r="H1138" s="7" t="str">
        <x:f>IF(ISNUMBER(B1138),B1138^2,"")</x:f>
      </x:c>
      <x:c r="I1138" s="7" t="str">
        <x:f>IF(AND(ISNUMBER(G1138),'요약'!$B$19),G1138-'요약'!$B$14,"")</x:f>
      </x:c>
      <x:c r="J1138" s="7" t="str">
        <x:f>IF(AND(ISNUMBER(H1138),'요약'!$B$19),H1138-'요약'!$B$15,"")</x:f>
      </x:c>
      <x:c r="K1138" t="str">
        <x:f>IF(ISNUMBER(B1138),IF('Hill'!$B$4=1,IF(B1138&lt;0,-B1138,""),IF('Hill'!$B$4=2,IF(B1138&gt;0,B1138,""),IF('Hill'!$B$4=3,IF(B1138&lt;&gt;0,ABS(B1138),""),""))),"")</x:f>
      </x:c>
    </x:row>
    <x:row r="1139">
      <x:c r="A1139" t="n">
        <x:f>1138</x:f>
        <x:v>1138</x:v>
      </x:c>
      <x:c r="B1139" s="7" t="str">
        <x:f>IF('요약'!$B$4=4,IF(ISNUMBER('input'!A1139),'input'!A1139,""),IF(1138&lt;=1000,CHOOSE('요약'!$B$4,'input'!B1139,'input'!C1139,'input'!D1139),""))</x:f>
      </x:c>
      <x:c r="C1139" s="7" t="str">
        <x:f>IF(AND(ISNUMBER(B1139),'요약'!$B$19),B1139-'요약'!$B$7,"")</x:f>
      </x:c>
      <x:c r="D1139" s="7" t="str">
        <x:f>IF(ISNUMBER(C1139),C1139^2,"")</x:f>
      </x:c>
      <x:c r="E1139" s="15" t="str">
        <x:f>IF(ISNUMBER(C1139),C1139^3,"")</x:f>
      </x:c>
      <x:c r="F1139" s="15" t="str">
        <x:f>IF(ISNUMBER(C1139),C1139^4,"")</x:f>
      </x:c>
      <x:c r="G1139" s="7" t="str">
        <x:f>IF(ISNUMBER(B1139),ABS(B1139),"")</x:f>
      </x:c>
      <x:c r="H1139" s="7" t="str">
        <x:f>IF(ISNUMBER(B1139),B1139^2,"")</x:f>
      </x:c>
      <x:c r="I1139" s="7" t="str">
        <x:f>IF(AND(ISNUMBER(G1139),'요약'!$B$19),G1139-'요약'!$B$14,"")</x:f>
      </x:c>
      <x:c r="J1139" s="7" t="str">
        <x:f>IF(AND(ISNUMBER(H1139),'요약'!$B$19),H1139-'요약'!$B$15,"")</x:f>
      </x:c>
      <x:c r="K1139" t="str">
        <x:f>IF(ISNUMBER(B1139),IF('Hill'!$B$4=1,IF(B1139&lt;0,-B1139,""),IF('Hill'!$B$4=2,IF(B1139&gt;0,B1139,""),IF('Hill'!$B$4=3,IF(B1139&lt;&gt;0,ABS(B1139),""),""))),"")</x:f>
      </x:c>
    </x:row>
    <x:row r="1140">
      <x:c r="A1140" t="n">
        <x:f>1139</x:f>
        <x:v>1139</x:v>
      </x:c>
      <x:c r="B1140" s="7" t="str">
        <x:f>IF('요약'!$B$4=4,IF(ISNUMBER('input'!A1140),'input'!A1140,""),IF(1139&lt;=1000,CHOOSE('요약'!$B$4,'input'!B1140,'input'!C1140,'input'!D1140),""))</x:f>
      </x:c>
      <x:c r="C1140" s="7" t="str">
        <x:f>IF(AND(ISNUMBER(B1140),'요약'!$B$19),B1140-'요약'!$B$7,"")</x:f>
      </x:c>
      <x:c r="D1140" s="7" t="str">
        <x:f>IF(ISNUMBER(C1140),C1140^2,"")</x:f>
      </x:c>
      <x:c r="E1140" s="15" t="str">
        <x:f>IF(ISNUMBER(C1140),C1140^3,"")</x:f>
      </x:c>
      <x:c r="F1140" s="15" t="str">
        <x:f>IF(ISNUMBER(C1140),C1140^4,"")</x:f>
      </x:c>
      <x:c r="G1140" s="7" t="str">
        <x:f>IF(ISNUMBER(B1140),ABS(B1140),"")</x:f>
      </x:c>
      <x:c r="H1140" s="7" t="str">
        <x:f>IF(ISNUMBER(B1140),B1140^2,"")</x:f>
      </x:c>
      <x:c r="I1140" s="7" t="str">
        <x:f>IF(AND(ISNUMBER(G1140),'요약'!$B$19),G1140-'요약'!$B$14,"")</x:f>
      </x:c>
      <x:c r="J1140" s="7" t="str">
        <x:f>IF(AND(ISNUMBER(H1140),'요약'!$B$19),H1140-'요약'!$B$15,"")</x:f>
      </x:c>
      <x:c r="K1140" t="str">
        <x:f>IF(ISNUMBER(B1140),IF('Hill'!$B$4=1,IF(B1140&lt;0,-B1140,""),IF('Hill'!$B$4=2,IF(B1140&gt;0,B1140,""),IF('Hill'!$B$4=3,IF(B1140&lt;&gt;0,ABS(B1140),""),""))),"")</x:f>
      </x:c>
    </x:row>
    <x:row r="1141">
      <x:c r="A1141" t="n">
        <x:f>1140</x:f>
        <x:v>1140</x:v>
      </x:c>
      <x:c r="B1141" s="7" t="str">
        <x:f>IF('요약'!$B$4=4,IF(ISNUMBER('input'!A1141),'input'!A1141,""),IF(1140&lt;=1000,CHOOSE('요약'!$B$4,'input'!B1141,'input'!C1141,'input'!D1141),""))</x:f>
      </x:c>
      <x:c r="C1141" s="7" t="str">
        <x:f>IF(AND(ISNUMBER(B1141),'요약'!$B$19),B1141-'요약'!$B$7,"")</x:f>
      </x:c>
      <x:c r="D1141" s="7" t="str">
        <x:f>IF(ISNUMBER(C1141),C1141^2,"")</x:f>
      </x:c>
      <x:c r="E1141" s="15" t="str">
        <x:f>IF(ISNUMBER(C1141),C1141^3,"")</x:f>
      </x:c>
      <x:c r="F1141" s="15" t="str">
        <x:f>IF(ISNUMBER(C1141),C1141^4,"")</x:f>
      </x:c>
      <x:c r="G1141" s="7" t="str">
        <x:f>IF(ISNUMBER(B1141),ABS(B1141),"")</x:f>
      </x:c>
      <x:c r="H1141" s="7" t="str">
        <x:f>IF(ISNUMBER(B1141),B1141^2,"")</x:f>
      </x:c>
      <x:c r="I1141" s="7" t="str">
        <x:f>IF(AND(ISNUMBER(G1141),'요약'!$B$19),G1141-'요약'!$B$14,"")</x:f>
      </x:c>
      <x:c r="J1141" s="7" t="str">
        <x:f>IF(AND(ISNUMBER(H1141),'요약'!$B$19),H1141-'요약'!$B$15,"")</x:f>
      </x:c>
      <x:c r="K1141" t="str">
        <x:f>IF(ISNUMBER(B1141),IF('Hill'!$B$4=1,IF(B1141&lt;0,-B1141,""),IF('Hill'!$B$4=2,IF(B1141&gt;0,B1141,""),IF('Hill'!$B$4=3,IF(B1141&lt;&gt;0,ABS(B1141),""),""))),"")</x:f>
      </x:c>
    </x:row>
    <x:row r="1142">
      <x:c r="A1142" t="n">
        <x:f>1141</x:f>
        <x:v>1141</x:v>
      </x:c>
      <x:c r="B1142" s="7" t="str">
        <x:f>IF('요약'!$B$4=4,IF(ISNUMBER('input'!A1142),'input'!A1142,""),IF(1141&lt;=1000,CHOOSE('요약'!$B$4,'input'!B1142,'input'!C1142,'input'!D1142),""))</x:f>
      </x:c>
      <x:c r="C1142" s="7" t="str">
        <x:f>IF(AND(ISNUMBER(B1142),'요약'!$B$19),B1142-'요약'!$B$7,"")</x:f>
      </x:c>
      <x:c r="D1142" s="7" t="str">
        <x:f>IF(ISNUMBER(C1142),C1142^2,"")</x:f>
      </x:c>
      <x:c r="E1142" s="15" t="str">
        <x:f>IF(ISNUMBER(C1142),C1142^3,"")</x:f>
      </x:c>
      <x:c r="F1142" s="15" t="str">
        <x:f>IF(ISNUMBER(C1142),C1142^4,"")</x:f>
      </x:c>
      <x:c r="G1142" s="7" t="str">
        <x:f>IF(ISNUMBER(B1142),ABS(B1142),"")</x:f>
      </x:c>
      <x:c r="H1142" s="7" t="str">
        <x:f>IF(ISNUMBER(B1142),B1142^2,"")</x:f>
      </x:c>
      <x:c r="I1142" s="7" t="str">
        <x:f>IF(AND(ISNUMBER(G1142),'요약'!$B$19),G1142-'요약'!$B$14,"")</x:f>
      </x:c>
      <x:c r="J1142" s="7" t="str">
        <x:f>IF(AND(ISNUMBER(H1142),'요약'!$B$19),H1142-'요약'!$B$15,"")</x:f>
      </x:c>
      <x:c r="K1142" t="str">
        <x:f>IF(ISNUMBER(B1142),IF('Hill'!$B$4=1,IF(B1142&lt;0,-B1142,""),IF('Hill'!$B$4=2,IF(B1142&gt;0,B1142,""),IF('Hill'!$B$4=3,IF(B1142&lt;&gt;0,ABS(B1142),""),""))),"")</x:f>
      </x:c>
    </x:row>
    <x:row r="1143">
      <x:c r="A1143" t="n">
        <x:f>1142</x:f>
        <x:v>1142</x:v>
      </x:c>
      <x:c r="B1143" s="7" t="str">
        <x:f>IF('요약'!$B$4=4,IF(ISNUMBER('input'!A1143),'input'!A1143,""),IF(1142&lt;=1000,CHOOSE('요약'!$B$4,'input'!B1143,'input'!C1143,'input'!D1143),""))</x:f>
      </x:c>
      <x:c r="C1143" s="7" t="str">
        <x:f>IF(AND(ISNUMBER(B1143),'요약'!$B$19),B1143-'요약'!$B$7,"")</x:f>
      </x:c>
      <x:c r="D1143" s="7" t="str">
        <x:f>IF(ISNUMBER(C1143),C1143^2,"")</x:f>
      </x:c>
      <x:c r="E1143" s="15" t="str">
        <x:f>IF(ISNUMBER(C1143),C1143^3,"")</x:f>
      </x:c>
      <x:c r="F1143" s="15" t="str">
        <x:f>IF(ISNUMBER(C1143),C1143^4,"")</x:f>
      </x:c>
      <x:c r="G1143" s="7" t="str">
        <x:f>IF(ISNUMBER(B1143),ABS(B1143),"")</x:f>
      </x:c>
      <x:c r="H1143" s="7" t="str">
        <x:f>IF(ISNUMBER(B1143),B1143^2,"")</x:f>
      </x:c>
      <x:c r="I1143" s="7" t="str">
        <x:f>IF(AND(ISNUMBER(G1143),'요약'!$B$19),G1143-'요약'!$B$14,"")</x:f>
      </x:c>
      <x:c r="J1143" s="7" t="str">
        <x:f>IF(AND(ISNUMBER(H1143),'요약'!$B$19),H1143-'요약'!$B$15,"")</x:f>
      </x:c>
      <x:c r="K1143" t="str">
        <x:f>IF(ISNUMBER(B1143),IF('Hill'!$B$4=1,IF(B1143&lt;0,-B1143,""),IF('Hill'!$B$4=2,IF(B1143&gt;0,B1143,""),IF('Hill'!$B$4=3,IF(B1143&lt;&gt;0,ABS(B1143),""),""))),"")</x:f>
      </x:c>
    </x:row>
    <x:row r="1144">
      <x:c r="A1144" t="n">
        <x:f>1143</x:f>
        <x:v>1143</x:v>
      </x:c>
      <x:c r="B1144" s="7" t="str">
        <x:f>IF('요약'!$B$4=4,IF(ISNUMBER('input'!A1144),'input'!A1144,""),IF(1143&lt;=1000,CHOOSE('요약'!$B$4,'input'!B1144,'input'!C1144,'input'!D1144),""))</x:f>
      </x:c>
      <x:c r="C1144" s="7" t="str">
        <x:f>IF(AND(ISNUMBER(B1144),'요약'!$B$19),B1144-'요약'!$B$7,"")</x:f>
      </x:c>
      <x:c r="D1144" s="7" t="str">
        <x:f>IF(ISNUMBER(C1144),C1144^2,"")</x:f>
      </x:c>
      <x:c r="E1144" s="15" t="str">
        <x:f>IF(ISNUMBER(C1144),C1144^3,"")</x:f>
      </x:c>
      <x:c r="F1144" s="15" t="str">
        <x:f>IF(ISNUMBER(C1144),C1144^4,"")</x:f>
      </x:c>
      <x:c r="G1144" s="7" t="str">
        <x:f>IF(ISNUMBER(B1144),ABS(B1144),"")</x:f>
      </x:c>
      <x:c r="H1144" s="7" t="str">
        <x:f>IF(ISNUMBER(B1144),B1144^2,"")</x:f>
      </x:c>
      <x:c r="I1144" s="7" t="str">
        <x:f>IF(AND(ISNUMBER(G1144),'요약'!$B$19),G1144-'요약'!$B$14,"")</x:f>
      </x:c>
      <x:c r="J1144" s="7" t="str">
        <x:f>IF(AND(ISNUMBER(H1144),'요약'!$B$19),H1144-'요약'!$B$15,"")</x:f>
      </x:c>
      <x:c r="K1144" t="str">
        <x:f>IF(ISNUMBER(B1144),IF('Hill'!$B$4=1,IF(B1144&lt;0,-B1144,""),IF('Hill'!$B$4=2,IF(B1144&gt;0,B1144,""),IF('Hill'!$B$4=3,IF(B1144&lt;&gt;0,ABS(B1144),""),""))),"")</x:f>
      </x:c>
    </x:row>
    <x:row r="1145">
      <x:c r="A1145" t="n">
        <x:f>1144</x:f>
        <x:v>1144</x:v>
      </x:c>
      <x:c r="B1145" s="7" t="str">
        <x:f>IF('요약'!$B$4=4,IF(ISNUMBER('input'!A1145),'input'!A1145,""),IF(1144&lt;=1000,CHOOSE('요약'!$B$4,'input'!B1145,'input'!C1145,'input'!D1145),""))</x:f>
      </x:c>
      <x:c r="C1145" s="7" t="str">
        <x:f>IF(AND(ISNUMBER(B1145),'요약'!$B$19),B1145-'요약'!$B$7,"")</x:f>
      </x:c>
      <x:c r="D1145" s="7" t="str">
        <x:f>IF(ISNUMBER(C1145),C1145^2,"")</x:f>
      </x:c>
      <x:c r="E1145" s="15" t="str">
        <x:f>IF(ISNUMBER(C1145),C1145^3,"")</x:f>
      </x:c>
      <x:c r="F1145" s="15" t="str">
        <x:f>IF(ISNUMBER(C1145),C1145^4,"")</x:f>
      </x:c>
      <x:c r="G1145" s="7" t="str">
        <x:f>IF(ISNUMBER(B1145),ABS(B1145),"")</x:f>
      </x:c>
      <x:c r="H1145" s="7" t="str">
        <x:f>IF(ISNUMBER(B1145),B1145^2,"")</x:f>
      </x:c>
      <x:c r="I1145" s="7" t="str">
        <x:f>IF(AND(ISNUMBER(G1145),'요약'!$B$19),G1145-'요약'!$B$14,"")</x:f>
      </x:c>
      <x:c r="J1145" s="7" t="str">
        <x:f>IF(AND(ISNUMBER(H1145),'요약'!$B$19),H1145-'요약'!$B$15,"")</x:f>
      </x:c>
      <x:c r="K1145" t="str">
        <x:f>IF(ISNUMBER(B1145),IF('Hill'!$B$4=1,IF(B1145&lt;0,-B1145,""),IF('Hill'!$B$4=2,IF(B1145&gt;0,B1145,""),IF('Hill'!$B$4=3,IF(B1145&lt;&gt;0,ABS(B1145),""),""))),"")</x:f>
      </x:c>
    </x:row>
    <x:row r="1146">
      <x:c r="A1146" t="n">
        <x:f>1145</x:f>
        <x:v>1145</x:v>
      </x:c>
      <x:c r="B1146" s="7" t="str">
        <x:f>IF('요약'!$B$4=4,IF(ISNUMBER('input'!A1146),'input'!A1146,""),IF(1145&lt;=1000,CHOOSE('요약'!$B$4,'input'!B1146,'input'!C1146,'input'!D1146),""))</x:f>
      </x:c>
      <x:c r="C1146" s="7" t="str">
        <x:f>IF(AND(ISNUMBER(B1146),'요약'!$B$19),B1146-'요약'!$B$7,"")</x:f>
      </x:c>
      <x:c r="D1146" s="7" t="str">
        <x:f>IF(ISNUMBER(C1146),C1146^2,"")</x:f>
      </x:c>
      <x:c r="E1146" s="15" t="str">
        <x:f>IF(ISNUMBER(C1146),C1146^3,"")</x:f>
      </x:c>
      <x:c r="F1146" s="15" t="str">
        <x:f>IF(ISNUMBER(C1146),C1146^4,"")</x:f>
      </x:c>
      <x:c r="G1146" s="7" t="str">
        <x:f>IF(ISNUMBER(B1146),ABS(B1146),"")</x:f>
      </x:c>
      <x:c r="H1146" s="7" t="str">
        <x:f>IF(ISNUMBER(B1146),B1146^2,"")</x:f>
      </x:c>
      <x:c r="I1146" s="7" t="str">
        <x:f>IF(AND(ISNUMBER(G1146),'요약'!$B$19),G1146-'요약'!$B$14,"")</x:f>
      </x:c>
      <x:c r="J1146" s="7" t="str">
        <x:f>IF(AND(ISNUMBER(H1146),'요약'!$B$19),H1146-'요약'!$B$15,"")</x:f>
      </x:c>
      <x:c r="K1146" t="str">
        <x:f>IF(ISNUMBER(B1146),IF('Hill'!$B$4=1,IF(B1146&lt;0,-B1146,""),IF('Hill'!$B$4=2,IF(B1146&gt;0,B1146,""),IF('Hill'!$B$4=3,IF(B1146&lt;&gt;0,ABS(B1146),""),""))),"")</x:f>
      </x:c>
    </x:row>
    <x:row r="1147">
      <x:c r="A1147" t="n">
        <x:f>1146</x:f>
        <x:v>1146</x:v>
      </x:c>
      <x:c r="B1147" s="7" t="str">
        <x:f>IF('요약'!$B$4=4,IF(ISNUMBER('input'!A1147),'input'!A1147,""),IF(1146&lt;=1000,CHOOSE('요약'!$B$4,'input'!B1147,'input'!C1147,'input'!D1147),""))</x:f>
      </x:c>
      <x:c r="C1147" s="7" t="str">
        <x:f>IF(AND(ISNUMBER(B1147),'요약'!$B$19),B1147-'요약'!$B$7,"")</x:f>
      </x:c>
      <x:c r="D1147" s="7" t="str">
        <x:f>IF(ISNUMBER(C1147),C1147^2,"")</x:f>
      </x:c>
      <x:c r="E1147" s="15" t="str">
        <x:f>IF(ISNUMBER(C1147),C1147^3,"")</x:f>
      </x:c>
      <x:c r="F1147" s="15" t="str">
        <x:f>IF(ISNUMBER(C1147),C1147^4,"")</x:f>
      </x:c>
      <x:c r="G1147" s="7" t="str">
        <x:f>IF(ISNUMBER(B1147),ABS(B1147),"")</x:f>
      </x:c>
      <x:c r="H1147" s="7" t="str">
        <x:f>IF(ISNUMBER(B1147),B1147^2,"")</x:f>
      </x:c>
      <x:c r="I1147" s="7" t="str">
        <x:f>IF(AND(ISNUMBER(G1147),'요약'!$B$19),G1147-'요약'!$B$14,"")</x:f>
      </x:c>
      <x:c r="J1147" s="7" t="str">
        <x:f>IF(AND(ISNUMBER(H1147),'요약'!$B$19),H1147-'요약'!$B$15,"")</x:f>
      </x:c>
      <x:c r="K1147" t="str">
        <x:f>IF(ISNUMBER(B1147),IF('Hill'!$B$4=1,IF(B1147&lt;0,-B1147,""),IF('Hill'!$B$4=2,IF(B1147&gt;0,B1147,""),IF('Hill'!$B$4=3,IF(B1147&lt;&gt;0,ABS(B1147),""),""))),"")</x:f>
      </x:c>
    </x:row>
    <x:row r="1148">
      <x:c r="A1148" t="n">
        <x:f>1147</x:f>
        <x:v>1147</x:v>
      </x:c>
      <x:c r="B1148" s="7" t="str">
        <x:f>IF('요약'!$B$4=4,IF(ISNUMBER('input'!A1148),'input'!A1148,""),IF(1147&lt;=1000,CHOOSE('요약'!$B$4,'input'!B1148,'input'!C1148,'input'!D1148),""))</x:f>
      </x:c>
      <x:c r="C1148" s="7" t="str">
        <x:f>IF(AND(ISNUMBER(B1148),'요약'!$B$19),B1148-'요약'!$B$7,"")</x:f>
      </x:c>
      <x:c r="D1148" s="7" t="str">
        <x:f>IF(ISNUMBER(C1148),C1148^2,"")</x:f>
      </x:c>
      <x:c r="E1148" s="15" t="str">
        <x:f>IF(ISNUMBER(C1148),C1148^3,"")</x:f>
      </x:c>
      <x:c r="F1148" s="15" t="str">
        <x:f>IF(ISNUMBER(C1148),C1148^4,"")</x:f>
      </x:c>
      <x:c r="G1148" s="7" t="str">
        <x:f>IF(ISNUMBER(B1148),ABS(B1148),"")</x:f>
      </x:c>
      <x:c r="H1148" s="7" t="str">
        <x:f>IF(ISNUMBER(B1148),B1148^2,"")</x:f>
      </x:c>
      <x:c r="I1148" s="7" t="str">
        <x:f>IF(AND(ISNUMBER(G1148),'요약'!$B$19),G1148-'요약'!$B$14,"")</x:f>
      </x:c>
      <x:c r="J1148" s="7" t="str">
        <x:f>IF(AND(ISNUMBER(H1148),'요약'!$B$19),H1148-'요약'!$B$15,"")</x:f>
      </x:c>
      <x:c r="K1148" t="str">
        <x:f>IF(ISNUMBER(B1148),IF('Hill'!$B$4=1,IF(B1148&lt;0,-B1148,""),IF('Hill'!$B$4=2,IF(B1148&gt;0,B1148,""),IF('Hill'!$B$4=3,IF(B1148&lt;&gt;0,ABS(B1148),""),""))),"")</x:f>
      </x:c>
    </x:row>
    <x:row r="1149">
      <x:c r="A1149" t="n">
        <x:f>1148</x:f>
        <x:v>1148</x:v>
      </x:c>
      <x:c r="B1149" s="7" t="str">
        <x:f>IF('요약'!$B$4=4,IF(ISNUMBER('input'!A1149),'input'!A1149,""),IF(1148&lt;=1000,CHOOSE('요약'!$B$4,'input'!B1149,'input'!C1149,'input'!D1149),""))</x:f>
      </x:c>
      <x:c r="C1149" s="7" t="str">
        <x:f>IF(AND(ISNUMBER(B1149),'요약'!$B$19),B1149-'요약'!$B$7,"")</x:f>
      </x:c>
      <x:c r="D1149" s="7" t="str">
        <x:f>IF(ISNUMBER(C1149),C1149^2,"")</x:f>
      </x:c>
      <x:c r="E1149" s="15" t="str">
        <x:f>IF(ISNUMBER(C1149),C1149^3,"")</x:f>
      </x:c>
      <x:c r="F1149" s="15" t="str">
        <x:f>IF(ISNUMBER(C1149),C1149^4,"")</x:f>
      </x:c>
      <x:c r="G1149" s="7" t="str">
        <x:f>IF(ISNUMBER(B1149),ABS(B1149),"")</x:f>
      </x:c>
      <x:c r="H1149" s="7" t="str">
        <x:f>IF(ISNUMBER(B1149),B1149^2,"")</x:f>
      </x:c>
      <x:c r="I1149" s="7" t="str">
        <x:f>IF(AND(ISNUMBER(G1149),'요약'!$B$19),G1149-'요약'!$B$14,"")</x:f>
      </x:c>
      <x:c r="J1149" s="7" t="str">
        <x:f>IF(AND(ISNUMBER(H1149),'요약'!$B$19),H1149-'요약'!$B$15,"")</x:f>
      </x:c>
      <x:c r="K1149" t="str">
        <x:f>IF(ISNUMBER(B1149),IF('Hill'!$B$4=1,IF(B1149&lt;0,-B1149,""),IF('Hill'!$B$4=2,IF(B1149&gt;0,B1149,""),IF('Hill'!$B$4=3,IF(B1149&lt;&gt;0,ABS(B1149),""),""))),"")</x:f>
      </x:c>
    </x:row>
    <x:row r="1150">
      <x:c r="A1150" t="n">
        <x:f>1149</x:f>
        <x:v>1149</x:v>
      </x:c>
      <x:c r="B1150" s="7" t="str">
        <x:f>IF('요약'!$B$4=4,IF(ISNUMBER('input'!A1150),'input'!A1150,""),IF(1149&lt;=1000,CHOOSE('요약'!$B$4,'input'!B1150,'input'!C1150,'input'!D1150),""))</x:f>
      </x:c>
      <x:c r="C1150" s="7" t="str">
        <x:f>IF(AND(ISNUMBER(B1150),'요약'!$B$19),B1150-'요약'!$B$7,"")</x:f>
      </x:c>
      <x:c r="D1150" s="7" t="str">
        <x:f>IF(ISNUMBER(C1150),C1150^2,"")</x:f>
      </x:c>
      <x:c r="E1150" s="15" t="str">
        <x:f>IF(ISNUMBER(C1150),C1150^3,"")</x:f>
      </x:c>
      <x:c r="F1150" s="15" t="str">
        <x:f>IF(ISNUMBER(C1150),C1150^4,"")</x:f>
      </x:c>
      <x:c r="G1150" s="7" t="str">
        <x:f>IF(ISNUMBER(B1150),ABS(B1150),"")</x:f>
      </x:c>
      <x:c r="H1150" s="7" t="str">
        <x:f>IF(ISNUMBER(B1150),B1150^2,"")</x:f>
      </x:c>
      <x:c r="I1150" s="7" t="str">
        <x:f>IF(AND(ISNUMBER(G1150),'요약'!$B$19),G1150-'요약'!$B$14,"")</x:f>
      </x:c>
      <x:c r="J1150" s="7" t="str">
        <x:f>IF(AND(ISNUMBER(H1150),'요약'!$B$19),H1150-'요약'!$B$15,"")</x:f>
      </x:c>
      <x:c r="K1150" t="str">
        <x:f>IF(ISNUMBER(B1150),IF('Hill'!$B$4=1,IF(B1150&lt;0,-B1150,""),IF('Hill'!$B$4=2,IF(B1150&gt;0,B1150,""),IF('Hill'!$B$4=3,IF(B1150&lt;&gt;0,ABS(B1150),""),""))),"")</x:f>
      </x:c>
    </x:row>
    <x:row r="1151">
      <x:c r="A1151" t="n">
        <x:f>1150</x:f>
        <x:v>1150</x:v>
      </x:c>
      <x:c r="B1151" s="7" t="str">
        <x:f>IF('요약'!$B$4=4,IF(ISNUMBER('input'!A1151),'input'!A1151,""),IF(1150&lt;=1000,CHOOSE('요약'!$B$4,'input'!B1151,'input'!C1151,'input'!D1151),""))</x:f>
      </x:c>
      <x:c r="C1151" s="7" t="str">
        <x:f>IF(AND(ISNUMBER(B1151),'요약'!$B$19),B1151-'요약'!$B$7,"")</x:f>
      </x:c>
      <x:c r="D1151" s="7" t="str">
        <x:f>IF(ISNUMBER(C1151),C1151^2,"")</x:f>
      </x:c>
      <x:c r="E1151" s="15" t="str">
        <x:f>IF(ISNUMBER(C1151),C1151^3,"")</x:f>
      </x:c>
      <x:c r="F1151" s="15" t="str">
        <x:f>IF(ISNUMBER(C1151),C1151^4,"")</x:f>
      </x:c>
      <x:c r="G1151" s="7" t="str">
        <x:f>IF(ISNUMBER(B1151),ABS(B1151),"")</x:f>
      </x:c>
      <x:c r="H1151" s="7" t="str">
        <x:f>IF(ISNUMBER(B1151),B1151^2,"")</x:f>
      </x:c>
      <x:c r="I1151" s="7" t="str">
        <x:f>IF(AND(ISNUMBER(G1151),'요약'!$B$19),G1151-'요약'!$B$14,"")</x:f>
      </x:c>
      <x:c r="J1151" s="7" t="str">
        <x:f>IF(AND(ISNUMBER(H1151),'요약'!$B$19),H1151-'요약'!$B$15,"")</x:f>
      </x:c>
      <x:c r="K1151" t="str">
        <x:f>IF(ISNUMBER(B1151),IF('Hill'!$B$4=1,IF(B1151&lt;0,-B1151,""),IF('Hill'!$B$4=2,IF(B1151&gt;0,B1151,""),IF('Hill'!$B$4=3,IF(B1151&lt;&gt;0,ABS(B1151),""),""))),"")</x:f>
      </x:c>
    </x:row>
    <x:row r="1152">
      <x:c r="A1152" t="n">
        <x:f>1151</x:f>
        <x:v>1151</x:v>
      </x:c>
      <x:c r="B1152" s="7" t="str">
        <x:f>IF('요약'!$B$4=4,IF(ISNUMBER('input'!A1152),'input'!A1152,""),IF(1151&lt;=1000,CHOOSE('요약'!$B$4,'input'!B1152,'input'!C1152,'input'!D1152),""))</x:f>
      </x:c>
      <x:c r="C1152" s="7" t="str">
        <x:f>IF(AND(ISNUMBER(B1152),'요약'!$B$19),B1152-'요약'!$B$7,"")</x:f>
      </x:c>
      <x:c r="D1152" s="7" t="str">
        <x:f>IF(ISNUMBER(C1152),C1152^2,"")</x:f>
      </x:c>
      <x:c r="E1152" s="15" t="str">
        <x:f>IF(ISNUMBER(C1152),C1152^3,"")</x:f>
      </x:c>
      <x:c r="F1152" s="15" t="str">
        <x:f>IF(ISNUMBER(C1152),C1152^4,"")</x:f>
      </x:c>
      <x:c r="G1152" s="7" t="str">
        <x:f>IF(ISNUMBER(B1152),ABS(B1152),"")</x:f>
      </x:c>
      <x:c r="H1152" s="7" t="str">
        <x:f>IF(ISNUMBER(B1152),B1152^2,"")</x:f>
      </x:c>
      <x:c r="I1152" s="7" t="str">
        <x:f>IF(AND(ISNUMBER(G1152),'요약'!$B$19),G1152-'요약'!$B$14,"")</x:f>
      </x:c>
      <x:c r="J1152" s="7" t="str">
        <x:f>IF(AND(ISNUMBER(H1152),'요약'!$B$19),H1152-'요약'!$B$15,"")</x:f>
      </x:c>
      <x:c r="K1152" t="str">
        <x:f>IF(ISNUMBER(B1152),IF('Hill'!$B$4=1,IF(B1152&lt;0,-B1152,""),IF('Hill'!$B$4=2,IF(B1152&gt;0,B1152,""),IF('Hill'!$B$4=3,IF(B1152&lt;&gt;0,ABS(B1152),""),""))),"")</x:f>
      </x:c>
    </x:row>
    <x:row r="1153">
      <x:c r="A1153" t="n">
        <x:f>1152</x:f>
        <x:v>1152</x:v>
      </x:c>
      <x:c r="B1153" s="7" t="str">
        <x:f>IF('요약'!$B$4=4,IF(ISNUMBER('input'!A1153),'input'!A1153,""),IF(1152&lt;=1000,CHOOSE('요약'!$B$4,'input'!B1153,'input'!C1153,'input'!D1153),""))</x:f>
      </x:c>
      <x:c r="C1153" s="7" t="str">
        <x:f>IF(AND(ISNUMBER(B1153),'요약'!$B$19),B1153-'요약'!$B$7,"")</x:f>
      </x:c>
      <x:c r="D1153" s="7" t="str">
        <x:f>IF(ISNUMBER(C1153),C1153^2,"")</x:f>
      </x:c>
      <x:c r="E1153" s="15" t="str">
        <x:f>IF(ISNUMBER(C1153),C1153^3,"")</x:f>
      </x:c>
      <x:c r="F1153" s="15" t="str">
        <x:f>IF(ISNUMBER(C1153),C1153^4,"")</x:f>
      </x:c>
      <x:c r="G1153" s="7" t="str">
        <x:f>IF(ISNUMBER(B1153),ABS(B1153),"")</x:f>
      </x:c>
      <x:c r="H1153" s="7" t="str">
        <x:f>IF(ISNUMBER(B1153),B1153^2,"")</x:f>
      </x:c>
      <x:c r="I1153" s="7" t="str">
        <x:f>IF(AND(ISNUMBER(G1153),'요약'!$B$19),G1153-'요약'!$B$14,"")</x:f>
      </x:c>
      <x:c r="J1153" s="7" t="str">
        <x:f>IF(AND(ISNUMBER(H1153),'요약'!$B$19),H1153-'요약'!$B$15,"")</x:f>
      </x:c>
      <x:c r="K1153" t="str">
        <x:f>IF(ISNUMBER(B1153),IF('Hill'!$B$4=1,IF(B1153&lt;0,-B1153,""),IF('Hill'!$B$4=2,IF(B1153&gt;0,B1153,""),IF('Hill'!$B$4=3,IF(B1153&lt;&gt;0,ABS(B1153),""),""))),"")</x:f>
      </x:c>
    </x:row>
    <x:row r="1154">
      <x:c r="A1154" t="n">
        <x:f>1153</x:f>
        <x:v>1153</x:v>
      </x:c>
      <x:c r="B1154" s="7" t="str">
        <x:f>IF('요약'!$B$4=4,IF(ISNUMBER('input'!A1154),'input'!A1154,""),IF(1153&lt;=1000,CHOOSE('요약'!$B$4,'input'!B1154,'input'!C1154,'input'!D1154),""))</x:f>
      </x:c>
      <x:c r="C1154" s="7" t="str">
        <x:f>IF(AND(ISNUMBER(B1154),'요약'!$B$19),B1154-'요약'!$B$7,"")</x:f>
      </x:c>
      <x:c r="D1154" s="7" t="str">
        <x:f>IF(ISNUMBER(C1154),C1154^2,"")</x:f>
      </x:c>
      <x:c r="E1154" s="15" t="str">
        <x:f>IF(ISNUMBER(C1154),C1154^3,"")</x:f>
      </x:c>
      <x:c r="F1154" s="15" t="str">
        <x:f>IF(ISNUMBER(C1154),C1154^4,"")</x:f>
      </x:c>
      <x:c r="G1154" s="7" t="str">
        <x:f>IF(ISNUMBER(B1154),ABS(B1154),"")</x:f>
      </x:c>
      <x:c r="H1154" s="7" t="str">
        <x:f>IF(ISNUMBER(B1154),B1154^2,"")</x:f>
      </x:c>
      <x:c r="I1154" s="7" t="str">
        <x:f>IF(AND(ISNUMBER(G1154),'요약'!$B$19),G1154-'요약'!$B$14,"")</x:f>
      </x:c>
      <x:c r="J1154" s="7" t="str">
        <x:f>IF(AND(ISNUMBER(H1154),'요약'!$B$19),H1154-'요약'!$B$15,"")</x:f>
      </x:c>
      <x:c r="K1154" t="str">
        <x:f>IF(ISNUMBER(B1154),IF('Hill'!$B$4=1,IF(B1154&lt;0,-B1154,""),IF('Hill'!$B$4=2,IF(B1154&gt;0,B1154,""),IF('Hill'!$B$4=3,IF(B1154&lt;&gt;0,ABS(B1154),""),""))),"")</x:f>
      </x:c>
    </x:row>
    <x:row r="1155">
      <x:c r="A1155" t="n">
        <x:f>1154</x:f>
        <x:v>1154</x:v>
      </x:c>
      <x:c r="B1155" s="7" t="str">
        <x:f>IF('요약'!$B$4=4,IF(ISNUMBER('input'!A1155),'input'!A1155,""),IF(1154&lt;=1000,CHOOSE('요약'!$B$4,'input'!B1155,'input'!C1155,'input'!D1155),""))</x:f>
      </x:c>
      <x:c r="C1155" s="7" t="str">
        <x:f>IF(AND(ISNUMBER(B1155),'요약'!$B$19),B1155-'요약'!$B$7,"")</x:f>
      </x:c>
      <x:c r="D1155" s="7" t="str">
        <x:f>IF(ISNUMBER(C1155),C1155^2,"")</x:f>
      </x:c>
      <x:c r="E1155" s="15" t="str">
        <x:f>IF(ISNUMBER(C1155),C1155^3,"")</x:f>
      </x:c>
      <x:c r="F1155" s="15" t="str">
        <x:f>IF(ISNUMBER(C1155),C1155^4,"")</x:f>
      </x:c>
      <x:c r="G1155" s="7" t="str">
        <x:f>IF(ISNUMBER(B1155),ABS(B1155),"")</x:f>
      </x:c>
      <x:c r="H1155" s="7" t="str">
        <x:f>IF(ISNUMBER(B1155),B1155^2,"")</x:f>
      </x:c>
      <x:c r="I1155" s="7" t="str">
        <x:f>IF(AND(ISNUMBER(G1155),'요약'!$B$19),G1155-'요약'!$B$14,"")</x:f>
      </x:c>
      <x:c r="J1155" s="7" t="str">
        <x:f>IF(AND(ISNUMBER(H1155),'요약'!$B$19),H1155-'요약'!$B$15,"")</x:f>
      </x:c>
      <x:c r="K1155" t="str">
        <x:f>IF(ISNUMBER(B1155),IF('Hill'!$B$4=1,IF(B1155&lt;0,-B1155,""),IF('Hill'!$B$4=2,IF(B1155&gt;0,B1155,""),IF('Hill'!$B$4=3,IF(B1155&lt;&gt;0,ABS(B1155),""),""))),"")</x:f>
      </x:c>
    </x:row>
    <x:row r="1156">
      <x:c r="A1156" t="n">
        <x:f>1155</x:f>
        <x:v>1155</x:v>
      </x:c>
      <x:c r="B1156" s="7" t="str">
        <x:f>IF('요약'!$B$4=4,IF(ISNUMBER('input'!A1156),'input'!A1156,""),IF(1155&lt;=1000,CHOOSE('요약'!$B$4,'input'!B1156,'input'!C1156,'input'!D1156),""))</x:f>
      </x:c>
      <x:c r="C1156" s="7" t="str">
        <x:f>IF(AND(ISNUMBER(B1156),'요약'!$B$19),B1156-'요약'!$B$7,"")</x:f>
      </x:c>
      <x:c r="D1156" s="7" t="str">
        <x:f>IF(ISNUMBER(C1156),C1156^2,"")</x:f>
      </x:c>
      <x:c r="E1156" s="15" t="str">
        <x:f>IF(ISNUMBER(C1156),C1156^3,"")</x:f>
      </x:c>
      <x:c r="F1156" s="15" t="str">
        <x:f>IF(ISNUMBER(C1156),C1156^4,"")</x:f>
      </x:c>
      <x:c r="G1156" s="7" t="str">
        <x:f>IF(ISNUMBER(B1156),ABS(B1156),"")</x:f>
      </x:c>
      <x:c r="H1156" s="7" t="str">
        <x:f>IF(ISNUMBER(B1156),B1156^2,"")</x:f>
      </x:c>
      <x:c r="I1156" s="7" t="str">
        <x:f>IF(AND(ISNUMBER(G1156),'요약'!$B$19),G1156-'요약'!$B$14,"")</x:f>
      </x:c>
      <x:c r="J1156" s="7" t="str">
        <x:f>IF(AND(ISNUMBER(H1156),'요약'!$B$19),H1156-'요약'!$B$15,"")</x:f>
      </x:c>
      <x:c r="K1156" t="str">
        <x:f>IF(ISNUMBER(B1156),IF('Hill'!$B$4=1,IF(B1156&lt;0,-B1156,""),IF('Hill'!$B$4=2,IF(B1156&gt;0,B1156,""),IF('Hill'!$B$4=3,IF(B1156&lt;&gt;0,ABS(B1156),""),""))),"")</x:f>
      </x:c>
    </x:row>
    <x:row r="1157">
      <x:c r="A1157" t="n">
        <x:f>1156</x:f>
        <x:v>1156</x:v>
      </x:c>
      <x:c r="B1157" s="7" t="str">
        <x:f>IF('요약'!$B$4=4,IF(ISNUMBER('input'!A1157),'input'!A1157,""),IF(1156&lt;=1000,CHOOSE('요약'!$B$4,'input'!B1157,'input'!C1157,'input'!D1157),""))</x:f>
      </x:c>
      <x:c r="C1157" s="7" t="str">
        <x:f>IF(AND(ISNUMBER(B1157),'요약'!$B$19),B1157-'요약'!$B$7,"")</x:f>
      </x:c>
      <x:c r="D1157" s="7" t="str">
        <x:f>IF(ISNUMBER(C1157),C1157^2,"")</x:f>
      </x:c>
      <x:c r="E1157" s="15" t="str">
        <x:f>IF(ISNUMBER(C1157),C1157^3,"")</x:f>
      </x:c>
      <x:c r="F1157" s="15" t="str">
        <x:f>IF(ISNUMBER(C1157),C1157^4,"")</x:f>
      </x:c>
      <x:c r="G1157" s="7" t="str">
        <x:f>IF(ISNUMBER(B1157),ABS(B1157),"")</x:f>
      </x:c>
      <x:c r="H1157" s="7" t="str">
        <x:f>IF(ISNUMBER(B1157),B1157^2,"")</x:f>
      </x:c>
      <x:c r="I1157" s="7" t="str">
        <x:f>IF(AND(ISNUMBER(G1157),'요약'!$B$19),G1157-'요약'!$B$14,"")</x:f>
      </x:c>
      <x:c r="J1157" s="7" t="str">
        <x:f>IF(AND(ISNUMBER(H1157),'요약'!$B$19),H1157-'요약'!$B$15,"")</x:f>
      </x:c>
      <x:c r="K1157" t="str">
        <x:f>IF(ISNUMBER(B1157),IF('Hill'!$B$4=1,IF(B1157&lt;0,-B1157,""),IF('Hill'!$B$4=2,IF(B1157&gt;0,B1157,""),IF('Hill'!$B$4=3,IF(B1157&lt;&gt;0,ABS(B1157),""),""))),"")</x:f>
      </x:c>
    </x:row>
    <x:row r="1158">
      <x:c r="A1158" t="n">
        <x:f>1157</x:f>
        <x:v>1157</x:v>
      </x:c>
      <x:c r="B1158" s="7" t="str">
        <x:f>IF('요약'!$B$4=4,IF(ISNUMBER('input'!A1158),'input'!A1158,""),IF(1157&lt;=1000,CHOOSE('요약'!$B$4,'input'!B1158,'input'!C1158,'input'!D1158),""))</x:f>
      </x:c>
      <x:c r="C1158" s="7" t="str">
        <x:f>IF(AND(ISNUMBER(B1158),'요약'!$B$19),B1158-'요약'!$B$7,"")</x:f>
      </x:c>
      <x:c r="D1158" s="7" t="str">
        <x:f>IF(ISNUMBER(C1158),C1158^2,"")</x:f>
      </x:c>
      <x:c r="E1158" s="15" t="str">
        <x:f>IF(ISNUMBER(C1158),C1158^3,"")</x:f>
      </x:c>
      <x:c r="F1158" s="15" t="str">
        <x:f>IF(ISNUMBER(C1158),C1158^4,"")</x:f>
      </x:c>
      <x:c r="G1158" s="7" t="str">
        <x:f>IF(ISNUMBER(B1158),ABS(B1158),"")</x:f>
      </x:c>
      <x:c r="H1158" s="7" t="str">
        <x:f>IF(ISNUMBER(B1158),B1158^2,"")</x:f>
      </x:c>
      <x:c r="I1158" s="7" t="str">
        <x:f>IF(AND(ISNUMBER(G1158),'요약'!$B$19),G1158-'요약'!$B$14,"")</x:f>
      </x:c>
      <x:c r="J1158" s="7" t="str">
        <x:f>IF(AND(ISNUMBER(H1158),'요약'!$B$19),H1158-'요약'!$B$15,"")</x:f>
      </x:c>
      <x:c r="K1158" t="str">
        <x:f>IF(ISNUMBER(B1158),IF('Hill'!$B$4=1,IF(B1158&lt;0,-B1158,""),IF('Hill'!$B$4=2,IF(B1158&gt;0,B1158,""),IF('Hill'!$B$4=3,IF(B1158&lt;&gt;0,ABS(B1158),""),""))),"")</x:f>
      </x:c>
    </x:row>
    <x:row r="1159">
      <x:c r="A1159" t="n">
        <x:f>1158</x:f>
        <x:v>1158</x:v>
      </x:c>
      <x:c r="B1159" s="7" t="str">
        <x:f>IF('요약'!$B$4=4,IF(ISNUMBER('input'!A1159),'input'!A1159,""),IF(1158&lt;=1000,CHOOSE('요약'!$B$4,'input'!B1159,'input'!C1159,'input'!D1159),""))</x:f>
      </x:c>
      <x:c r="C1159" s="7" t="str">
        <x:f>IF(AND(ISNUMBER(B1159),'요약'!$B$19),B1159-'요약'!$B$7,"")</x:f>
      </x:c>
      <x:c r="D1159" s="7" t="str">
        <x:f>IF(ISNUMBER(C1159),C1159^2,"")</x:f>
      </x:c>
      <x:c r="E1159" s="15" t="str">
        <x:f>IF(ISNUMBER(C1159),C1159^3,"")</x:f>
      </x:c>
      <x:c r="F1159" s="15" t="str">
        <x:f>IF(ISNUMBER(C1159),C1159^4,"")</x:f>
      </x:c>
      <x:c r="G1159" s="7" t="str">
        <x:f>IF(ISNUMBER(B1159),ABS(B1159),"")</x:f>
      </x:c>
      <x:c r="H1159" s="7" t="str">
        <x:f>IF(ISNUMBER(B1159),B1159^2,"")</x:f>
      </x:c>
      <x:c r="I1159" s="7" t="str">
        <x:f>IF(AND(ISNUMBER(G1159),'요약'!$B$19),G1159-'요약'!$B$14,"")</x:f>
      </x:c>
      <x:c r="J1159" s="7" t="str">
        <x:f>IF(AND(ISNUMBER(H1159),'요약'!$B$19),H1159-'요약'!$B$15,"")</x:f>
      </x:c>
      <x:c r="K1159" t="str">
        <x:f>IF(ISNUMBER(B1159),IF('Hill'!$B$4=1,IF(B1159&lt;0,-B1159,""),IF('Hill'!$B$4=2,IF(B1159&gt;0,B1159,""),IF('Hill'!$B$4=3,IF(B1159&lt;&gt;0,ABS(B1159),""),""))),"")</x:f>
      </x:c>
    </x:row>
    <x:row r="1160">
      <x:c r="A1160" t="n">
        <x:f>1159</x:f>
        <x:v>1159</x:v>
      </x:c>
      <x:c r="B1160" s="7" t="str">
        <x:f>IF('요약'!$B$4=4,IF(ISNUMBER('input'!A1160),'input'!A1160,""),IF(1159&lt;=1000,CHOOSE('요약'!$B$4,'input'!B1160,'input'!C1160,'input'!D1160),""))</x:f>
      </x:c>
      <x:c r="C1160" s="7" t="str">
        <x:f>IF(AND(ISNUMBER(B1160),'요약'!$B$19),B1160-'요약'!$B$7,"")</x:f>
      </x:c>
      <x:c r="D1160" s="7" t="str">
        <x:f>IF(ISNUMBER(C1160),C1160^2,"")</x:f>
      </x:c>
      <x:c r="E1160" s="15" t="str">
        <x:f>IF(ISNUMBER(C1160),C1160^3,"")</x:f>
      </x:c>
      <x:c r="F1160" s="15" t="str">
        <x:f>IF(ISNUMBER(C1160),C1160^4,"")</x:f>
      </x:c>
      <x:c r="G1160" s="7" t="str">
        <x:f>IF(ISNUMBER(B1160),ABS(B1160),"")</x:f>
      </x:c>
      <x:c r="H1160" s="7" t="str">
        <x:f>IF(ISNUMBER(B1160),B1160^2,"")</x:f>
      </x:c>
      <x:c r="I1160" s="7" t="str">
        <x:f>IF(AND(ISNUMBER(G1160),'요약'!$B$19),G1160-'요약'!$B$14,"")</x:f>
      </x:c>
      <x:c r="J1160" s="7" t="str">
        <x:f>IF(AND(ISNUMBER(H1160),'요약'!$B$19),H1160-'요약'!$B$15,"")</x:f>
      </x:c>
      <x:c r="K1160" t="str">
        <x:f>IF(ISNUMBER(B1160),IF('Hill'!$B$4=1,IF(B1160&lt;0,-B1160,""),IF('Hill'!$B$4=2,IF(B1160&gt;0,B1160,""),IF('Hill'!$B$4=3,IF(B1160&lt;&gt;0,ABS(B1160),""),""))),"")</x:f>
      </x:c>
    </x:row>
    <x:row r="1161">
      <x:c r="A1161" t="n">
        <x:f>1160</x:f>
        <x:v>1160</x:v>
      </x:c>
      <x:c r="B1161" s="7" t="str">
        <x:f>IF('요약'!$B$4=4,IF(ISNUMBER('input'!A1161),'input'!A1161,""),IF(1160&lt;=1000,CHOOSE('요약'!$B$4,'input'!B1161,'input'!C1161,'input'!D1161),""))</x:f>
      </x:c>
      <x:c r="C1161" s="7" t="str">
        <x:f>IF(AND(ISNUMBER(B1161),'요약'!$B$19),B1161-'요약'!$B$7,"")</x:f>
      </x:c>
      <x:c r="D1161" s="7" t="str">
        <x:f>IF(ISNUMBER(C1161),C1161^2,"")</x:f>
      </x:c>
      <x:c r="E1161" s="15" t="str">
        <x:f>IF(ISNUMBER(C1161),C1161^3,"")</x:f>
      </x:c>
      <x:c r="F1161" s="15" t="str">
        <x:f>IF(ISNUMBER(C1161),C1161^4,"")</x:f>
      </x:c>
      <x:c r="G1161" s="7" t="str">
        <x:f>IF(ISNUMBER(B1161),ABS(B1161),"")</x:f>
      </x:c>
      <x:c r="H1161" s="7" t="str">
        <x:f>IF(ISNUMBER(B1161),B1161^2,"")</x:f>
      </x:c>
      <x:c r="I1161" s="7" t="str">
        <x:f>IF(AND(ISNUMBER(G1161),'요약'!$B$19),G1161-'요약'!$B$14,"")</x:f>
      </x:c>
      <x:c r="J1161" s="7" t="str">
        <x:f>IF(AND(ISNUMBER(H1161),'요약'!$B$19),H1161-'요약'!$B$15,"")</x:f>
      </x:c>
      <x:c r="K1161" t="str">
        <x:f>IF(ISNUMBER(B1161),IF('Hill'!$B$4=1,IF(B1161&lt;0,-B1161,""),IF('Hill'!$B$4=2,IF(B1161&gt;0,B1161,""),IF('Hill'!$B$4=3,IF(B1161&lt;&gt;0,ABS(B1161),""),""))),"")</x:f>
      </x:c>
    </x:row>
    <x:row r="1162">
      <x:c r="A1162" t="n">
        <x:f>1161</x:f>
        <x:v>1161</x:v>
      </x:c>
      <x:c r="B1162" s="7" t="str">
        <x:f>IF('요약'!$B$4=4,IF(ISNUMBER('input'!A1162),'input'!A1162,""),IF(1161&lt;=1000,CHOOSE('요약'!$B$4,'input'!B1162,'input'!C1162,'input'!D1162),""))</x:f>
      </x:c>
      <x:c r="C1162" s="7" t="str">
        <x:f>IF(AND(ISNUMBER(B1162),'요약'!$B$19),B1162-'요약'!$B$7,"")</x:f>
      </x:c>
      <x:c r="D1162" s="7" t="str">
        <x:f>IF(ISNUMBER(C1162),C1162^2,"")</x:f>
      </x:c>
      <x:c r="E1162" s="15" t="str">
        <x:f>IF(ISNUMBER(C1162),C1162^3,"")</x:f>
      </x:c>
      <x:c r="F1162" s="15" t="str">
        <x:f>IF(ISNUMBER(C1162),C1162^4,"")</x:f>
      </x:c>
      <x:c r="G1162" s="7" t="str">
        <x:f>IF(ISNUMBER(B1162),ABS(B1162),"")</x:f>
      </x:c>
      <x:c r="H1162" s="7" t="str">
        <x:f>IF(ISNUMBER(B1162),B1162^2,"")</x:f>
      </x:c>
      <x:c r="I1162" s="7" t="str">
        <x:f>IF(AND(ISNUMBER(G1162),'요약'!$B$19),G1162-'요약'!$B$14,"")</x:f>
      </x:c>
      <x:c r="J1162" s="7" t="str">
        <x:f>IF(AND(ISNUMBER(H1162),'요약'!$B$19),H1162-'요약'!$B$15,"")</x:f>
      </x:c>
      <x:c r="K1162" t="str">
        <x:f>IF(ISNUMBER(B1162),IF('Hill'!$B$4=1,IF(B1162&lt;0,-B1162,""),IF('Hill'!$B$4=2,IF(B1162&gt;0,B1162,""),IF('Hill'!$B$4=3,IF(B1162&lt;&gt;0,ABS(B1162),""),""))),"")</x:f>
      </x:c>
    </x:row>
    <x:row r="1163">
      <x:c r="A1163" t="n">
        <x:f>1162</x:f>
        <x:v>1162</x:v>
      </x:c>
      <x:c r="B1163" s="7" t="str">
        <x:f>IF('요약'!$B$4=4,IF(ISNUMBER('input'!A1163),'input'!A1163,""),IF(1162&lt;=1000,CHOOSE('요약'!$B$4,'input'!B1163,'input'!C1163,'input'!D1163),""))</x:f>
      </x:c>
      <x:c r="C1163" s="7" t="str">
        <x:f>IF(AND(ISNUMBER(B1163),'요약'!$B$19),B1163-'요약'!$B$7,"")</x:f>
      </x:c>
      <x:c r="D1163" s="7" t="str">
        <x:f>IF(ISNUMBER(C1163),C1163^2,"")</x:f>
      </x:c>
      <x:c r="E1163" s="15" t="str">
        <x:f>IF(ISNUMBER(C1163),C1163^3,"")</x:f>
      </x:c>
      <x:c r="F1163" s="15" t="str">
        <x:f>IF(ISNUMBER(C1163),C1163^4,"")</x:f>
      </x:c>
      <x:c r="G1163" s="7" t="str">
        <x:f>IF(ISNUMBER(B1163),ABS(B1163),"")</x:f>
      </x:c>
      <x:c r="H1163" s="7" t="str">
        <x:f>IF(ISNUMBER(B1163),B1163^2,"")</x:f>
      </x:c>
      <x:c r="I1163" s="7" t="str">
        <x:f>IF(AND(ISNUMBER(G1163),'요약'!$B$19),G1163-'요약'!$B$14,"")</x:f>
      </x:c>
      <x:c r="J1163" s="7" t="str">
        <x:f>IF(AND(ISNUMBER(H1163),'요약'!$B$19),H1163-'요약'!$B$15,"")</x:f>
      </x:c>
      <x:c r="K1163" t="str">
        <x:f>IF(ISNUMBER(B1163),IF('Hill'!$B$4=1,IF(B1163&lt;0,-B1163,""),IF('Hill'!$B$4=2,IF(B1163&gt;0,B1163,""),IF('Hill'!$B$4=3,IF(B1163&lt;&gt;0,ABS(B1163),""),""))),"")</x:f>
      </x:c>
    </x:row>
    <x:row r="1164">
      <x:c r="A1164" t="n">
        <x:f>1163</x:f>
        <x:v>1163</x:v>
      </x:c>
      <x:c r="B1164" s="7" t="str">
        <x:f>IF('요약'!$B$4=4,IF(ISNUMBER('input'!A1164),'input'!A1164,""),IF(1163&lt;=1000,CHOOSE('요약'!$B$4,'input'!B1164,'input'!C1164,'input'!D1164),""))</x:f>
      </x:c>
      <x:c r="C1164" s="7" t="str">
        <x:f>IF(AND(ISNUMBER(B1164),'요약'!$B$19),B1164-'요약'!$B$7,"")</x:f>
      </x:c>
      <x:c r="D1164" s="7" t="str">
        <x:f>IF(ISNUMBER(C1164),C1164^2,"")</x:f>
      </x:c>
      <x:c r="E1164" s="15" t="str">
        <x:f>IF(ISNUMBER(C1164),C1164^3,"")</x:f>
      </x:c>
      <x:c r="F1164" s="15" t="str">
        <x:f>IF(ISNUMBER(C1164),C1164^4,"")</x:f>
      </x:c>
      <x:c r="G1164" s="7" t="str">
        <x:f>IF(ISNUMBER(B1164),ABS(B1164),"")</x:f>
      </x:c>
      <x:c r="H1164" s="7" t="str">
        <x:f>IF(ISNUMBER(B1164),B1164^2,"")</x:f>
      </x:c>
      <x:c r="I1164" s="7" t="str">
        <x:f>IF(AND(ISNUMBER(G1164),'요약'!$B$19),G1164-'요약'!$B$14,"")</x:f>
      </x:c>
      <x:c r="J1164" s="7" t="str">
        <x:f>IF(AND(ISNUMBER(H1164),'요약'!$B$19),H1164-'요약'!$B$15,"")</x:f>
      </x:c>
      <x:c r="K1164" t="str">
        <x:f>IF(ISNUMBER(B1164),IF('Hill'!$B$4=1,IF(B1164&lt;0,-B1164,""),IF('Hill'!$B$4=2,IF(B1164&gt;0,B1164,""),IF('Hill'!$B$4=3,IF(B1164&lt;&gt;0,ABS(B1164),""),""))),"")</x:f>
      </x:c>
    </x:row>
    <x:row r="1165">
      <x:c r="A1165" t="n">
        <x:f>1164</x:f>
        <x:v>1164</x:v>
      </x:c>
      <x:c r="B1165" s="7" t="str">
        <x:f>IF('요약'!$B$4=4,IF(ISNUMBER('input'!A1165),'input'!A1165,""),IF(1164&lt;=1000,CHOOSE('요약'!$B$4,'input'!B1165,'input'!C1165,'input'!D1165),""))</x:f>
      </x:c>
      <x:c r="C1165" s="7" t="str">
        <x:f>IF(AND(ISNUMBER(B1165),'요약'!$B$19),B1165-'요약'!$B$7,"")</x:f>
      </x:c>
      <x:c r="D1165" s="7" t="str">
        <x:f>IF(ISNUMBER(C1165),C1165^2,"")</x:f>
      </x:c>
      <x:c r="E1165" s="15" t="str">
        <x:f>IF(ISNUMBER(C1165),C1165^3,"")</x:f>
      </x:c>
      <x:c r="F1165" s="15" t="str">
        <x:f>IF(ISNUMBER(C1165),C1165^4,"")</x:f>
      </x:c>
      <x:c r="G1165" s="7" t="str">
        <x:f>IF(ISNUMBER(B1165),ABS(B1165),"")</x:f>
      </x:c>
      <x:c r="H1165" s="7" t="str">
        <x:f>IF(ISNUMBER(B1165),B1165^2,"")</x:f>
      </x:c>
      <x:c r="I1165" s="7" t="str">
        <x:f>IF(AND(ISNUMBER(G1165),'요약'!$B$19),G1165-'요약'!$B$14,"")</x:f>
      </x:c>
      <x:c r="J1165" s="7" t="str">
        <x:f>IF(AND(ISNUMBER(H1165),'요약'!$B$19),H1165-'요약'!$B$15,"")</x:f>
      </x:c>
      <x:c r="K1165" t="str">
        <x:f>IF(ISNUMBER(B1165),IF('Hill'!$B$4=1,IF(B1165&lt;0,-B1165,""),IF('Hill'!$B$4=2,IF(B1165&gt;0,B1165,""),IF('Hill'!$B$4=3,IF(B1165&lt;&gt;0,ABS(B1165),""),""))),"")</x:f>
      </x:c>
    </x:row>
    <x:row r="1166">
      <x:c r="A1166" t="n">
        <x:f>1165</x:f>
        <x:v>1165</x:v>
      </x:c>
      <x:c r="B1166" s="7" t="str">
        <x:f>IF('요약'!$B$4=4,IF(ISNUMBER('input'!A1166),'input'!A1166,""),IF(1165&lt;=1000,CHOOSE('요약'!$B$4,'input'!B1166,'input'!C1166,'input'!D1166),""))</x:f>
      </x:c>
      <x:c r="C1166" s="7" t="str">
        <x:f>IF(AND(ISNUMBER(B1166),'요약'!$B$19),B1166-'요약'!$B$7,"")</x:f>
      </x:c>
      <x:c r="D1166" s="7" t="str">
        <x:f>IF(ISNUMBER(C1166),C1166^2,"")</x:f>
      </x:c>
      <x:c r="E1166" s="15" t="str">
        <x:f>IF(ISNUMBER(C1166),C1166^3,"")</x:f>
      </x:c>
      <x:c r="F1166" s="15" t="str">
        <x:f>IF(ISNUMBER(C1166),C1166^4,"")</x:f>
      </x:c>
      <x:c r="G1166" s="7" t="str">
        <x:f>IF(ISNUMBER(B1166),ABS(B1166),"")</x:f>
      </x:c>
      <x:c r="H1166" s="7" t="str">
        <x:f>IF(ISNUMBER(B1166),B1166^2,"")</x:f>
      </x:c>
      <x:c r="I1166" s="7" t="str">
        <x:f>IF(AND(ISNUMBER(G1166),'요약'!$B$19),G1166-'요약'!$B$14,"")</x:f>
      </x:c>
      <x:c r="J1166" s="7" t="str">
        <x:f>IF(AND(ISNUMBER(H1166),'요약'!$B$19),H1166-'요약'!$B$15,"")</x:f>
      </x:c>
      <x:c r="K1166" t="str">
        <x:f>IF(ISNUMBER(B1166),IF('Hill'!$B$4=1,IF(B1166&lt;0,-B1166,""),IF('Hill'!$B$4=2,IF(B1166&gt;0,B1166,""),IF('Hill'!$B$4=3,IF(B1166&lt;&gt;0,ABS(B1166),""),""))),"")</x:f>
      </x:c>
    </x:row>
    <x:row r="1167">
      <x:c r="A1167" t="n">
        <x:f>1166</x:f>
        <x:v>1166</x:v>
      </x:c>
      <x:c r="B1167" s="7" t="str">
        <x:f>IF('요약'!$B$4=4,IF(ISNUMBER('input'!A1167),'input'!A1167,""),IF(1166&lt;=1000,CHOOSE('요약'!$B$4,'input'!B1167,'input'!C1167,'input'!D1167),""))</x:f>
      </x:c>
      <x:c r="C1167" s="7" t="str">
        <x:f>IF(AND(ISNUMBER(B1167),'요약'!$B$19),B1167-'요약'!$B$7,"")</x:f>
      </x:c>
      <x:c r="D1167" s="7" t="str">
        <x:f>IF(ISNUMBER(C1167),C1167^2,"")</x:f>
      </x:c>
      <x:c r="E1167" s="15" t="str">
        <x:f>IF(ISNUMBER(C1167),C1167^3,"")</x:f>
      </x:c>
      <x:c r="F1167" s="15" t="str">
        <x:f>IF(ISNUMBER(C1167),C1167^4,"")</x:f>
      </x:c>
      <x:c r="G1167" s="7" t="str">
        <x:f>IF(ISNUMBER(B1167),ABS(B1167),"")</x:f>
      </x:c>
      <x:c r="H1167" s="7" t="str">
        <x:f>IF(ISNUMBER(B1167),B1167^2,"")</x:f>
      </x:c>
      <x:c r="I1167" s="7" t="str">
        <x:f>IF(AND(ISNUMBER(G1167),'요약'!$B$19),G1167-'요약'!$B$14,"")</x:f>
      </x:c>
      <x:c r="J1167" s="7" t="str">
        <x:f>IF(AND(ISNUMBER(H1167),'요약'!$B$19),H1167-'요약'!$B$15,"")</x:f>
      </x:c>
      <x:c r="K1167" t="str">
        <x:f>IF(ISNUMBER(B1167),IF('Hill'!$B$4=1,IF(B1167&lt;0,-B1167,""),IF('Hill'!$B$4=2,IF(B1167&gt;0,B1167,""),IF('Hill'!$B$4=3,IF(B1167&lt;&gt;0,ABS(B1167),""),""))),"")</x:f>
      </x:c>
    </x:row>
    <x:row r="1168">
      <x:c r="A1168" t="n">
        <x:f>1167</x:f>
        <x:v>1167</x:v>
      </x:c>
      <x:c r="B1168" s="7" t="str">
        <x:f>IF('요약'!$B$4=4,IF(ISNUMBER('input'!A1168),'input'!A1168,""),IF(1167&lt;=1000,CHOOSE('요약'!$B$4,'input'!B1168,'input'!C1168,'input'!D1168),""))</x:f>
      </x:c>
      <x:c r="C1168" s="7" t="str">
        <x:f>IF(AND(ISNUMBER(B1168),'요약'!$B$19),B1168-'요약'!$B$7,"")</x:f>
      </x:c>
      <x:c r="D1168" s="7" t="str">
        <x:f>IF(ISNUMBER(C1168),C1168^2,"")</x:f>
      </x:c>
      <x:c r="E1168" s="15" t="str">
        <x:f>IF(ISNUMBER(C1168),C1168^3,"")</x:f>
      </x:c>
      <x:c r="F1168" s="15" t="str">
        <x:f>IF(ISNUMBER(C1168),C1168^4,"")</x:f>
      </x:c>
      <x:c r="G1168" s="7" t="str">
        <x:f>IF(ISNUMBER(B1168),ABS(B1168),"")</x:f>
      </x:c>
      <x:c r="H1168" s="7" t="str">
        <x:f>IF(ISNUMBER(B1168),B1168^2,"")</x:f>
      </x:c>
      <x:c r="I1168" s="7" t="str">
        <x:f>IF(AND(ISNUMBER(G1168),'요약'!$B$19),G1168-'요약'!$B$14,"")</x:f>
      </x:c>
      <x:c r="J1168" s="7" t="str">
        <x:f>IF(AND(ISNUMBER(H1168),'요약'!$B$19),H1168-'요약'!$B$15,"")</x:f>
      </x:c>
      <x:c r="K1168" t="str">
        <x:f>IF(ISNUMBER(B1168),IF('Hill'!$B$4=1,IF(B1168&lt;0,-B1168,""),IF('Hill'!$B$4=2,IF(B1168&gt;0,B1168,""),IF('Hill'!$B$4=3,IF(B1168&lt;&gt;0,ABS(B1168),""),""))),"")</x:f>
      </x:c>
    </x:row>
    <x:row r="1169">
      <x:c r="A1169" t="n">
        <x:f>1168</x:f>
        <x:v>1168</x:v>
      </x:c>
      <x:c r="B1169" s="7" t="str">
        <x:f>IF('요약'!$B$4=4,IF(ISNUMBER('input'!A1169),'input'!A1169,""),IF(1168&lt;=1000,CHOOSE('요약'!$B$4,'input'!B1169,'input'!C1169,'input'!D1169),""))</x:f>
      </x:c>
      <x:c r="C1169" s="7" t="str">
        <x:f>IF(AND(ISNUMBER(B1169),'요약'!$B$19),B1169-'요약'!$B$7,"")</x:f>
      </x:c>
      <x:c r="D1169" s="7" t="str">
        <x:f>IF(ISNUMBER(C1169),C1169^2,"")</x:f>
      </x:c>
      <x:c r="E1169" s="15" t="str">
        <x:f>IF(ISNUMBER(C1169),C1169^3,"")</x:f>
      </x:c>
      <x:c r="F1169" s="15" t="str">
        <x:f>IF(ISNUMBER(C1169),C1169^4,"")</x:f>
      </x:c>
      <x:c r="G1169" s="7" t="str">
        <x:f>IF(ISNUMBER(B1169),ABS(B1169),"")</x:f>
      </x:c>
      <x:c r="H1169" s="7" t="str">
        <x:f>IF(ISNUMBER(B1169),B1169^2,"")</x:f>
      </x:c>
      <x:c r="I1169" s="7" t="str">
        <x:f>IF(AND(ISNUMBER(G1169),'요약'!$B$19),G1169-'요약'!$B$14,"")</x:f>
      </x:c>
      <x:c r="J1169" s="7" t="str">
        <x:f>IF(AND(ISNUMBER(H1169),'요약'!$B$19),H1169-'요약'!$B$15,"")</x:f>
      </x:c>
      <x:c r="K1169" t="str">
        <x:f>IF(ISNUMBER(B1169),IF('Hill'!$B$4=1,IF(B1169&lt;0,-B1169,""),IF('Hill'!$B$4=2,IF(B1169&gt;0,B1169,""),IF('Hill'!$B$4=3,IF(B1169&lt;&gt;0,ABS(B1169),""),""))),"")</x:f>
      </x:c>
    </x:row>
    <x:row r="1170">
      <x:c r="A1170" t="n">
        <x:f>1169</x:f>
        <x:v>1169</x:v>
      </x:c>
      <x:c r="B1170" s="7" t="str">
        <x:f>IF('요약'!$B$4=4,IF(ISNUMBER('input'!A1170),'input'!A1170,""),IF(1169&lt;=1000,CHOOSE('요약'!$B$4,'input'!B1170,'input'!C1170,'input'!D1170),""))</x:f>
      </x:c>
      <x:c r="C1170" s="7" t="str">
        <x:f>IF(AND(ISNUMBER(B1170),'요약'!$B$19),B1170-'요약'!$B$7,"")</x:f>
      </x:c>
      <x:c r="D1170" s="7" t="str">
        <x:f>IF(ISNUMBER(C1170),C1170^2,"")</x:f>
      </x:c>
      <x:c r="E1170" s="15" t="str">
        <x:f>IF(ISNUMBER(C1170),C1170^3,"")</x:f>
      </x:c>
      <x:c r="F1170" s="15" t="str">
        <x:f>IF(ISNUMBER(C1170),C1170^4,"")</x:f>
      </x:c>
      <x:c r="G1170" s="7" t="str">
        <x:f>IF(ISNUMBER(B1170),ABS(B1170),"")</x:f>
      </x:c>
      <x:c r="H1170" s="7" t="str">
        <x:f>IF(ISNUMBER(B1170),B1170^2,"")</x:f>
      </x:c>
      <x:c r="I1170" s="7" t="str">
        <x:f>IF(AND(ISNUMBER(G1170),'요약'!$B$19),G1170-'요약'!$B$14,"")</x:f>
      </x:c>
      <x:c r="J1170" s="7" t="str">
        <x:f>IF(AND(ISNUMBER(H1170),'요약'!$B$19),H1170-'요약'!$B$15,"")</x:f>
      </x:c>
      <x:c r="K1170" t="str">
        <x:f>IF(ISNUMBER(B1170),IF('Hill'!$B$4=1,IF(B1170&lt;0,-B1170,""),IF('Hill'!$B$4=2,IF(B1170&gt;0,B1170,""),IF('Hill'!$B$4=3,IF(B1170&lt;&gt;0,ABS(B1170),""),""))),"")</x:f>
      </x:c>
    </x:row>
    <x:row r="1171">
      <x:c r="A1171" t="n">
        <x:f>1170</x:f>
        <x:v>1170</x:v>
      </x:c>
      <x:c r="B1171" s="7" t="str">
        <x:f>IF('요약'!$B$4=4,IF(ISNUMBER('input'!A1171),'input'!A1171,""),IF(1170&lt;=1000,CHOOSE('요약'!$B$4,'input'!B1171,'input'!C1171,'input'!D1171),""))</x:f>
      </x:c>
      <x:c r="C1171" s="7" t="str">
        <x:f>IF(AND(ISNUMBER(B1171),'요약'!$B$19),B1171-'요약'!$B$7,"")</x:f>
      </x:c>
      <x:c r="D1171" s="7" t="str">
        <x:f>IF(ISNUMBER(C1171),C1171^2,"")</x:f>
      </x:c>
      <x:c r="E1171" s="15" t="str">
        <x:f>IF(ISNUMBER(C1171),C1171^3,"")</x:f>
      </x:c>
      <x:c r="F1171" s="15" t="str">
        <x:f>IF(ISNUMBER(C1171),C1171^4,"")</x:f>
      </x:c>
      <x:c r="G1171" s="7" t="str">
        <x:f>IF(ISNUMBER(B1171),ABS(B1171),"")</x:f>
      </x:c>
      <x:c r="H1171" s="7" t="str">
        <x:f>IF(ISNUMBER(B1171),B1171^2,"")</x:f>
      </x:c>
      <x:c r="I1171" s="7" t="str">
        <x:f>IF(AND(ISNUMBER(G1171),'요약'!$B$19),G1171-'요약'!$B$14,"")</x:f>
      </x:c>
      <x:c r="J1171" s="7" t="str">
        <x:f>IF(AND(ISNUMBER(H1171),'요약'!$B$19),H1171-'요약'!$B$15,"")</x:f>
      </x:c>
      <x:c r="K1171" t="str">
        <x:f>IF(ISNUMBER(B1171),IF('Hill'!$B$4=1,IF(B1171&lt;0,-B1171,""),IF('Hill'!$B$4=2,IF(B1171&gt;0,B1171,""),IF('Hill'!$B$4=3,IF(B1171&lt;&gt;0,ABS(B1171),""),""))),"")</x:f>
      </x:c>
    </x:row>
    <x:row r="1172">
      <x:c r="A1172" t="n">
        <x:f>1171</x:f>
        <x:v>1171</x:v>
      </x:c>
      <x:c r="B1172" s="7" t="str">
        <x:f>IF('요약'!$B$4=4,IF(ISNUMBER('input'!A1172),'input'!A1172,""),IF(1171&lt;=1000,CHOOSE('요약'!$B$4,'input'!B1172,'input'!C1172,'input'!D1172),""))</x:f>
      </x:c>
      <x:c r="C1172" s="7" t="str">
        <x:f>IF(AND(ISNUMBER(B1172),'요약'!$B$19),B1172-'요약'!$B$7,"")</x:f>
      </x:c>
      <x:c r="D1172" s="7" t="str">
        <x:f>IF(ISNUMBER(C1172),C1172^2,"")</x:f>
      </x:c>
      <x:c r="E1172" s="15" t="str">
        <x:f>IF(ISNUMBER(C1172),C1172^3,"")</x:f>
      </x:c>
      <x:c r="F1172" s="15" t="str">
        <x:f>IF(ISNUMBER(C1172),C1172^4,"")</x:f>
      </x:c>
      <x:c r="G1172" s="7" t="str">
        <x:f>IF(ISNUMBER(B1172),ABS(B1172),"")</x:f>
      </x:c>
      <x:c r="H1172" s="7" t="str">
        <x:f>IF(ISNUMBER(B1172),B1172^2,"")</x:f>
      </x:c>
      <x:c r="I1172" s="7" t="str">
        <x:f>IF(AND(ISNUMBER(G1172),'요약'!$B$19),G1172-'요약'!$B$14,"")</x:f>
      </x:c>
      <x:c r="J1172" s="7" t="str">
        <x:f>IF(AND(ISNUMBER(H1172),'요약'!$B$19),H1172-'요약'!$B$15,"")</x:f>
      </x:c>
      <x:c r="K1172" t="str">
        <x:f>IF(ISNUMBER(B1172),IF('Hill'!$B$4=1,IF(B1172&lt;0,-B1172,""),IF('Hill'!$B$4=2,IF(B1172&gt;0,B1172,""),IF('Hill'!$B$4=3,IF(B1172&lt;&gt;0,ABS(B1172),""),""))),"")</x:f>
      </x:c>
    </x:row>
    <x:row r="1173">
      <x:c r="A1173" t="n">
        <x:f>1172</x:f>
        <x:v>1172</x:v>
      </x:c>
      <x:c r="B1173" s="7" t="str">
        <x:f>IF('요약'!$B$4=4,IF(ISNUMBER('input'!A1173),'input'!A1173,""),IF(1172&lt;=1000,CHOOSE('요약'!$B$4,'input'!B1173,'input'!C1173,'input'!D1173),""))</x:f>
      </x:c>
      <x:c r="C1173" s="7" t="str">
        <x:f>IF(AND(ISNUMBER(B1173),'요약'!$B$19),B1173-'요약'!$B$7,"")</x:f>
      </x:c>
      <x:c r="D1173" s="7" t="str">
        <x:f>IF(ISNUMBER(C1173),C1173^2,"")</x:f>
      </x:c>
      <x:c r="E1173" s="15" t="str">
        <x:f>IF(ISNUMBER(C1173),C1173^3,"")</x:f>
      </x:c>
      <x:c r="F1173" s="15" t="str">
        <x:f>IF(ISNUMBER(C1173),C1173^4,"")</x:f>
      </x:c>
      <x:c r="G1173" s="7" t="str">
        <x:f>IF(ISNUMBER(B1173),ABS(B1173),"")</x:f>
      </x:c>
      <x:c r="H1173" s="7" t="str">
        <x:f>IF(ISNUMBER(B1173),B1173^2,"")</x:f>
      </x:c>
      <x:c r="I1173" s="7" t="str">
        <x:f>IF(AND(ISNUMBER(G1173),'요약'!$B$19),G1173-'요약'!$B$14,"")</x:f>
      </x:c>
      <x:c r="J1173" s="7" t="str">
        <x:f>IF(AND(ISNUMBER(H1173),'요약'!$B$19),H1173-'요약'!$B$15,"")</x:f>
      </x:c>
      <x:c r="K1173" t="str">
        <x:f>IF(ISNUMBER(B1173),IF('Hill'!$B$4=1,IF(B1173&lt;0,-B1173,""),IF('Hill'!$B$4=2,IF(B1173&gt;0,B1173,""),IF('Hill'!$B$4=3,IF(B1173&lt;&gt;0,ABS(B1173),""),""))),"")</x:f>
      </x:c>
    </x:row>
    <x:row r="1174">
      <x:c r="A1174" t="n">
        <x:f>1173</x:f>
        <x:v>1173</x:v>
      </x:c>
      <x:c r="B1174" s="7" t="str">
        <x:f>IF('요약'!$B$4=4,IF(ISNUMBER('input'!A1174),'input'!A1174,""),IF(1173&lt;=1000,CHOOSE('요약'!$B$4,'input'!B1174,'input'!C1174,'input'!D1174),""))</x:f>
      </x:c>
      <x:c r="C1174" s="7" t="str">
        <x:f>IF(AND(ISNUMBER(B1174),'요약'!$B$19),B1174-'요약'!$B$7,"")</x:f>
      </x:c>
      <x:c r="D1174" s="7" t="str">
        <x:f>IF(ISNUMBER(C1174),C1174^2,"")</x:f>
      </x:c>
      <x:c r="E1174" s="15" t="str">
        <x:f>IF(ISNUMBER(C1174),C1174^3,"")</x:f>
      </x:c>
      <x:c r="F1174" s="15" t="str">
        <x:f>IF(ISNUMBER(C1174),C1174^4,"")</x:f>
      </x:c>
      <x:c r="G1174" s="7" t="str">
        <x:f>IF(ISNUMBER(B1174),ABS(B1174),"")</x:f>
      </x:c>
      <x:c r="H1174" s="7" t="str">
        <x:f>IF(ISNUMBER(B1174),B1174^2,"")</x:f>
      </x:c>
      <x:c r="I1174" s="7" t="str">
        <x:f>IF(AND(ISNUMBER(G1174),'요약'!$B$19),G1174-'요약'!$B$14,"")</x:f>
      </x:c>
      <x:c r="J1174" s="7" t="str">
        <x:f>IF(AND(ISNUMBER(H1174),'요약'!$B$19),H1174-'요약'!$B$15,"")</x:f>
      </x:c>
      <x:c r="K1174" t="str">
        <x:f>IF(ISNUMBER(B1174),IF('Hill'!$B$4=1,IF(B1174&lt;0,-B1174,""),IF('Hill'!$B$4=2,IF(B1174&gt;0,B1174,""),IF('Hill'!$B$4=3,IF(B1174&lt;&gt;0,ABS(B1174),""),""))),"")</x:f>
      </x:c>
    </x:row>
    <x:row r="1175">
      <x:c r="A1175" t="n">
        <x:f>1174</x:f>
        <x:v>1174</x:v>
      </x:c>
      <x:c r="B1175" s="7" t="str">
        <x:f>IF('요약'!$B$4=4,IF(ISNUMBER('input'!A1175),'input'!A1175,""),IF(1174&lt;=1000,CHOOSE('요약'!$B$4,'input'!B1175,'input'!C1175,'input'!D1175),""))</x:f>
      </x:c>
      <x:c r="C1175" s="7" t="str">
        <x:f>IF(AND(ISNUMBER(B1175),'요약'!$B$19),B1175-'요약'!$B$7,"")</x:f>
      </x:c>
      <x:c r="D1175" s="7" t="str">
        <x:f>IF(ISNUMBER(C1175),C1175^2,"")</x:f>
      </x:c>
      <x:c r="E1175" s="15" t="str">
        <x:f>IF(ISNUMBER(C1175),C1175^3,"")</x:f>
      </x:c>
      <x:c r="F1175" s="15" t="str">
        <x:f>IF(ISNUMBER(C1175),C1175^4,"")</x:f>
      </x:c>
      <x:c r="G1175" s="7" t="str">
        <x:f>IF(ISNUMBER(B1175),ABS(B1175),"")</x:f>
      </x:c>
      <x:c r="H1175" s="7" t="str">
        <x:f>IF(ISNUMBER(B1175),B1175^2,"")</x:f>
      </x:c>
      <x:c r="I1175" s="7" t="str">
        <x:f>IF(AND(ISNUMBER(G1175),'요약'!$B$19),G1175-'요약'!$B$14,"")</x:f>
      </x:c>
      <x:c r="J1175" s="7" t="str">
        <x:f>IF(AND(ISNUMBER(H1175),'요약'!$B$19),H1175-'요약'!$B$15,"")</x:f>
      </x:c>
      <x:c r="K1175" t="str">
        <x:f>IF(ISNUMBER(B1175),IF('Hill'!$B$4=1,IF(B1175&lt;0,-B1175,""),IF('Hill'!$B$4=2,IF(B1175&gt;0,B1175,""),IF('Hill'!$B$4=3,IF(B1175&lt;&gt;0,ABS(B1175),""),""))),"")</x:f>
      </x:c>
    </x:row>
    <x:row r="1176">
      <x:c r="A1176" t="n">
        <x:f>1175</x:f>
        <x:v>1175</x:v>
      </x:c>
      <x:c r="B1176" s="7" t="str">
        <x:f>IF('요약'!$B$4=4,IF(ISNUMBER('input'!A1176),'input'!A1176,""),IF(1175&lt;=1000,CHOOSE('요약'!$B$4,'input'!B1176,'input'!C1176,'input'!D1176),""))</x:f>
      </x:c>
      <x:c r="C1176" s="7" t="str">
        <x:f>IF(AND(ISNUMBER(B1176),'요약'!$B$19),B1176-'요약'!$B$7,"")</x:f>
      </x:c>
      <x:c r="D1176" s="7" t="str">
        <x:f>IF(ISNUMBER(C1176),C1176^2,"")</x:f>
      </x:c>
      <x:c r="E1176" s="15" t="str">
        <x:f>IF(ISNUMBER(C1176),C1176^3,"")</x:f>
      </x:c>
      <x:c r="F1176" s="15" t="str">
        <x:f>IF(ISNUMBER(C1176),C1176^4,"")</x:f>
      </x:c>
      <x:c r="G1176" s="7" t="str">
        <x:f>IF(ISNUMBER(B1176),ABS(B1176),"")</x:f>
      </x:c>
      <x:c r="H1176" s="7" t="str">
        <x:f>IF(ISNUMBER(B1176),B1176^2,"")</x:f>
      </x:c>
      <x:c r="I1176" s="7" t="str">
        <x:f>IF(AND(ISNUMBER(G1176),'요약'!$B$19),G1176-'요약'!$B$14,"")</x:f>
      </x:c>
      <x:c r="J1176" s="7" t="str">
        <x:f>IF(AND(ISNUMBER(H1176),'요약'!$B$19),H1176-'요약'!$B$15,"")</x:f>
      </x:c>
      <x:c r="K1176" t="str">
        <x:f>IF(ISNUMBER(B1176),IF('Hill'!$B$4=1,IF(B1176&lt;0,-B1176,""),IF('Hill'!$B$4=2,IF(B1176&gt;0,B1176,""),IF('Hill'!$B$4=3,IF(B1176&lt;&gt;0,ABS(B1176),""),""))),"")</x:f>
      </x:c>
    </x:row>
    <x:row r="1177">
      <x:c r="A1177" t="n">
        <x:f>1176</x:f>
        <x:v>1176</x:v>
      </x:c>
      <x:c r="B1177" s="7" t="str">
        <x:f>IF('요약'!$B$4=4,IF(ISNUMBER('input'!A1177),'input'!A1177,""),IF(1176&lt;=1000,CHOOSE('요약'!$B$4,'input'!B1177,'input'!C1177,'input'!D1177),""))</x:f>
      </x:c>
      <x:c r="C1177" s="7" t="str">
        <x:f>IF(AND(ISNUMBER(B1177),'요약'!$B$19),B1177-'요약'!$B$7,"")</x:f>
      </x:c>
      <x:c r="D1177" s="7" t="str">
        <x:f>IF(ISNUMBER(C1177),C1177^2,"")</x:f>
      </x:c>
      <x:c r="E1177" s="15" t="str">
        <x:f>IF(ISNUMBER(C1177),C1177^3,"")</x:f>
      </x:c>
      <x:c r="F1177" s="15" t="str">
        <x:f>IF(ISNUMBER(C1177),C1177^4,"")</x:f>
      </x:c>
      <x:c r="G1177" s="7" t="str">
        <x:f>IF(ISNUMBER(B1177),ABS(B1177),"")</x:f>
      </x:c>
      <x:c r="H1177" s="7" t="str">
        <x:f>IF(ISNUMBER(B1177),B1177^2,"")</x:f>
      </x:c>
      <x:c r="I1177" s="7" t="str">
        <x:f>IF(AND(ISNUMBER(G1177),'요약'!$B$19),G1177-'요약'!$B$14,"")</x:f>
      </x:c>
      <x:c r="J1177" s="7" t="str">
        <x:f>IF(AND(ISNUMBER(H1177),'요약'!$B$19),H1177-'요약'!$B$15,"")</x:f>
      </x:c>
      <x:c r="K1177" t="str">
        <x:f>IF(ISNUMBER(B1177),IF('Hill'!$B$4=1,IF(B1177&lt;0,-B1177,""),IF('Hill'!$B$4=2,IF(B1177&gt;0,B1177,""),IF('Hill'!$B$4=3,IF(B1177&lt;&gt;0,ABS(B1177),""),""))),"")</x:f>
      </x:c>
    </x:row>
    <x:row r="1178">
      <x:c r="A1178" t="n">
        <x:f>1177</x:f>
        <x:v>1177</x:v>
      </x:c>
      <x:c r="B1178" s="7" t="str">
        <x:f>IF('요약'!$B$4=4,IF(ISNUMBER('input'!A1178),'input'!A1178,""),IF(1177&lt;=1000,CHOOSE('요약'!$B$4,'input'!B1178,'input'!C1178,'input'!D1178),""))</x:f>
      </x:c>
      <x:c r="C1178" s="7" t="str">
        <x:f>IF(AND(ISNUMBER(B1178),'요약'!$B$19),B1178-'요약'!$B$7,"")</x:f>
      </x:c>
      <x:c r="D1178" s="7" t="str">
        <x:f>IF(ISNUMBER(C1178),C1178^2,"")</x:f>
      </x:c>
      <x:c r="E1178" s="15" t="str">
        <x:f>IF(ISNUMBER(C1178),C1178^3,"")</x:f>
      </x:c>
      <x:c r="F1178" s="15" t="str">
        <x:f>IF(ISNUMBER(C1178),C1178^4,"")</x:f>
      </x:c>
      <x:c r="G1178" s="7" t="str">
        <x:f>IF(ISNUMBER(B1178),ABS(B1178),"")</x:f>
      </x:c>
      <x:c r="H1178" s="7" t="str">
        <x:f>IF(ISNUMBER(B1178),B1178^2,"")</x:f>
      </x:c>
      <x:c r="I1178" s="7" t="str">
        <x:f>IF(AND(ISNUMBER(G1178),'요약'!$B$19),G1178-'요약'!$B$14,"")</x:f>
      </x:c>
      <x:c r="J1178" s="7" t="str">
        <x:f>IF(AND(ISNUMBER(H1178),'요약'!$B$19),H1178-'요약'!$B$15,"")</x:f>
      </x:c>
      <x:c r="K1178" t="str">
        <x:f>IF(ISNUMBER(B1178),IF('Hill'!$B$4=1,IF(B1178&lt;0,-B1178,""),IF('Hill'!$B$4=2,IF(B1178&gt;0,B1178,""),IF('Hill'!$B$4=3,IF(B1178&lt;&gt;0,ABS(B1178),""),""))),"")</x:f>
      </x:c>
    </x:row>
    <x:row r="1179">
      <x:c r="A1179" t="n">
        <x:f>1178</x:f>
        <x:v>1178</x:v>
      </x:c>
      <x:c r="B1179" s="7" t="str">
        <x:f>IF('요약'!$B$4=4,IF(ISNUMBER('input'!A1179),'input'!A1179,""),IF(1178&lt;=1000,CHOOSE('요약'!$B$4,'input'!B1179,'input'!C1179,'input'!D1179),""))</x:f>
      </x:c>
      <x:c r="C1179" s="7" t="str">
        <x:f>IF(AND(ISNUMBER(B1179),'요약'!$B$19),B1179-'요약'!$B$7,"")</x:f>
      </x:c>
      <x:c r="D1179" s="7" t="str">
        <x:f>IF(ISNUMBER(C1179),C1179^2,"")</x:f>
      </x:c>
      <x:c r="E1179" s="15" t="str">
        <x:f>IF(ISNUMBER(C1179),C1179^3,"")</x:f>
      </x:c>
      <x:c r="F1179" s="15" t="str">
        <x:f>IF(ISNUMBER(C1179),C1179^4,"")</x:f>
      </x:c>
      <x:c r="G1179" s="7" t="str">
        <x:f>IF(ISNUMBER(B1179),ABS(B1179),"")</x:f>
      </x:c>
      <x:c r="H1179" s="7" t="str">
        <x:f>IF(ISNUMBER(B1179),B1179^2,"")</x:f>
      </x:c>
      <x:c r="I1179" s="7" t="str">
        <x:f>IF(AND(ISNUMBER(G1179),'요약'!$B$19),G1179-'요약'!$B$14,"")</x:f>
      </x:c>
      <x:c r="J1179" s="7" t="str">
        <x:f>IF(AND(ISNUMBER(H1179),'요약'!$B$19),H1179-'요약'!$B$15,"")</x:f>
      </x:c>
      <x:c r="K1179" t="str">
        <x:f>IF(ISNUMBER(B1179),IF('Hill'!$B$4=1,IF(B1179&lt;0,-B1179,""),IF('Hill'!$B$4=2,IF(B1179&gt;0,B1179,""),IF('Hill'!$B$4=3,IF(B1179&lt;&gt;0,ABS(B1179),""),""))),"")</x:f>
      </x:c>
    </x:row>
    <x:row r="1180">
      <x:c r="A1180" t="n">
        <x:f>1179</x:f>
        <x:v>1179</x:v>
      </x:c>
      <x:c r="B1180" s="7" t="str">
        <x:f>IF('요약'!$B$4=4,IF(ISNUMBER('input'!A1180),'input'!A1180,""),IF(1179&lt;=1000,CHOOSE('요약'!$B$4,'input'!B1180,'input'!C1180,'input'!D1180),""))</x:f>
      </x:c>
      <x:c r="C1180" s="7" t="str">
        <x:f>IF(AND(ISNUMBER(B1180),'요약'!$B$19),B1180-'요약'!$B$7,"")</x:f>
      </x:c>
      <x:c r="D1180" s="7" t="str">
        <x:f>IF(ISNUMBER(C1180),C1180^2,"")</x:f>
      </x:c>
      <x:c r="E1180" s="15" t="str">
        <x:f>IF(ISNUMBER(C1180),C1180^3,"")</x:f>
      </x:c>
      <x:c r="F1180" s="15" t="str">
        <x:f>IF(ISNUMBER(C1180),C1180^4,"")</x:f>
      </x:c>
      <x:c r="G1180" s="7" t="str">
        <x:f>IF(ISNUMBER(B1180),ABS(B1180),"")</x:f>
      </x:c>
      <x:c r="H1180" s="7" t="str">
        <x:f>IF(ISNUMBER(B1180),B1180^2,"")</x:f>
      </x:c>
      <x:c r="I1180" s="7" t="str">
        <x:f>IF(AND(ISNUMBER(G1180),'요약'!$B$19),G1180-'요약'!$B$14,"")</x:f>
      </x:c>
      <x:c r="J1180" s="7" t="str">
        <x:f>IF(AND(ISNUMBER(H1180),'요약'!$B$19),H1180-'요약'!$B$15,"")</x:f>
      </x:c>
      <x:c r="K1180" t="str">
        <x:f>IF(ISNUMBER(B1180),IF('Hill'!$B$4=1,IF(B1180&lt;0,-B1180,""),IF('Hill'!$B$4=2,IF(B1180&gt;0,B1180,""),IF('Hill'!$B$4=3,IF(B1180&lt;&gt;0,ABS(B1180),""),""))),"")</x:f>
      </x:c>
    </x:row>
    <x:row r="1181">
      <x:c r="A1181" t="n">
        <x:f>1180</x:f>
        <x:v>1180</x:v>
      </x:c>
      <x:c r="B1181" s="7" t="str">
        <x:f>IF('요약'!$B$4=4,IF(ISNUMBER('input'!A1181),'input'!A1181,""),IF(1180&lt;=1000,CHOOSE('요약'!$B$4,'input'!B1181,'input'!C1181,'input'!D1181),""))</x:f>
      </x:c>
      <x:c r="C1181" s="7" t="str">
        <x:f>IF(AND(ISNUMBER(B1181),'요약'!$B$19),B1181-'요약'!$B$7,"")</x:f>
      </x:c>
      <x:c r="D1181" s="7" t="str">
        <x:f>IF(ISNUMBER(C1181),C1181^2,"")</x:f>
      </x:c>
      <x:c r="E1181" s="15" t="str">
        <x:f>IF(ISNUMBER(C1181),C1181^3,"")</x:f>
      </x:c>
      <x:c r="F1181" s="15" t="str">
        <x:f>IF(ISNUMBER(C1181),C1181^4,"")</x:f>
      </x:c>
      <x:c r="G1181" s="7" t="str">
        <x:f>IF(ISNUMBER(B1181),ABS(B1181),"")</x:f>
      </x:c>
      <x:c r="H1181" s="7" t="str">
        <x:f>IF(ISNUMBER(B1181),B1181^2,"")</x:f>
      </x:c>
      <x:c r="I1181" s="7" t="str">
        <x:f>IF(AND(ISNUMBER(G1181),'요약'!$B$19),G1181-'요약'!$B$14,"")</x:f>
      </x:c>
      <x:c r="J1181" s="7" t="str">
        <x:f>IF(AND(ISNUMBER(H1181),'요약'!$B$19),H1181-'요약'!$B$15,"")</x:f>
      </x:c>
      <x:c r="K1181" t="str">
        <x:f>IF(ISNUMBER(B1181),IF('Hill'!$B$4=1,IF(B1181&lt;0,-B1181,""),IF('Hill'!$B$4=2,IF(B1181&gt;0,B1181,""),IF('Hill'!$B$4=3,IF(B1181&lt;&gt;0,ABS(B1181),""),""))),"")</x:f>
      </x:c>
    </x:row>
    <x:row r="1182">
      <x:c r="A1182" t="n">
        <x:f>1181</x:f>
        <x:v>1181</x:v>
      </x:c>
      <x:c r="B1182" s="7" t="str">
        <x:f>IF('요약'!$B$4=4,IF(ISNUMBER('input'!A1182),'input'!A1182,""),IF(1181&lt;=1000,CHOOSE('요약'!$B$4,'input'!B1182,'input'!C1182,'input'!D1182),""))</x:f>
      </x:c>
      <x:c r="C1182" s="7" t="str">
        <x:f>IF(AND(ISNUMBER(B1182),'요약'!$B$19),B1182-'요약'!$B$7,"")</x:f>
      </x:c>
      <x:c r="D1182" s="7" t="str">
        <x:f>IF(ISNUMBER(C1182),C1182^2,"")</x:f>
      </x:c>
      <x:c r="E1182" s="15" t="str">
        <x:f>IF(ISNUMBER(C1182),C1182^3,"")</x:f>
      </x:c>
      <x:c r="F1182" s="15" t="str">
        <x:f>IF(ISNUMBER(C1182),C1182^4,"")</x:f>
      </x:c>
      <x:c r="G1182" s="7" t="str">
        <x:f>IF(ISNUMBER(B1182),ABS(B1182),"")</x:f>
      </x:c>
      <x:c r="H1182" s="7" t="str">
        <x:f>IF(ISNUMBER(B1182),B1182^2,"")</x:f>
      </x:c>
      <x:c r="I1182" s="7" t="str">
        <x:f>IF(AND(ISNUMBER(G1182),'요약'!$B$19),G1182-'요약'!$B$14,"")</x:f>
      </x:c>
      <x:c r="J1182" s="7" t="str">
        <x:f>IF(AND(ISNUMBER(H1182),'요약'!$B$19),H1182-'요약'!$B$15,"")</x:f>
      </x:c>
      <x:c r="K1182" t="str">
        <x:f>IF(ISNUMBER(B1182),IF('Hill'!$B$4=1,IF(B1182&lt;0,-B1182,""),IF('Hill'!$B$4=2,IF(B1182&gt;0,B1182,""),IF('Hill'!$B$4=3,IF(B1182&lt;&gt;0,ABS(B1182),""),""))),"")</x:f>
      </x:c>
    </x:row>
    <x:row r="1183">
      <x:c r="A1183" t="n">
        <x:f>1182</x:f>
        <x:v>1182</x:v>
      </x:c>
      <x:c r="B1183" s="7" t="str">
        <x:f>IF('요약'!$B$4=4,IF(ISNUMBER('input'!A1183),'input'!A1183,""),IF(1182&lt;=1000,CHOOSE('요약'!$B$4,'input'!B1183,'input'!C1183,'input'!D1183),""))</x:f>
      </x:c>
      <x:c r="C1183" s="7" t="str">
        <x:f>IF(AND(ISNUMBER(B1183),'요약'!$B$19),B1183-'요약'!$B$7,"")</x:f>
      </x:c>
      <x:c r="D1183" s="7" t="str">
        <x:f>IF(ISNUMBER(C1183),C1183^2,"")</x:f>
      </x:c>
      <x:c r="E1183" s="15" t="str">
        <x:f>IF(ISNUMBER(C1183),C1183^3,"")</x:f>
      </x:c>
      <x:c r="F1183" s="15" t="str">
        <x:f>IF(ISNUMBER(C1183),C1183^4,"")</x:f>
      </x:c>
      <x:c r="G1183" s="7" t="str">
        <x:f>IF(ISNUMBER(B1183),ABS(B1183),"")</x:f>
      </x:c>
      <x:c r="H1183" s="7" t="str">
        <x:f>IF(ISNUMBER(B1183),B1183^2,"")</x:f>
      </x:c>
      <x:c r="I1183" s="7" t="str">
        <x:f>IF(AND(ISNUMBER(G1183),'요약'!$B$19),G1183-'요약'!$B$14,"")</x:f>
      </x:c>
      <x:c r="J1183" s="7" t="str">
        <x:f>IF(AND(ISNUMBER(H1183),'요약'!$B$19),H1183-'요약'!$B$15,"")</x:f>
      </x:c>
      <x:c r="K1183" t="str">
        <x:f>IF(ISNUMBER(B1183),IF('Hill'!$B$4=1,IF(B1183&lt;0,-B1183,""),IF('Hill'!$B$4=2,IF(B1183&gt;0,B1183,""),IF('Hill'!$B$4=3,IF(B1183&lt;&gt;0,ABS(B1183),""),""))),"")</x:f>
      </x:c>
    </x:row>
    <x:row r="1184">
      <x:c r="A1184" t="n">
        <x:f>1183</x:f>
        <x:v>1183</x:v>
      </x:c>
      <x:c r="B1184" s="7" t="str">
        <x:f>IF('요약'!$B$4=4,IF(ISNUMBER('input'!A1184),'input'!A1184,""),IF(1183&lt;=1000,CHOOSE('요약'!$B$4,'input'!B1184,'input'!C1184,'input'!D1184),""))</x:f>
      </x:c>
      <x:c r="C1184" s="7" t="str">
        <x:f>IF(AND(ISNUMBER(B1184),'요약'!$B$19),B1184-'요약'!$B$7,"")</x:f>
      </x:c>
      <x:c r="D1184" s="7" t="str">
        <x:f>IF(ISNUMBER(C1184),C1184^2,"")</x:f>
      </x:c>
      <x:c r="E1184" s="15" t="str">
        <x:f>IF(ISNUMBER(C1184),C1184^3,"")</x:f>
      </x:c>
      <x:c r="F1184" s="15" t="str">
        <x:f>IF(ISNUMBER(C1184),C1184^4,"")</x:f>
      </x:c>
      <x:c r="G1184" s="7" t="str">
        <x:f>IF(ISNUMBER(B1184),ABS(B1184),"")</x:f>
      </x:c>
      <x:c r="H1184" s="7" t="str">
        <x:f>IF(ISNUMBER(B1184),B1184^2,"")</x:f>
      </x:c>
      <x:c r="I1184" s="7" t="str">
        <x:f>IF(AND(ISNUMBER(G1184),'요약'!$B$19),G1184-'요약'!$B$14,"")</x:f>
      </x:c>
      <x:c r="J1184" s="7" t="str">
        <x:f>IF(AND(ISNUMBER(H1184),'요약'!$B$19),H1184-'요약'!$B$15,"")</x:f>
      </x:c>
      <x:c r="K1184" t="str">
        <x:f>IF(ISNUMBER(B1184),IF('Hill'!$B$4=1,IF(B1184&lt;0,-B1184,""),IF('Hill'!$B$4=2,IF(B1184&gt;0,B1184,""),IF('Hill'!$B$4=3,IF(B1184&lt;&gt;0,ABS(B1184),""),""))),"")</x:f>
      </x:c>
    </x:row>
    <x:row r="1185">
      <x:c r="A1185" t="n">
        <x:f>1184</x:f>
        <x:v>1184</x:v>
      </x:c>
      <x:c r="B1185" s="7" t="str">
        <x:f>IF('요약'!$B$4=4,IF(ISNUMBER('input'!A1185),'input'!A1185,""),IF(1184&lt;=1000,CHOOSE('요약'!$B$4,'input'!B1185,'input'!C1185,'input'!D1185),""))</x:f>
      </x:c>
      <x:c r="C1185" s="7" t="str">
        <x:f>IF(AND(ISNUMBER(B1185),'요약'!$B$19),B1185-'요약'!$B$7,"")</x:f>
      </x:c>
      <x:c r="D1185" s="7" t="str">
        <x:f>IF(ISNUMBER(C1185),C1185^2,"")</x:f>
      </x:c>
      <x:c r="E1185" s="15" t="str">
        <x:f>IF(ISNUMBER(C1185),C1185^3,"")</x:f>
      </x:c>
      <x:c r="F1185" s="15" t="str">
        <x:f>IF(ISNUMBER(C1185),C1185^4,"")</x:f>
      </x:c>
      <x:c r="G1185" s="7" t="str">
        <x:f>IF(ISNUMBER(B1185),ABS(B1185),"")</x:f>
      </x:c>
      <x:c r="H1185" s="7" t="str">
        <x:f>IF(ISNUMBER(B1185),B1185^2,"")</x:f>
      </x:c>
      <x:c r="I1185" s="7" t="str">
        <x:f>IF(AND(ISNUMBER(G1185),'요약'!$B$19),G1185-'요약'!$B$14,"")</x:f>
      </x:c>
      <x:c r="J1185" s="7" t="str">
        <x:f>IF(AND(ISNUMBER(H1185),'요약'!$B$19),H1185-'요약'!$B$15,"")</x:f>
      </x:c>
      <x:c r="K1185" t="str">
        <x:f>IF(ISNUMBER(B1185),IF('Hill'!$B$4=1,IF(B1185&lt;0,-B1185,""),IF('Hill'!$B$4=2,IF(B1185&gt;0,B1185,""),IF('Hill'!$B$4=3,IF(B1185&lt;&gt;0,ABS(B1185),""),""))),"")</x:f>
      </x:c>
    </x:row>
    <x:row r="1186">
      <x:c r="A1186" t="n">
        <x:f>1185</x:f>
        <x:v>1185</x:v>
      </x:c>
      <x:c r="B1186" s="7" t="str">
        <x:f>IF('요약'!$B$4=4,IF(ISNUMBER('input'!A1186),'input'!A1186,""),IF(1185&lt;=1000,CHOOSE('요약'!$B$4,'input'!B1186,'input'!C1186,'input'!D1186),""))</x:f>
      </x:c>
      <x:c r="C1186" s="7" t="str">
        <x:f>IF(AND(ISNUMBER(B1186),'요약'!$B$19),B1186-'요약'!$B$7,"")</x:f>
      </x:c>
      <x:c r="D1186" s="7" t="str">
        <x:f>IF(ISNUMBER(C1186),C1186^2,"")</x:f>
      </x:c>
      <x:c r="E1186" s="15" t="str">
        <x:f>IF(ISNUMBER(C1186),C1186^3,"")</x:f>
      </x:c>
      <x:c r="F1186" s="15" t="str">
        <x:f>IF(ISNUMBER(C1186),C1186^4,"")</x:f>
      </x:c>
      <x:c r="G1186" s="7" t="str">
        <x:f>IF(ISNUMBER(B1186),ABS(B1186),"")</x:f>
      </x:c>
      <x:c r="H1186" s="7" t="str">
        <x:f>IF(ISNUMBER(B1186),B1186^2,"")</x:f>
      </x:c>
      <x:c r="I1186" s="7" t="str">
        <x:f>IF(AND(ISNUMBER(G1186),'요약'!$B$19),G1186-'요약'!$B$14,"")</x:f>
      </x:c>
      <x:c r="J1186" s="7" t="str">
        <x:f>IF(AND(ISNUMBER(H1186),'요약'!$B$19),H1186-'요약'!$B$15,"")</x:f>
      </x:c>
      <x:c r="K1186" t="str">
        <x:f>IF(ISNUMBER(B1186),IF('Hill'!$B$4=1,IF(B1186&lt;0,-B1186,""),IF('Hill'!$B$4=2,IF(B1186&gt;0,B1186,""),IF('Hill'!$B$4=3,IF(B1186&lt;&gt;0,ABS(B1186),""),""))),"")</x:f>
      </x:c>
    </x:row>
    <x:row r="1187">
      <x:c r="A1187" t="n">
        <x:f>1186</x:f>
        <x:v>1186</x:v>
      </x:c>
      <x:c r="B1187" s="7" t="str">
        <x:f>IF('요약'!$B$4=4,IF(ISNUMBER('input'!A1187),'input'!A1187,""),IF(1186&lt;=1000,CHOOSE('요약'!$B$4,'input'!B1187,'input'!C1187,'input'!D1187),""))</x:f>
      </x:c>
      <x:c r="C1187" s="7" t="str">
        <x:f>IF(AND(ISNUMBER(B1187),'요약'!$B$19),B1187-'요약'!$B$7,"")</x:f>
      </x:c>
      <x:c r="D1187" s="7" t="str">
        <x:f>IF(ISNUMBER(C1187),C1187^2,"")</x:f>
      </x:c>
      <x:c r="E1187" s="15" t="str">
        <x:f>IF(ISNUMBER(C1187),C1187^3,"")</x:f>
      </x:c>
      <x:c r="F1187" s="15" t="str">
        <x:f>IF(ISNUMBER(C1187),C1187^4,"")</x:f>
      </x:c>
      <x:c r="G1187" s="7" t="str">
        <x:f>IF(ISNUMBER(B1187),ABS(B1187),"")</x:f>
      </x:c>
      <x:c r="H1187" s="7" t="str">
        <x:f>IF(ISNUMBER(B1187),B1187^2,"")</x:f>
      </x:c>
      <x:c r="I1187" s="7" t="str">
        <x:f>IF(AND(ISNUMBER(G1187),'요약'!$B$19),G1187-'요약'!$B$14,"")</x:f>
      </x:c>
      <x:c r="J1187" s="7" t="str">
        <x:f>IF(AND(ISNUMBER(H1187),'요약'!$B$19),H1187-'요약'!$B$15,"")</x:f>
      </x:c>
      <x:c r="K1187" t="str">
        <x:f>IF(ISNUMBER(B1187),IF('Hill'!$B$4=1,IF(B1187&lt;0,-B1187,""),IF('Hill'!$B$4=2,IF(B1187&gt;0,B1187,""),IF('Hill'!$B$4=3,IF(B1187&lt;&gt;0,ABS(B1187),""),""))),"")</x:f>
      </x:c>
    </x:row>
    <x:row r="1188">
      <x:c r="A1188" t="n">
        <x:f>1187</x:f>
        <x:v>1187</x:v>
      </x:c>
      <x:c r="B1188" s="7" t="str">
        <x:f>IF('요약'!$B$4=4,IF(ISNUMBER('input'!A1188),'input'!A1188,""),IF(1187&lt;=1000,CHOOSE('요약'!$B$4,'input'!B1188,'input'!C1188,'input'!D1188),""))</x:f>
      </x:c>
      <x:c r="C1188" s="7" t="str">
        <x:f>IF(AND(ISNUMBER(B1188),'요약'!$B$19),B1188-'요약'!$B$7,"")</x:f>
      </x:c>
      <x:c r="D1188" s="7" t="str">
        <x:f>IF(ISNUMBER(C1188),C1188^2,"")</x:f>
      </x:c>
      <x:c r="E1188" s="15" t="str">
        <x:f>IF(ISNUMBER(C1188),C1188^3,"")</x:f>
      </x:c>
      <x:c r="F1188" s="15" t="str">
        <x:f>IF(ISNUMBER(C1188),C1188^4,"")</x:f>
      </x:c>
      <x:c r="G1188" s="7" t="str">
        <x:f>IF(ISNUMBER(B1188),ABS(B1188),"")</x:f>
      </x:c>
      <x:c r="H1188" s="7" t="str">
        <x:f>IF(ISNUMBER(B1188),B1188^2,"")</x:f>
      </x:c>
      <x:c r="I1188" s="7" t="str">
        <x:f>IF(AND(ISNUMBER(G1188),'요약'!$B$19),G1188-'요약'!$B$14,"")</x:f>
      </x:c>
      <x:c r="J1188" s="7" t="str">
        <x:f>IF(AND(ISNUMBER(H1188),'요약'!$B$19),H1188-'요약'!$B$15,"")</x:f>
      </x:c>
      <x:c r="K1188" t="str">
        <x:f>IF(ISNUMBER(B1188),IF('Hill'!$B$4=1,IF(B1188&lt;0,-B1188,""),IF('Hill'!$B$4=2,IF(B1188&gt;0,B1188,""),IF('Hill'!$B$4=3,IF(B1188&lt;&gt;0,ABS(B1188),""),""))),"")</x:f>
      </x:c>
    </x:row>
    <x:row r="1189">
      <x:c r="A1189" t="n">
        <x:f>1188</x:f>
        <x:v>1188</x:v>
      </x:c>
      <x:c r="B1189" s="7" t="str">
        <x:f>IF('요약'!$B$4=4,IF(ISNUMBER('input'!A1189),'input'!A1189,""),IF(1188&lt;=1000,CHOOSE('요약'!$B$4,'input'!B1189,'input'!C1189,'input'!D1189),""))</x:f>
      </x:c>
      <x:c r="C1189" s="7" t="str">
        <x:f>IF(AND(ISNUMBER(B1189),'요약'!$B$19),B1189-'요약'!$B$7,"")</x:f>
      </x:c>
      <x:c r="D1189" s="7" t="str">
        <x:f>IF(ISNUMBER(C1189),C1189^2,"")</x:f>
      </x:c>
      <x:c r="E1189" s="15" t="str">
        <x:f>IF(ISNUMBER(C1189),C1189^3,"")</x:f>
      </x:c>
      <x:c r="F1189" s="15" t="str">
        <x:f>IF(ISNUMBER(C1189),C1189^4,"")</x:f>
      </x:c>
      <x:c r="G1189" s="7" t="str">
        <x:f>IF(ISNUMBER(B1189),ABS(B1189),"")</x:f>
      </x:c>
      <x:c r="H1189" s="7" t="str">
        <x:f>IF(ISNUMBER(B1189),B1189^2,"")</x:f>
      </x:c>
      <x:c r="I1189" s="7" t="str">
        <x:f>IF(AND(ISNUMBER(G1189),'요약'!$B$19),G1189-'요약'!$B$14,"")</x:f>
      </x:c>
      <x:c r="J1189" s="7" t="str">
        <x:f>IF(AND(ISNUMBER(H1189),'요약'!$B$19),H1189-'요약'!$B$15,"")</x:f>
      </x:c>
      <x:c r="K1189" t="str">
        <x:f>IF(ISNUMBER(B1189),IF('Hill'!$B$4=1,IF(B1189&lt;0,-B1189,""),IF('Hill'!$B$4=2,IF(B1189&gt;0,B1189,""),IF('Hill'!$B$4=3,IF(B1189&lt;&gt;0,ABS(B1189),""),""))),"")</x:f>
      </x:c>
    </x:row>
    <x:row r="1190">
      <x:c r="A1190" t="n">
        <x:f>1189</x:f>
        <x:v>1189</x:v>
      </x:c>
      <x:c r="B1190" s="7" t="str">
        <x:f>IF('요약'!$B$4=4,IF(ISNUMBER('input'!A1190),'input'!A1190,""),IF(1189&lt;=1000,CHOOSE('요약'!$B$4,'input'!B1190,'input'!C1190,'input'!D1190),""))</x:f>
      </x:c>
      <x:c r="C1190" s="7" t="str">
        <x:f>IF(AND(ISNUMBER(B1190),'요약'!$B$19),B1190-'요약'!$B$7,"")</x:f>
      </x:c>
      <x:c r="D1190" s="7" t="str">
        <x:f>IF(ISNUMBER(C1190),C1190^2,"")</x:f>
      </x:c>
      <x:c r="E1190" s="15" t="str">
        <x:f>IF(ISNUMBER(C1190),C1190^3,"")</x:f>
      </x:c>
      <x:c r="F1190" s="15" t="str">
        <x:f>IF(ISNUMBER(C1190),C1190^4,"")</x:f>
      </x:c>
      <x:c r="G1190" s="7" t="str">
        <x:f>IF(ISNUMBER(B1190),ABS(B1190),"")</x:f>
      </x:c>
      <x:c r="H1190" s="7" t="str">
        <x:f>IF(ISNUMBER(B1190),B1190^2,"")</x:f>
      </x:c>
      <x:c r="I1190" s="7" t="str">
        <x:f>IF(AND(ISNUMBER(G1190),'요약'!$B$19),G1190-'요약'!$B$14,"")</x:f>
      </x:c>
      <x:c r="J1190" s="7" t="str">
        <x:f>IF(AND(ISNUMBER(H1190),'요약'!$B$19),H1190-'요약'!$B$15,"")</x:f>
      </x:c>
      <x:c r="K1190" t="str">
        <x:f>IF(ISNUMBER(B1190),IF('Hill'!$B$4=1,IF(B1190&lt;0,-B1190,""),IF('Hill'!$B$4=2,IF(B1190&gt;0,B1190,""),IF('Hill'!$B$4=3,IF(B1190&lt;&gt;0,ABS(B1190),""),""))),"")</x:f>
      </x:c>
    </x:row>
    <x:row r="1191">
      <x:c r="A1191" t="n">
        <x:f>1190</x:f>
        <x:v>1190</x:v>
      </x:c>
      <x:c r="B1191" s="7" t="str">
        <x:f>IF('요약'!$B$4=4,IF(ISNUMBER('input'!A1191),'input'!A1191,""),IF(1190&lt;=1000,CHOOSE('요약'!$B$4,'input'!B1191,'input'!C1191,'input'!D1191),""))</x:f>
      </x:c>
      <x:c r="C1191" s="7" t="str">
        <x:f>IF(AND(ISNUMBER(B1191),'요약'!$B$19),B1191-'요약'!$B$7,"")</x:f>
      </x:c>
      <x:c r="D1191" s="7" t="str">
        <x:f>IF(ISNUMBER(C1191),C1191^2,"")</x:f>
      </x:c>
      <x:c r="E1191" s="15" t="str">
        <x:f>IF(ISNUMBER(C1191),C1191^3,"")</x:f>
      </x:c>
      <x:c r="F1191" s="15" t="str">
        <x:f>IF(ISNUMBER(C1191),C1191^4,"")</x:f>
      </x:c>
      <x:c r="G1191" s="7" t="str">
        <x:f>IF(ISNUMBER(B1191),ABS(B1191),"")</x:f>
      </x:c>
      <x:c r="H1191" s="7" t="str">
        <x:f>IF(ISNUMBER(B1191),B1191^2,"")</x:f>
      </x:c>
      <x:c r="I1191" s="7" t="str">
        <x:f>IF(AND(ISNUMBER(G1191),'요약'!$B$19),G1191-'요약'!$B$14,"")</x:f>
      </x:c>
      <x:c r="J1191" s="7" t="str">
        <x:f>IF(AND(ISNUMBER(H1191),'요약'!$B$19),H1191-'요약'!$B$15,"")</x:f>
      </x:c>
      <x:c r="K1191" t="str">
        <x:f>IF(ISNUMBER(B1191),IF('Hill'!$B$4=1,IF(B1191&lt;0,-B1191,""),IF('Hill'!$B$4=2,IF(B1191&gt;0,B1191,""),IF('Hill'!$B$4=3,IF(B1191&lt;&gt;0,ABS(B1191),""),""))),"")</x:f>
      </x:c>
    </x:row>
    <x:row r="1192">
      <x:c r="A1192" t="n">
        <x:f>1191</x:f>
        <x:v>1191</x:v>
      </x:c>
      <x:c r="B1192" s="7" t="str">
        <x:f>IF('요약'!$B$4=4,IF(ISNUMBER('input'!A1192),'input'!A1192,""),IF(1191&lt;=1000,CHOOSE('요약'!$B$4,'input'!B1192,'input'!C1192,'input'!D1192),""))</x:f>
      </x:c>
      <x:c r="C1192" s="7" t="str">
        <x:f>IF(AND(ISNUMBER(B1192),'요약'!$B$19),B1192-'요약'!$B$7,"")</x:f>
      </x:c>
      <x:c r="D1192" s="7" t="str">
        <x:f>IF(ISNUMBER(C1192),C1192^2,"")</x:f>
      </x:c>
      <x:c r="E1192" s="15" t="str">
        <x:f>IF(ISNUMBER(C1192),C1192^3,"")</x:f>
      </x:c>
      <x:c r="F1192" s="15" t="str">
        <x:f>IF(ISNUMBER(C1192),C1192^4,"")</x:f>
      </x:c>
      <x:c r="G1192" s="7" t="str">
        <x:f>IF(ISNUMBER(B1192),ABS(B1192),"")</x:f>
      </x:c>
      <x:c r="H1192" s="7" t="str">
        <x:f>IF(ISNUMBER(B1192),B1192^2,"")</x:f>
      </x:c>
      <x:c r="I1192" s="7" t="str">
        <x:f>IF(AND(ISNUMBER(G1192),'요약'!$B$19),G1192-'요약'!$B$14,"")</x:f>
      </x:c>
      <x:c r="J1192" s="7" t="str">
        <x:f>IF(AND(ISNUMBER(H1192),'요약'!$B$19),H1192-'요약'!$B$15,"")</x:f>
      </x:c>
      <x:c r="K1192" t="str">
        <x:f>IF(ISNUMBER(B1192),IF('Hill'!$B$4=1,IF(B1192&lt;0,-B1192,""),IF('Hill'!$B$4=2,IF(B1192&gt;0,B1192,""),IF('Hill'!$B$4=3,IF(B1192&lt;&gt;0,ABS(B1192),""),""))),"")</x:f>
      </x:c>
    </x:row>
    <x:row r="1193">
      <x:c r="A1193" t="n">
        <x:f>1192</x:f>
        <x:v>1192</x:v>
      </x:c>
      <x:c r="B1193" s="7" t="str">
        <x:f>IF('요약'!$B$4=4,IF(ISNUMBER('input'!A1193),'input'!A1193,""),IF(1192&lt;=1000,CHOOSE('요약'!$B$4,'input'!B1193,'input'!C1193,'input'!D1193),""))</x:f>
      </x:c>
      <x:c r="C1193" s="7" t="str">
        <x:f>IF(AND(ISNUMBER(B1193),'요약'!$B$19),B1193-'요약'!$B$7,"")</x:f>
      </x:c>
      <x:c r="D1193" s="7" t="str">
        <x:f>IF(ISNUMBER(C1193),C1193^2,"")</x:f>
      </x:c>
      <x:c r="E1193" s="15" t="str">
        <x:f>IF(ISNUMBER(C1193),C1193^3,"")</x:f>
      </x:c>
      <x:c r="F1193" s="15" t="str">
        <x:f>IF(ISNUMBER(C1193),C1193^4,"")</x:f>
      </x:c>
      <x:c r="G1193" s="7" t="str">
        <x:f>IF(ISNUMBER(B1193),ABS(B1193),"")</x:f>
      </x:c>
      <x:c r="H1193" s="7" t="str">
        <x:f>IF(ISNUMBER(B1193),B1193^2,"")</x:f>
      </x:c>
      <x:c r="I1193" s="7" t="str">
        <x:f>IF(AND(ISNUMBER(G1193),'요약'!$B$19),G1193-'요약'!$B$14,"")</x:f>
      </x:c>
      <x:c r="J1193" s="7" t="str">
        <x:f>IF(AND(ISNUMBER(H1193),'요약'!$B$19),H1193-'요약'!$B$15,"")</x:f>
      </x:c>
      <x:c r="K1193" t="str">
        <x:f>IF(ISNUMBER(B1193),IF('Hill'!$B$4=1,IF(B1193&lt;0,-B1193,""),IF('Hill'!$B$4=2,IF(B1193&gt;0,B1193,""),IF('Hill'!$B$4=3,IF(B1193&lt;&gt;0,ABS(B1193),""),""))),"")</x:f>
      </x:c>
    </x:row>
    <x:row r="1194">
      <x:c r="A1194" t="n">
        <x:f>1193</x:f>
        <x:v>1193</x:v>
      </x:c>
      <x:c r="B1194" s="7" t="str">
        <x:f>IF('요약'!$B$4=4,IF(ISNUMBER('input'!A1194),'input'!A1194,""),IF(1193&lt;=1000,CHOOSE('요약'!$B$4,'input'!B1194,'input'!C1194,'input'!D1194),""))</x:f>
      </x:c>
      <x:c r="C1194" s="7" t="str">
        <x:f>IF(AND(ISNUMBER(B1194),'요약'!$B$19),B1194-'요약'!$B$7,"")</x:f>
      </x:c>
      <x:c r="D1194" s="7" t="str">
        <x:f>IF(ISNUMBER(C1194),C1194^2,"")</x:f>
      </x:c>
      <x:c r="E1194" s="15" t="str">
        <x:f>IF(ISNUMBER(C1194),C1194^3,"")</x:f>
      </x:c>
      <x:c r="F1194" s="15" t="str">
        <x:f>IF(ISNUMBER(C1194),C1194^4,"")</x:f>
      </x:c>
      <x:c r="G1194" s="7" t="str">
        <x:f>IF(ISNUMBER(B1194),ABS(B1194),"")</x:f>
      </x:c>
      <x:c r="H1194" s="7" t="str">
        <x:f>IF(ISNUMBER(B1194),B1194^2,"")</x:f>
      </x:c>
      <x:c r="I1194" s="7" t="str">
        <x:f>IF(AND(ISNUMBER(G1194),'요약'!$B$19),G1194-'요약'!$B$14,"")</x:f>
      </x:c>
      <x:c r="J1194" s="7" t="str">
        <x:f>IF(AND(ISNUMBER(H1194),'요약'!$B$19),H1194-'요약'!$B$15,"")</x:f>
      </x:c>
      <x:c r="K1194" t="str">
        <x:f>IF(ISNUMBER(B1194),IF('Hill'!$B$4=1,IF(B1194&lt;0,-B1194,""),IF('Hill'!$B$4=2,IF(B1194&gt;0,B1194,""),IF('Hill'!$B$4=3,IF(B1194&lt;&gt;0,ABS(B1194),""),""))),"")</x:f>
      </x:c>
    </x:row>
    <x:row r="1195">
      <x:c r="A1195" t="n">
        <x:f>1194</x:f>
        <x:v>1194</x:v>
      </x:c>
      <x:c r="B1195" s="7" t="str">
        <x:f>IF('요약'!$B$4=4,IF(ISNUMBER('input'!A1195),'input'!A1195,""),IF(1194&lt;=1000,CHOOSE('요약'!$B$4,'input'!B1195,'input'!C1195,'input'!D1195),""))</x:f>
      </x:c>
      <x:c r="C1195" s="7" t="str">
        <x:f>IF(AND(ISNUMBER(B1195),'요약'!$B$19),B1195-'요약'!$B$7,"")</x:f>
      </x:c>
      <x:c r="D1195" s="7" t="str">
        <x:f>IF(ISNUMBER(C1195),C1195^2,"")</x:f>
      </x:c>
      <x:c r="E1195" s="15" t="str">
        <x:f>IF(ISNUMBER(C1195),C1195^3,"")</x:f>
      </x:c>
      <x:c r="F1195" s="15" t="str">
        <x:f>IF(ISNUMBER(C1195),C1195^4,"")</x:f>
      </x:c>
      <x:c r="G1195" s="7" t="str">
        <x:f>IF(ISNUMBER(B1195),ABS(B1195),"")</x:f>
      </x:c>
      <x:c r="H1195" s="7" t="str">
        <x:f>IF(ISNUMBER(B1195),B1195^2,"")</x:f>
      </x:c>
      <x:c r="I1195" s="7" t="str">
        <x:f>IF(AND(ISNUMBER(G1195),'요약'!$B$19),G1195-'요약'!$B$14,"")</x:f>
      </x:c>
      <x:c r="J1195" s="7" t="str">
        <x:f>IF(AND(ISNUMBER(H1195),'요약'!$B$19),H1195-'요약'!$B$15,"")</x:f>
      </x:c>
      <x:c r="K1195" t="str">
        <x:f>IF(ISNUMBER(B1195),IF('Hill'!$B$4=1,IF(B1195&lt;0,-B1195,""),IF('Hill'!$B$4=2,IF(B1195&gt;0,B1195,""),IF('Hill'!$B$4=3,IF(B1195&lt;&gt;0,ABS(B1195),""),""))),"")</x:f>
      </x:c>
    </x:row>
    <x:row r="1196">
      <x:c r="A1196" t="n">
        <x:f>1195</x:f>
        <x:v>1195</x:v>
      </x:c>
      <x:c r="B1196" s="7" t="str">
        <x:f>IF('요약'!$B$4=4,IF(ISNUMBER('input'!A1196),'input'!A1196,""),IF(1195&lt;=1000,CHOOSE('요약'!$B$4,'input'!B1196,'input'!C1196,'input'!D1196),""))</x:f>
      </x:c>
      <x:c r="C1196" s="7" t="str">
        <x:f>IF(AND(ISNUMBER(B1196),'요약'!$B$19),B1196-'요약'!$B$7,"")</x:f>
      </x:c>
      <x:c r="D1196" s="7" t="str">
        <x:f>IF(ISNUMBER(C1196),C1196^2,"")</x:f>
      </x:c>
      <x:c r="E1196" s="15" t="str">
        <x:f>IF(ISNUMBER(C1196),C1196^3,"")</x:f>
      </x:c>
      <x:c r="F1196" s="15" t="str">
        <x:f>IF(ISNUMBER(C1196),C1196^4,"")</x:f>
      </x:c>
      <x:c r="G1196" s="7" t="str">
        <x:f>IF(ISNUMBER(B1196),ABS(B1196),"")</x:f>
      </x:c>
      <x:c r="H1196" s="7" t="str">
        <x:f>IF(ISNUMBER(B1196),B1196^2,"")</x:f>
      </x:c>
      <x:c r="I1196" s="7" t="str">
        <x:f>IF(AND(ISNUMBER(G1196),'요약'!$B$19),G1196-'요약'!$B$14,"")</x:f>
      </x:c>
      <x:c r="J1196" s="7" t="str">
        <x:f>IF(AND(ISNUMBER(H1196),'요약'!$B$19),H1196-'요약'!$B$15,"")</x:f>
      </x:c>
      <x:c r="K1196" t="str">
        <x:f>IF(ISNUMBER(B1196),IF('Hill'!$B$4=1,IF(B1196&lt;0,-B1196,""),IF('Hill'!$B$4=2,IF(B1196&gt;0,B1196,""),IF('Hill'!$B$4=3,IF(B1196&lt;&gt;0,ABS(B1196),""),""))),"")</x:f>
      </x:c>
    </x:row>
    <x:row r="1197">
      <x:c r="A1197" t="n">
        <x:f>1196</x:f>
        <x:v>1196</x:v>
      </x:c>
      <x:c r="B1197" s="7" t="str">
        <x:f>IF('요약'!$B$4=4,IF(ISNUMBER('input'!A1197),'input'!A1197,""),IF(1196&lt;=1000,CHOOSE('요약'!$B$4,'input'!B1197,'input'!C1197,'input'!D1197),""))</x:f>
      </x:c>
      <x:c r="C1197" s="7" t="str">
        <x:f>IF(AND(ISNUMBER(B1197),'요약'!$B$19),B1197-'요약'!$B$7,"")</x:f>
      </x:c>
      <x:c r="D1197" s="7" t="str">
        <x:f>IF(ISNUMBER(C1197),C1197^2,"")</x:f>
      </x:c>
      <x:c r="E1197" s="15" t="str">
        <x:f>IF(ISNUMBER(C1197),C1197^3,"")</x:f>
      </x:c>
      <x:c r="F1197" s="15" t="str">
        <x:f>IF(ISNUMBER(C1197),C1197^4,"")</x:f>
      </x:c>
      <x:c r="G1197" s="7" t="str">
        <x:f>IF(ISNUMBER(B1197),ABS(B1197),"")</x:f>
      </x:c>
      <x:c r="H1197" s="7" t="str">
        <x:f>IF(ISNUMBER(B1197),B1197^2,"")</x:f>
      </x:c>
      <x:c r="I1197" s="7" t="str">
        <x:f>IF(AND(ISNUMBER(G1197),'요약'!$B$19),G1197-'요약'!$B$14,"")</x:f>
      </x:c>
      <x:c r="J1197" s="7" t="str">
        <x:f>IF(AND(ISNUMBER(H1197),'요약'!$B$19),H1197-'요약'!$B$15,"")</x:f>
      </x:c>
      <x:c r="K1197" t="str">
        <x:f>IF(ISNUMBER(B1197),IF('Hill'!$B$4=1,IF(B1197&lt;0,-B1197,""),IF('Hill'!$B$4=2,IF(B1197&gt;0,B1197,""),IF('Hill'!$B$4=3,IF(B1197&lt;&gt;0,ABS(B1197),""),""))),"")</x:f>
      </x:c>
    </x:row>
    <x:row r="1198">
      <x:c r="A1198" t="n">
        <x:f>1197</x:f>
        <x:v>1197</x:v>
      </x:c>
      <x:c r="B1198" s="7" t="str">
        <x:f>IF('요약'!$B$4=4,IF(ISNUMBER('input'!A1198),'input'!A1198,""),IF(1197&lt;=1000,CHOOSE('요약'!$B$4,'input'!B1198,'input'!C1198,'input'!D1198),""))</x:f>
      </x:c>
      <x:c r="C1198" s="7" t="str">
        <x:f>IF(AND(ISNUMBER(B1198),'요약'!$B$19),B1198-'요약'!$B$7,"")</x:f>
      </x:c>
      <x:c r="D1198" s="7" t="str">
        <x:f>IF(ISNUMBER(C1198),C1198^2,"")</x:f>
      </x:c>
      <x:c r="E1198" s="15" t="str">
        <x:f>IF(ISNUMBER(C1198),C1198^3,"")</x:f>
      </x:c>
      <x:c r="F1198" s="15" t="str">
        <x:f>IF(ISNUMBER(C1198),C1198^4,"")</x:f>
      </x:c>
      <x:c r="G1198" s="7" t="str">
        <x:f>IF(ISNUMBER(B1198),ABS(B1198),"")</x:f>
      </x:c>
      <x:c r="H1198" s="7" t="str">
        <x:f>IF(ISNUMBER(B1198),B1198^2,"")</x:f>
      </x:c>
      <x:c r="I1198" s="7" t="str">
        <x:f>IF(AND(ISNUMBER(G1198),'요약'!$B$19),G1198-'요약'!$B$14,"")</x:f>
      </x:c>
      <x:c r="J1198" s="7" t="str">
        <x:f>IF(AND(ISNUMBER(H1198),'요약'!$B$19),H1198-'요약'!$B$15,"")</x:f>
      </x:c>
      <x:c r="K1198" t="str">
        <x:f>IF(ISNUMBER(B1198),IF('Hill'!$B$4=1,IF(B1198&lt;0,-B1198,""),IF('Hill'!$B$4=2,IF(B1198&gt;0,B1198,""),IF('Hill'!$B$4=3,IF(B1198&lt;&gt;0,ABS(B1198),""),""))),"")</x:f>
      </x:c>
    </x:row>
    <x:row r="1199">
      <x:c r="A1199" t="n">
        <x:f>1198</x:f>
        <x:v>1198</x:v>
      </x:c>
      <x:c r="B1199" s="7" t="str">
        <x:f>IF('요약'!$B$4=4,IF(ISNUMBER('input'!A1199),'input'!A1199,""),IF(1198&lt;=1000,CHOOSE('요약'!$B$4,'input'!B1199,'input'!C1199,'input'!D1199),""))</x:f>
      </x:c>
      <x:c r="C1199" s="7" t="str">
        <x:f>IF(AND(ISNUMBER(B1199),'요약'!$B$19),B1199-'요약'!$B$7,"")</x:f>
      </x:c>
      <x:c r="D1199" s="7" t="str">
        <x:f>IF(ISNUMBER(C1199),C1199^2,"")</x:f>
      </x:c>
      <x:c r="E1199" s="15" t="str">
        <x:f>IF(ISNUMBER(C1199),C1199^3,"")</x:f>
      </x:c>
      <x:c r="F1199" s="15" t="str">
        <x:f>IF(ISNUMBER(C1199),C1199^4,"")</x:f>
      </x:c>
      <x:c r="G1199" s="7" t="str">
        <x:f>IF(ISNUMBER(B1199),ABS(B1199),"")</x:f>
      </x:c>
      <x:c r="H1199" s="7" t="str">
        <x:f>IF(ISNUMBER(B1199),B1199^2,"")</x:f>
      </x:c>
      <x:c r="I1199" s="7" t="str">
        <x:f>IF(AND(ISNUMBER(G1199),'요약'!$B$19),G1199-'요약'!$B$14,"")</x:f>
      </x:c>
      <x:c r="J1199" s="7" t="str">
        <x:f>IF(AND(ISNUMBER(H1199),'요약'!$B$19),H1199-'요약'!$B$15,"")</x:f>
      </x:c>
      <x:c r="K1199" t="str">
        <x:f>IF(ISNUMBER(B1199),IF('Hill'!$B$4=1,IF(B1199&lt;0,-B1199,""),IF('Hill'!$B$4=2,IF(B1199&gt;0,B1199,""),IF('Hill'!$B$4=3,IF(B1199&lt;&gt;0,ABS(B1199),""),""))),"")</x:f>
      </x:c>
    </x:row>
    <x:row r="1200">
      <x:c r="A1200" t="n">
        <x:f>1199</x:f>
        <x:v>1199</x:v>
      </x:c>
      <x:c r="B1200" s="7" t="str">
        <x:f>IF('요약'!$B$4=4,IF(ISNUMBER('input'!A1200),'input'!A1200,""),IF(1199&lt;=1000,CHOOSE('요약'!$B$4,'input'!B1200,'input'!C1200,'input'!D1200),""))</x:f>
      </x:c>
      <x:c r="C1200" s="7" t="str">
        <x:f>IF(AND(ISNUMBER(B1200),'요약'!$B$19),B1200-'요약'!$B$7,"")</x:f>
      </x:c>
      <x:c r="D1200" s="7" t="str">
        <x:f>IF(ISNUMBER(C1200),C1200^2,"")</x:f>
      </x:c>
      <x:c r="E1200" s="15" t="str">
        <x:f>IF(ISNUMBER(C1200),C1200^3,"")</x:f>
      </x:c>
      <x:c r="F1200" s="15" t="str">
        <x:f>IF(ISNUMBER(C1200),C1200^4,"")</x:f>
      </x:c>
      <x:c r="G1200" s="7" t="str">
        <x:f>IF(ISNUMBER(B1200),ABS(B1200),"")</x:f>
      </x:c>
      <x:c r="H1200" s="7" t="str">
        <x:f>IF(ISNUMBER(B1200),B1200^2,"")</x:f>
      </x:c>
      <x:c r="I1200" s="7" t="str">
        <x:f>IF(AND(ISNUMBER(G1200),'요약'!$B$19),G1200-'요약'!$B$14,"")</x:f>
      </x:c>
      <x:c r="J1200" s="7" t="str">
        <x:f>IF(AND(ISNUMBER(H1200),'요약'!$B$19),H1200-'요약'!$B$15,"")</x:f>
      </x:c>
      <x:c r="K1200" t="str">
        <x:f>IF(ISNUMBER(B1200),IF('Hill'!$B$4=1,IF(B1200&lt;0,-B1200,""),IF('Hill'!$B$4=2,IF(B1200&gt;0,B1200,""),IF('Hill'!$B$4=3,IF(B1200&lt;&gt;0,ABS(B1200),""),""))),"")</x:f>
      </x:c>
    </x:row>
    <x:row r="1201">
      <x:c r="A1201" t="n">
        <x:f>1200</x:f>
        <x:v>1200</x:v>
      </x:c>
      <x:c r="B1201" s="7" t="str">
        <x:f>IF('요약'!$B$4=4,IF(ISNUMBER('input'!A1201),'input'!A1201,""),IF(1200&lt;=1000,CHOOSE('요약'!$B$4,'input'!B1201,'input'!C1201,'input'!D1201),""))</x:f>
      </x:c>
      <x:c r="C1201" s="7" t="str">
        <x:f>IF(AND(ISNUMBER(B1201),'요약'!$B$19),B1201-'요약'!$B$7,"")</x:f>
      </x:c>
      <x:c r="D1201" s="7" t="str">
        <x:f>IF(ISNUMBER(C1201),C1201^2,"")</x:f>
      </x:c>
      <x:c r="E1201" s="15" t="str">
        <x:f>IF(ISNUMBER(C1201),C1201^3,"")</x:f>
      </x:c>
      <x:c r="F1201" s="15" t="str">
        <x:f>IF(ISNUMBER(C1201),C1201^4,"")</x:f>
      </x:c>
      <x:c r="G1201" s="7" t="str">
        <x:f>IF(ISNUMBER(B1201),ABS(B1201),"")</x:f>
      </x:c>
      <x:c r="H1201" s="7" t="str">
        <x:f>IF(ISNUMBER(B1201),B1201^2,"")</x:f>
      </x:c>
      <x:c r="I1201" s="7" t="str">
        <x:f>IF(AND(ISNUMBER(G1201),'요약'!$B$19),G1201-'요약'!$B$14,"")</x:f>
      </x:c>
      <x:c r="J1201" s="7" t="str">
        <x:f>IF(AND(ISNUMBER(H1201),'요약'!$B$19),H1201-'요약'!$B$15,"")</x:f>
      </x:c>
      <x:c r="K1201" t="str">
        <x:f>IF(ISNUMBER(B1201),IF('Hill'!$B$4=1,IF(B1201&lt;0,-B1201,""),IF('Hill'!$B$4=2,IF(B1201&gt;0,B1201,""),IF('Hill'!$B$4=3,IF(B1201&lt;&gt;0,ABS(B1201),""),""))),"")</x:f>
      </x:c>
    </x:row>
    <x:row r="1202">
      <x:c r="A1202" t="n">
        <x:f>1201</x:f>
        <x:v>1201</x:v>
      </x:c>
      <x:c r="B1202" s="7" t="str">
        <x:f>IF('요약'!$B$4=4,IF(ISNUMBER('input'!A1202),'input'!A1202,""),IF(1201&lt;=1000,CHOOSE('요약'!$B$4,'input'!B1202,'input'!C1202,'input'!D1202),""))</x:f>
      </x:c>
      <x:c r="C1202" s="7" t="str">
        <x:f>IF(AND(ISNUMBER(B1202),'요약'!$B$19),B1202-'요약'!$B$7,"")</x:f>
      </x:c>
      <x:c r="D1202" s="7" t="str">
        <x:f>IF(ISNUMBER(C1202),C1202^2,"")</x:f>
      </x:c>
      <x:c r="E1202" s="15" t="str">
        <x:f>IF(ISNUMBER(C1202),C1202^3,"")</x:f>
      </x:c>
      <x:c r="F1202" s="15" t="str">
        <x:f>IF(ISNUMBER(C1202),C1202^4,"")</x:f>
      </x:c>
      <x:c r="G1202" s="7" t="str">
        <x:f>IF(ISNUMBER(B1202),ABS(B1202),"")</x:f>
      </x:c>
      <x:c r="H1202" s="7" t="str">
        <x:f>IF(ISNUMBER(B1202),B1202^2,"")</x:f>
      </x:c>
      <x:c r="I1202" s="7" t="str">
        <x:f>IF(AND(ISNUMBER(G1202),'요약'!$B$19),G1202-'요약'!$B$14,"")</x:f>
      </x:c>
      <x:c r="J1202" s="7" t="str">
        <x:f>IF(AND(ISNUMBER(H1202),'요약'!$B$19),H1202-'요약'!$B$15,"")</x:f>
      </x:c>
      <x:c r="K1202" t="str">
        <x:f>IF(ISNUMBER(B1202),IF('Hill'!$B$4=1,IF(B1202&lt;0,-B1202,""),IF('Hill'!$B$4=2,IF(B1202&gt;0,B1202,""),IF('Hill'!$B$4=3,IF(B1202&lt;&gt;0,ABS(B1202),""),""))),"")</x:f>
      </x:c>
    </x:row>
    <x:row r="1203">
      <x:c r="A1203" t="n">
        <x:f>1202</x:f>
        <x:v>1202</x:v>
      </x:c>
      <x:c r="B1203" s="7" t="str">
        <x:f>IF('요약'!$B$4=4,IF(ISNUMBER('input'!A1203),'input'!A1203,""),IF(1202&lt;=1000,CHOOSE('요약'!$B$4,'input'!B1203,'input'!C1203,'input'!D1203),""))</x:f>
      </x:c>
      <x:c r="C1203" s="7" t="str">
        <x:f>IF(AND(ISNUMBER(B1203),'요약'!$B$19),B1203-'요약'!$B$7,"")</x:f>
      </x:c>
      <x:c r="D1203" s="7" t="str">
        <x:f>IF(ISNUMBER(C1203),C1203^2,"")</x:f>
      </x:c>
      <x:c r="E1203" s="15" t="str">
        <x:f>IF(ISNUMBER(C1203),C1203^3,"")</x:f>
      </x:c>
      <x:c r="F1203" s="15" t="str">
        <x:f>IF(ISNUMBER(C1203),C1203^4,"")</x:f>
      </x:c>
      <x:c r="G1203" s="7" t="str">
        <x:f>IF(ISNUMBER(B1203),ABS(B1203),"")</x:f>
      </x:c>
      <x:c r="H1203" s="7" t="str">
        <x:f>IF(ISNUMBER(B1203),B1203^2,"")</x:f>
      </x:c>
      <x:c r="I1203" s="7" t="str">
        <x:f>IF(AND(ISNUMBER(G1203),'요약'!$B$19),G1203-'요약'!$B$14,"")</x:f>
      </x:c>
      <x:c r="J1203" s="7" t="str">
        <x:f>IF(AND(ISNUMBER(H1203),'요약'!$B$19),H1203-'요약'!$B$15,"")</x:f>
      </x:c>
      <x:c r="K1203" t="str">
        <x:f>IF(ISNUMBER(B1203),IF('Hill'!$B$4=1,IF(B1203&lt;0,-B1203,""),IF('Hill'!$B$4=2,IF(B1203&gt;0,B1203,""),IF('Hill'!$B$4=3,IF(B1203&lt;&gt;0,ABS(B1203),""),""))),"")</x:f>
      </x:c>
    </x:row>
    <x:row r="1204">
      <x:c r="A1204" t="n">
        <x:f>1203</x:f>
        <x:v>1203</x:v>
      </x:c>
      <x:c r="B1204" s="7" t="str">
        <x:f>IF('요약'!$B$4=4,IF(ISNUMBER('input'!A1204),'input'!A1204,""),IF(1203&lt;=1000,CHOOSE('요약'!$B$4,'input'!B1204,'input'!C1204,'input'!D1204),""))</x:f>
      </x:c>
      <x:c r="C1204" s="7" t="str">
        <x:f>IF(AND(ISNUMBER(B1204),'요약'!$B$19),B1204-'요약'!$B$7,"")</x:f>
      </x:c>
      <x:c r="D1204" s="7" t="str">
        <x:f>IF(ISNUMBER(C1204),C1204^2,"")</x:f>
      </x:c>
      <x:c r="E1204" s="15" t="str">
        <x:f>IF(ISNUMBER(C1204),C1204^3,"")</x:f>
      </x:c>
      <x:c r="F1204" s="15" t="str">
        <x:f>IF(ISNUMBER(C1204),C1204^4,"")</x:f>
      </x:c>
      <x:c r="G1204" s="7" t="str">
        <x:f>IF(ISNUMBER(B1204),ABS(B1204),"")</x:f>
      </x:c>
      <x:c r="H1204" s="7" t="str">
        <x:f>IF(ISNUMBER(B1204),B1204^2,"")</x:f>
      </x:c>
      <x:c r="I1204" s="7" t="str">
        <x:f>IF(AND(ISNUMBER(G1204),'요약'!$B$19),G1204-'요약'!$B$14,"")</x:f>
      </x:c>
      <x:c r="J1204" s="7" t="str">
        <x:f>IF(AND(ISNUMBER(H1204),'요약'!$B$19),H1204-'요약'!$B$15,"")</x:f>
      </x:c>
      <x:c r="K1204" t="str">
        <x:f>IF(ISNUMBER(B1204),IF('Hill'!$B$4=1,IF(B1204&lt;0,-B1204,""),IF('Hill'!$B$4=2,IF(B1204&gt;0,B1204,""),IF('Hill'!$B$4=3,IF(B1204&lt;&gt;0,ABS(B1204),""),""))),"")</x:f>
      </x:c>
    </x:row>
    <x:row r="1205">
      <x:c r="A1205" t="n">
        <x:f>1204</x:f>
        <x:v>1204</x:v>
      </x:c>
      <x:c r="B1205" s="7" t="str">
        <x:f>IF('요약'!$B$4=4,IF(ISNUMBER('input'!A1205),'input'!A1205,""),IF(1204&lt;=1000,CHOOSE('요약'!$B$4,'input'!B1205,'input'!C1205,'input'!D1205),""))</x:f>
      </x:c>
      <x:c r="C1205" s="7" t="str">
        <x:f>IF(AND(ISNUMBER(B1205),'요약'!$B$19),B1205-'요약'!$B$7,"")</x:f>
      </x:c>
      <x:c r="D1205" s="7" t="str">
        <x:f>IF(ISNUMBER(C1205),C1205^2,"")</x:f>
      </x:c>
      <x:c r="E1205" s="15" t="str">
        <x:f>IF(ISNUMBER(C1205),C1205^3,"")</x:f>
      </x:c>
      <x:c r="F1205" s="15" t="str">
        <x:f>IF(ISNUMBER(C1205),C1205^4,"")</x:f>
      </x:c>
      <x:c r="G1205" s="7" t="str">
        <x:f>IF(ISNUMBER(B1205),ABS(B1205),"")</x:f>
      </x:c>
      <x:c r="H1205" s="7" t="str">
        <x:f>IF(ISNUMBER(B1205),B1205^2,"")</x:f>
      </x:c>
      <x:c r="I1205" s="7" t="str">
        <x:f>IF(AND(ISNUMBER(G1205),'요약'!$B$19),G1205-'요약'!$B$14,"")</x:f>
      </x:c>
      <x:c r="J1205" s="7" t="str">
        <x:f>IF(AND(ISNUMBER(H1205),'요약'!$B$19),H1205-'요약'!$B$15,"")</x:f>
      </x:c>
      <x:c r="K1205" t="str">
        <x:f>IF(ISNUMBER(B1205),IF('Hill'!$B$4=1,IF(B1205&lt;0,-B1205,""),IF('Hill'!$B$4=2,IF(B1205&gt;0,B1205,""),IF('Hill'!$B$4=3,IF(B1205&lt;&gt;0,ABS(B1205),""),""))),"")</x:f>
      </x:c>
    </x:row>
    <x:row r="1206">
      <x:c r="A1206" t="n">
        <x:f>1205</x:f>
        <x:v>1205</x:v>
      </x:c>
      <x:c r="B1206" s="7" t="str">
        <x:f>IF('요약'!$B$4=4,IF(ISNUMBER('input'!A1206),'input'!A1206,""),IF(1205&lt;=1000,CHOOSE('요약'!$B$4,'input'!B1206,'input'!C1206,'input'!D1206),""))</x:f>
      </x:c>
      <x:c r="C1206" s="7" t="str">
        <x:f>IF(AND(ISNUMBER(B1206),'요약'!$B$19),B1206-'요약'!$B$7,"")</x:f>
      </x:c>
      <x:c r="D1206" s="7" t="str">
        <x:f>IF(ISNUMBER(C1206),C1206^2,"")</x:f>
      </x:c>
      <x:c r="E1206" s="15" t="str">
        <x:f>IF(ISNUMBER(C1206),C1206^3,"")</x:f>
      </x:c>
      <x:c r="F1206" s="15" t="str">
        <x:f>IF(ISNUMBER(C1206),C1206^4,"")</x:f>
      </x:c>
      <x:c r="G1206" s="7" t="str">
        <x:f>IF(ISNUMBER(B1206),ABS(B1206),"")</x:f>
      </x:c>
      <x:c r="H1206" s="7" t="str">
        <x:f>IF(ISNUMBER(B1206),B1206^2,"")</x:f>
      </x:c>
      <x:c r="I1206" s="7" t="str">
        <x:f>IF(AND(ISNUMBER(G1206),'요약'!$B$19),G1206-'요약'!$B$14,"")</x:f>
      </x:c>
      <x:c r="J1206" s="7" t="str">
        <x:f>IF(AND(ISNUMBER(H1206),'요약'!$B$19),H1206-'요약'!$B$15,"")</x:f>
      </x:c>
      <x:c r="K1206" t="str">
        <x:f>IF(ISNUMBER(B1206),IF('Hill'!$B$4=1,IF(B1206&lt;0,-B1206,""),IF('Hill'!$B$4=2,IF(B1206&gt;0,B1206,""),IF('Hill'!$B$4=3,IF(B1206&lt;&gt;0,ABS(B1206),""),""))),"")</x:f>
      </x:c>
    </x:row>
    <x:row r="1207">
      <x:c r="A1207" t="n">
        <x:f>1206</x:f>
        <x:v>1206</x:v>
      </x:c>
      <x:c r="B1207" s="7" t="str">
        <x:f>IF('요약'!$B$4=4,IF(ISNUMBER('input'!A1207),'input'!A1207,""),IF(1206&lt;=1000,CHOOSE('요약'!$B$4,'input'!B1207,'input'!C1207,'input'!D1207),""))</x:f>
      </x:c>
      <x:c r="C1207" s="7" t="str">
        <x:f>IF(AND(ISNUMBER(B1207),'요약'!$B$19),B1207-'요약'!$B$7,"")</x:f>
      </x:c>
      <x:c r="D1207" s="7" t="str">
        <x:f>IF(ISNUMBER(C1207),C1207^2,"")</x:f>
      </x:c>
      <x:c r="E1207" s="15" t="str">
        <x:f>IF(ISNUMBER(C1207),C1207^3,"")</x:f>
      </x:c>
      <x:c r="F1207" s="15" t="str">
        <x:f>IF(ISNUMBER(C1207),C1207^4,"")</x:f>
      </x:c>
      <x:c r="G1207" s="7" t="str">
        <x:f>IF(ISNUMBER(B1207),ABS(B1207),"")</x:f>
      </x:c>
      <x:c r="H1207" s="7" t="str">
        <x:f>IF(ISNUMBER(B1207),B1207^2,"")</x:f>
      </x:c>
      <x:c r="I1207" s="7" t="str">
        <x:f>IF(AND(ISNUMBER(G1207),'요약'!$B$19),G1207-'요약'!$B$14,"")</x:f>
      </x:c>
      <x:c r="J1207" s="7" t="str">
        <x:f>IF(AND(ISNUMBER(H1207),'요약'!$B$19),H1207-'요약'!$B$15,"")</x:f>
      </x:c>
      <x:c r="K1207" t="str">
        <x:f>IF(ISNUMBER(B1207),IF('Hill'!$B$4=1,IF(B1207&lt;0,-B1207,""),IF('Hill'!$B$4=2,IF(B1207&gt;0,B1207,""),IF('Hill'!$B$4=3,IF(B1207&lt;&gt;0,ABS(B1207),""),""))),"")</x:f>
      </x:c>
    </x:row>
    <x:row r="1208">
      <x:c r="A1208" t="n">
        <x:f>1207</x:f>
        <x:v>1207</x:v>
      </x:c>
      <x:c r="B1208" s="7" t="str">
        <x:f>IF('요약'!$B$4=4,IF(ISNUMBER('input'!A1208),'input'!A1208,""),IF(1207&lt;=1000,CHOOSE('요약'!$B$4,'input'!B1208,'input'!C1208,'input'!D1208),""))</x:f>
      </x:c>
      <x:c r="C1208" s="7" t="str">
        <x:f>IF(AND(ISNUMBER(B1208),'요약'!$B$19),B1208-'요약'!$B$7,"")</x:f>
      </x:c>
      <x:c r="D1208" s="7" t="str">
        <x:f>IF(ISNUMBER(C1208),C1208^2,"")</x:f>
      </x:c>
      <x:c r="E1208" s="15" t="str">
        <x:f>IF(ISNUMBER(C1208),C1208^3,"")</x:f>
      </x:c>
      <x:c r="F1208" s="15" t="str">
        <x:f>IF(ISNUMBER(C1208),C1208^4,"")</x:f>
      </x:c>
      <x:c r="G1208" s="7" t="str">
        <x:f>IF(ISNUMBER(B1208),ABS(B1208),"")</x:f>
      </x:c>
      <x:c r="H1208" s="7" t="str">
        <x:f>IF(ISNUMBER(B1208),B1208^2,"")</x:f>
      </x:c>
      <x:c r="I1208" s="7" t="str">
        <x:f>IF(AND(ISNUMBER(G1208),'요약'!$B$19),G1208-'요약'!$B$14,"")</x:f>
      </x:c>
      <x:c r="J1208" s="7" t="str">
        <x:f>IF(AND(ISNUMBER(H1208),'요약'!$B$19),H1208-'요약'!$B$15,"")</x:f>
      </x:c>
      <x:c r="K1208" t="str">
        <x:f>IF(ISNUMBER(B1208),IF('Hill'!$B$4=1,IF(B1208&lt;0,-B1208,""),IF('Hill'!$B$4=2,IF(B1208&gt;0,B1208,""),IF('Hill'!$B$4=3,IF(B1208&lt;&gt;0,ABS(B1208),""),""))),"")</x:f>
      </x:c>
    </x:row>
    <x:row r="1209">
      <x:c r="A1209" t="n">
        <x:f>1208</x:f>
        <x:v>1208</x:v>
      </x:c>
      <x:c r="B1209" s="7" t="str">
        <x:f>IF('요약'!$B$4=4,IF(ISNUMBER('input'!A1209),'input'!A1209,""),IF(1208&lt;=1000,CHOOSE('요약'!$B$4,'input'!B1209,'input'!C1209,'input'!D1209),""))</x:f>
      </x:c>
      <x:c r="C1209" s="7" t="str">
        <x:f>IF(AND(ISNUMBER(B1209),'요약'!$B$19),B1209-'요약'!$B$7,"")</x:f>
      </x:c>
      <x:c r="D1209" s="7" t="str">
        <x:f>IF(ISNUMBER(C1209),C1209^2,"")</x:f>
      </x:c>
      <x:c r="E1209" s="15" t="str">
        <x:f>IF(ISNUMBER(C1209),C1209^3,"")</x:f>
      </x:c>
      <x:c r="F1209" s="15" t="str">
        <x:f>IF(ISNUMBER(C1209),C1209^4,"")</x:f>
      </x:c>
      <x:c r="G1209" s="7" t="str">
        <x:f>IF(ISNUMBER(B1209),ABS(B1209),"")</x:f>
      </x:c>
      <x:c r="H1209" s="7" t="str">
        <x:f>IF(ISNUMBER(B1209),B1209^2,"")</x:f>
      </x:c>
      <x:c r="I1209" s="7" t="str">
        <x:f>IF(AND(ISNUMBER(G1209),'요약'!$B$19),G1209-'요약'!$B$14,"")</x:f>
      </x:c>
      <x:c r="J1209" s="7" t="str">
        <x:f>IF(AND(ISNUMBER(H1209),'요약'!$B$19),H1209-'요약'!$B$15,"")</x:f>
      </x:c>
      <x:c r="K1209" t="str">
        <x:f>IF(ISNUMBER(B1209),IF('Hill'!$B$4=1,IF(B1209&lt;0,-B1209,""),IF('Hill'!$B$4=2,IF(B1209&gt;0,B1209,""),IF('Hill'!$B$4=3,IF(B1209&lt;&gt;0,ABS(B1209),""),""))),"")</x:f>
      </x:c>
    </x:row>
    <x:row r="1210">
      <x:c r="A1210" t="n">
        <x:f>1209</x:f>
        <x:v>1209</x:v>
      </x:c>
      <x:c r="B1210" s="7" t="str">
        <x:f>IF('요약'!$B$4=4,IF(ISNUMBER('input'!A1210),'input'!A1210,""),IF(1209&lt;=1000,CHOOSE('요약'!$B$4,'input'!B1210,'input'!C1210,'input'!D1210),""))</x:f>
      </x:c>
      <x:c r="C1210" s="7" t="str">
        <x:f>IF(AND(ISNUMBER(B1210),'요약'!$B$19),B1210-'요약'!$B$7,"")</x:f>
      </x:c>
      <x:c r="D1210" s="7" t="str">
        <x:f>IF(ISNUMBER(C1210),C1210^2,"")</x:f>
      </x:c>
      <x:c r="E1210" s="15" t="str">
        <x:f>IF(ISNUMBER(C1210),C1210^3,"")</x:f>
      </x:c>
      <x:c r="F1210" s="15" t="str">
        <x:f>IF(ISNUMBER(C1210),C1210^4,"")</x:f>
      </x:c>
      <x:c r="G1210" s="7" t="str">
        <x:f>IF(ISNUMBER(B1210),ABS(B1210),"")</x:f>
      </x:c>
      <x:c r="H1210" s="7" t="str">
        <x:f>IF(ISNUMBER(B1210),B1210^2,"")</x:f>
      </x:c>
      <x:c r="I1210" s="7" t="str">
        <x:f>IF(AND(ISNUMBER(G1210),'요약'!$B$19),G1210-'요약'!$B$14,"")</x:f>
      </x:c>
      <x:c r="J1210" s="7" t="str">
        <x:f>IF(AND(ISNUMBER(H1210),'요약'!$B$19),H1210-'요약'!$B$15,"")</x:f>
      </x:c>
      <x:c r="K1210" t="str">
        <x:f>IF(ISNUMBER(B1210),IF('Hill'!$B$4=1,IF(B1210&lt;0,-B1210,""),IF('Hill'!$B$4=2,IF(B1210&gt;0,B1210,""),IF('Hill'!$B$4=3,IF(B1210&lt;&gt;0,ABS(B1210),""),""))),"")</x:f>
      </x:c>
    </x:row>
    <x:row r="1211">
      <x:c r="A1211" t="n">
        <x:f>1210</x:f>
        <x:v>1210</x:v>
      </x:c>
      <x:c r="B1211" s="7" t="str">
        <x:f>IF('요약'!$B$4=4,IF(ISNUMBER('input'!A1211),'input'!A1211,""),IF(1210&lt;=1000,CHOOSE('요약'!$B$4,'input'!B1211,'input'!C1211,'input'!D1211),""))</x:f>
      </x:c>
      <x:c r="C1211" s="7" t="str">
        <x:f>IF(AND(ISNUMBER(B1211),'요약'!$B$19),B1211-'요약'!$B$7,"")</x:f>
      </x:c>
      <x:c r="D1211" s="7" t="str">
        <x:f>IF(ISNUMBER(C1211),C1211^2,"")</x:f>
      </x:c>
      <x:c r="E1211" s="15" t="str">
        <x:f>IF(ISNUMBER(C1211),C1211^3,"")</x:f>
      </x:c>
      <x:c r="F1211" s="15" t="str">
        <x:f>IF(ISNUMBER(C1211),C1211^4,"")</x:f>
      </x:c>
      <x:c r="G1211" s="7" t="str">
        <x:f>IF(ISNUMBER(B1211),ABS(B1211),"")</x:f>
      </x:c>
      <x:c r="H1211" s="7" t="str">
        <x:f>IF(ISNUMBER(B1211),B1211^2,"")</x:f>
      </x:c>
      <x:c r="I1211" s="7" t="str">
        <x:f>IF(AND(ISNUMBER(G1211),'요약'!$B$19),G1211-'요약'!$B$14,"")</x:f>
      </x:c>
      <x:c r="J1211" s="7" t="str">
        <x:f>IF(AND(ISNUMBER(H1211),'요약'!$B$19),H1211-'요약'!$B$15,"")</x:f>
      </x:c>
      <x:c r="K1211" t="str">
        <x:f>IF(ISNUMBER(B1211),IF('Hill'!$B$4=1,IF(B1211&lt;0,-B1211,""),IF('Hill'!$B$4=2,IF(B1211&gt;0,B1211,""),IF('Hill'!$B$4=3,IF(B1211&lt;&gt;0,ABS(B1211),""),""))),"")</x:f>
      </x:c>
    </x:row>
    <x:row r="1212">
      <x:c r="A1212" t="n">
        <x:f>1211</x:f>
        <x:v>1211</x:v>
      </x:c>
      <x:c r="B1212" s="7" t="str">
        <x:f>IF('요약'!$B$4=4,IF(ISNUMBER('input'!A1212),'input'!A1212,""),IF(1211&lt;=1000,CHOOSE('요약'!$B$4,'input'!B1212,'input'!C1212,'input'!D1212),""))</x:f>
      </x:c>
      <x:c r="C1212" s="7" t="str">
        <x:f>IF(AND(ISNUMBER(B1212),'요약'!$B$19),B1212-'요약'!$B$7,"")</x:f>
      </x:c>
      <x:c r="D1212" s="7" t="str">
        <x:f>IF(ISNUMBER(C1212),C1212^2,"")</x:f>
      </x:c>
      <x:c r="E1212" s="15" t="str">
        <x:f>IF(ISNUMBER(C1212),C1212^3,"")</x:f>
      </x:c>
      <x:c r="F1212" s="15" t="str">
        <x:f>IF(ISNUMBER(C1212),C1212^4,"")</x:f>
      </x:c>
      <x:c r="G1212" s="7" t="str">
        <x:f>IF(ISNUMBER(B1212),ABS(B1212),"")</x:f>
      </x:c>
      <x:c r="H1212" s="7" t="str">
        <x:f>IF(ISNUMBER(B1212),B1212^2,"")</x:f>
      </x:c>
      <x:c r="I1212" s="7" t="str">
        <x:f>IF(AND(ISNUMBER(G1212),'요약'!$B$19),G1212-'요약'!$B$14,"")</x:f>
      </x:c>
      <x:c r="J1212" s="7" t="str">
        <x:f>IF(AND(ISNUMBER(H1212),'요약'!$B$19),H1212-'요약'!$B$15,"")</x:f>
      </x:c>
      <x:c r="K1212" t="str">
        <x:f>IF(ISNUMBER(B1212),IF('Hill'!$B$4=1,IF(B1212&lt;0,-B1212,""),IF('Hill'!$B$4=2,IF(B1212&gt;0,B1212,""),IF('Hill'!$B$4=3,IF(B1212&lt;&gt;0,ABS(B1212),""),""))),"")</x:f>
      </x:c>
    </x:row>
    <x:row r="1213">
      <x:c r="A1213" t="n">
        <x:f>1212</x:f>
        <x:v>1212</x:v>
      </x:c>
      <x:c r="B1213" s="7" t="str">
        <x:f>IF('요약'!$B$4=4,IF(ISNUMBER('input'!A1213),'input'!A1213,""),IF(1212&lt;=1000,CHOOSE('요약'!$B$4,'input'!B1213,'input'!C1213,'input'!D1213),""))</x:f>
      </x:c>
      <x:c r="C1213" s="7" t="str">
        <x:f>IF(AND(ISNUMBER(B1213),'요약'!$B$19),B1213-'요약'!$B$7,"")</x:f>
      </x:c>
      <x:c r="D1213" s="7" t="str">
        <x:f>IF(ISNUMBER(C1213),C1213^2,"")</x:f>
      </x:c>
      <x:c r="E1213" s="15" t="str">
        <x:f>IF(ISNUMBER(C1213),C1213^3,"")</x:f>
      </x:c>
      <x:c r="F1213" s="15" t="str">
        <x:f>IF(ISNUMBER(C1213),C1213^4,"")</x:f>
      </x:c>
      <x:c r="G1213" s="7" t="str">
        <x:f>IF(ISNUMBER(B1213),ABS(B1213),"")</x:f>
      </x:c>
      <x:c r="H1213" s="7" t="str">
        <x:f>IF(ISNUMBER(B1213),B1213^2,"")</x:f>
      </x:c>
      <x:c r="I1213" s="7" t="str">
        <x:f>IF(AND(ISNUMBER(G1213),'요약'!$B$19),G1213-'요약'!$B$14,"")</x:f>
      </x:c>
      <x:c r="J1213" s="7" t="str">
        <x:f>IF(AND(ISNUMBER(H1213),'요약'!$B$19),H1213-'요약'!$B$15,"")</x:f>
      </x:c>
      <x:c r="K1213" t="str">
        <x:f>IF(ISNUMBER(B1213),IF('Hill'!$B$4=1,IF(B1213&lt;0,-B1213,""),IF('Hill'!$B$4=2,IF(B1213&gt;0,B1213,""),IF('Hill'!$B$4=3,IF(B1213&lt;&gt;0,ABS(B1213),""),""))),"")</x:f>
      </x:c>
    </x:row>
    <x:row r="1214">
      <x:c r="A1214" t="n">
        <x:f>1213</x:f>
        <x:v>1213</x:v>
      </x:c>
      <x:c r="B1214" s="7" t="str">
        <x:f>IF('요약'!$B$4=4,IF(ISNUMBER('input'!A1214),'input'!A1214,""),IF(1213&lt;=1000,CHOOSE('요약'!$B$4,'input'!B1214,'input'!C1214,'input'!D1214),""))</x:f>
      </x:c>
      <x:c r="C1214" s="7" t="str">
        <x:f>IF(AND(ISNUMBER(B1214),'요약'!$B$19),B1214-'요약'!$B$7,"")</x:f>
      </x:c>
      <x:c r="D1214" s="7" t="str">
        <x:f>IF(ISNUMBER(C1214),C1214^2,"")</x:f>
      </x:c>
      <x:c r="E1214" s="15" t="str">
        <x:f>IF(ISNUMBER(C1214),C1214^3,"")</x:f>
      </x:c>
      <x:c r="F1214" s="15" t="str">
        <x:f>IF(ISNUMBER(C1214),C1214^4,"")</x:f>
      </x:c>
      <x:c r="G1214" s="7" t="str">
        <x:f>IF(ISNUMBER(B1214),ABS(B1214),"")</x:f>
      </x:c>
      <x:c r="H1214" s="7" t="str">
        <x:f>IF(ISNUMBER(B1214),B1214^2,"")</x:f>
      </x:c>
      <x:c r="I1214" s="7" t="str">
        <x:f>IF(AND(ISNUMBER(G1214),'요약'!$B$19),G1214-'요약'!$B$14,"")</x:f>
      </x:c>
      <x:c r="J1214" s="7" t="str">
        <x:f>IF(AND(ISNUMBER(H1214),'요약'!$B$19),H1214-'요약'!$B$15,"")</x:f>
      </x:c>
      <x:c r="K1214" t="str">
        <x:f>IF(ISNUMBER(B1214),IF('Hill'!$B$4=1,IF(B1214&lt;0,-B1214,""),IF('Hill'!$B$4=2,IF(B1214&gt;0,B1214,""),IF('Hill'!$B$4=3,IF(B1214&lt;&gt;0,ABS(B1214),""),""))),"")</x:f>
      </x:c>
    </x:row>
    <x:row r="1215">
      <x:c r="A1215" t="n">
        <x:f>1214</x:f>
        <x:v>1214</x:v>
      </x:c>
      <x:c r="B1215" s="7" t="str">
        <x:f>IF('요약'!$B$4=4,IF(ISNUMBER('input'!A1215),'input'!A1215,""),IF(1214&lt;=1000,CHOOSE('요약'!$B$4,'input'!B1215,'input'!C1215,'input'!D1215),""))</x:f>
      </x:c>
      <x:c r="C1215" s="7" t="str">
        <x:f>IF(AND(ISNUMBER(B1215),'요약'!$B$19),B1215-'요약'!$B$7,"")</x:f>
      </x:c>
      <x:c r="D1215" s="7" t="str">
        <x:f>IF(ISNUMBER(C1215),C1215^2,"")</x:f>
      </x:c>
      <x:c r="E1215" s="15" t="str">
        <x:f>IF(ISNUMBER(C1215),C1215^3,"")</x:f>
      </x:c>
      <x:c r="F1215" s="15" t="str">
        <x:f>IF(ISNUMBER(C1215),C1215^4,"")</x:f>
      </x:c>
      <x:c r="G1215" s="7" t="str">
        <x:f>IF(ISNUMBER(B1215),ABS(B1215),"")</x:f>
      </x:c>
      <x:c r="H1215" s="7" t="str">
        <x:f>IF(ISNUMBER(B1215),B1215^2,"")</x:f>
      </x:c>
      <x:c r="I1215" s="7" t="str">
        <x:f>IF(AND(ISNUMBER(G1215),'요약'!$B$19),G1215-'요약'!$B$14,"")</x:f>
      </x:c>
      <x:c r="J1215" s="7" t="str">
        <x:f>IF(AND(ISNUMBER(H1215),'요약'!$B$19),H1215-'요약'!$B$15,"")</x:f>
      </x:c>
      <x:c r="K1215" t="str">
        <x:f>IF(ISNUMBER(B1215),IF('Hill'!$B$4=1,IF(B1215&lt;0,-B1215,""),IF('Hill'!$B$4=2,IF(B1215&gt;0,B1215,""),IF('Hill'!$B$4=3,IF(B1215&lt;&gt;0,ABS(B1215),""),""))),"")</x:f>
      </x:c>
    </x:row>
    <x:row r="1216">
      <x:c r="A1216" t="n">
        <x:f>1215</x:f>
        <x:v>1215</x:v>
      </x:c>
      <x:c r="B1216" s="7" t="str">
        <x:f>IF('요약'!$B$4=4,IF(ISNUMBER('input'!A1216),'input'!A1216,""),IF(1215&lt;=1000,CHOOSE('요약'!$B$4,'input'!B1216,'input'!C1216,'input'!D1216),""))</x:f>
      </x:c>
      <x:c r="C1216" s="7" t="str">
        <x:f>IF(AND(ISNUMBER(B1216),'요약'!$B$19),B1216-'요약'!$B$7,"")</x:f>
      </x:c>
      <x:c r="D1216" s="7" t="str">
        <x:f>IF(ISNUMBER(C1216),C1216^2,"")</x:f>
      </x:c>
      <x:c r="E1216" s="15" t="str">
        <x:f>IF(ISNUMBER(C1216),C1216^3,"")</x:f>
      </x:c>
      <x:c r="F1216" s="15" t="str">
        <x:f>IF(ISNUMBER(C1216),C1216^4,"")</x:f>
      </x:c>
      <x:c r="G1216" s="7" t="str">
        <x:f>IF(ISNUMBER(B1216),ABS(B1216),"")</x:f>
      </x:c>
      <x:c r="H1216" s="7" t="str">
        <x:f>IF(ISNUMBER(B1216),B1216^2,"")</x:f>
      </x:c>
      <x:c r="I1216" s="7" t="str">
        <x:f>IF(AND(ISNUMBER(G1216),'요약'!$B$19),G1216-'요약'!$B$14,"")</x:f>
      </x:c>
      <x:c r="J1216" s="7" t="str">
        <x:f>IF(AND(ISNUMBER(H1216),'요약'!$B$19),H1216-'요약'!$B$15,"")</x:f>
      </x:c>
      <x:c r="K1216" t="str">
        <x:f>IF(ISNUMBER(B1216),IF('Hill'!$B$4=1,IF(B1216&lt;0,-B1216,""),IF('Hill'!$B$4=2,IF(B1216&gt;0,B1216,""),IF('Hill'!$B$4=3,IF(B1216&lt;&gt;0,ABS(B1216),""),""))),"")</x:f>
      </x:c>
    </x:row>
    <x:row r="1217">
      <x:c r="A1217" t="n">
        <x:f>1216</x:f>
        <x:v>1216</x:v>
      </x:c>
      <x:c r="B1217" s="7" t="str">
        <x:f>IF('요약'!$B$4=4,IF(ISNUMBER('input'!A1217),'input'!A1217,""),IF(1216&lt;=1000,CHOOSE('요약'!$B$4,'input'!B1217,'input'!C1217,'input'!D1217),""))</x:f>
      </x:c>
      <x:c r="C1217" s="7" t="str">
        <x:f>IF(AND(ISNUMBER(B1217),'요약'!$B$19),B1217-'요약'!$B$7,"")</x:f>
      </x:c>
      <x:c r="D1217" s="7" t="str">
        <x:f>IF(ISNUMBER(C1217),C1217^2,"")</x:f>
      </x:c>
      <x:c r="E1217" s="15" t="str">
        <x:f>IF(ISNUMBER(C1217),C1217^3,"")</x:f>
      </x:c>
      <x:c r="F1217" s="15" t="str">
        <x:f>IF(ISNUMBER(C1217),C1217^4,"")</x:f>
      </x:c>
      <x:c r="G1217" s="7" t="str">
        <x:f>IF(ISNUMBER(B1217),ABS(B1217),"")</x:f>
      </x:c>
      <x:c r="H1217" s="7" t="str">
        <x:f>IF(ISNUMBER(B1217),B1217^2,"")</x:f>
      </x:c>
      <x:c r="I1217" s="7" t="str">
        <x:f>IF(AND(ISNUMBER(G1217),'요약'!$B$19),G1217-'요약'!$B$14,"")</x:f>
      </x:c>
      <x:c r="J1217" s="7" t="str">
        <x:f>IF(AND(ISNUMBER(H1217),'요약'!$B$19),H1217-'요약'!$B$15,"")</x:f>
      </x:c>
      <x:c r="K1217" t="str">
        <x:f>IF(ISNUMBER(B1217),IF('Hill'!$B$4=1,IF(B1217&lt;0,-B1217,""),IF('Hill'!$B$4=2,IF(B1217&gt;0,B1217,""),IF('Hill'!$B$4=3,IF(B1217&lt;&gt;0,ABS(B1217),""),""))),"")</x:f>
      </x:c>
    </x:row>
    <x:row r="1218">
      <x:c r="A1218" t="n">
        <x:f>1217</x:f>
        <x:v>1217</x:v>
      </x:c>
      <x:c r="B1218" s="7" t="str">
        <x:f>IF('요약'!$B$4=4,IF(ISNUMBER('input'!A1218),'input'!A1218,""),IF(1217&lt;=1000,CHOOSE('요약'!$B$4,'input'!B1218,'input'!C1218,'input'!D1218),""))</x:f>
      </x:c>
      <x:c r="C1218" s="7" t="str">
        <x:f>IF(AND(ISNUMBER(B1218),'요약'!$B$19),B1218-'요약'!$B$7,"")</x:f>
      </x:c>
      <x:c r="D1218" s="7" t="str">
        <x:f>IF(ISNUMBER(C1218),C1218^2,"")</x:f>
      </x:c>
      <x:c r="E1218" s="15" t="str">
        <x:f>IF(ISNUMBER(C1218),C1218^3,"")</x:f>
      </x:c>
      <x:c r="F1218" s="15" t="str">
        <x:f>IF(ISNUMBER(C1218),C1218^4,"")</x:f>
      </x:c>
      <x:c r="G1218" s="7" t="str">
        <x:f>IF(ISNUMBER(B1218),ABS(B1218),"")</x:f>
      </x:c>
      <x:c r="H1218" s="7" t="str">
        <x:f>IF(ISNUMBER(B1218),B1218^2,"")</x:f>
      </x:c>
      <x:c r="I1218" s="7" t="str">
        <x:f>IF(AND(ISNUMBER(G1218),'요약'!$B$19),G1218-'요약'!$B$14,"")</x:f>
      </x:c>
      <x:c r="J1218" s="7" t="str">
        <x:f>IF(AND(ISNUMBER(H1218),'요약'!$B$19),H1218-'요약'!$B$15,"")</x:f>
      </x:c>
      <x:c r="K1218" t="str">
        <x:f>IF(ISNUMBER(B1218),IF('Hill'!$B$4=1,IF(B1218&lt;0,-B1218,""),IF('Hill'!$B$4=2,IF(B1218&gt;0,B1218,""),IF('Hill'!$B$4=3,IF(B1218&lt;&gt;0,ABS(B1218),""),""))),"")</x:f>
      </x:c>
    </x:row>
    <x:row r="1219">
      <x:c r="A1219" t="n">
        <x:f>1218</x:f>
        <x:v>1218</x:v>
      </x:c>
      <x:c r="B1219" s="7" t="str">
        <x:f>IF('요약'!$B$4=4,IF(ISNUMBER('input'!A1219),'input'!A1219,""),IF(1218&lt;=1000,CHOOSE('요약'!$B$4,'input'!B1219,'input'!C1219,'input'!D1219),""))</x:f>
      </x:c>
      <x:c r="C1219" s="7" t="str">
        <x:f>IF(AND(ISNUMBER(B1219),'요약'!$B$19),B1219-'요약'!$B$7,"")</x:f>
      </x:c>
      <x:c r="D1219" s="7" t="str">
        <x:f>IF(ISNUMBER(C1219),C1219^2,"")</x:f>
      </x:c>
      <x:c r="E1219" s="15" t="str">
        <x:f>IF(ISNUMBER(C1219),C1219^3,"")</x:f>
      </x:c>
      <x:c r="F1219" s="15" t="str">
        <x:f>IF(ISNUMBER(C1219),C1219^4,"")</x:f>
      </x:c>
      <x:c r="G1219" s="7" t="str">
        <x:f>IF(ISNUMBER(B1219),ABS(B1219),"")</x:f>
      </x:c>
      <x:c r="H1219" s="7" t="str">
        <x:f>IF(ISNUMBER(B1219),B1219^2,"")</x:f>
      </x:c>
      <x:c r="I1219" s="7" t="str">
        <x:f>IF(AND(ISNUMBER(G1219),'요약'!$B$19),G1219-'요약'!$B$14,"")</x:f>
      </x:c>
      <x:c r="J1219" s="7" t="str">
        <x:f>IF(AND(ISNUMBER(H1219),'요약'!$B$19),H1219-'요약'!$B$15,"")</x:f>
      </x:c>
      <x:c r="K1219" t="str">
        <x:f>IF(ISNUMBER(B1219),IF('Hill'!$B$4=1,IF(B1219&lt;0,-B1219,""),IF('Hill'!$B$4=2,IF(B1219&gt;0,B1219,""),IF('Hill'!$B$4=3,IF(B1219&lt;&gt;0,ABS(B1219),""),""))),"")</x:f>
      </x:c>
    </x:row>
    <x:row r="1220">
      <x:c r="A1220" t="n">
        <x:f>1219</x:f>
        <x:v>1219</x:v>
      </x:c>
      <x:c r="B1220" s="7" t="str">
        <x:f>IF('요약'!$B$4=4,IF(ISNUMBER('input'!A1220),'input'!A1220,""),IF(1219&lt;=1000,CHOOSE('요약'!$B$4,'input'!B1220,'input'!C1220,'input'!D1220),""))</x:f>
      </x:c>
      <x:c r="C1220" s="7" t="str">
        <x:f>IF(AND(ISNUMBER(B1220),'요약'!$B$19),B1220-'요약'!$B$7,"")</x:f>
      </x:c>
      <x:c r="D1220" s="7" t="str">
        <x:f>IF(ISNUMBER(C1220),C1220^2,"")</x:f>
      </x:c>
      <x:c r="E1220" s="15" t="str">
        <x:f>IF(ISNUMBER(C1220),C1220^3,"")</x:f>
      </x:c>
      <x:c r="F1220" s="15" t="str">
        <x:f>IF(ISNUMBER(C1220),C1220^4,"")</x:f>
      </x:c>
      <x:c r="G1220" s="7" t="str">
        <x:f>IF(ISNUMBER(B1220),ABS(B1220),"")</x:f>
      </x:c>
      <x:c r="H1220" s="7" t="str">
        <x:f>IF(ISNUMBER(B1220),B1220^2,"")</x:f>
      </x:c>
      <x:c r="I1220" s="7" t="str">
        <x:f>IF(AND(ISNUMBER(G1220),'요약'!$B$19),G1220-'요약'!$B$14,"")</x:f>
      </x:c>
      <x:c r="J1220" s="7" t="str">
        <x:f>IF(AND(ISNUMBER(H1220),'요약'!$B$19),H1220-'요약'!$B$15,"")</x:f>
      </x:c>
      <x:c r="K1220" t="str">
        <x:f>IF(ISNUMBER(B1220),IF('Hill'!$B$4=1,IF(B1220&lt;0,-B1220,""),IF('Hill'!$B$4=2,IF(B1220&gt;0,B1220,""),IF('Hill'!$B$4=3,IF(B1220&lt;&gt;0,ABS(B1220),""),""))),"")</x:f>
      </x:c>
    </x:row>
    <x:row r="1221">
      <x:c r="A1221" t="n">
        <x:f>1220</x:f>
        <x:v>1220</x:v>
      </x:c>
      <x:c r="B1221" s="7" t="str">
        <x:f>IF('요약'!$B$4=4,IF(ISNUMBER('input'!A1221),'input'!A1221,""),IF(1220&lt;=1000,CHOOSE('요약'!$B$4,'input'!B1221,'input'!C1221,'input'!D1221),""))</x:f>
      </x:c>
      <x:c r="C1221" s="7" t="str">
        <x:f>IF(AND(ISNUMBER(B1221),'요약'!$B$19),B1221-'요약'!$B$7,"")</x:f>
      </x:c>
      <x:c r="D1221" s="7" t="str">
        <x:f>IF(ISNUMBER(C1221),C1221^2,"")</x:f>
      </x:c>
      <x:c r="E1221" s="15" t="str">
        <x:f>IF(ISNUMBER(C1221),C1221^3,"")</x:f>
      </x:c>
      <x:c r="F1221" s="15" t="str">
        <x:f>IF(ISNUMBER(C1221),C1221^4,"")</x:f>
      </x:c>
      <x:c r="G1221" s="7" t="str">
        <x:f>IF(ISNUMBER(B1221),ABS(B1221),"")</x:f>
      </x:c>
      <x:c r="H1221" s="7" t="str">
        <x:f>IF(ISNUMBER(B1221),B1221^2,"")</x:f>
      </x:c>
      <x:c r="I1221" s="7" t="str">
        <x:f>IF(AND(ISNUMBER(G1221),'요약'!$B$19),G1221-'요약'!$B$14,"")</x:f>
      </x:c>
      <x:c r="J1221" s="7" t="str">
        <x:f>IF(AND(ISNUMBER(H1221),'요약'!$B$19),H1221-'요약'!$B$15,"")</x:f>
      </x:c>
      <x:c r="K1221" t="str">
        <x:f>IF(ISNUMBER(B1221),IF('Hill'!$B$4=1,IF(B1221&lt;0,-B1221,""),IF('Hill'!$B$4=2,IF(B1221&gt;0,B1221,""),IF('Hill'!$B$4=3,IF(B1221&lt;&gt;0,ABS(B1221),""),""))),"")</x:f>
      </x:c>
    </x:row>
    <x:row r="1222">
      <x:c r="A1222" t="n">
        <x:f>1221</x:f>
        <x:v>1221</x:v>
      </x:c>
      <x:c r="B1222" s="7" t="str">
        <x:f>IF('요약'!$B$4=4,IF(ISNUMBER('input'!A1222),'input'!A1222,""),IF(1221&lt;=1000,CHOOSE('요약'!$B$4,'input'!B1222,'input'!C1222,'input'!D1222),""))</x:f>
      </x:c>
      <x:c r="C1222" s="7" t="str">
        <x:f>IF(AND(ISNUMBER(B1222),'요약'!$B$19),B1222-'요약'!$B$7,"")</x:f>
      </x:c>
      <x:c r="D1222" s="7" t="str">
        <x:f>IF(ISNUMBER(C1222),C1222^2,"")</x:f>
      </x:c>
      <x:c r="E1222" s="15" t="str">
        <x:f>IF(ISNUMBER(C1222),C1222^3,"")</x:f>
      </x:c>
      <x:c r="F1222" s="15" t="str">
        <x:f>IF(ISNUMBER(C1222),C1222^4,"")</x:f>
      </x:c>
      <x:c r="G1222" s="7" t="str">
        <x:f>IF(ISNUMBER(B1222),ABS(B1222),"")</x:f>
      </x:c>
      <x:c r="H1222" s="7" t="str">
        <x:f>IF(ISNUMBER(B1222),B1222^2,"")</x:f>
      </x:c>
      <x:c r="I1222" s="7" t="str">
        <x:f>IF(AND(ISNUMBER(G1222),'요약'!$B$19),G1222-'요약'!$B$14,"")</x:f>
      </x:c>
      <x:c r="J1222" s="7" t="str">
        <x:f>IF(AND(ISNUMBER(H1222),'요약'!$B$19),H1222-'요약'!$B$15,"")</x:f>
      </x:c>
      <x:c r="K1222" t="str">
        <x:f>IF(ISNUMBER(B1222),IF('Hill'!$B$4=1,IF(B1222&lt;0,-B1222,""),IF('Hill'!$B$4=2,IF(B1222&gt;0,B1222,""),IF('Hill'!$B$4=3,IF(B1222&lt;&gt;0,ABS(B1222),""),""))),"")</x:f>
      </x:c>
    </x:row>
    <x:row r="1223">
      <x:c r="A1223" t="n">
        <x:f>1222</x:f>
        <x:v>1222</x:v>
      </x:c>
      <x:c r="B1223" s="7" t="str">
        <x:f>IF('요약'!$B$4=4,IF(ISNUMBER('input'!A1223),'input'!A1223,""),IF(1222&lt;=1000,CHOOSE('요약'!$B$4,'input'!B1223,'input'!C1223,'input'!D1223),""))</x:f>
      </x:c>
      <x:c r="C1223" s="7" t="str">
        <x:f>IF(AND(ISNUMBER(B1223),'요약'!$B$19),B1223-'요약'!$B$7,"")</x:f>
      </x:c>
      <x:c r="D1223" s="7" t="str">
        <x:f>IF(ISNUMBER(C1223),C1223^2,"")</x:f>
      </x:c>
      <x:c r="E1223" s="15" t="str">
        <x:f>IF(ISNUMBER(C1223),C1223^3,"")</x:f>
      </x:c>
      <x:c r="F1223" s="15" t="str">
        <x:f>IF(ISNUMBER(C1223),C1223^4,"")</x:f>
      </x:c>
      <x:c r="G1223" s="7" t="str">
        <x:f>IF(ISNUMBER(B1223),ABS(B1223),"")</x:f>
      </x:c>
      <x:c r="H1223" s="7" t="str">
        <x:f>IF(ISNUMBER(B1223),B1223^2,"")</x:f>
      </x:c>
      <x:c r="I1223" s="7" t="str">
        <x:f>IF(AND(ISNUMBER(G1223),'요약'!$B$19),G1223-'요약'!$B$14,"")</x:f>
      </x:c>
      <x:c r="J1223" s="7" t="str">
        <x:f>IF(AND(ISNUMBER(H1223),'요약'!$B$19),H1223-'요약'!$B$15,"")</x:f>
      </x:c>
      <x:c r="K1223" t="str">
        <x:f>IF(ISNUMBER(B1223),IF('Hill'!$B$4=1,IF(B1223&lt;0,-B1223,""),IF('Hill'!$B$4=2,IF(B1223&gt;0,B1223,""),IF('Hill'!$B$4=3,IF(B1223&lt;&gt;0,ABS(B1223),""),""))),"")</x:f>
      </x:c>
    </x:row>
    <x:row r="1224">
      <x:c r="A1224" t="n">
        <x:f>1223</x:f>
        <x:v>1223</x:v>
      </x:c>
      <x:c r="B1224" s="7" t="str">
        <x:f>IF('요약'!$B$4=4,IF(ISNUMBER('input'!A1224),'input'!A1224,""),IF(1223&lt;=1000,CHOOSE('요약'!$B$4,'input'!B1224,'input'!C1224,'input'!D1224),""))</x:f>
      </x:c>
      <x:c r="C1224" s="7" t="str">
        <x:f>IF(AND(ISNUMBER(B1224),'요약'!$B$19),B1224-'요약'!$B$7,"")</x:f>
      </x:c>
      <x:c r="D1224" s="7" t="str">
        <x:f>IF(ISNUMBER(C1224),C1224^2,"")</x:f>
      </x:c>
      <x:c r="E1224" s="15" t="str">
        <x:f>IF(ISNUMBER(C1224),C1224^3,"")</x:f>
      </x:c>
      <x:c r="F1224" s="15" t="str">
        <x:f>IF(ISNUMBER(C1224),C1224^4,"")</x:f>
      </x:c>
      <x:c r="G1224" s="7" t="str">
        <x:f>IF(ISNUMBER(B1224),ABS(B1224),"")</x:f>
      </x:c>
      <x:c r="H1224" s="7" t="str">
        <x:f>IF(ISNUMBER(B1224),B1224^2,"")</x:f>
      </x:c>
      <x:c r="I1224" s="7" t="str">
        <x:f>IF(AND(ISNUMBER(G1224),'요약'!$B$19),G1224-'요약'!$B$14,"")</x:f>
      </x:c>
      <x:c r="J1224" s="7" t="str">
        <x:f>IF(AND(ISNUMBER(H1224),'요약'!$B$19),H1224-'요약'!$B$15,"")</x:f>
      </x:c>
      <x:c r="K1224" t="str">
        <x:f>IF(ISNUMBER(B1224),IF('Hill'!$B$4=1,IF(B1224&lt;0,-B1224,""),IF('Hill'!$B$4=2,IF(B1224&gt;0,B1224,""),IF('Hill'!$B$4=3,IF(B1224&lt;&gt;0,ABS(B1224),""),""))),"")</x:f>
      </x:c>
    </x:row>
    <x:row r="1225">
      <x:c r="A1225" t="n">
        <x:f>1224</x:f>
        <x:v>1224</x:v>
      </x:c>
      <x:c r="B1225" s="7" t="str">
        <x:f>IF('요약'!$B$4=4,IF(ISNUMBER('input'!A1225),'input'!A1225,""),IF(1224&lt;=1000,CHOOSE('요약'!$B$4,'input'!B1225,'input'!C1225,'input'!D1225),""))</x:f>
      </x:c>
      <x:c r="C1225" s="7" t="str">
        <x:f>IF(AND(ISNUMBER(B1225),'요약'!$B$19),B1225-'요약'!$B$7,"")</x:f>
      </x:c>
      <x:c r="D1225" s="7" t="str">
        <x:f>IF(ISNUMBER(C1225),C1225^2,"")</x:f>
      </x:c>
      <x:c r="E1225" s="15" t="str">
        <x:f>IF(ISNUMBER(C1225),C1225^3,"")</x:f>
      </x:c>
      <x:c r="F1225" s="15" t="str">
        <x:f>IF(ISNUMBER(C1225),C1225^4,"")</x:f>
      </x:c>
      <x:c r="G1225" s="7" t="str">
        <x:f>IF(ISNUMBER(B1225),ABS(B1225),"")</x:f>
      </x:c>
      <x:c r="H1225" s="7" t="str">
        <x:f>IF(ISNUMBER(B1225),B1225^2,"")</x:f>
      </x:c>
      <x:c r="I1225" s="7" t="str">
        <x:f>IF(AND(ISNUMBER(G1225),'요약'!$B$19),G1225-'요약'!$B$14,"")</x:f>
      </x:c>
      <x:c r="J1225" s="7" t="str">
        <x:f>IF(AND(ISNUMBER(H1225),'요약'!$B$19),H1225-'요약'!$B$15,"")</x:f>
      </x:c>
      <x:c r="K1225" t="str">
        <x:f>IF(ISNUMBER(B1225),IF('Hill'!$B$4=1,IF(B1225&lt;0,-B1225,""),IF('Hill'!$B$4=2,IF(B1225&gt;0,B1225,""),IF('Hill'!$B$4=3,IF(B1225&lt;&gt;0,ABS(B1225),""),""))),"")</x:f>
      </x:c>
    </x:row>
    <x:row r="1226">
      <x:c r="A1226" t="n">
        <x:f>1225</x:f>
        <x:v>1225</x:v>
      </x:c>
      <x:c r="B1226" s="7" t="str">
        <x:f>IF('요약'!$B$4=4,IF(ISNUMBER('input'!A1226),'input'!A1226,""),IF(1225&lt;=1000,CHOOSE('요약'!$B$4,'input'!B1226,'input'!C1226,'input'!D1226),""))</x:f>
      </x:c>
      <x:c r="C1226" s="7" t="str">
        <x:f>IF(AND(ISNUMBER(B1226),'요약'!$B$19),B1226-'요약'!$B$7,"")</x:f>
      </x:c>
      <x:c r="D1226" s="7" t="str">
        <x:f>IF(ISNUMBER(C1226),C1226^2,"")</x:f>
      </x:c>
      <x:c r="E1226" s="15" t="str">
        <x:f>IF(ISNUMBER(C1226),C1226^3,"")</x:f>
      </x:c>
      <x:c r="F1226" s="15" t="str">
        <x:f>IF(ISNUMBER(C1226),C1226^4,"")</x:f>
      </x:c>
      <x:c r="G1226" s="7" t="str">
        <x:f>IF(ISNUMBER(B1226),ABS(B1226),"")</x:f>
      </x:c>
      <x:c r="H1226" s="7" t="str">
        <x:f>IF(ISNUMBER(B1226),B1226^2,"")</x:f>
      </x:c>
      <x:c r="I1226" s="7" t="str">
        <x:f>IF(AND(ISNUMBER(G1226),'요약'!$B$19),G1226-'요약'!$B$14,"")</x:f>
      </x:c>
      <x:c r="J1226" s="7" t="str">
        <x:f>IF(AND(ISNUMBER(H1226),'요약'!$B$19),H1226-'요약'!$B$15,"")</x:f>
      </x:c>
      <x:c r="K1226" t="str">
        <x:f>IF(ISNUMBER(B1226),IF('Hill'!$B$4=1,IF(B1226&lt;0,-B1226,""),IF('Hill'!$B$4=2,IF(B1226&gt;0,B1226,""),IF('Hill'!$B$4=3,IF(B1226&lt;&gt;0,ABS(B1226),""),""))),"")</x:f>
      </x:c>
    </x:row>
    <x:row r="1227">
      <x:c r="A1227" t="n">
        <x:f>1226</x:f>
        <x:v>1226</x:v>
      </x:c>
      <x:c r="B1227" s="7" t="str">
        <x:f>IF('요약'!$B$4=4,IF(ISNUMBER('input'!A1227),'input'!A1227,""),IF(1226&lt;=1000,CHOOSE('요약'!$B$4,'input'!B1227,'input'!C1227,'input'!D1227),""))</x:f>
      </x:c>
      <x:c r="C1227" s="7" t="str">
        <x:f>IF(AND(ISNUMBER(B1227),'요약'!$B$19),B1227-'요약'!$B$7,"")</x:f>
      </x:c>
      <x:c r="D1227" s="7" t="str">
        <x:f>IF(ISNUMBER(C1227),C1227^2,"")</x:f>
      </x:c>
      <x:c r="E1227" s="15" t="str">
        <x:f>IF(ISNUMBER(C1227),C1227^3,"")</x:f>
      </x:c>
      <x:c r="F1227" s="15" t="str">
        <x:f>IF(ISNUMBER(C1227),C1227^4,"")</x:f>
      </x:c>
      <x:c r="G1227" s="7" t="str">
        <x:f>IF(ISNUMBER(B1227),ABS(B1227),"")</x:f>
      </x:c>
      <x:c r="H1227" s="7" t="str">
        <x:f>IF(ISNUMBER(B1227),B1227^2,"")</x:f>
      </x:c>
      <x:c r="I1227" s="7" t="str">
        <x:f>IF(AND(ISNUMBER(G1227),'요약'!$B$19),G1227-'요약'!$B$14,"")</x:f>
      </x:c>
      <x:c r="J1227" s="7" t="str">
        <x:f>IF(AND(ISNUMBER(H1227),'요약'!$B$19),H1227-'요약'!$B$15,"")</x:f>
      </x:c>
      <x:c r="K1227" t="str">
        <x:f>IF(ISNUMBER(B1227),IF('Hill'!$B$4=1,IF(B1227&lt;0,-B1227,""),IF('Hill'!$B$4=2,IF(B1227&gt;0,B1227,""),IF('Hill'!$B$4=3,IF(B1227&lt;&gt;0,ABS(B1227),""),""))),"")</x:f>
      </x:c>
    </x:row>
    <x:row r="1228">
      <x:c r="A1228" t="n">
        <x:f>1227</x:f>
        <x:v>1227</x:v>
      </x:c>
      <x:c r="B1228" s="7" t="str">
        <x:f>IF('요약'!$B$4=4,IF(ISNUMBER('input'!A1228),'input'!A1228,""),IF(1227&lt;=1000,CHOOSE('요약'!$B$4,'input'!B1228,'input'!C1228,'input'!D1228),""))</x:f>
      </x:c>
      <x:c r="C1228" s="7" t="str">
        <x:f>IF(AND(ISNUMBER(B1228),'요약'!$B$19),B1228-'요약'!$B$7,"")</x:f>
      </x:c>
      <x:c r="D1228" s="7" t="str">
        <x:f>IF(ISNUMBER(C1228),C1228^2,"")</x:f>
      </x:c>
      <x:c r="E1228" s="15" t="str">
        <x:f>IF(ISNUMBER(C1228),C1228^3,"")</x:f>
      </x:c>
      <x:c r="F1228" s="15" t="str">
        <x:f>IF(ISNUMBER(C1228),C1228^4,"")</x:f>
      </x:c>
      <x:c r="G1228" s="7" t="str">
        <x:f>IF(ISNUMBER(B1228),ABS(B1228),"")</x:f>
      </x:c>
      <x:c r="H1228" s="7" t="str">
        <x:f>IF(ISNUMBER(B1228),B1228^2,"")</x:f>
      </x:c>
      <x:c r="I1228" s="7" t="str">
        <x:f>IF(AND(ISNUMBER(G1228),'요약'!$B$19),G1228-'요약'!$B$14,"")</x:f>
      </x:c>
      <x:c r="J1228" s="7" t="str">
        <x:f>IF(AND(ISNUMBER(H1228),'요약'!$B$19),H1228-'요약'!$B$15,"")</x:f>
      </x:c>
      <x:c r="K1228" t="str">
        <x:f>IF(ISNUMBER(B1228),IF('Hill'!$B$4=1,IF(B1228&lt;0,-B1228,""),IF('Hill'!$B$4=2,IF(B1228&gt;0,B1228,""),IF('Hill'!$B$4=3,IF(B1228&lt;&gt;0,ABS(B1228),""),""))),"")</x:f>
      </x:c>
    </x:row>
    <x:row r="1229">
      <x:c r="A1229" t="n">
        <x:f>1228</x:f>
        <x:v>1228</x:v>
      </x:c>
      <x:c r="B1229" s="7" t="str">
        <x:f>IF('요약'!$B$4=4,IF(ISNUMBER('input'!A1229),'input'!A1229,""),IF(1228&lt;=1000,CHOOSE('요약'!$B$4,'input'!B1229,'input'!C1229,'input'!D1229),""))</x:f>
      </x:c>
      <x:c r="C1229" s="7" t="str">
        <x:f>IF(AND(ISNUMBER(B1229),'요약'!$B$19),B1229-'요약'!$B$7,"")</x:f>
      </x:c>
      <x:c r="D1229" s="7" t="str">
        <x:f>IF(ISNUMBER(C1229),C1229^2,"")</x:f>
      </x:c>
      <x:c r="E1229" s="15" t="str">
        <x:f>IF(ISNUMBER(C1229),C1229^3,"")</x:f>
      </x:c>
      <x:c r="F1229" s="15" t="str">
        <x:f>IF(ISNUMBER(C1229),C1229^4,"")</x:f>
      </x:c>
      <x:c r="G1229" s="7" t="str">
        <x:f>IF(ISNUMBER(B1229),ABS(B1229),"")</x:f>
      </x:c>
      <x:c r="H1229" s="7" t="str">
        <x:f>IF(ISNUMBER(B1229),B1229^2,"")</x:f>
      </x:c>
      <x:c r="I1229" s="7" t="str">
        <x:f>IF(AND(ISNUMBER(G1229),'요약'!$B$19),G1229-'요약'!$B$14,"")</x:f>
      </x:c>
      <x:c r="J1229" s="7" t="str">
        <x:f>IF(AND(ISNUMBER(H1229),'요약'!$B$19),H1229-'요약'!$B$15,"")</x:f>
      </x:c>
      <x:c r="K1229" t="str">
        <x:f>IF(ISNUMBER(B1229),IF('Hill'!$B$4=1,IF(B1229&lt;0,-B1229,""),IF('Hill'!$B$4=2,IF(B1229&gt;0,B1229,""),IF('Hill'!$B$4=3,IF(B1229&lt;&gt;0,ABS(B1229),""),""))),"")</x:f>
      </x:c>
    </x:row>
    <x:row r="1230">
      <x:c r="A1230" t="n">
        <x:f>1229</x:f>
        <x:v>1229</x:v>
      </x:c>
      <x:c r="B1230" s="7" t="str">
        <x:f>IF('요약'!$B$4=4,IF(ISNUMBER('input'!A1230),'input'!A1230,""),IF(1229&lt;=1000,CHOOSE('요약'!$B$4,'input'!B1230,'input'!C1230,'input'!D1230),""))</x:f>
      </x:c>
      <x:c r="C1230" s="7" t="str">
        <x:f>IF(AND(ISNUMBER(B1230),'요약'!$B$19),B1230-'요약'!$B$7,"")</x:f>
      </x:c>
      <x:c r="D1230" s="7" t="str">
        <x:f>IF(ISNUMBER(C1230),C1230^2,"")</x:f>
      </x:c>
      <x:c r="E1230" s="15" t="str">
        <x:f>IF(ISNUMBER(C1230),C1230^3,"")</x:f>
      </x:c>
      <x:c r="F1230" s="15" t="str">
        <x:f>IF(ISNUMBER(C1230),C1230^4,"")</x:f>
      </x:c>
      <x:c r="G1230" s="7" t="str">
        <x:f>IF(ISNUMBER(B1230),ABS(B1230),"")</x:f>
      </x:c>
      <x:c r="H1230" s="7" t="str">
        <x:f>IF(ISNUMBER(B1230),B1230^2,"")</x:f>
      </x:c>
      <x:c r="I1230" s="7" t="str">
        <x:f>IF(AND(ISNUMBER(G1230),'요약'!$B$19),G1230-'요약'!$B$14,"")</x:f>
      </x:c>
      <x:c r="J1230" s="7" t="str">
        <x:f>IF(AND(ISNUMBER(H1230),'요약'!$B$19),H1230-'요약'!$B$15,"")</x:f>
      </x:c>
      <x:c r="K1230" t="str">
        <x:f>IF(ISNUMBER(B1230),IF('Hill'!$B$4=1,IF(B1230&lt;0,-B1230,""),IF('Hill'!$B$4=2,IF(B1230&gt;0,B1230,""),IF('Hill'!$B$4=3,IF(B1230&lt;&gt;0,ABS(B1230),""),""))),"")</x:f>
      </x:c>
    </x:row>
    <x:row r="1231">
      <x:c r="A1231" t="n">
        <x:f>1230</x:f>
        <x:v>1230</x:v>
      </x:c>
      <x:c r="B1231" s="7" t="str">
        <x:f>IF('요약'!$B$4=4,IF(ISNUMBER('input'!A1231),'input'!A1231,""),IF(1230&lt;=1000,CHOOSE('요약'!$B$4,'input'!B1231,'input'!C1231,'input'!D1231),""))</x:f>
      </x:c>
      <x:c r="C1231" s="7" t="str">
        <x:f>IF(AND(ISNUMBER(B1231),'요약'!$B$19),B1231-'요약'!$B$7,"")</x:f>
      </x:c>
      <x:c r="D1231" s="7" t="str">
        <x:f>IF(ISNUMBER(C1231),C1231^2,"")</x:f>
      </x:c>
      <x:c r="E1231" s="15" t="str">
        <x:f>IF(ISNUMBER(C1231),C1231^3,"")</x:f>
      </x:c>
      <x:c r="F1231" s="15" t="str">
        <x:f>IF(ISNUMBER(C1231),C1231^4,"")</x:f>
      </x:c>
      <x:c r="G1231" s="7" t="str">
        <x:f>IF(ISNUMBER(B1231),ABS(B1231),"")</x:f>
      </x:c>
      <x:c r="H1231" s="7" t="str">
        <x:f>IF(ISNUMBER(B1231),B1231^2,"")</x:f>
      </x:c>
      <x:c r="I1231" s="7" t="str">
        <x:f>IF(AND(ISNUMBER(G1231),'요약'!$B$19),G1231-'요약'!$B$14,"")</x:f>
      </x:c>
      <x:c r="J1231" s="7" t="str">
        <x:f>IF(AND(ISNUMBER(H1231),'요약'!$B$19),H1231-'요약'!$B$15,"")</x:f>
      </x:c>
      <x:c r="K1231" t="str">
        <x:f>IF(ISNUMBER(B1231),IF('Hill'!$B$4=1,IF(B1231&lt;0,-B1231,""),IF('Hill'!$B$4=2,IF(B1231&gt;0,B1231,""),IF('Hill'!$B$4=3,IF(B1231&lt;&gt;0,ABS(B1231),""),""))),"")</x:f>
      </x:c>
    </x:row>
    <x:row r="1232">
      <x:c r="A1232" t="n">
        <x:f>1231</x:f>
        <x:v>1231</x:v>
      </x:c>
      <x:c r="B1232" s="7" t="str">
        <x:f>IF('요약'!$B$4=4,IF(ISNUMBER('input'!A1232),'input'!A1232,""),IF(1231&lt;=1000,CHOOSE('요약'!$B$4,'input'!B1232,'input'!C1232,'input'!D1232),""))</x:f>
      </x:c>
      <x:c r="C1232" s="7" t="str">
        <x:f>IF(AND(ISNUMBER(B1232),'요약'!$B$19),B1232-'요약'!$B$7,"")</x:f>
      </x:c>
      <x:c r="D1232" s="7" t="str">
        <x:f>IF(ISNUMBER(C1232),C1232^2,"")</x:f>
      </x:c>
      <x:c r="E1232" s="15" t="str">
        <x:f>IF(ISNUMBER(C1232),C1232^3,"")</x:f>
      </x:c>
      <x:c r="F1232" s="15" t="str">
        <x:f>IF(ISNUMBER(C1232),C1232^4,"")</x:f>
      </x:c>
      <x:c r="G1232" s="7" t="str">
        <x:f>IF(ISNUMBER(B1232),ABS(B1232),"")</x:f>
      </x:c>
      <x:c r="H1232" s="7" t="str">
        <x:f>IF(ISNUMBER(B1232),B1232^2,"")</x:f>
      </x:c>
      <x:c r="I1232" s="7" t="str">
        <x:f>IF(AND(ISNUMBER(G1232),'요약'!$B$19),G1232-'요약'!$B$14,"")</x:f>
      </x:c>
      <x:c r="J1232" s="7" t="str">
        <x:f>IF(AND(ISNUMBER(H1232),'요약'!$B$19),H1232-'요약'!$B$15,"")</x:f>
      </x:c>
      <x:c r="K1232" t="str">
        <x:f>IF(ISNUMBER(B1232),IF('Hill'!$B$4=1,IF(B1232&lt;0,-B1232,""),IF('Hill'!$B$4=2,IF(B1232&gt;0,B1232,""),IF('Hill'!$B$4=3,IF(B1232&lt;&gt;0,ABS(B1232),""),""))),"")</x:f>
      </x:c>
    </x:row>
    <x:row r="1233">
      <x:c r="A1233" t="n">
        <x:f>1232</x:f>
        <x:v>1232</x:v>
      </x:c>
      <x:c r="B1233" s="7" t="str">
        <x:f>IF('요약'!$B$4=4,IF(ISNUMBER('input'!A1233),'input'!A1233,""),IF(1232&lt;=1000,CHOOSE('요약'!$B$4,'input'!B1233,'input'!C1233,'input'!D1233),""))</x:f>
      </x:c>
      <x:c r="C1233" s="7" t="str">
        <x:f>IF(AND(ISNUMBER(B1233),'요약'!$B$19),B1233-'요약'!$B$7,"")</x:f>
      </x:c>
      <x:c r="D1233" s="7" t="str">
        <x:f>IF(ISNUMBER(C1233),C1233^2,"")</x:f>
      </x:c>
      <x:c r="E1233" s="15" t="str">
        <x:f>IF(ISNUMBER(C1233),C1233^3,"")</x:f>
      </x:c>
      <x:c r="F1233" s="15" t="str">
        <x:f>IF(ISNUMBER(C1233),C1233^4,"")</x:f>
      </x:c>
      <x:c r="G1233" s="7" t="str">
        <x:f>IF(ISNUMBER(B1233),ABS(B1233),"")</x:f>
      </x:c>
      <x:c r="H1233" s="7" t="str">
        <x:f>IF(ISNUMBER(B1233),B1233^2,"")</x:f>
      </x:c>
      <x:c r="I1233" s="7" t="str">
        <x:f>IF(AND(ISNUMBER(G1233),'요약'!$B$19),G1233-'요약'!$B$14,"")</x:f>
      </x:c>
      <x:c r="J1233" s="7" t="str">
        <x:f>IF(AND(ISNUMBER(H1233),'요약'!$B$19),H1233-'요약'!$B$15,"")</x:f>
      </x:c>
      <x:c r="K1233" t="str">
        <x:f>IF(ISNUMBER(B1233),IF('Hill'!$B$4=1,IF(B1233&lt;0,-B1233,""),IF('Hill'!$B$4=2,IF(B1233&gt;0,B1233,""),IF('Hill'!$B$4=3,IF(B1233&lt;&gt;0,ABS(B1233),""),""))),"")</x:f>
      </x:c>
    </x:row>
    <x:row r="1234">
      <x:c r="A1234" t="n">
        <x:f>1233</x:f>
        <x:v>1233</x:v>
      </x:c>
      <x:c r="B1234" s="7" t="str">
        <x:f>IF('요약'!$B$4=4,IF(ISNUMBER('input'!A1234),'input'!A1234,""),IF(1233&lt;=1000,CHOOSE('요약'!$B$4,'input'!B1234,'input'!C1234,'input'!D1234),""))</x:f>
      </x:c>
      <x:c r="C1234" s="7" t="str">
        <x:f>IF(AND(ISNUMBER(B1234),'요약'!$B$19),B1234-'요약'!$B$7,"")</x:f>
      </x:c>
      <x:c r="D1234" s="7" t="str">
        <x:f>IF(ISNUMBER(C1234),C1234^2,"")</x:f>
      </x:c>
      <x:c r="E1234" s="15" t="str">
        <x:f>IF(ISNUMBER(C1234),C1234^3,"")</x:f>
      </x:c>
      <x:c r="F1234" s="15" t="str">
        <x:f>IF(ISNUMBER(C1234),C1234^4,"")</x:f>
      </x:c>
      <x:c r="G1234" s="7" t="str">
        <x:f>IF(ISNUMBER(B1234),ABS(B1234),"")</x:f>
      </x:c>
      <x:c r="H1234" s="7" t="str">
        <x:f>IF(ISNUMBER(B1234),B1234^2,"")</x:f>
      </x:c>
      <x:c r="I1234" s="7" t="str">
        <x:f>IF(AND(ISNUMBER(G1234),'요약'!$B$19),G1234-'요약'!$B$14,"")</x:f>
      </x:c>
      <x:c r="J1234" s="7" t="str">
        <x:f>IF(AND(ISNUMBER(H1234),'요약'!$B$19),H1234-'요약'!$B$15,"")</x:f>
      </x:c>
      <x:c r="K1234" t="str">
        <x:f>IF(ISNUMBER(B1234),IF('Hill'!$B$4=1,IF(B1234&lt;0,-B1234,""),IF('Hill'!$B$4=2,IF(B1234&gt;0,B1234,""),IF('Hill'!$B$4=3,IF(B1234&lt;&gt;0,ABS(B1234),""),""))),"")</x:f>
      </x:c>
    </x:row>
    <x:row r="1235">
      <x:c r="A1235" t="n">
        <x:f>1234</x:f>
        <x:v>1234</x:v>
      </x:c>
      <x:c r="B1235" s="7" t="str">
        <x:f>IF('요약'!$B$4=4,IF(ISNUMBER('input'!A1235),'input'!A1235,""),IF(1234&lt;=1000,CHOOSE('요약'!$B$4,'input'!B1235,'input'!C1235,'input'!D1235),""))</x:f>
      </x:c>
      <x:c r="C1235" s="7" t="str">
        <x:f>IF(AND(ISNUMBER(B1235),'요약'!$B$19),B1235-'요약'!$B$7,"")</x:f>
      </x:c>
      <x:c r="D1235" s="7" t="str">
        <x:f>IF(ISNUMBER(C1235),C1235^2,"")</x:f>
      </x:c>
      <x:c r="E1235" s="15" t="str">
        <x:f>IF(ISNUMBER(C1235),C1235^3,"")</x:f>
      </x:c>
      <x:c r="F1235" s="15" t="str">
        <x:f>IF(ISNUMBER(C1235),C1235^4,"")</x:f>
      </x:c>
      <x:c r="G1235" s="7" t="str">
        <x:f>IF(ISNUMBER(B1235),ABS(B1235),"")</x:f>
      </x:c>
      <x:c r="H1235" s="7" t="str">
        <x:f>IF(ISNUMBER(B1235),B1235^2,"")</x:f>
      </x:c>
      <x:c r="I1235" s="7" t="str">
        <x:f>IF(AND(ISNUMBER(G1235),'요약'!$B$19),G1235-'요약'!$B$14,"")</x:f>
      </x:c>
      <x:c r="J1235" s="7" t="str">
        <x:f>IF(AND(ISNUMBER(H1235),'요약'!$B$19),H1235-'요약'!$B$15,"")</x:f>
      </x:c>
      <x:c r="K1235" t="str">
        <x:f>IF(ISNUMBER(B1235),IF('Hill'!$B$4=1,IF(B1235&lt;0,-B1235,""),IF('Hill'!$B$4=2,IF(B1235&gt;0,B1235,""),IF('Hill'!$B$4=3,IF(B1235&lt;&gt;0,ABS(B1235),""),""))),"")</x:f>
      </x:c>
    </x:row>
    <x:row r="1236">
      <x:c r="A1236" t="n">
        <x:f>1235</x:f>
        <x:v>1235</x:v>
      </x:c>
      <x:c r="B1236" s="7" t="str">
        <x:f>IF('요약'!$B$4=4,IF(ISNUMBER('input'!A1236),'input'!A1236,""),IF(1235&lt;=1000,CHOOSE('요약'!$B$4,'input'!B1236,'input'!C1236,'input'!D1236),""))</x:f>
      </x:c>
      <x:c r="C1236" s="7" t="str">
        <x:f>IF(AND(ISNUMBER(B1236),'요약'!$B$19),B1236-'요약'!$B$7,"")</x:f>
      </x:c>
      <x:c r="D1236" s="7" t="str">
        <x:f>IF(ISNUMBER(C1236),C1236^2,"")</x:f>
      </x:c>
      <x:c r="E1236" s="15" t="str">
        <x:f>IF(ISNUMBER(C1236),C1236^3,"")</x:f>
      </x:c>
      <x:c r="F1236" s="15" t="str">
        <x:f>IF(ISNUMBER(C1236),C1236^4,"")</x:f>
      </x:c>
      <x:c r="G1236" s="7" t="str">
        <x:f>IF(ISNUMBER(B1236),ABS(B1236),"")</x:f>
      </x:c>
      <x:c r="H1236" s="7" t="str">
        <x:f>IF(ISNUMBER(B1236),B1236^2,"")</x:f>
      </x:c>
      <x:c r="I1236" s="7" t="str">
        <x:f>IF(AND(ISNUMBER(G1236),'요약'!$B$19),G1236-'요약'!$B$14,"")</x:f>
      </x:c>
      <x:c r="J1236" s="7" t="str">
        <x:f>IF(AND(ISNUMBER(H1236),'요약'!$B$19),H1236-'요약'!$B$15,"")</x:f>
      </x:c>
      <x:c r="K1236" t="str">
        <x:f>IF(ISNUMBER(B1236),IF('Hill'!$B$4=1,IF(B1236&lt;0,-B1236,""),IF('Hill'!$B$4=2,IF(B1236&gt;0,B1236,""),IF('Hill'!$B$4=3,IF(B1236&lt;&gt;0,ABS(B1236),""),""))),"")</x:f>
      </x:c>
    </x:row>
    <x:row r="1237">
      <x:c r="A1237" t="n">
        <x:f>1236</x:f>
        <x:v>1236</x:v>
      </x:c>
      <x:c r="B1237" s="7" t="str">
        <x:f>IF('요약'!$B$4=4,IF(ISNUMBER('input'!A1237),'input'!A1237,""),IF(1236&lt;=1000,CHOOSE('요약'!$B$4,'input'!B1237,'input'!C1237,'input'!D1237),""))</x:f>
      </x:c>
      <x:c r="C1237" s="7" t="str">
        <x:f>IF(AND(ISNUMBER(B1237),'요약'!$B$19),B1237-'요약'!$B$7,"")</x:f>
      </x:c>
      <x:c r="D1237" s="7" t="str">
        <x:f>IF(ISNUMBER(C1237),C1237^2,"")</x:f>
      </x:c>
      <x:c r="E1237" s="15" t="str">
        <x:f>IF(ISNUMBER(C1237),C1237^3,"")</x:f>
      </x:c>
      <x:c r="F1237" s="15" t="str">
        <x:f>IF(ISNUMBER(C1237),C1237^4,"")</x:f>
      </x:c>
      <x:c r="G1237" s="7" t="str">
        <x:f>IF(ISNUMBER(B1237),ABS(B1237),"")</x:f>
      </x:c>
      <x:c r="H1237" s="7" t="str">
        <x:f>IF(ISNUMBER(B1237),B1237^2,"")</x:f>
      </x:c>
      <x:c r="I1237" s="7" t="str">
        <x:f>IF(AND(ISNUMBER(G1237),'요약'!$B$19),G1237-'요약'!$B$14,"")</x:f>
      </x:c>
      <x:c r="J1237" s="7" t="str">
        <x:f>IF(AND(ISNUMBER(H1237),'요약'!$B$19),H1237-'요약'!$B$15,"")</x:f>
      </x:c>
      <x:c r="K1237" t="str">
        <x:f>IF(ISNUMBER(B1237),IF('Hill'!$B$4=1,IF(B1237&lt;0,-B1237,""),IF('Hill'!$B$4=2,IF(B1237&gt;0,B1237,""),IF('Hill'!$B$4=3,IF(B1237&lt;&gt;0,ABS(B1237),""),""))),"")</x:f>
      </x:c>
    </x:row>
    <x:row r="1238">
      <x:c r="A1238" t="n">
        <x:f>1237</x:f>
        <x:v>1237</x:v>
      </x:c>
      <x:c r="B1238" s="7" t="str">
        <x:f>IF('요약'!$B$4=4,IF(ISNUMBER('input'!A1238),'input'!A1238,""),IF(1237&lt;=1000,CHOOSE('요약'!$B$4,'input'!B1238,'input'!C1238,'input'!D1238),""))</x:f>
      </x:c>
      <x:c r="C1238" s="7" t="str">
        <x:f>IF(AND(ISNUMBER(B1238),'요약'!$B$19),B1238-'요약'!$B$7,"")</x:f>
      </x:c>
      <x:c r="D1238" s="7" t="str">
        <x:f>IF(ISNUMBER(C1238),C1238^2,"")</x:f>
      </x:c>
      <x:c r="E1238" s="15" t="str">
        <x:f>IF(ISNUMBER(C1238),C1238^3,"")</x:f>
      </x:c>
      <x:c r="F1238" s="15" t="str">
        <x:f>IF(ISNUMBER(C1238),C1238^4,"")</x:f>
      </x:c>
      <x:c r="G1238" s="7" t="str">
        <x:f>IF(ISNUMBER(B1238),ABS(B1238),"")</x:f>
      </x:c>
      <x:c r="H1238" s="7" t="str">
        <x:f>IF(ISNUMBER(B1238),B1238^2,"")</x:f>
      </x:c>
      <x:c r="I1238" s="7" t="str">
        <x:f>IF(AND(ISNUMBER(G1238),'요약'!$B$19),G1238-'요약'!$B$14,"")</x:f>
      </x:c>
      <x:c r="J1238" s="7" t="str">
        <x:f>IF(AND(ISNUMBER(H1238),'요약'!$B$19),H1238-'요약'!$B$15,"")</x:f>
      </x:c>
      <x:c r="K1238" t="str">
        <x:f>IF(ISNUMBER(B1238),IF('Hill'!$B$4=1,IF(B1238&lt;0,-B1238,""),IF('Hill'!$B$4=2,IF(B1238&gt;0,B1238,""),IF('Hill'!$B$4=3,IF(B1238&lt;&gt;0,ABS(B1238),""),""))),"")</x:f>
      </x:c>
    </x:row>
    <x:row r="1239">
      <x:c r="A1239" t="n">
        <x:f>1238</x:f>
        <x:v>1238</x:v>
      </x:c>
      <x:c r="B1239" s="7" t="str">
        <x:f>IF('요약'!$B$4=4,IF(ISNUMBER('input'!A1239),'input'!A1239,""),IF(1238&lt;=1000,CHOOSE('요약'!$B$4,'input'!B1239,'input'!C1239,'input'!D1239),""))</x:f>
      </x:c>
      <x:c r="C1239" s="7" t="str">
        <x:f>IF(AND(ISNUMBER(B1239),'요약'!$B$19),B1239-'요약'!$B$7,"")</x:f>
      </x:c>
      <x:c r="D1239" s="7" t="str">
        <x:f>IF(ISNUMBER(C1239),C1239^2,"")</x:f>
      </x:c>
      <x:c r="E1239" s="15" t="str">
        <x:f>IF(ISNUMBER(C1239),C1239^3,"")</x:f>
      </x:c>
      <x:c r="F1239" s="15" t="str">
        <x:f>IF(ISNUMBER(C1239),C1239^4,"")</x:f>
      </x:c>
      <x:c r="G1239" s="7" t="str">
        <x:f>IF(ISNUMBER(B1239),ABS(B1239),"")</x:f>
      </x:c>
      <x:c r="H1239" s="7" t="str">
        <x:f>IF(ISNUMBER(B1239),B1239^2,"")</x:f>
      </x:c>
      <x:c r="I1239" s="7" t="str">
        <x:f>IF(AND(ISNUMBER(G1239),'요약'!$B$19),G1239-'요약'!$B$14,"")</x:f>
      </x:c>
      <x:c r="J1239" s="7" t="str">
        <x:f>IF(AND(ISNUMBER(H1239),'요약'!$B$19),H1239-'요약'!$B$15,"")</x:f>
      </x:c>
      <x:c r="K1239" t="str">
        <x:f>IF(ISNUMBER(B1239),IF('Hill'!$B$4=1,IF(B1239&lt;0,-B1239,""),IF('Hill'!$B$4=2,IF(B1239&gt;0,B1239,""),IF('Hill'!$B$4=3,IF(B1239&lt;&gt;0,ABS(B1239),""),""))),"")</x:f>
      </x:c>
    </x:row>
    <x:row r="1240">
      <x:c r="A1240" t="n">
        <x:f>1239</x:f>
        <x:v>1239</x:v>
      </x:c>
      <x:c r="B1240" s="7" t="str">
        <x:f>IF('요약'!$B$4=4,IF(ISNUMBER('input'!A1240),'input'!A1240,""),IF(1239&lt;=1000,CHOOSE('요약'!$B$4,'input'!B1240,'input'!C1240,'input'!D1240),""))</x:f>
      </x:c>
      <x:c r="C1240" s="7" t="str">
        <x:f>IF(AND(ISNUMBER(B1240),'요약'!$B$19),B1240-'요약'!$B$7,"")</x:f>
      </x:c>
      <x:c r="D1240" s="7" t="str">
        <x:f>IF(ISNUMBER(C1240),C1240^2,"")</x:f>
      </x:c>
      <x:c r="E1240" s="15" t="str">
        <x:f>IF(ISNUMBER(C1240),C1240^3,"")</x:f>
      </x:c>
      <x:c r="F1240" s="15" t="str">
        <x:f>IF(ISNUMBER(C1240),C1240^4,"")</x:f>
      </x:c>
      <x:c r="G1240" s="7" t="str">
        <x:f>IF(ISNUMBER(B1240),ABS(B1240),"")</x:f>
      </x:c>
      <x:c r="H1240" s="7" t="str">
        <x:f>IF(ISNUMBER(B1240),B1240^2,"")</x:f>
      </x:c>
      <x:c r="I1240" s="7" t="str">
        <x:f>IF(AND(ISNUMBER(G1240),'요약'!$B$19),G1240-'요약'!$B$14,"")</x:f>
      </x:c>
      <x:c r="J1240" s="7" t="str">
        <x:f>IF(AND(ISNUMBER(H1240),'요약'!$B$19),H1240-'요약'!$B$15,"")</x:f>
      </x:c>
      <x:c r="K1240" t="str">
        <x:f>IF(ISNUMBER(B1240),IF('Hill'!$B$4=1,IF(B1240&lt;0,-B1240,""),IF('Hill'!$B$4=2,IF(B1240&gt;0,B1240,""),IF('Hill'!$B$4=3,IF(B1240&lt;&gt;0,ABS(B1240),""),""))),"")</x:f>
      </x:c>
    </x:row>
    <x:row r="1241">
      <x:c r="A1241" t="n">
        <x:f>1240</x:f>
        <x:v>1240</x:v>
      </x:c>
      <x:c r="B1241" s="7" t="str">
        <x:f>IF('요약'!$B$4=4,IF(ISNUMBER('input'!A1241),'input'!A1241,""),IF(1240&lt;=1000,CHOOSE('요약'!$B$4,'input'!B1241,'input'!C1241,'input'!D1241),""))</x:f>
      </x:c>
      <x:c r="C1241" s="7" t="str">
        <x:f>IF(AND(ISNUMBER(B1241),'요약'!$B$19),B1241-'요약'!$B$7,"")</x:f>
      </x:c>
      <x:c r="D1241" s="7" t="str">
        <x:f>IF(ISNUMBER(C1241),C1241^2,"")</x:f>
      </x:c>
      <x:c r="E1241" s="15" t="str">
        <x:f>IF(ISNUMBER(C1241),C1241^3,"")</x:f>
      </x:c>
      <x:c r="F1241" s="15" t="str">
        <x:f>IF(ISNUMBER(C1241),C1241^4,"")</x:f>
      </x:c>
      <x:c r="G1241" s="7" t="str">
        <x:f>IF(ISNUMBER(B1241),ABS(B1241),"")</x:f>
      </x:c>
      <x:c r="H1241" s="7" t="str">
        <x:f>IF(ISNUMBER(B1241),B1241^2,"")</x:f>
      </x:c>
      <x:c r="I1241" s="7" t="str">
        <x:f>IF(AND(ISNUMBER(G1241),'요약'!$B$19),G1241-'요약'!$B$14,"")</x:f>
      </x:c>
      <x:c r="J1241" s="7" t="str">
        <x:f>IF(AND(ISNUMBER(H1241),'요약'!$B$19),H1241-'요약'!$B$15,"")</x:f>
      </x:c>
      <x:c r="K1241" t="str">
        <x:f>IF(ISNUMBER(B1241),IF('Hill'!$B$4=1,IF(B1241&lt;0,-B1241,""),IF('Hill'!$B$4=2,IF(B1241&gt;0,B1241,""),IF('Hill'!$B$4=3,IF(B1241&lt;&gt;0,ABS(B1241),""),""))),"")</x:f>
      </x:c>
    </x:row>
    <x:row r="1242">
      <x:c r="A1242" t="n">
        <x:f>1241</x:f>
        <x:v>1241</x:v>
      </x:c>
      <x:c r="B1242" s="7" t="str">
        <x:f>IF('요약'!$B$4=4,IF(ISNUMBER('input'!A1242),'input'!A1242,""),IF(1241&lt;=1000,CHOOSE('요약'!$B$4,'input'!B1242,'input'!C1242,'input'!D1242),""))</x:f>
      </x:c>
      <x:c r="C1242" s="7" t="str">
        <x:f>IF(AND(ISNUMBER(B1242),'요약'!$B$19),B1242-'요약'!$B$7,"")</x:f>
      </x:c>
      <x:c r="D1242" s="7" t="str">
        <x:f>IF(ISNUMBER(C1242),C1242^2,"")</x:f>
      </x:c>
      <x:c r="E1242" s="15" t="str">
        <x:f>IF(ISNUMBER(C1242),C1242^3,"")</x:f>
      </x:c>
      <x:c r="F1242" s="15" t="str">
        <x:f>IF(ISNUMBER(C1242),C1242^4,"")</x:f>
      </x:c>
      <x:c r="G1242" s="7" t="str">
        <x:f>IF(ISNUMBER(B1242),ABS(B1242),"")</x:f>
      </x:c>
      <x:c r="H1242" s="7" t="str">
        <x:f>IF(ISNUMBER(B1242),B1242^2,"")</x:f>
      </x:c>
      <x:c r="I1242" s="7" t="str">
        <x:f>IF(AND(ISNUMBER(G1242),'요약'!$B$19),G1242-'요약'!$B$14,"")</x:f>
      </x:c>
      <x:c r="J1242" s="7" t="str">
        <x:f>IF(AND(ISNUMBER(H1242),'요약'!$B$19),H1242-'요약'!$B$15,"")</x:f>
      </x:c>
      <x:c r="K1242" t="str">
        <x:f>IF(ISNUMBER(B1242),IF('Hill'!$B$4=1,IF(B1242&lt;0,-B1242,""),IF('Hill'!$B$4=2,IF(B1242&gt;0,B1242,""),IF('Hill'!$B$4=3,IF(B1242&lt;&gt;0,ABS(B1242),""),""))),"")</x:f>
      </x:c>
    </x:row>
    <x:row r="1243">
      <x:c r="A1243" t="n">
        <x:f>1242</x:f>
        <x:v>1242</x:v>
      </x:c>
      <x:c r="B1243" s="7" t="str">
        <x:f>IF('요약'!$B$4=4,IF(ISNUMBER('input'!A1243),'input'!A1243,""),IF(1242&lt;=1000,CHOOSE('요약'!$B$4,'input'!B1243,'input'!C1243,'input'!D1243),""))</x:f>
      </x:c>
      <x:c r="C1243" s="7" t="str">
        <x:f>IF(AND(ISNUMBER(B1243),'요약'!$B$19),B1243-'요약'!$B$7,"")</x:f>
      </x:c>
      <x:c r="D1243" s="7" t="str">
        <x:f>IF(ISNUMBER(C1243),C1243^2,"")</x:f>
      </x:c>
      <x:c r="E1243" s="15" t="str">
        <x:f>IF(ISNUMBER(C1243),C1243^3,"")</x:f>
      </x:c>
      <x:c r="F1243" s="15" t="str">
        <x:f>IF(ISNUMBER(C1243),C1243^4,"")</x:f>
      </x:c>
      <x:c r="G1243" s="7" t="str">
        <x:f>IF(ISNUMBER(B1243),ABS(B1243),"")</x:f>
      </x:c>
      <x:c r="H1243" s="7" t="str">
        <x:f>IF(ISNUMBER(B1243),B1243^2,"")</x:f>
      </x:c>
      <x:c r="I1243" s="7" t="str">
        <x:f>IF(AND(ISNUMBER(G1243),'요약'!$B$19),G1243-'요약'!$B$14,"")</x:f>
      </x:c>
      <x:c r="J1243" s="7" t="str">
        <x:f>IF(AND(ISNUMBER(H1243),'요약'!$B$19),H1243-'요약'!$B$15,"")</x:f>
      </x:c>
      <x:c r="K1243" t="str">
        <x:f>IF(ISNUMBER(B1243),IF('Hill'!$B$4=1,IF(B1243&lt;0,-B1243,""),IF('Hill'!$B$4=2,IF(B1243&gt;0,B1243,""),IF('Hill'!$B$4=3,IF(B1243&lt;&gt;0,ABS(B1243),""),""))),"")</x:f>
      </x:c>
    </x:row>
    <x:row r="1244">
      <x:c r="A1244" t="n">
        <x:f>1243</x:f>
        <x:v>1243</x:v>
      </x:c>
      <x:c r="B1244" s="7" t="str">
        <x:f>IF('요약'!$B$4=4,IF(ISNUMBER('input'!A1244),'input'!A1244,""),IF(1243&lt;=1000,CHOOSE('요약'!$B$4,'input'!B1244,'input'!C1244,'input'!D1244),""))</x:f>
      </x:c>
      <x:c r="C1244" s="7" t="str">
        <x:f>IF(AND(ISNUMBER(B1244),'요약'!$B$19),B1244-'요약'!$B$7,"")</x:f>
      </x:c>
      <x:c r="D1244" s="7" t="str">
        <x:f>IF(ISNUMBER(C1244),C1244^2,"")</x:f>
      </x:c>
      <x:c r="E1244" s="15" t="str">
        <x:f>IF(ISNUMBER(C1244),C1244^3,"")</x:f>
      </x:c>
      <x:c r="F1244" s="15" t="str">
        <x:f>IF(ISNUMBER(C1244),C1244^4,"")</x:f>
      </x:c>
      <x:c r="G1244" s="7" t="str">
        <x:f>IF(ISNUMBER(B1244),ABS(B1244),"")</x:f>
      </x:c>
      <x:c r="H1244" s="7" t="str">
        <x:f>IF(ISNUMBER(B1244),B1244^2,"")</x:f>
      </x:c>
      <x:c r="I1244" s="7" t="str">
        <x:f>IF(AND(ISNUMBER(G1244),'요약'!$B$19),G1244-'요약'!$B$14,"")</x:f>
      </x:c>
      <x:c r="J1244" s="7" t="str">
        <x:f>IF(AND(ISNUMBER(H1244),'요약'!$B$19),H1244-'요약'!$B$15,"")</x:f>
      </x:c>
      <x:c r="K1244" t="str">
        <x:f>IF(ISNUMBER(B1244),IF('Hill'!$B$4=1,IF(B1244&lt;0,-B1244,""),IF('Hill'!$B$4=2,IF(B1244&gt;0,B1244,""),IF('Hill'!$B$4=3,IF(B1244&lt;&gt;0,ABS(B1244),""),""))),"")</x:f>
      </x:c>
    </x:row>
    <x:row r="1245">
      <x:c r="A1245" t="n">
        <x:f>1244</x:f>
        <x:v>1244</x:v>
      </x:c>
      <x:c r="B1245" s="7" t="str">
        <x:f>IF('요약'!$B$4=4,IF(ISNUMBER('input'!A1245),'input'!A1245,""),IF(1244&lt;=1000,CHOOSE('요약'!$B$4,'input'!B1245,'input'!C1245,'input'!D1245),""))</x:f>
      </x:c>
      <x:c r="C1245" s="7" t="str">
        <x:f>IF(AND(ISNUMBER(B1245),'요약'!$B$19),B1245-'요약'!$B$7,"")</x:f>
      </x:c>
      <x:c r="D1245" s="7" t="str">
        <x:f>IF(ISNUMBER(C1245),C1245^2,"")</x:f>
      </x:c>
      <x:c r="E1245" s="15" t="str">
        <x:f>IF(ISNUMBER(C1245),C1245^3,"")</x:f>
      </x:c>
      <x:c r="F1245" s="15" t="str">
        <x:f>IF(ISNUMBER(C1245),C1245^4,"")</x:f>
      </x:c>
      <x:c r="G1245" s="7" t="str">
        <x:f>IF(ISNUMBER(B1245),ABS(B1245),"")</x:f>
      </x:c>
      <x:c r="H1245" s="7" t="str">
        <x:f>IF(ISNUMBER(B1245),B1245^2,"")</x:f>
      </x:c>
      <x:c r="I1245" s="7" t="str">
        <x:f>IF(AND(ISNUMBER(G1245),'요약'!$B$19),G1245-'요약'!$B$14,"")</x:f>
      </x:c>
      <x:c r="J1245" s="7" t="str">
        <x:f>IF(AND(ISNUMBER(H1245),'요약'!$B$19),H1245-'요약'!$B$15,"")</x:f>
      </x:c>
      <x:c r="K1245" t="str">
        <x:f>IF(ISNUMBER(B1245),IF('Hill'!$B$4=1,IF(B1245&lt;0,-B1245,""),IF('Hill'!$B$4=2,IF(B1245&gt;0,B1245,""),IF('Hill'!$B$4=3,IF(B1245&lt;&gt;0,ABS(B1245),""),""))),"")</x:f>
      </x:c>
    </x:row>
    <x:row r="1246">
      <x:c r="A1246" t="n">
        <x:f>1245</x:f>
        <x:v>1245</x:v>
      </x:c>
      <x:c r="B1246" s="7" t="str">
        <x:f>IF('요약'!$B$4=4,IF(ISNUMBER('input'!A1246),'input'!A1246,""),IF(1245&lt;=1000,CHOOSE('요약'!$B$4,'input'!B1246,'input'!C1246,'input'!D1246),""))</x:f>
      </x:c>
      <x:c r="C1246" s="7" t="str">
        <x:f>IF(AND(ISNUMBER(B1246),'요약'!$B$19),B1246-'요약'!$B$7,"")</x:f>
      </x:c>
      <x:c r="D1246" s="7" t="str">
        <x:f>IF(ISNUMBER(C1246),C1246^2,"")</x:f>
      </x:c>
      <x:c r="E1246" s="15" t="str">
        <x:f>IF(ISNUMBER(C1246),C1246^3,"")</x:f>
      </x:c>
      <x:c r="F1246" s="15" t="str">
        <x:f>IF(ISNUMBER(C1246),C1246^4,"")</x:f>
      </x:c>
      <x:c r="G1246" s="7" t="str">
        <x:f>IF(ISNUMBER(B1246),ABS(B1246),"")</x:f>
      </x:c>
      <x:c r="H1246" s="7" t="str">
        <x:f>IF(ISNUMBER(B1246),B1246^2,"")</x:f>
      </x:c>
      <x:c r="I1246" s="7" t="str">
        <x:f>IF(AND(ISNUMBER(G1246),'요약'!$B$19),G1246-'요약'!$B$14,"")</x:f>
      </x:c>
      <x:c r="J1246" s="7" t="str">
        <x:f>IF(AND(ISNUMBER(H1246),'요약'!$B$19),H1246-'요약'!$B$15,"")</x:f>
      </x:c>
      <x:c r="K1246" t="str">
        <x:f>IF(ISNUMBER(B1246),IF('Hill'!$B$4=1,IF(B1246&lt;0,-B1246,""),IF('Hill'!$B$4=2,IF(B1246&gt;0,B1246,""),IF('Hill'!$B$4=3,IF(B1246&lt;&gt;0,ABS(B1246),""),""))),"")</x:f>
      </x:c>
    </x:row>
    <x:row r="1247">
      <x:c r="A1247" t="n">
        <x:f>1246</x:f>
        <x:v>1246</x:v>
      </x:c>
      <x:c r="B1247" s="7" t="str">
        <x:f>IF('요약'!$B$4=4,IF(ISNUMBER('input'!A1247),'input'!A1247,""),IF(1246&lt;=1000,CHOOSE('요약'!$B$4,'input'!B1247,'input'!C1247,'input'!D1247),""))</x:f>
      </x:c>
      <x:c r="C1247" s="7" t="str">
        <x:f>IF(AND(ISNUMBER(B1247),'요약'!$B$19),B1247-'요약'!$B$7,"")</x:f>
      </x:c>
      <x:c r="D1247" s="7" t="str">
        <x:f>IF(ISNUMBER(C1247),C1247^2,"")</x:f>
      </x:c>
      <x:c r="E1247" s="15" t="str">
        <x:f>IF(ISNUMBER(C1247),C1247^3,"")</x:f>
      </x:c>
      <x:c r="F1247" s="15" t="str">
        <x:f>IF(ISNUMBER(C1247),C1247^4,"")</x:f>
      </x:c>
      <x:c r="G1247" s="7" t="str">
        <x:f>IF(ISNUMBER(B1247),ABS(B1247),"")</x:f>
      </x:c>
      <x:c r="H1247" s="7" t="str">
        <x:f>IF(ISNUMBER(B1247),B1247^2,"")</x:f>
      </x:c>
      <x:c r="I1247" s="7" t="str">
        <x:f>IF(AND(ISNUMBER(G1247),'요약'!$B$19),G1247-'요약'!$B$14,"")</x:f>
      </x:c>
      <x:c r="J1247" s="7" t="str">
        <x:f>IF(AND(ISNUMBER(H1247),'요약'!$B$19),H1247-'요약'!$B$15,"")</x:f>
      </x:c>
      <x:c r="K1247" t="str">
        <x:f>IF(ISNUMBER(B1247),IF('Hill'!$B$4=1,IF(B1247&lt;0,-B1247,""),IF('Hill'!$B$4=2,IF(B1247&gt;0,B1247,""),IF('Hill'!$B$4=3,IF(B1247&lt;&gt;0,ABS(B1247),""),""))),"")</x:f>
      </x:c>
    </x:row>
    <x:row r="1248">
      <x:c r="A1248" t="n">
        <x:f>1247</x:f>
        <x:v>1247</x:v>
      </x:c>
      <x:c r="B1248" s="7" t="str">
        <x:f>IF('요약'!$B$4=4,IF(ISNUMBER('input'!A1248),'input'!A1248,""),IF(1247&lt;=1000,CHOOSE('요약'!$B$4,'input'!B1248,'input'!C1248,'input'!D1248),""))</x:f>
      </x:c>
      <x:c r="C1248" s="7" t="str">
        <x:f>IF(AND(ISNUMBER(B1248),'요약'!$B$19),B1248-'요약'!$B$7,"")</x:f>
      </x:c>
      <x:c r="D1248" s="7" t="str">
        <x:f>IF(ISNUMBER(C1248),C1248^2,"")</x:f>
      </x:c>
      <x:c r="E1248" s="15" t="str">
        <x:f>IF(ISNUMBER(C1248),C1248^3,"")</x:f>
      </x:c>
      <x:c r="F1248" s="15" t="str">
        <x:f>IF(ISNUMBER(C1248),C1248^4,"")</x:f>
      </x:c>
      <x:c r="G1248" s="7" t="str">
        <x:f>IF(ISNUMBER(B1248),ABS(B1248),"")</x:f>
      </x:c>
      <x:c r="H1248" s="7" t="str">
        <x:f>IF(ISNUMBER(B1248),B1248^2,"")</x:f>
      </x:c>
      <x:c r="I1248" s="7" t="str">
        <x:f>IF(AND(ISNUMBER(G1248),'요약'!$B$19),G1248-'요약'!$B$14,"")</x:f>
      </x:c>
      <x:c r="J1248" s="7" t="str">
        <x:f>IF(AND(ISNUMBER(H1248),'요약'!$B$19),H1248-'요약'!$B$15,"")</x:f>
      </x:c>
      <x:c r="K1248" t="str">
        <x:f>IF(ISNUMBER(B1248),IF('Hill'!$B$4=1,IF(B1248&lt;0,-B1248,""),IF('Hill'!$B$4=2,IF(B1248&gt;0,B1248,""),IF('Hill'!$B$4=3,IF(B1248&lt;&gt;0,ABS(B1248),""),""))),"")</x:f>
      </x:c>
    </x:row>
    <x:row r="1249">
      <x:c r="A1249" t="n">
        <x:f>1248</x:f>
        <x:v>1248</x:v>
      </x:c>
      <x:c r="B1249" s="7" t="str">
        <x:f>IF('요약'!$B$4=4,IF(ISNUMBER('input'!A1249),'input'!A1249,""),IF(1248&lt;=1000,CHOOSE('요약'!$B$4,'input'!B1249,'input'!C1249,'input'!D1249),""))</x:f>
      </x:c>
      <x:c r="C1249" s="7" t="str">
        <x:f>IF(AND(ISNUMBER(B1249),'요약'!$B$19),B1249-'요약'!$B$7,"")</x:f>
      </x:c>
      <x:c r="D1249" s="7" t="str">
        <x:f>IF(ISNUMBER(C1249),C1249^2,"")</x:f>
      </x:c>
      <x:c r="E1249" s="15" t="str">
        <x:f>IF(ISNUMBER(C1249),C1249^3,"")</x:f>
      </x:c>
      <x:c r="F1249" s="15" t="str">
        <x:f>IF(ISNUMBER(C1249),C1249^4,"")</x:f>
      </x:c>
      <x:c r="G1249" s="7" t="str">
        <x:f>IF(ISNUMBER(B1249),ABS(B1249),"")</x:f>
      </x:c>
      <x:c r="H1249" s="7" t="str">
        <x:f>IF(ISNUMBER(B1249),B1249^2,"")</x:f>
      </x:c>
      <x:c r="I1249" s="7" t="str">
        <x:f>IF(AND(ISNUMBER(G1249),'요약'!$B$19),G1249-'요약'!$B$14,"")</x:f>
      </x:c>
      <x:c r="J1249" s="7" t="str">
        <x:f>IF(AND(ISNUMBER(H1249),'요약'!$B$19),H1249-'요약'!$B$15,"")</x:f>
      </x:c>
      <x:c r="K1249" t="str">
        <x:f>IF(ISNUMBER(B1249),IF('Hill'!$B$4=1,IF(B1249&lt;0,-B1249,""),IF('Hill'!$B$4=2,IF(B1249&gt;0,B1249,""),IF('Hill'!$B$4=3,IF(B1249&lt;&gt;0,ABS(B1249),""),""))),"")</x:f>
      </x:c>
    </x:row>
    <x:row r="1250">
      <x:c r="A1250" t="n">
        <x:f>1249</x:f>
        <x:v>1249</x:v>
      </x:c>
      <x:c r="B1250" s="7" t="str">
        <x:f>IF('요약'!$B$4=4,IF(ISNUMBER('input'!A1250),'input'!A1250,""),IF(1249&lt;=1000,CHOOSE('요약'!$B$4,'input'!B1250,'input'!C1250,'input'!D1250),""))</x:f>
      </x:c>
      <x:c r="C1250" s="7" t="str">
        <x:f>IF(AND(ISNUMBER(B1250),'요약'!$B$19),B1250-'요약'!$B$7,"")</x:f>
      </x:c>
      <x:c r="D1250" s="7" t="str">
        <x:f>IF(ISNUMBER(C1250),C1250^2,"")</x:f>
      </x:c>
      <x:c r="E1250" s="15" t="str">
        <x:f>IF(ISNUMBER(C1250),C1250^3,"")</x:f>
      </x:c>
      <x:c r="F1250" s="15" t="str">
        <x:f>IF(ISNUMBER(C1250),C1250^4,"")</x:f>
      </x:c>
      <x:c r="G1250" s="7" t="str">
        <x:f>IF(ISNUMBER(B1250),ABS(B1250),"")</x:f>
      </x:c>
      <x:c r="H1250" s="7" t="str">
        <x:f>IF(ISNUMBER(B1250),B1250^2,"")</x:f>
      </x:c>
      <x:c r="I1250" s="7" t="str">
        <x:f>IF(AND(ISNUMBER(G1250),'요약'!$B$19),G1250-'요약'!$B$14,"")</x:f>
      </x:c>
      <x:c r="J1250" s="7" t="str">
        <x:f>IF(AND(ISNUMBER(H1250),'요약'!$B$19),H1250-'요약'!$B$15,"")</x:f>
      </x:c>
      <x:c r="K1250" t="str">
        <x:f>IF(ISNUMBER(B1250),IF('Hill'!$B$4=1,IF(B1250&lt;0,-B1250,""),IF('Hill'!$B$4=2,IF(B1250&gt;0,B1250,""),IF('Hill'!$B$4=3,IF(B1250&lt;&gt;0,ABS(B1250),""),""))),"")</x:f>
      </x:c>
    </x:row>
    <x:row r="1251">
      <x:c r="A1251" t="n">
        <x:f>1250</x:f>
        <x:v>1250</x:v>
      </x:c>
      <x:c r="B1251" s="7" t="str">
        <x:f>IF('요약'!$B$4=4,IF(ISNUMBER('input'!A1251),'input'!A1251,""),IF(1250&lt;=1000,CHOOSE('요약'!$B$4,'input'!B1251,'input'!C1251,'input'!D1251),""))</x:f>
      </x:c>
      <x:c r="C1251" s="7" t="str">
        <x:f>IF(AND(ISNUMBER(B1251),'요약'!$B$19),B1251-'요약'!$B$7,"")</x:f>
      </x:c>
      <x:c r="D1251" s="7" t="str">
        <x:f>IF(ISNUMBER(C1251),C1251^2,"")</x:f>
      </x:c>
      <x:c r="E1251" s="15" t="str">
        <x:f>IF(ISNUMBER(C1251),C1251^3,"")</x:f>
      </x:c>
      <x:c r="F1251" s="15" t="str">
        <x:f>IF(ISNUMBER(C1251),C1251^4,"")</x:f>
      </x:c>
      <x:c r="G1251" s="7" t="str">
        <x:f>IF(ISNUMBER(B1251),ABS(B1251),"")</x:f>
      </x:c>
      <x:c r="H1251" s="7" t="str">
        <x:f>IF(ISNUMBER(B1251),B1251^2,"")</x:f>
      </x:c>
      <x:c r="I1251" s="7" t="str">
        <x:f>IF(AND(ISNUMBER(G1251),'요약'!$B$19),G1251-'요약'!$B$14,"")</x:f>
      </x:c>
      <x:c r="J1251" s="7" t="str">
        <x:f>IF(AND(ISNUMBER(H1251),'요약'!$B$19),H1251-'요약'!$B$15,"")</x:f>
      </x:c>
      <x:c r="K1251" t="str">
        <x:f>IF(ISNUMBER(B1251),IF('Hill'!$B$4=1,IF(B1251&lt;0,-B1251,""),IF('Hill'!$B$4=2,IF(B1251&gt;0,B1251,""),IF('Hill'!$B$4=3,IF(B1251&lt;&gt;0,ABS(B1251),""),""))),"")</x:f>
      </x:c>
    </x:row>
    <x:row r="1252">
      <x:c r="A1252" t="n">
        <x:f>1251</x:f>
        <x:v>1251</x:v>
      </x:c>
      <x:c r="B1252" s="7" t="str">
        <x:f>IF('요약'!$B$4=4,IF(ISNUMBER('input'!A1252),'input'!A1252,""),IF(1251&lt;=1000,CHOOSE('요약'!$B$4,'input'!B1252,'input'!C1252,'input'!D1252),""))</x:f>
      </x:c>
      <x:c r="C1252" s="7" t="str">
        <x:f>IF(AND(ISNUMBER(B1252),'요약'!$B$19),B1252-'요약'!$B$7,"")</x:f>
      </x:c>
      <x:c r="D1252" s="7" t="str">
        <x:f>IF(ISNUMBER(C1252),C1252^2,"")</x:f>
      </x:c>
      <x:c r="E1252" s="15" t="str">
        <x:f>IF(ISNUMBER(C1252),C1252^3,"")</x:f>
      </x:c>
      <x:c r="F1252" s="15" t="str">
        <x:f>IF(ISNUMBER(C1252),C1252^4,"")</x:f>
      </x:c>
      <x:c r="G1252" s="7" t="str">
        <x:f>IF(ISNUMBER(B1252),ABS(B1252),"")</x:f>
      </x:c>
      <x:c r="H1252" s="7" t="str">
        <x:f>IF(ISNUMBER(B1252),B1252^2,"")</x:f>
      </x:c>
      <x:c r="I1252" s="7" t="str">
        <x:f>IF(AND(ISNUMBER(G1252),'요약'!$B$19),G1252-'요약'!$B$14,"")</x:f>
      </x:c>
      <x:c r="J1252" s="7" t="str">
        <x:f>IF(AND(ISNUMBER(H1252),'요약'!$B$19),H1252-'요약'!$B$15,"")</x:f>
      </x:c>
      <x:c r="K1252" t="str">
        <x:f>IF(ISNUMBER(B1252),IF('Hill'!$B$4=1,IF(B1252&lt;0,-B1252,""),IF('Hill'!$B$4=2,IF(B1252&gt;0,B1252,""),IF('Hill'!$B$4=3,IF(B1252&lt;&gt;0,ABS(B1252),""),""))),"")</x:f>
      </x:c>
    </x:row>
    <x:row r="1253">
      <x:c r="A1253" t="n">
        <x:f>1252</x:f>
        <x:v>1252</x:v>
      </x:c>
      <x:c r="B1253" s="7" t="str">
        <x:f>IF('요약'!$B$4=4,IF(ISNUMBER('input'!A1253),'input'!A1253,""),IF(1252&lt;=1000,CHOOSE('요약'!$B$4,'input'!B1253,'input'!C1253,'input'!D1253),""))</x:f>
      </x:c>
      <x:c r="C1253" s="7" t="str">
        <x:f>IF(AND(ISNUMBER(B1253),'요약'!$B$19),B1253-'요약'!$B$7,"")</x:f>
      </x:c>
      <x:c r="D1253" s="7" t="str">
        <x:f>IF(ISNUMBER(C1253),C1253^2,"")</x:f>
      </x:c>
      <x:c r="E1253" s="15" t="str">
        <x:f>IF(ISNUMBER(C1253),C1253^3,"")</x:f>
      </x:c>
      <x:c r="F1253" s="15" t="str">
        <x:f>IF(ISNUMBER(C1253),C1253^4,"")</x:f>
      </x:c>
      <x:c r="G1253" s="7" t="str">
        <x:f>IF(ISNUMBER(B1253),ABS(B1253),"")</x:f>
      </x:c>
      <x:c r="H1253" s="7" t="str">
        <x:f>IF(ISNUMBER(B1253),B1253^2,"")</x:f>
      </x:c>
      <x:c r="I1253" s="7" t="str">
        <x:f>IF(AND(ISNUMBER(G1253),'요약'!$B$19),G1253-'요약'!$B$14,"")</x:f>
      </x:c>
      <x:c r="J1253" s="7" t="str">
        <x:f>IF(AND(ISNUMBER(H1253),'요약'!$B$19),H1253-'요약'!$B$15,"")</x:f>
      </x:c>
      <x:c r="K1253" t="str">
        <x:f>IF(ISNUMBER(B1253),IF('Hill'!$B$4=1,IF(B1253&lt;0,-B1253,""),IF('Hill'!$B$4=2,IF(B1253&gt;0,B1253,""),IF('Hill'!$B$4=3,IF(B1253&lt;&gt;0,ABS(B1253),""),""))),"")</x:f>
      </x:c>
    </x:row>
    <x:row r="1254">
      <x:c r="A1254" t="n">
        <x:f>1253</x:f>
        <x:v>1253</x:v>
      </x:c>
      <x:c r="B1254" s="7" t="str">
        <x:f>IF('요약'!$B$4=4,IF(ISNUMBER('input'!A1254),'input'!A1254,""),IF(1253&lt;=1000,CHOOSE('요약'!$B$4,'input'!B1254,'input'!C1254,'input'!D1254),""))</x:f>
      </x:c>
      <x:c r="C1254" s="7" t="str">
        <x:f>IF(AND(ISNUMBER(B1254),'요약'!$B$19),B1254-'요약'!$B$7,"")</x:f>
      </x:c>
      <x:c r="D1254" s="7" t="str">
        <x:f>IF(ISNUMBER(C1254),C1254^2,"")</x:f>
      </x:c>
      <x:c r="E1254" s="15" t="str">
        <x:f>IF(ISNUMBER(C1254),C1254^3,"")</x:f>
      </x:c>
      <x:c r="F1254" s="15" t="str">
        <x:f>IF(ISNUMBER(C1254),C1254^4,"")</x:f>
      </x:c>
      <x:c r="G1254" s="7" t="str">
        <x:f>IF(ISNUMBER(B1254),ABS(B1254),"")</x:f>
      </x:c>
      <x:c r="H1254" s="7" t="str">
        <x:f>IF(ISNUMBER(B1254),B1254^2,"")</x:f>
      </x:c>
      <x:c r="I1254" s="7" t="str">
        <x:f>IF(AND(ISNUMBER(G1254),'요약'!$B$19),G1254-'요약'!$B$14,"")</x:f>
      </x:c>
      <x:c r="J1254" s="7" t="str">
        <x:f>IF(AND(ISNUMBER(H1254),'요약'!$B$19),H1254-'요약'!$B$15,"")</x:f>
      </x:c>
      <x:c r="K1254" t="str">
        <x:f>IF(ISNUMBER(B1254),IF('Hill'!$B$4=1,IF(B1254&lt;0,-B1254,""),IF('Hill'!$B$4=2,IF(B1254&gt;0,B1254,""),IF('Hill'!$B$4=3,IF(B1254&lt;&gt;0,ABS(B1254),""),""))),"")</x:f>
      </x:c>
    </x:row>
    <x:row r="1255">
      <x:c r="A1255" t="n">
        <x:f>1254</x:f>
        <x:v>1254</x:v>
      </x:c>
      <x:c r="B1255" s="7" t="str">
        <x:f>IF('요약'!$B$4=4,IF(ISNUMBER('input'!A1255),'input'!A1255,""),IF(1254&lt;=1000,CHOOSE('요약'!$B$4,'input'!B1255,'input'!C1255,'input'!D1255),""))</x:f>
      </x:c>
      <x:c r="C1255" s="7" t="str">
        <x:f>IF(AND(ISNUMBER(B1255),'요약'!$B$19),B1255-'요약'!$B$7,"")</x:f>
      </x:c>
      <x:c r="D1255" s="7" t="str">
        <x:f>IF(ISNUMBER(C1255),C1255^2,"")</x:f>
      </x:c>
      <x:c r="E1255" s="15" t="str">
        <x:f>IF(ISNUMBER(C1255),C1255^3,"")</x:f>
      </x:c>
      <x:c r="F1255" s="15" t="str">
        <x:f>IF(ISNUMBER(C1255),C1255^4,"")</x:f>
      </x:c>
      <x:c r="G1255" s="7" t="str">
        <x:f>IF(ISNUMBER(B1255),ABS(B1255),"")</x:f>
      </x:c>
      <x:c r="H1255" s="7" t="str">
        <x:f>IF(ISNUMBER(B1255),B1255^2,"")</x:f>
      </x:c>
      <x:c r="I1255" s="7" t="str">
        <x:f>IF(AND(ISNUMBER(G1255),'요약'!$B$19),G1255-'요약'!$B$14,"")</x:f>
      </x:c>
      <x:c r="J1255" s="7" t="str">
        <x:f>IF(AND(ISNUMBER(H1255),'요약'!$B$19),H1255-'요약'!$B$15,"")</x:f>
      </x:c>
      <x:c r="K1255" t="str">
        <x:f>IF(ISNUMBER(B1255),IF('Hill'!$B$4=1,IF(B1255&lt;0,-B1255,""),IF('Hill'!$B$4=2,IF(B1255&gt;0,B1255,""),IF('Hill'!$B$4=3,IF(B1255&lt;&gt;0,ABS(B1255),""),""))),"")</x:f>
      </x:c>
    </x:row>
    <x:row r="1256">
      <x:c r="A1256" t="n">
        <x:f>1255</x:f>
        <x:v>1255</x:v>
      </x:c>
      <x:c r="B1256" s="7" t="str">
        <x:f>IF('요약'!$B$4=4,IF(ISNUMBER('input'!A1256),'input'!A1256,""),IF(1255&lt;=1000,CHOOSE('요약'!$B$4,'input'!B1256,'input'!C1256,'input'!D1256),""))</x:f>
      </x:c>
      <x:c r="C1256" s="7" t="str">
        <x:f>IF(AND(ISNUMBER(B1256),'요약'!$B$19),B1256-'요약'!$B$7,"")</x:f>
      </x:c>
      <x:c r="D1256" s="7" t="str">
        <x:f>IF(ISNUMBER(C1256),C1256^2,"")</x:f>
      </x:c>
      <x:c r="E1256" s="15" t="str">
        <x:f>IF(ISNUMBER(C1256),C1256^3,"")</x:f>
      </x:c>
      <x:c r="F1256" s="15" t="str">
        <x:f>IF(ISNUMBER(C1256),C1256^4,"")</x:f>
      </x:c>
      <x:c r="G1256" s="7" t="str">
        <x:f>IF(ISNUMBER(B1256),ABS(B1256),"")</x:f>
      </x:c>
      <x:c r="H1256" s="7" t="str">
        <x:f>IF(ISNUMBER(B1256),B1256^2,"")</x:f>
      </x:c>
      <x:c r="I1256" s="7" t="str">
        <x:f>IF(AND(ISNUMBER(G1256),'요약'!$B$19),G1256-'요약'!$B$14,"")</x:f>
      </x:c>
      <x:c r="J1256" s="7" t="str">
        <x:f>IF(AND(ISNUMBER(H1256),'요약'!$B$19),H1256-'요약'!$B$15,"")</x:f>
      </x:c>
      <x:c r="K1256" t="str">
        <x:f>IF(ISNUMBER(B1256),IF('Hill'!$B$4=1,IF(B1256&lt;0,-B1256,""),IF('Hill'!$B$4=2,IF(B1256&gt;0,B1256,""),IF('Hill'!$B$4=3,IF(B1256&lt;&gt;0,ABS(B1256),""),""))),"")</x:f>
      </x:c>
    </x:row>
    <x:row r="1257">
      <x:c r="A1257" t="n">
        <x:f>1256</x:f>
        <x:v>1256</x:v>
      </x:c>
      <x:c r="B1257" s="7" t="str">
        <x:f>IF('요약'!$B$4=4,IF(ISNUMBER('input'!A1257),'input'!A1257,""),IF(1256&lt;=1000,CHOOSE('요약'!$B$4,'input'!B1257,'input'!C1257,'input'!D1257),""))</x:f>
      </x:c>
      <x:c r="C1257" s="7" t="str">
        <x:f>IF(AND(ISNUMBER(B1257),'요약'!$B$19),B1257-'요약'!$B$7,"")</x:f>
      </x:c>
      <x:c r="D1257" s="7" t="str">
        <x:f>IF(ISNUMBER(C1257),C1257^2,"")</x:f>
      </x:c>
      <x:c r="E1257" s="15" t="str">
        <x:f>IF(ISNUMBER(C1257),C1257^3,"")</x:f>
      </x:c>
      <x:c r="F1257" s="15" t="str">
        <x:f>IF(ISNUMBER(C1257),C1257^4,"")</x:f>
      </x:c>
      <x:c r="G1257" s="7" t="str">
        <x:f>IF(ISNUMBER(B1257),ABS(B1257),"")</x:f>
      </x:c>
      <x:c r="H1257" s="7" t="str">
        <x:f>IF(ISNUMBER(B1257),B1257^2,"")</x:f>
      </x:c>
      <x:c r="I1257" s="7" t="str">
        <x:f>IF(AND(ISNUMBER(G1257),'요약'!$B$19),G1257-'요약'!$B$14,"")</x:f>
      </x:c>
      <x:c r="J1257" s="7" t="str">
        <x:f>IF(AND(ISNUMBER(H1257),'요약'!$B$19),H1257-'요약'!$B$15,"")</x:f>
      </x:c>
      <x:c r="K1257" t="str">
        <x:f>IF(ISNUMBER(B1257),IF('Hill'!$B$4=1,IF(B1257&lt;0,-B1257,""),IF('Hill'!$B$4=2,IF(B1257&gt;0,B1257,""),IF('Hill'!$B$4=3,IF(B1257&lt;&gt;0,ABS(B1257),""),""))),"")</x:f>
      </x:c>
    </x:row>
    <x:row r="1258">
      <x:c r="A1258" t="n">
        <x:f>1257</x:f>
        <x:v>1257</x:v>
      </x:c>
      <x:c r="B1258" s="7" t="str">
        <x:f>IF('요약'!$B$4=4,IF(ISNUMBER('input'!A1258),'input'!A1258,""),IF(1257&lt;=1000,CHOOSE('요약'!$B$4,'input'!B1258,'input'!C1258,'input'!D1258),""))</x:f>
      </x:c>
      <x:c r="C1258" s="7" t="str">
        <x:f>IF(AND(ISNUMBER(B1258),'요약'!$B$19),B1258-'요약'!$B$7,"")</x:f>
      </x:c>
      <x:c r="D1258" s="7" t="str">
        <x:f>IF(ISNUMBER(C1258),C1258^2,"")</x:f>
      </x:c>
      <x:c r="E1258" s="15" t="str">
        <x:f>IF(ISNUMBER(C1258),C1258^3,"")</x:f>
      </x:c>
      <x:c r="F1258" s="15" t="str">
        <x:f>IF(ISNUMBER(C1258),C1258^4,"")</x:f>
      </x:c>
      <x:c r="G1258" s="7" t="str">
        <x:f>IF(ISNUMBER(B1258),ABS(B1258),"")</x:f>
      </x:c>
      <x:c r="H1258" s="7" t="str">
        <x:f>IF(ISNUMBER(B1258),B1258^2,"")</x:f>
      </x:c>
      <x:c r="I1258" s="7" t="str">
        <x:f>IF(AND(ISNUMBER(G1258),'요약'!$B$19),G1258-'요약'!$B$14,"")</x:f>
      </x:c>
      <x:c r="J1258" s="7" t="str">
        <x:f>IF(AND(ISNUMBER(H1258),'요약'!$B$19),H1258-'요약'!$B$15,"")</x:f>
      </x:c>
      <x:c r="K1258" t="str">
        <x:f>IF(ISNUMBER(B1258),IF('Hill'!$B$4=1,IF(B1258&lt;0,-B1258,""),IF('Hill'!$B$4=2,IF(B1258&gt;0,B1258,""),IF('Hill'!$B$4=3,IF(B1258&lt;&gt;0,ABS(B1258),""),""))),"")</x:f>
      </x:c>
    </x:row>
    <x:row r="1259">
      <x:c r="A1259" t="n">
        <x:f>1258</x:f>
        <x:v>1258</x:v>
      </x:c>
      <x:c r="B1259" s="7" t="str">
        <x:f>IF('요약'!$B$4=4,IF(ISNUMBER('input'!A1259),'input'!A1259,""),IF(1258&lt;=1000,CHOOSE('요약'!$B$4,'input'!B1259,'input'!C1259,'input'!D1259),""))</x:f>
      </x:c>
      <x:c r="C1259" s="7" t="str">
        <x:f>IF(AND(ISNUMBER(B1259),'요약'!$B$19),B1259-'요약'!$B$7,"")</x:f>
      </x:c>
      <x:c r="D1259" s="7" t="str">
        <x:f>IF(ISNUMBER(C1259),C1259^2,"")</x:f>
      </x:c>
      <x:c r="E1259" s="15" t="str">
        <x:f>IF(ISNUMBER(C1259),C1259^3,"")</x:f>
      </x:c>
      <x:c r="F1259" s="15" t="str">
        <x:f>IF(ISNUMBER(C1259),C1259^4,"")</x:f>
      </x:c>
      <x:c r="G1259" s="7" t="str">
        <x:f>IF(ISNUMBER(B1259),ABS(B1259),"")</x:f>
      </x:c>
      <x:c r="H1259" s="7" t="str">
        <x:f>IF(ISNUMBER(B1259),B1259^2,"")</x:f>
      </x:c>
      <x:c r="I1259" s="7" t="str">
        <x:f>IF(AND(ISNUMBER(G1259),'요약'!$B$19),G1259-'요약'!$B$14,"")</x:f>
      </x:c>
      <x:c r="J1259" s="7" t="str">
        <x:f>IF(AND(ISNUMBER(H1259),'요약'!$B$19),H1259-'요약'!$B$15,"")</x:f>
      </x:c>
      <x:c r="K1259" t="str">
        <x:f>IF(ISNUMBER(B1259),IF('Hill'!$B$4=1,IF(B1259&lt;0,-B1259,""),IF('Hill'!$B$4=2,IF(B1259&gt;0,B1259,""),IF('Hill'!$B$4=3,IF(B1259&lt;&gt;0,ABS(B1259),""),""))),"")</x:f>
      </x:c>
    </x:row>
    <x:row r="1260">
      <x:c r="A1260" t="n">
        <x:f>1259</x:f>
        <x:v>1259</x:v>
      </x:c>
      <x:c r="B1260" s="7" t="str">
        <x:f>IF('요약'!$B$4=4,IF(ISNUMBER('input'!A1260),'input'!A1260,""),IF(1259&lt;=1000,CHOOSE('요약'!$B$4,'input'!B1260,'input'!C1260,'input'!D1260),""))</x:f>
      </x:c>
      <x:c r="C1260" s="7" t="str">
        <x:f>IF(AND(ISNUMBER(B1260),'요약'!$B$19),B1260-'요약'!$B$7,"")</x:f>
      </x:c>
      <x:c r="D1260" s="7" t="str">
        <x:f>IF(ISNUMBER(C1260),C1260^2,"")</x:f>
      </x:c>
      <x:c r="E1260" s="15" t="str">
        <x:f>IF(ISNUMBER(C1260),C1260^3,"")</x:f>
      </x:c>
      <x:c r="F1260" s="15" t="str">
        <x:f>IF(ISNUMBER(C1260),C1260^4,"")</x:f>
      </x:c>
      <x:c r="G1260" s="7" t="str">
        <x:f>IF(ISNUMBER(B1260),ABS(B1260),"")</x:f>
      </x:c>
      <x:c r="H1260" s="7" t="str">
        <x:f>IF(ISNUMBER(B1260),B1260^2,"")</x:f>
      </x:c>
      <x:c r="I1260" s="7" t="str">
        <x:f>IF(AND(ISNUMBER(G1260),'요약'!$B$19),G1260-'요약'!$B$14,"")</x:f>
      </x:c>
      <x:c r="J1260" s="7" t="str">
        <x:f>IF(AND(ISNUMBER(H1260),'요약'!$B$19),H1260-'요약'!$B$15,"")</x:f>
      </x:c>
      <x:c r="K1260" t="str">
        <x:f>IF(ISNUMBER(B1260),IF('Hill'!$B$4=1,IF(B1260&lt;0,-B1260,""),IF('Hill'!$B$4=2,IF(B1260&gt;0,B1260,""),IF('Hill'!$B$4=3,IF(B1260&lt;&gt;0,ABS(B1260),""),""))),"")</x:f>
      </x:c>
    </x:row>
    <x:row r="1261">
      <x:c r="A1261" t="n">
        <x:f>1260</x:f>
        <x:v>1260</x:v>
      </x:c>
      <x:c r="B1261" s="7" t="str">
        <x:f>IF('요약'!$B$4=4,IF(ISNUMBER('input'!A1261),'input'!A1261,""),IF(1260&lt;=1000,CHOOSE('요약'!$B$4,'input'!B1261,'input'!C1261,'input'!D1261),""))</x:f>
      </x:c>
      <x:c r="C1261" s="7" t="str">
        <x:f>IF(AND(ISNUMBER(B1261),'요약'!$B$19),B1261-'요약'!$B$7,"")</x:f>
      </x:c>
      <x:c r="D1261" s="7" t="str">
        <x:f>IF(ISNUMBER(C1261),C1261^2,"")</x:f>
      </x:c>
      <x:c r="E1261" s="15" t="str">
        <x:f>IF(ISNUMBER(C1261),C1261^3,"")</x:f>
      </x:c>
      <x:c r="F1261" s="15" t="str">
        <x:f>IF(ISNUMBER(C1261),C1261^4,"")</x:f>
      </x:c>
      <x:c r="G1261" s="7" t="str">
        <x:f>IF(ISNUMBER(B1261),ABS(B1261),"")</x:f>
      </x:c>
      <x:c r="H1261" s="7" t="str">
        <x:f>IF(ISNUMBER(B1261),B1261^2,"")</x:f>
      </x:c>
      <x:c r="I1261" s="7" t="str">
        <x:f>IF(AND(ISNUMBER(G1261),'요약'!$B$19),G1261-'요약'!$B$14,"")</x:f>
      </x:c>
      <x:c r="J1261" s="7" t="str">
        <x:f>IF(AND(ISNUMBER(H1261),'요약'!$B$19),H1261-'요약'!$B$15,"")</x:f>
      </x:c>
      <x:c r="K1261" t="str">
        <x:f>IF(ISNUMBER(B1261),IF('Hill'!$B$4=1,IF(B1261&lt;0,-B1261,""),IF('Hill'!$B$4=2,IF(B1261&gt;0,B1261,""),IF('Hill'!$B$4=3,IF(B1261&lt;&gt;0,ABS(B1261),""),""))),"")</x:f>
      </x:c>
    </x:row>
    <x:row r="1262">
      <x:c r="A1262" t="n">
        <x:f>1261</x:f>
        <x:v>1261</x:v>
      </x:c>
      <x:c r="B1262" s="7" t="str">
        <x:f>IF('요약'!$B$4=4,IF(ISNUMBER('input'!A1262),'input'!A1262,""),IF(1261&lt;=1000,CHOOSE('요약'!$B$4,'input'!B1262,'input'!C1262,'input'!D1262),""))</x:f>
      </x:c>
      <x:c r="C1262" s="7" t="str">
        <x:f>IF(AND(ISNUMBER(B1262),'요약'!$B$19),B1262-'요약'!$B$7,"")</x:f>
      </x:c>
      <x:c r="D1262" s="7" t="str">
        <x:f>IF(ISNUMBER(C1262),C1262^2,"")</x:f>
      </x:c>
      <x:c r="E1262" s="15" t="str">
        <x:f>IF(ISNUMBER(C1262),C1262^3,"")</x:f>
      </x:c>
      <x:c r="F1262" s="15" t="str">
        <x:f>IF(ISNUMBER(C1262),C1262^4,"")</x:f>
      </x:c>
      <x:c r="G1262" s="7" t="str">
        <x:f>IF(ISNUMBER(B1262),ABS(B1262),"")</x:f>
      </x:c>
      <x:c r="H1262" s="7" t="str">
        <x:f>IF(ISNUMBER(B1262),B1262^2,"")</x:f>
      </x:c>
      <x:c r="I1262" s="7" t="str">
        <x:f>IF(AND(ISNUMBER(G1262),'요약'!$B$19),G1262-'요약'!$B$14,"")</x:f>
      </x:c>
      <x:c r="J1262" s="7" t="str">
        <x:f>IF(AND(ISNUMBER(H1262),'요약'!$B$19),H1262-'요약'!$B$15,"")</x:f>
      </x:c>
      <x:c r="K1262" t="str">
        <x:f>IF(ISNUMBER(B1262),IF('Hill'!$B$4=1,IF(B1262&lt;0,-B1262,""),IF('Hill'!$B$4=2,IF(B1262&gt;0,B1262,""),IF('Hill'!$B$4=3,IF(B1262&lt;&gt;0,ABS(B1262),""),""))),"")</x:f>
      </x:c>
    </x:row>
    <x:row r="1263">
      <x:c r="A1263" t="n">
        <x:f>1262</x:f>
        <x:v>1262</x:v>
      </x:c>
      <x:c r="B1263" s="7" t="str">
        <x:f>IF('요약'!$B$4=4,IF(ISNUMBER('input'!A1263),'input'!A1263,""),IF(1262&lt;=1000,CHOOSE('요약'!$B$4,'input'!B1263,'input'!C1263,'input'!D1263),""))</x:f>
      </x:c>
      <x:c r="C1263" s="7" t="str">
        <x:f>IF(AND(ISNUMBER(B1263),'요약'!$B$19),B1263-'요약'!$B$7,"")</x:f>
      </x:c>
      <x:c r="D1263" s="7" t="str">
        <x:f>IF(ISNUMBER(C1263),C1263^2,"")</x:f>
      </x:c>
      <x:c r="E1263" s="15" t="str">
        <x:f>IF(ISNUMBER(C1263),C1263^3,"")</x:f>
      </x:c>
      <x:c r="F1263" s="15" t="str">
        <x:f>IF(ISNUMBER(C1263),C1263^4,"")</x:f>
      </x:c>
      <x:c r="G1263" s="7" t="str">
        <x:f>IF(ISNUMBER(B1263),ABS(B1263),"")</x:f>
      </x:c>
      <x:c r="H1263" s="7" t="str">
        <x:f>IF(ISNUMBER(B1263),B1263^2,"")</x:f>
      </x:c>
      <x:c r="I1263" s="7" t="str">
        <x:f>IF(AND(ISNUMBER(G1263),'요약'!$B$19),G1263-'요약'!$B$14,"")</x:f>
      </x:c>
      <x:c r="J1263" s="7" t="str">
        <x:f>IF(AND(ISNUMBER(H1263),'요약'!$B$19),H1263-'요약'!$B$15,"")</x:f>
      </x:c>
      <x:c r="K1263" t="str">
        <x:f>IF(ISNUMBER(B1263),IF('Hill'!$B$4=1,IF(B1263&lt;0,-B1263,""),IF('Hill'!$B$4=2,IF(B1263&gt;0,B1263,""),IF('Hill'!$B$4=3,IF(B1263&lt;&gt;0,ABS(B1263),""),""))),"")</x:f>
      </x:c>
    </x:row>
    <x:row r="1264">
      <x:c r="A1264" t="n">
        <x:f>1263</x:f>
        <x:v>1263</x:v>
      </x:c>
      <x:c r="B1264" s="7" t="str">
        <x:f>IF('요약'!$B$4=4,IF(ISNUMBER('input'!A1264),'input'!A1264,""),IF(1263&lt;=1000,CHOOSE('요약'!$B$4,'input'!B1264,'input'!C1264,'input'!D1264),""))</x:f>
      </x:c>
      <x:c r="C1264" s="7" t="str">
        <x:f>IF(AND(ISNUMBER(B1264),'요약'!$B$19),B1264-'요약'!$B$7,"")</x:f>
      </x:c>
      <x:c r="D1264" s="7" t="str">
        <x:f>IF(ISNUMBER(C1264),C1264^2,"")</x:f>
      </x:c>
      <x:c r="E1264" s="15" t="str">
        <x:f>IF(ISNUMBER(C1264),C1264^3,"")</x:f>
      </x:c>
      <x:c r="F1264" s="15" t="str">
        <x:f>IF(ISNUMBER(C1264),C1264^4,"")</x:f>
      </x:c>
      <x:c r="G1264" s="7" t="str">
        <x:f>IF(ISNUMBER(B1264),ABS(B1264),"")</x:f>
      </x:c>
      <x:c r="H1264" s="7" t="str">
        <x:f>IF(ISNUMBER(B1264),B1264^2,"")</x:f>
      </x:c>
      <x:c r="I1264" s="7" t="str">
        <x:f>IF(AND(ISNUMBER(G1264),'요약'!$B$19),G1264-'요약'!$B$14,"")</x:f>
      </x:c>
      <x:c r="J1264" s="7" t="str">
        <x:f>IF(AND(ISNUMBER(H1264),'요약'!$B$19),H1264-'요약'!$B$15,"")</x:f>
      </x:c>
      <x:c r="K1264" t="str">
        <x:f>IF(ISNUMBER(B1264),IF('Hill'!$B$4=1,IF(B1264&lt;0,-B1264,""),IF('Hill'!$B$4=2,IF(B1264&gt;0,B1264,""),IF('Hill'!$B$4=3,IF(B1264&lt;&gt;0,ABS(B1264),""),""))),"")</x:f>
      </x:c>
    </x:row>
    <x:row r="1265">
      <x:c r="A1265" t="n">
        <x:f>1264</x:f>
        <x:v>1264</x:v>
      </x:c>
      <x:c r="B1265" s="7" t="str">
        <x:f>IF('요약'!$B$4=4,IF(ISNUMBER('input'!A1265),'input'!A1265,""),IF(1264&lt;=1000,CHOOSE('요약'!$B$4,'input'!B1265,'input'!C1265,'input'!D1265),""))</x:f>
      </x:c>
      <x:c r="C1265" s="7" t="str">
        <x:f>IF(AND(ISNUMBER(B1265),'요약'!$B$19),B1265-'요약'!$B$7,"")</x:f>
      </x:c>
      <x:c r="D1265" s="7" t="str">
        <x:f>IF(ISNUMBER(C1265),C1265^2,"")</x:f>
      </x:c>
      <x:c r="E1265" s="15" t="str">
        <x:f>IF(ISNUMBER(C1265),C1265^3,"")</x:f>
      </x:c>
      <x:c r="F1265" s="15" t="str">
        <x:f>IF(ISNUMBER(C1265),C1265^4,"")</x:f>
      </x:c>
      <x:c r="G1265" s="7" t="str">
        <x:f>IF(ISNUMBER(B1265),ABS(B1265),"")</x:f>
      </x:c>
      <x:c r="H1265" s="7" t="str">
        <x:f>IF(ISNUMBER(B1265),B1265^2,"")</x:f>
      </x:c>
      <x:c r="I1265" s="7" t="str">
        <x:f>IF(AND(ISNUMBER(G1265),'요약'!$B$19),G1265-'요약'!$B$14,"")</x:f>
      </x:c>
      <x:c r="J1265" s="7" t="str">
        <x:f>IF(AND(ISNUMBER(H1265),'요약'!$B$19),H1265-'요약'!$B$15,"")</x:f>
      </x:c>
      <x:c r="K1265" t="str">
        <x:f>IF(ISNUMBER(B1265),IF('Hill'!$B$4=1,IF(B1265&lt;0,-B1265,""),IF('Hill'!$B$4=2,IF(B1265&gt;0,B1265,""),IF('Hill'!$B$4=3,IF(B1265&lt;&gt;0,ABS(B1265),""),""))),"")</x:f>
      </x:c>
    </x:row>
    <x:row r="1266">
      <x:c r="A1266" t="n">
        <x:f>1265</x:f>
        <x:v>1265</x:v>
      </x:c>
      <x:c r="B1266" s="7" t="str">
        <x:f>IF('요약'!$B$4=4,IF(ISNUMBER('input'!A1266),'input'!A1266,""),IF(1265&lt;=1000,CHOOSE('요약'!$B$4,'input'!B1266,'input'!C1266,'input'!D1266),""))</x:f>
      </x:c>
      <x:c r="C1266" s="7" t="str">
        <x:f>IF(AND(ISNUMBER(B1266),'요약'!$B$19),B1266-'요약'!$B$7,"")</x:f>
      </x:c>
      <x:c r="D1266" s="7" t="str">
        <x:f>IF(ISNUMBER(C1266),C1266^2,"")</x:f>
      </x:c>
      <x:c r="E1266" s="15" t="str">
        <x:f>IF(ISNUMBER(C1266),C1266^3,"")</x:f>
      </x:c>
      <x:c r="F1266" s="15" t="str">
        <x:f>IF(ISNUMBER(C1266),C1266^4,"")</x:f>
      </x:c>
      <x:c r="G1266" s="7" t="str">
        <x:f>IF(ISNUMBER(B1266),ABS(B1266),"")</x:f>
      </x:c>
      <x:c r="H1266" s="7" t="str">
        <x:f>IF(ISNUMBER(B1266),B1266^2,"")</x:f>
      </x:c>
      <x:c r="I1266" s="7" t="str">
        <x:f>IF(AND(ISNUMBER(G1266),'요약'!$B$19),G1266-'요약'!$B$14,"")</x:f>
      </x:c>
      <x:c r="J1266" s="7" t="str">
        <x:f>IF(AND(ISNUMBER(H1266),'요약'!$B$19),H1266-'요약'!$B$15,"")</x:f>
      </x:c>
      <x:c r="K1266" t="str">
        <x:f>IF(ISNUMBER(B1266),IF('Hill'!$B$4=1,IF(B1266&lt;0,-B1266,""),IF('Hill'!$B$4=2,IF(B1266&gt;0,B1266,""),IF('Hill'!$B$4=3,IF(B1266&lt;&gt;0,ABS(B1266),""),""))),"")</x:f>
      </x:c>
    </x:row>
    <x:row r="1267">
      <x:c r="A1267" t="n">
        <x:f>1266</x:f>
        <x:v>1266</x:v>
      </x:c>
      <x:c r="B1267" s="7" t="str">
        <x:f>IF('요약'!$B$4=4,IF(ISNUMBER('input'!A1267),'input'!A1267,""),IF(1266&lt;=1000,CHOOSE('요약'!$B$4,'input'!B1267,'input'!C1267,'input'!D1267),""))</x:f>
      </x:c>
      <x:c r="C1267" s="7" t="str">
        <x:f>IF(AND(ISNUMBER(B1267),'요약'!$B$19),B1267-'요약'!$B$7,"")</x:f>
      </x:c>
      <x:c r="D1267" s="7" t="str">
        <x:f>IF(ISNUMBER(C1267),C1267^2,"")</x:f>
      </x:c>
      <x:c r="E1267" s="15" t="str">
        <x:f>IF(ISNUMBER(C1267),C1267^3,"")</x:f>
      </x:c>
      <x:c r="F1267" s="15" t="str">
        <x:f>IF(ISNUMBER(C1267),C1267^4,"")</x:f>
      </x:c>
      <x:c r="G1267" s="7" t="str">
        <x:f>IF(ISNUMBER(B1267),ABS(B1267),"")</x:f>
      </x:c>
      <x:c r="H1267" s="7" t="str">
        <x:f>IF(ISNUMBER(B1267),B1267^2,"")</x:f>
      </x:c>
      <x:c r="I1267" s="7" t="str">
        <x:f>IF(AND(ISNUMBER(G1267),'요약'!$B$19),G1267-'요약'!$B$14,"")</x:f>
      </x:c>
      <x:c r="J1267" s="7" t="str">
        <x:f>IF(AND(ISNUMBER(H1267),'요약'!$B$19),H1267-'요약'!$B$15,"")</x:f>
      </x:c>
      <x:c r="K1267" t="str">
        <x:f>IF(ISNUMBER(B1267),IF('Hill'!$B$4=1,IF(B1267&lt;0,-B1267,""),IF('Hill'!$B$4=2,IF(B1267&gt;0,B1267,""),IF('Hill'!$B$4=3,IF(B1267&lt;&gt;0,ABS(B1267),""),""))),"")</x:f>
      </x:c>
    </x:row>
    <x:row r="1268">
      <x:c r="A1268" t="n">
        <x:f>1267</x:f>
        <x:v>1267</x:v>
      </x:c>
      <x:c r="B1268" s="7" t="str">
        <x:f>IF('요약'!$B$4=4,IF(ISNUMBER('input'!A1268),'input'!A1268,""),IF(1267&lt;=1000,CHOOSE('요약'!$B$4,'input'!B1268,'input'!C1268,'input'!D1268),""))</x:f>
      </x:c>
      <x:c r="C1268" s="7" t="str">
        <x:f>IF(AND(ISNUMBER(B1268),'요약'!$B$19),B1268-'요약'!$B$7,"")</x:f>
      </x:c>
      <x:c r="D1268" s="7" t="str">
        <x:f>IF(ISNUMBER(C1268),C1268^2,"")</x:f>
      </x:c>
      <x:c r="E1268" s="15" t="str">
        <x:f>IF(ISNUMBER(C1268),C1268^3,"")</x:f>
      </x:c>
      <x:c r="F1268" s="15" t="str">
        <x:f>IF(ISNUMBER(C1268),C1268^4,"")</x:f>
      </x:c>
      <x:c r="G1268" s="7" t="str">
        <x:f>IF(ISNUMBER(B1268),ABS(B1268),"")</x:f>
      </x:c>
      <x:c r="H1268" s="7" t="str">
        <x:f>IF(ISNUMBER(B1268),B1268^2,"")</x:f>
      </x:c>
      <x:c r="I1268" s="7" t="str">
        <x:f>IF(AND(ISNUMBER(G1268),'요약'!$B$19),G1268-'요약'!$B$14,"")</x:f>
      </x:c>
      <x:c r="J1268" s="7" t="str">
        <x:f>IF(AND(ISNUMBER(H1268),'요약'!$B$19),H1268-'요약'!$B$15,"")</x:f>
      </x:c>
      <x:c r="K1268" t="str">
        <x:f>IF(ISNUMBER(B1268),IF('Hill'!$B$4=1,IF(B1268&lt;0,-B1268,""),IF('Hill'!$B$4=2,IF(B1268&gt;0,B1268,""),IF('Hill'!$B$4=3,IF(B1268&lt;&gt;0,ABS(B1268),""),""))),"")</x:f>
      </x:c>
    </x:row>
    <x:row r="1269">
      <x:c r="A1269" t="n">
        <x:f>1268</x:f>
        <x:v>1268</x:v>
      </x:c>
      <x:c r="B1269" s="7" t="str">
        <x:f>IF('요약'!$B$4=4,IF(ISNUMBER('input'!A1269),'input'!A1269,""),IF(1268&lt;=1000,CHOOSE('요약'!$B$4,'input'!B1269,'input'!C1269,'input'!D1269),""))</x:f>
      </x:c>
      <x:c r="C1269" s="7" t="str">
        <x:f>IF(AND(ISNUMBER(B1269),'요약'!$B$19),B1269-'요약'!$B$7,"")</x:f>
      </x:c>
      <x:c r="D1269" s="7" t="str">
        <x:f>IF(ISNUMBER(C1269),C1269^2,"")</x:f>
      </x:c>
      <x:c r="E1269" s="15" t="str">
        <x:f>IF(ISNUMBER(C1269),C1269^3,"")</x:f>
      </x:c>
      <x:c r="F1269" s="15" t="str">
        <x:f>IF(ISNUMBER(C1269),C1269^4,"")</x:f>
      </x:c>
      <x:c r="G1269" s="7" t="str">
        <x:f>IF(ISNUMBER(B1269),ABS(B1269),"")</x:f>
      </x:c>
      <x:c r="H1269" s="7" t="str">
        <x:f>IF(ISNUMBER(B1269),B1269^2,"")</x:f>
      </x:c>
      <x:c r="I1269" s="7" t="str">
        <x:f>IF(AND(ISNUMBER(G1269),'요약'!$B$19),G1269-'요약'!$B$14,"")</x:f>
      </x:c>
      <x:c r="J1269" s="7" t="str">
        <x:f>IF(AND(ISNUMBER(H1269),'요약'!$B$19),H1269-'요약'!$B$15,"")</x:f>
      </x:c>
      <x:c r="K1269" t="str">
        <x:f>IF(ISNUMBER(B1269),IF('Hill'!$B$4=1,IF(B1269&lt;0,-B1269,""),IF('Hill'!$B$4=2,IF(B1269&gt;0,B1269,""),IF('Hill'!$B$4=3,IF(B1269&lt;&gt;0,ABS(B1269),""),""))),"")</x:f>
      </x:c>
    </x:row>
    <x:row r="1270">
      <x:c r="A1270" t="n">
        <x:f>1269</x:f>
        <x:v>1269</x:v>
      </x:c>
      <x:c r="B1270" s="7" t="str">
        <x:f>IF('요약'!$B$4=4,IF(ISNUMBER('input'!A1270),'input'!A1270,""),IF(1269&lt;=1000,CHOOSE('요약'!$B$4,'input'!B1270,'input'!C1270,'input'!D1270),""))</x:f>
      </x:c>
      <x:c r="C1270" s="7" t="str">
        <x:f>IF(AND(ISNUMBER(B1270),'요약'!$B$19),B1270-'요약'!$B$7,"")</x:f>
      </x:c>
      <x:c r="D1270" s="7" t="str">
        <x:f>IF(ISNUMBER(C1270),C1270^2,"")</x:f>
      </x:c>
      <x:c r="E1270" s="15" t="str">
        <x:f>IF(ISNUMBER(C1270),C1270^3,"")</x:f>
      </x:c>
      <x:c r="F1270" s="15" t="str">
        <x:f>IF(ISNUMBER(C1270),C1270^4,"")</x:f>
      </x:c>
      <x:c r="G1270" s="7" t="str">
        <x:f>IF(ISNUMBER(B1270),ABS(B1270),"")</x:f>
      </x:c>
      <x:c r="H1270" s="7" t="str">
        <x:f>IF(ISNUMBER(B1270),B1270^2,"")</x:f>
      </x:c>
      <x:c r="I1270" s="7" t="str">
        <x:f>IF(AND(ISNUMBER(G1270),'요약'!$B$19),G1270-'요약'!$B$14,"")</x:f>
      </x:c>
      <x:c r="J1270" s="7" t="str">
        <x:f>IF(AND(ISNUMBER(H1270),'요약'!$B$19),H1270-'요약'!$B$15,"")</x:f>
      </x:c>
      <x:c r="K1270" t="str">
        <x:f>IF(ISNUMBER(B1270),IF('Hill'!$B$4=1,IF(B1270&lt;0,-B1270,""),IF('Hill'!$B$4=2,IF(B1270&gt;0,B1270,""),IF('Hill'!$B$4=3,IF(B1270&lt;&gt;0,ABS(B1270),""),""))),"")</x:f>
      </x:c>
    </x:row>
    <x:row r="1271">
      <x:c r="A1271" t="n">
        <x:f>1270</x:f>
        <x:v>1270</x:v>
      </x:c>
      <x:c r="B1271" s="7" t="str">
        <x:f>IF('요약'!$B$4=4,IF(ISNUMBER('input'!A1271),'input'!A1271,""),IF(1270&lt;=1000,CHOOSE('요약'!$B$4,'input'!B1271,'input'!C1271,'input'!D1271),""))</x:f>
      </x:c>
      <x:c r="C1271" s="7" t="str">
        <x:f>IF(AND(ISNUMBER(B1271),'요약'!$B$19),B1271-'요약'!$B$7,"")</x:f>
      </x:c>
      <x:c r="D1271" s="7" t="str">
        <x:f>IF(ISNUMBER(C1271),C1271^2,"")</x:f>
      </x:c>
      <x:c r="E1271" s="15" t="str">
        <x:f>IF(ISNUMBER(C1271),C1271^3,"")</x:f>
      </x:c>
      <x:c r="F1271" s="15" t="str">
        <x:f>IF(ISNUMBER(C1271),C1271^4,"")</x:f>
      </x:c>
      <x:c r="G1271" s="7" t="str">
        <x:f>IF(ISNUMBER(B1271),ABS(B1271),"")</x:f>
      </x:c>
      <x:c r="H1271" s="7" t="str">
        <x:f>IF(ISNUMBER(B1271),B1271^2,"")</x:f>
      </x:c>
      <x:c r="I1271" s="7" t="str">
        <x:f>IF(AND(ISNUMBER(G1271),'요약'!$B$19),G1271-'요약'!$B$14,"")</x:f>
      </x:c>
      <x:c r="J1271" s="7" t="str">
        <x:f>IF(AND(ISNUMBER(H1271),'요약'!$B$19),H1271-'요약'!$B$15,"")</x:f>
      </x:c>
      <x:c r="K1271" t="str">
        <x:f>IF(ISNUMBER(B1271),IF('Hill'!$B$4=1,IF(B1271&lt;0,-B1271,""),IF('Hill'!$B$4=2,IF(B1271&gt;0,B1271,""),IF('Hill'!$B$4=3,IF(B1271&lt;&gt;0,ABS(B1271),""),""))),"")</x:f>
      </x:c>
    </x:row>
    <x:row r="1272">
      <x:c r="A1272" t="n">
        <x:f>1271</x:f>
        <x:v>1271</x:v>
      </x:c>
      <x:c r="B1272" s="7" t="str">
        <x:f>IF('요약'!$B$4=4,IF(ISNUMBER('input'!A1272),'input'!A1272,""),IF(1271&lt;=1000,CHOOSE('요약'!$B$4,'input'!B1272,'input'!C1272,'input'!D1272),""))</x:f>
      </x:c>
      <x:c r="C1272" s="7" t="str">
        <x:f>IF(AND(ISNUMBER(B1272),'요약'!$B$19),B1272-'요약'!$B$7,"")</x:f>
      </x:c>
      <x:c r="D1272" s="7" t="str">
        <x:f>IF(ISNUMBER(C1272),C1272^2,"")</x:f>
      </x:c>
      <x:c r="E1272" s="15" t="str">
        <x:f>IF(ISNUMBER(C1272),C1272^3,"")</x:f>
      </x:c>
      <x:c r="F1272" s="15" t="str">
        <x:f>IF(ISNUMBER(C1272),C1272^4,"")</x:f>
      </x:c>
      <x:c r="G1272" s="7" t="str">
        <x:f>IF(ISNUMBER(B1272),ABS(B1272),"")</x:f>
      </x:c>
      <x:c r="H1272" s="7" t="str">
        <x:f>IF(ISNUMBER(B1272),B1272^2,"")</x:f>
      </x:c>
      <x:c r="I1272" s="7" t="str">
        <x:f>IF(AND(ISNUMBER(G1272),'요약'!$B$19),G1272-'요약'!$B$14,"")</x:f>
      </x:c>
      <x:c r="J1272" s="7" t="str">
        <x:f>IF(AND(ISNUMBER(H1272),'요약'!$B$19),H1272-'요약'!$B$15,"")</x:f>
      </x:c>
      <x:c r="K1272" t="str">
        <x:f>IF(ISNUMBER(B1272),IF('Hill'!$B$4=1,IF(B1272&lt;0,-B1272,""),IF('Hill'!$B$4=2,IF(B1272&gt;0,B1272,""),IF('Hill'!$B$4=3,IF(B1272&lt;&gt;0,ABS(B1272),""),""))),"")</x:f>
      </x:c>
    </x:row>
    <x:row r="1273">
      <x:c r="A1273" t="n">
        <x:f>1272</x:f>
        <x:v>1272</x:v>
      </x:c>
      <x:c r="B1273" s="7" t="str">
        <x:f>IF('요약'!$B$4=4,IF(ISNUMBER('input'!A1273),'input'!A1273,""),IF(1272&lt;=1000,CHOOSE('요약'!$B$4,'input'!B1273,'input'!C1273,'input'!D1273),""))</x:f>
      </x:c>
      <x:c r="C1273" s="7" t="str">
        <x:f>IF(AND(ISNUMBER(B1273),'요약'!$B$19),B1273-'요약'!$B$7,"")</x:f>
      </x:c>
      <x:c r="D1273" s="7" t="str">
        <x:f>IF(ISNUMBER(C1273),C1273^2,"")</x:f>
      </x:c>
      <x:c r="E1273" s="15" t="str">
        <x:f>IF(ISNUMBER(C1273),C1273^3,"")</x:f>
      </x:c>
      <x:c r="F1273" s="15" t="str">
        <x:f>IF(ISNUMBER(C1273),C1273^4,"")</x:f>
      </x:c>
      <x:c r="G1273" s="7" t="str">
        <x:f>IF(ISNUMBER(B1273),ABS(B1273),"")</x:f>
      </x:c>
      <x:c r="H1273" s="7" t="str">
        <x:f>IF(ISNUMBER(B1273),B1273^2,"")</x:f>
      </x:c>
      <x:c r="I1273" s="7" t="str">
        <x:f>IF(AND(ISNUMBER(G1273),'요약'!$B$19),G1273-'요약'!$B$14,"")</x:f>
      </x:c>
      <x:c r="J1273" s="7" t="str">
        <x:f>IF(AND(ISNUMBER(H1273),'요약'!$B$19),H1273-'요약'!$B$15,"")</x:f>
      </x:c>
      <x:c r="K1273" t="str">
        <x:f>IF(ISNUMBER(B1273),IF('Hill'!$B$4=1,IF(B1273&lt;0,-B1273,""),IF('Hill'!$B$4=2,IF(B1273&gt;0,B1273,""),IF('Hill'!$B$4=3,IF(B1273&lt;&gt;0,ABS(B1273),""),""))),"")</x:f>
      </x:c>
    </x:row>
    <x:row r="1274">
      <x:c r="A1274" t="n">
        <x:f>1273</x:f>
        <x:v>1273</x:v>
      </x:c>
      <x:c r="B1274" s="7" t="str">
        <x:f>IF('요약'!$B$4=4,IF(ISNUMBER('input'!A1274),'input'!A1274,""),IF(1273&lt;=1000,CHOOSE('요약'!$B$4,'input'!B1274,'input'!C1274,'input'!D1274),""))</x:f>
      </x:c>
      <x:c r="C1274" s="7" t="str">
        <x:f>IF(AND(ISNUMBER(B1274),'요약'!$B$19),B1274-'요약'!$B$7,"")</x:f>
      </x:c>
      <x:c r="D1274" s="7" t="str">
        <x:f>IF(ISNUMBER(C1274),C1274^2,"")</x:f>
      </x:c>
      <x:c r="E1274" s="15" t="str">
        <x:f>IF(ISNUMBER(C1274),C1274^3,"")</x:f>
      </x:c>
      <x:c r="F1274" s="15" t="str">
        <x:f>IF(ISNUMBER(C1274),C1274^4,"")</x:f>
      </x:c>
      <x:c r="G1274" s="7" t="str">
        <x:f>IF(ISNUMBER(B1274),ABS(B1274),"")</x:f>
      </x:c>
      <x:c r="H1274" s="7" t="str">
        <x:f>IF(ISNUMBER(B1274),B1274^2,"")</x:f>
      </x:c>
      <x:c r="I1274" s="7" t="str">
        <x:f>IF(AND(ISNUMBER(G1274),'요약'!$B$19),G1274-'요약'!$B$14,"")</x:f>
      </x:c>
      <x:c r="J1274" s="7" t="str">
        <x:f>IF(AND(ISNUMBER(H1274),'요약'!$B$19),H1274-'요약'!$B$15,"")</x:f>
      </x:c>
      <x:c r="K1274" t="str">
        <x:f>IF(ISNUMBER(B1274),IF('Hill'!$B$4=1,IF(B1274&lt;0,-B1274,""),IF('Hill'!$B$4=2,IF(B1274&gt;0,B1274,""),IF('Hill'!$B$4=3,IF(B1274&lt;&gt;0,ABS(B1274),""),""))),"")</x:f>
      </x:c>
    </x:row>
    <x:row r="1275">
      <x:c r="A1275" t="n">
        <x:f>1274</x:f>
        <x:v>1274</x:v>
      </x:c>
      <x:c r="B1275" s="7" t="str">
        <x:f>IF('요약'!$B$4=4,IF(ISNUMBER('input'!A1275),'input'!A1275,""),IF(1274&lt;=1000,CHOOSE('요약'!$B$4,'input'!B1275,'input'!C1275,'input'!D1275),""))</x:f>
      </x:c>
      <x:c r="C1275" s="7" t="str">
        <x:f>IF(AND(ISNUMBER(B1275),'요약'!$B$19),B1275-'요약'!$B$7,"")</x:f>
      </x:c>
      <x:c r="D1275" s="7" t="str">
        <x:f>IF(ISNUMBER(C1275),C1275^2,"")</x:f>
      </x:c>
      <x:c r="E1275" s="15" t="str">
        <x:f>IF(ISNUMBER(C1275),C1275^3,"")</x:f>
      </x:c>
      <x:c r="F1275" s="15" t="str">
        <x:f>IF(ISNUMBER(C1275),C1275^4,"")</x:f>
      </x:c>
      <x:c r="G1275" s="7" t="str">
        <x:f>IF(ISNUMBER(B1275),ABS(B1275),"")</x:f>
      </x:c>
      <x:c r="H1275" s="7" t="str">
        <x:f>IF(ISNUMBER(B1275),B1275^2,"")</x:f>
      </x:c>
      <x:c r="I1275" s="7" t="str">
        <x:f>IF(AND(ISNUMBER(G1275),'요약'!$B$19),G1275-'요약'!$B$14,"")</x:f>
      </x:c>
      <x:c r="J1275" s="7" t="str">
        <x:f>IF(AND(ISNUMBER(H1275),'요약'!$B$19),H1275-'요약'!$B$15,"")</x:f>
      </x:c>
      <x:c r="K1275" t="str">
        <x:f>IF(ISNUMBER(B1275),IF('Hill'!$B$4=1,IF(B1275&lt;0,-B1275,""),IF('Hill'!$B$4=2,IF(B1275&gt;0,B1275,""),IF('Hill'!$B$4=3,IF(B1275&lt;&gt;0,ABS(B1275),""),""))),"")</x:f>
      </x:c>
    </x:row>
    <x:row r="1276">
      <x:c r="A1276" t="n">
        <x:f>1275</x:f>
        <x:v>1275</x:v>
      </x:c>
      <x:c r="B1276" s="7" t="str">
        <x:f>IF('요약'!$B$4=4,IF(ISNUMBER('input'!A1276),'input'!A1276,""),IF(1275&lt;=1000,CHOOSE('요약'!$B$4,'input'!B1276,'input'!C1276,'input'!D1276),""))</x:f>
      </x:c>
      <x:c r="C1276" s="7" t="str">
        <x:f>IF(AND(ISNUMBER(B1276),'요약'!$B$19),B1276-'요약'!$B$7,"")</x:f>
      </x:c>
      <x:c r="D1276" s="7" t="str">
        <x:f>IF(ISNUMBER(C1276),C1276^2,"")</x:f>
      </x:c>
      <x:c r="E1276" s="15" t="str">
        <x:f>IF(ISNUMBER(C1276),C1276^3,"")</x:f>
      </x:c>
      <x:c r="F1276" s="15" t="str">
        <x:f>IF(ISNUMBER(C1276),C1276^4,"")</x:f>
      </x:c>
      <x:c r="G1276" s="7" t="str">
        <x:f>IF(ISNUMBER(B1276),ABS(B1276),"")</x:f>
      </x:c>
      <x:c r="H1276" s="7" t="str">
        <x:f>IF(ISNUMBER(B1276),B1276^2,"")</x:f>
      </x:c>
      <x:c r="I1276" s="7" t="str">
        <x:f>IF(AND(ISNUMBER(G1276),'요약'!$B$19),G1276-'요약'!$B$14,"")</x:f>
      </x:c>
      <x:c r="J1276" s="7" t="str">
        <x:f>IF(AND(ISNUMBER(H1276),'요약'!$B$19),H1276-'요약'!$B$15,"")</x:f>
      </x:c>
      <x:c r="K1276" t="str">
        <x:f>IF(ISNUMBER(B1276),IF('Hill'!$B$4=1,IF(B1276&lt;0,-B1276,""),IF('Hill'!$B$4=2,IF(B1276&gt;0,B1276,""),IF('Hill'!$B$4=3,IF(B1276&lt;&gt;0,ABS(B1276),""),""))),"")</x:f>
      </x:c>
    </x:row>
    <x:row r="1277">
      <x:c r="A1277" t="n">
        <x:f>1276</x:f>
        <x:v>1276</x:v>
      </x:c>
      <x:c r="B1277" s="7" t="str">
        <x:f>IF('요약'!$B$4=4,IF(ISNUMBER('input'!A1277),'input'!A1277,""),IF(1276&lt;=1000,CHOOSE('요약'!$B$4,'input'!B1277,'input'!C1277,'input'!D1277),""))</x:f>
      </x:c>
      <x:c r="C1277" s="7" t="str">
        <x:f>IF(AND(ISNUMBER(B1277),'요약'!$B$19),B1277-'요약'!$B$7,"")</x:f>
      </x:c>
      <x:c r="D1277" s="7" t="str">
        <x:f>IF(ISNUMBER(C1277),C1277^2,"")</x:f>
      </x:c>
      <x:c r="E1277" s="15" t="str">
        <x:f>IF(ISNUMBER(C1277),C1277^3,"")</x:f>
      </x:c>
      <x:c r="F1277" s="15" t="str">
        <x:f>IF(ISNUMBER(C1277),C1277^4,"")</x:f>
      </x:c>
      <x:c r="G1277" s="7" t="str">
        <x:f>IF(ISNUMBER(B1277),ABS(B1277),"")</x:f>
      </x:c>
      <x:c r="H1277" s="7" t="str">
        <x:f>IF(ISNUMBER(B1277),B1277^2,"")</x:f>
      </x:c>
      <x:c r="I1277" s="7" t="str">
        <x:f>IF(AND(ISNUMBER(G1277),'요약'!$B$19),G1277-'요약'!$B$14,"")</x:f>
      </x:c>
      <x:c r="J1277" s="7" t="str">
        <x:f>IF(AND(ISNUMBER(H1277),'요약'!$B$19),H1277-'요약'!$B$15,"")</x:f>
      </x:c>
      <x:c r="K1277" t="str">
        <x:f>IF(ISNUMBER(B1277),IF('Hill'!$B$4=1,IF(B1277&lt;0,-B1277,""),IF('Hill'!$B$4=2,IF(B1277&gt;0,B1277,""),IF('Hill'!$B$4=3,IF(B1277&lt;&gt;0,ABS(B1277),""),""))),"")</x:f>
      </x:c>
    </x:row>
    <x:row r="1278">
      <x:c r="A1278" t="n">
        <x:f>1277</x:f>
        <x:v>1277</x:v>
      </x:c>
      <x:c r="B1278" s="7" t="str">
        <x:f>IF('요약'!$B$4=4,IF(ISNUMBER('input'!A1278),'input'!A1278,""),IF(1277&lt;=1000,CHOOSE('요약'!$B$4,'input'!B1278,'input'!C1278,'input'!D1278),""))</x:f>
      </x:c>
      <x:c r="C1278" s="7" t="str">
        <x:f>IF(AND(ISNUMBER(B1278),'요약'!$B$19),B1278-'요약'!$B$7,"")</x:f>
      </x:c>
      <x:c r="D1278" s="7" t="str">
        <x:f>IF(ISNUMBER(C1278),C1278^2,"")</x:f>
      </x:c>
      <x:c r="E1278" s="15" t="str">
        <x:f>IF(ISNUMBER(C1278),C1278^3,"")</x:f>
      </x:c>
      <x:c r="F1278" s="15" t="str">
        <x:f>IF(ISNUMBER(C1278),C1278^4,"")</x:f>
      </x:c>
      <x:c r="G1278" s="7" t="str">
        <x:f>IF(ISNUMBER(B1278),ABS(B1278),"")</x:f>
      </x:c>
      <x:c r="H1278" s="7" t="str">
        <x:f>IF(ISNUMBER(B1278),B1278^2,"")</x:f>
      </x:c>
      <x:c r="I1278" s="7" t="str">
        <x:f>IF(AND(ISNUMBER(G1278),'요약'!$B$19),G1278-'요약'!$B$14,"")</x:f>
      </x:c>
      <x:c r="J1278" s="7" t="str">
        <x:f>IF(AND(ISNUMBER(H1278),'요약'!$B$19),H1278-'요약'!$B$15,"")</x:f>
      </x:c>
      <x:c r="K1278" t="str">
        <x:f>IF(ISNUMBER(B1278),IF('Hill'!$B$4=1,IF(B1278&lt;0,-B1278,""),IF('Hill'!$B$4=2,IF(B1278&gt;0,B1278,""),IF('Hill'!$B$4=3,IF(B1278&lt;&gt;0,ABS(B1278),""),""))),"")</x:f>
      </x:c>
    </x:row>
    <x:row r="1279">
      <x:c r="A1279" t="n">
        <x:f>1278</x:f>
        <x:v>1278</x:v>
      </x:c>
      <x:c r="B1279" s="7" t="str">
        <x:f>IF('요약'!$B$4=4,IF(ISNUMBER('input'!A1279),'input'!A1279,""),IF(1278&lt;=1000,CHOOSE('요약'!$B$4,'input'!B1279,'input'!C1279,'input'!D1279),""))</x:f>
      </x:c>
      <x:c r="C1279" s="7" t="str">
        <x:f>IF(AND(ISNUMBER(B1279),'요약'!$B$19),B1279-'요약'!$B$7,"")</x:f>
      </x:c>
      <x:c r="D1279" s="7" t="str">
        <x:f>IF(ISNUMBER(C1279),C1279^2,"")</x:f>
      </x:c>
      <x:c r="E1279" s="15" t="str">
        <x:f>IF(ISNUMBER(C1279),C1279^3,"")</x:f>
      </x:c>
      <x:c r="F1279" s="15" t="str">
        <x:f>IF(ISNUMBER(C1279),C1279^4,"")</x:f>
      </x:c>
      <x:c r="G1279" s="7" t="str">
        <x:f>IF(ISNUMBER(B1279),ABS(B1279),"")</x:f>
      </x:c>
      <x:c r="H1279" s="7" t="str">
        <x:f>IF(ISNUMBER(B1279),B1279^2,"")</x:f>
      </x:c>
      <x:c r="I1279" s="7" t="str">
        <x:f>IF(AND(ISNUMBER(G1279),'요약'!$B$19),G1279-'요약'!$B$14,"")</x:f>
      </x:c>
      <x:c r="J1279" s="7" t="str">
        <x:f>IF(AND(ISNUMBER(H1279),'요약'!$B$19),H1279-'요약'!$B$15,"")</x:f>
      </x:c>
      <x:c r="K1279" t="str">
        <x:f>IF(ISNUMBER(B1279),IF('Hill'!$B$4=1,IF(B1279&lt;0,-B1279,""),IF('Hill'!$B$4=2,IF(B1279&gt;0,B1279,""),IF('Hill'!$B$4=3,IF(B1279&lt;&gt;0,ABS(B1279),""),""))),"")</x:f>
      </x:c>
    </x:row>
    <x:row r="1280">
      <x:c r="A1280" t="n">
        <x:f>1279</x:f>
        <x:v>1279</x:v>
      </x:c>
      <x:c r="B1280" s="7" t="str">
        <x:f>IF('요약'!$B$4=4,IF(ISNUMBER('input'!A1280),'input'!A1280,""),IF(1279&lt;=1000,CHOOSE('요약'!$B$4,'input'!B1280,'input'!C1280,'input'!D1280),""))</x:f>
      </x:c>
      <x:c r="C1280" s="7" t="str">
        <x:f>IF(AND(ISNUMBER(B1280),'요약'!$B$19),B1280-'요약'!$B$7,"")</x:f>
      </x:c>
      <x:c r="D1280" s="7" t="str">
        <x:f>IF(ISNUMBER(C1280),C1280^2,"")</x:f>
      </x:c>
      <x:c r="E1280" s="15" t="str">
        <x:f>IF(ISNUMBER(C1280),C1280^3,"")</x:f>
      </x:c>
      <x:c r="F1280" s="15" t="str">
        <x:f>IF(ISNUMBER(C1280),C1280^4,"")</x:f>
      </x:c>
      <x:c r="G1280" s="7" t="str">
        <x:f>IF(ISNUMBER(B1280),ABS(B1280),"")</x:f>
      </x:c>
      <x:c r="H1280" s="7" t="str">
        <x:f>IF(ISNUMBER(B1280),B1280^2,"")</x:f>
      </x:c>
      <x:c r="I1280" s="7" t="str">
        <x:f>IF(AND(ISNUMBER(G1280),'요약'!$B$19),G1280-'요약'!$B$14,"")</x:f>
      </x:c>
      <x:c r="J1280" s="7" t="str">
        <x:f>IF(AND(ISNUMBER(H1280),'요약'!$B$19),H1280-'요약'!$B$15,"")</x:f>
      </x:c>
      <x:c r="K1280" t="str">
        <x:f>IF(ISNUMBER(B1280),IF('Hill'!$B$4=1,IF(B1280&lt;0,-B1280,""),IF('Hill'!$B$4=2,IF(B1280&gt;0,B1280,""),IF('Hill'!$B$4=3,IF(B1280&lt;&gt;0,ABS(B1280),""),""))),"")</x:f>
      </x:c>
    </x:row>
    <x:row r="1281">
      <x:c r="A1281" t="n">
        <x:f>1280</x:f>
        <x:v>1280</x:v>
      </x:c>
      <x:c r="B1281" s="7" t="str">
        <x:f>IF('요약'!$B$4=4,IF(ISNUMBER('input'!A1281),'input'!A1281,""),IF(1280&lt;=1000,CHOOSE('요약'!$B$4,'input'!B1281,'input'!C1281,'input'!D1281),""))</x:f>
      </x:c>
      <x:c r="C1281" s="7" t="str">
        <x:f>IF(AND(ISNUMBER(B1281),'요약'!$B$19),B1281-'요약'!$B$7,"")</x:f>
      </x:c>
      <x:c r="D1281" s="7" t="str">
        <x:f>IF(ISNUMBER(C1281),C1281^2,"")</x:f>
      </x:c>
      <x:c r="E1281" s="15" t="str">
        <x:f>IF(ISNUMBER(C1281),C1281^3,"")</x:f>
      </x:c>
      <x:c r="F1281" s="15" t="str">
        <x:f>IF(ISNUMBER(C1281),C1281^4,"")</x:f>
      </x:c>
      <x:c r="G1281" s="7" t="str">
        <x:f>IF(ISNUMBER(B1281),ABS(B1281),"")</x:f>
      </x:c>
      <x:c r="H1281" s="7" t="str">
        <x:f>IF(ISNUMBER(B1281),B1281^2,"")</x:f>
      </x:c>
      <x:c r="I1281" s="7" t="str">
        <x:f>IF(AND(ISNUMBER(G1281),'요약'!$B$19),G1281-'요약'!$B$14,"")</x:f>
      </x:c>
      <x:c r="J1281" s="7" t="str">
        <x:f>IF(AND(ISNUMBER(H1281),'요약'!$B$19),H1281-'요약'!$B$15,"")</x:f>
      </x:c>
      <x:c r="K1281" t="str">
        <x:f>IF(ISNUMBER(B1281),IF('Hill'!$B$4=1,IF(B1281&lt;0,-B1281,""),IF('Hill'!$B$4=2,IF(B1281&gt;0,B1281,""),IF('Hill'!$B$4=3,IF(B1281&lt;&gt;0,ABS(B1281),""),""))),"")</x:f>
      </x:c>
    </x:row>
    <x:row r="1282">
      <x:c r="A1282" t="n">
        <x:f>1281</x:f>
        <x:v>1281</x:v>
      </x:c>
      <x:c r="B1282" s="7" t="str">
        <x:f>IF('요약'!$B$4=4,IF(ISNUMBER('input'!A1282),'input'!A1282,""),IF(1281&lt;=1000,CHOOSE('요약'!$B$4,'input'!B1282,'input'!C1282,'input'!D1282),""))</x:f>
      </x:c>
      <x:c r="C1282" s="7" t="str">
        <x:f>IF(AND(ISNUMBER(B1282),'요약'!$B$19),B1282-'요약'!$B$7,"")</x:f>
      </x:c>
      <x:c r="D1282" s="7" t="str">
        <x:f>IF(ISNUMBER(C1282),C1282^2,"")</x:f>
      </x:c>
      <x:c r="E1282" s="15" t="str">
        <x:f>IF(ISNUMBER(C1282),C1282^3,"")</x:f>
      </x:c>
      <x:c r="F1282" s="15" t="str">
        <x:f>IF(ISNUMBER(C1282),C1282^4,"")</x:f>
      </x:c>
      <x:c r="G1282" s="7" t="str">
        <x:f>IF(ISNUMBER(B1282),ABS(B1282),"")</x:f>
      </x:c>
      <x:c r="H1282" s="7" t="str">
        <x:f>IF(ISNUMBER(B1282),B1282^2,"")</x:f>
      </x:c>
      <x:c r="I1282" s="7" t="str">
        <x:f>IF(AND(ISNUMBER(G1282),'요약'!$B$19),G1282-'요약'!$B$14,"")</x:f>
      </x:c>
      <x:c r="J1282" s="7" t="str">
        <x:f>IF(AND(ISNUMBER(H1282),'요약'!$B$19),H1282-'요약'!$B$15,"")</x:f>
      </x:c>
      <x:c r="K1282" t="str">
        <x:f>IF(ISNUMBER(B1282),IF('Hill'!$B$4=1,IF(B1282&lt;0,-B1282,""),IF('Hill'!$B$4=2,IF(B1282&gt;0,B1282,""),IF('Hill'!$B$4=3,IF(B1282&lt;&gt;0,ABS(B1282),""),""))),"")</x:f>
      </x:c>
    </x:row>
    <x:row r="1283">
      <x:c r="A1283" t="n">
        <x:f>1282</x:f>
        <x:v>1282</x:v>
      </x:c>
      <x:c r="B1283" s="7" t="str">
        <x:f>IF('요약'!$B$4=4,IF(ISNUMBER('input'!A1283),'input'!A1283,""),IF(1282&lt;=1000,CHOOSE('요약'!$B$4,'input'!B1283,'input'!C1283,'input'!D1283),""))</x:f>
      </x:c>
      <x:c r="C1283" s="7" t="str">
        <x:f>IF(AND(ISNUMBER(B1283),'요약'!$B$19),B1283-'요약'!$B$7,"")</x:f>
      </x:c>
      <x:c r="D1283" s="7" t="str">
        <x:f>IF(ISNUMBER(C1283),C1283^2,"")</x:f>
      </x:c>
      <x:c r="E1283" s="15" t="str">
        <x:f>IF(ISNUMBER(C1283),C1283^3,"")</x:f>
      </x:c>
      <x:c r="F1283" s="15" t="str">
        <x:f>IF(ISNUMBER(C1283),C1283^4,"")</x:f>
      </x:c>
      <x:c r="G1283" s="7" t="str">
        <x:f>IF(ISNUMBER(B1283),ABS(B1283),"")</x:f>
      </x:c>
      <x:c r="H1283" s="7" t="str">
        <x:f>IF(ISNUMBER(B1283),B1283^2,"")</x:f>
      </x:c>
      <x:c r="I1283" s="7" t="str">
        <x:f>IF(AND(ISNUMBER(G1283),'요약'!$B$19),G1283-'요약'!$B$14,"")</x:f>
      </x:c>
      <x:c r="J1283" s="7" t="str">
        <x:f>IF(AND(ISNUMBER(H1283),'요약'!$B$19),H1283-'요약'!$B$15,"")</x:f>
      </x:c>
      <x:c r="K1283" t="str">
        <x:f>IF(ISNUMBER(B1283),IF('Hill'!$B$4=1,IF(B1283&lt;0,-B1283,""),IF('Hill'!$B$4=2,IF(B1283&gt;0,B1283,""),IF('Hill'!$B$4=3,IF(B1283&lt;&gt;0,ABS(B1283),""),""))),"")</x:f>
      </x:c>
    </x:row>
    <x:row r="1284">
      <x:c r="A1284" t="n">
        <x:f>1283</x:f>
        <x:v>1283</x:v>
      </x:c>
      <x:c r="B1284" s="7" t="str">
        <x:f>IF('요약'!$B$4=4,IF(ISNUMBER('input'!A1284),'input'!A1284,""),IF(1283&lt;=1000,CHOOSE('요약'!$B$4,'input'!B1284,'input'!C1284,'input'!D1284),""))</x:f>
      </x:c>
      <x:c r="C1284" s="7" t="str">
        <x:f>IF(AND(ISNUMBER(B1284),'요약'!$B$19),B1284-'요약'!$B$7,"")</x:f>
      </x:c>
      <x:c r="D1284" s="7" t="str">
        <x:f>IF(ISNUMBER(C1284),C1284^2,"")</x:f>
      </x:c>
      <x:c r="E1284" s="15" t="str">
        <x:f>IF(ISNUMBER(C1284),C1284^3,"")</x:f>
      </x:c>
      <x:c r="F1284" s="15" t="str">
        <x:f>IF(ISNUMBER(C1284),C1284^4,"")</x:f>
      </x:c>
      <x:c r="G1284" s="7" t="str">
        <x:f>IF(ISNUMBER(B1284),ABS(B1284),"")</x:f>
      </x:c>
      <x:c r="H1284" s="7" t="str">
        <x:f>IF(ISNUMBER(B1284),B1284^2,"")</x:f>
      </x:c>
      <x:c r="I1284" s="7" t="str">
        <x:f>IF(AND(ISNUMBER(G1284),'요약'!$B$19),G1284-'요약'!$B$14,"")</x:f>
      </x:c>
      <x:c r="J1284" s="7" t="str">
        <x:f>IF(AND(ISNUMBER(H1284),'요약'!$B$19),H1284-'요약'!$B$15,"")</x:f>
      </x:c>
      <x:c r="K1284" t="str">
        <x:f>IF(ISNUMBER(B1284),IF('Hill'!$B$4=1,IF(B1284&lt;0,-B1284,""),IF('Hill'!$B$4=2,IF(B1284&gt;0,B1284,""),IF('Hill'!$B$4=3,IF(B1284&lt;&gt;0,ABS(B1284),""),""))),"")</x:f>
      </x:c>
    </x:row>
    <x:row r="1285">
      <x:c r="A1285" t="n">
        <x:f>1284</x:f>
        <x:v>1284</x:v>
      </x:c>
      <x:c r="B1285" s="7" t="str">
        <x:f>IF('요약'!$B$4=4,IF(ISNUMBER('input'!A1285),'input'!A1285,""),IF(1284&lt;=1000,CHOOSE('요약'!$B$4,'input'!B1285,'input'!C1285,'input'!D1285),""))</x:f>
      </x:c>
      <x:c r="C1285" s="7" t="str">
        <x:f>IF(AND(ISNUMBER(B1285),'요약'!$B$19),B1285-'요약'!$B$7,"")</x:f>
      </x:c>
      <x:c r="D1285" s="7" t="str">
        <x:f>IF(ISNUMBER(C1285),C1285^2,"")</x:f>
      </x:c>
      <x:c r="E1285" s="15" t="str">
        <x:f>IF(ISNUMBER(C1285),C1285^3,"")</x:f>
      </x:c>
      <x:c r="F1285" s="15" t="str">
        <x:f>IF(ISNUMBER(C1285),C1285^4,"")</x:f>
      </x:c>
      <x:c r="G1285" s="7" t="str">
        <x:f>IF(ISNUMBER(B1285),ABS(B1285),"")</x:f>
      </x:c>
      <x:c r="H1285" s="7" t="str">
        <x:f>IF(ISNUMBER(B1285),B1285^2,"")</x:f>
      </x:c>
      <x:c r="I1285" s="7" t="str">
        <x:f>IF(AND(ISNUMBER(G1285),'요약'!$B$19),G1285-'요약'!$B$14,"")</x:f>
      </x:c>
      <x:c r="J1285" s="7" t="str">
        <x:f>IF(AND(ISNUMBER(H1285),'요약'!$B$19),H1285-'요약'!$B$15,"")</x:f>
      </x:c>
      <x:c r="K1285" t="str">
        <x:f>IF(ISNUMBER(B1285),IF('Hill'!$B$4=1,IF(B1285&lt;0,-B1285,""),IF('Hill'!$B$4=2,IF(B1285&gt;0,B1285,""),IF('Hill'!$B$4=3,IF(B1285&lt;&gt;0,ABS(B1285),""),""))),"")</x:f>
      </x:c>
    </x:row>
    <x:row r="1286">
      <x:c r="A1286" t="n">
        <x:f>1285</x:f>
        <x:v>1285</x:v>
      </x:c>
      <x:c r="B1286" s="7" t="str">
        <x:f>IF('요약'!$B$4=4,IF(ISNUMBER('input'!A1286),'input'!A1286,""),IF(1285&lt;=1000,CHOOSE('요약'!$B$4,'input'!B1286,'input'!C1286,'input'!D1286),""))</x:f>
      </x:c>
      <x:c r="C1286" s="7" t="str">
        <x:f>IF(AND(ISNUMBER(B1286),'요약'!$B$19),B1286-'요약'!$B$7,"")</x:f>
      </x:c>
      <x:c r="D1286" s="7" t="str">
        <x:f>IF(ISNUMBER(C1286),C1286^2,"")</x:f>
      </x:c>
      <x:c r="E1286" s="15" t="str">
        <x:f>IF(ISNUMBER(C1286),C1286^3,"")</x:f>
      </x:c>
      <x:c r="F1286" s="15" t="str">
        <x:f>IF(ISNUMBER(C1286),C1286^4,"")</x:f>
      </x:c>
      <x:c r="G1286" s="7" t="str">
        <x:f>IF(ISNUMBER(B1286),ABS(B1286),"")</x:f>
      </x:c>
      <x:c r="H1286" s="7" t="str">
        <x:f>IF(ISNUMBER(B1286),B1286^2,"")</x:f>
      </x:c>
      <x:c r="I1286" s="7" t="str">
        <x:f>IF(AND(ISNUMBER(G1286),'요약'!$B$19),G1286-'요약'!$B$14,"")</x:f>
      </x:c>
      <x:c r="J1286" s="7" t="str">
        <x:f>IF(AND(ISNUMBER(H1286),'요약'!$B$19),H1286-'요약'!$B$15,"")</x:f>
      </x:c>
      <x:c r="K1286" t="str">
        <x:f>IF(ISNUMBER(B1286),IF('Hill'!$B$4=1,IF(B1286&lt;0,-B1286,""),IF('Hill'!$B$4=2,IF(B1286&gt;0,B1286,""),IF('Hill'!$B$4=3,IF(B1286&lt;&gt;0,ABS(B1286),""),""))),"")</x:f>
      </x:c>
    </x:row>
    <x:row r="1287">
      <x:c r="A1287" t="n">
        <x:f>1286</x:f>
        <x:v>1286</x:v>
      </x:c>
      <x:c r="B1287" s="7" t="str">
        <x:f>IF('요약'!$B$4=4,IF(ISNUMBER('input'!A1287),'input'!A1287,""),IF(1286&lt;=1000,CHOOSE('요약'!$B$4,'input'!B1287,'input'!C1287,'input'!D1287),""))</x:f>
      </x:c>
      <x:c r="C1287" s="7" t="str">
        <x:f>IF(AND(ISNUMBER(B1287),'요약'!$B$19),B1287-'요약'!$B$7,"")</x:f>
      </x:c>
      <x:c r="D1287" s="7" t="str">
        <x:f>IF(ISNUMBER(C1287),C1287^2,"")</x:f>
      </x:c>
      <x:c r="E1287" s="15" t="str">
        <x:f>IF(ISNUMBER(C1287),C1287^3,"")</x:f>
      </x:c>
      <x:c r="F1287" s="15" t="str">
        <x:f>IF(ISNUMBER(C1287),C1287^4,"")</x:f>
      </x:c>
      <x:c r="G1287" s="7" t="str">
        <x:f>IF(ISNUMBER(B1287),ABS(B1287),"")</x:f>
      </x:c>
      <x:c r="H1287" s="7" t="str">
        <x:f>IF(ISNUMBER(B1287),B1287^2,"")</x:f>
      </x:c>
      <x:c r="I1287" s="7" t="str">
        <x:f>IF(AND(ISNUMBER(G1287),'요약'!$B$19),G1287-'요약'!$B$14,"")</x:f>
      </x:c>
      <x:c r="J1287" s="7" t="str">
        <x:f>IF(AND(ISNUMBER(H1287),'요약'!$B$19),H1287-'요약'!$B$15,"")</x:f>
      </x:c>
      <x:c r="K1287" t="str">
        <x:f>IF(ISNUMBER(B1287),IF('Hill'!$B$4=1,IF(B1287&lt;0,-B1287,""),IF('Hill'!$B$4=2,IF(B1287&gt;0,B1287,""),IF('Hill'!$B$4=3,IF(B1287&lt;&gt;0,ABS(B1287),""),""))),"")</x:f>
      </x:c>
    </x:row>
    <x:row r="1288">
      <x:c r="A1288" t="n">
        <x:f>1287</x:f>
        <x:v>1287</x:v>
      </x:c>
      <x:c r="B1288" s="7" t="str">
        <x:f>IF('요약'!$B$4=4,IF(ISNUMBER('input'!A1288),'input'!A1288,""),IF(1287&lt;=1000,CHOOSE('요약'!$B$4,'input'!B1288,'input'!C1288,'input'!D1288),""))</x:f>
      </x:c>
      <x:c r="C1288" s="7" t="str">
        <x:f>IF(AND(ISNUMBER(B1288),'요약'!$B$19),B1288-'요약'!$B$7,"")</x:f>
      </x:c>
      <x:c r="D1288" s="7" t="str">
        <x:f>IF(ISNUMBER(C1288),C1288^2,"")</x:f>
      </x:c>
      <x:c r="E1288" s="15" t="str">
        <x:f>IF(ISNUMBER(C1288),C1288^3,"")</x:f>
      </x:c>
      <x:c r="F1288" s="15" t="str">
        <x:f>IF(ISNUMBER(C1288),C1288^4,"")</x:f>
      </x:c>
      <x:c r="G1288" s="7" t="str">
        <x:f>IF(ISNUMBER(B1288),ABS(B1288),"")</x:f>
      </x:c>
      <x:c r="H1288" s="7" t="str">
        <x:f>IF(ISNUMBER(B1288),B1288^2,"")</x:f>
      </x:c>
      <x:c r="I1288" s="7" t="str">
        <x:f>IF(AND(ISNUMBER(G1288),'요약'!$B$19),G1288-'요약'!$B$14,"")</x:f>
      </x:c>
      <x:c r="J1288" s="7" t="str">
        <x:f>IF(AND(ISNUMBER(H1288),'요약'!$B$19),H1288-'요약'!$B$15,"")</x:f>
      </x:c>
      <x:c r="K1288" t="str">
        <x:f>IF(ISNUMBER(B1288),IF('Hill'!$B$4=1,IF(B1288&lt;0,-B1288,""),IF('Hill'!$B$4=2,IF(B1288&gt;0,B1288,""),IF('Hill'!$B$4=3,IF(B1288&lt;&gt;0,ABS(B1288),""),""))),"")</x:f>
      </x:c>
    </x:row>
    <x:row r="1289">
      <x:c r="A1289" t="n">
        <x:f>1288</x:f>
        <x:v>1288</x:v>
      </x:c>
      <x:c r="B1289" s="7" t="str">
        <x:f>IF('요약'!$B$4=4,IF(ISNUMBER('input'!A1289),'input'!A1289,""),IF(1288&lt;=1000,CHOOSE('요약'!$B$4,'input'!B1289,'input'!C1289,'input'!D1289),""))</x:f>
      </x:c>
      <x:c r="C1289" s="7" t="str">
        <x:f>IF(AND(ISNUMBER(B1289),'요약'!$B$19),B1289-'요약'!$B$7,"")</x:f>
      </x:c>
      <x:c r="D1289" s="7" t="str">
        <x:f>IF(ISNUMBER(C1289),C1289^2,"")</x:f>
      </x:c>
      <x:c r="E1289" s="15" t="str">
        <x:f>IF(ISNUMBER(C1289),C1289^3,"")</x:f>
      </x:c>
      <x:c r="F1289" s="15" t="str">
        <x:f>IF(ISNUMBER(C1289),C1289^4,"")</x:f>
      </x:c>
      <x:c r="G1289" s="7" t="str">
        <x:f>IF(ISNUMBER(B1289),ABS(B1289),"")</x:f>
      </x:c>
      <x:c r="H1289" s="7" t="str">
        <x:f>IF(ISNUMBER(B1289),B1289^2,"")</x:f>
      </x:c>
      <x:c r="I1289" s="7" t="str">
        <x:f>IF(AND(ISNUMBER(G1289),'요약'!$B$19),G1289-'요약'!$B$14,"")</x:f>
      </x:c>
      <x:c r="J1289" s="7" t="str">
        <x:f>IF(AND(ISNUMBER(H1289),'요약'!$B$19),H1289-'요약'!$B$15,"")</x:f>
      </x:c>
      <x:c r="K1289" t="str">
        <x:f>IF(ISNUMBER(B1289),IF('Hill'!$B$4=1,IF(B1289&lt;0,-B1289,""),IF('Hill'!$B$4=2,IF(B1289&gt;0,B1289,""),IF('Hill'!$B$4=3,IF(B1289&lt;&gt;0,ABS(B1289),""),""))),"")</x:f>
      </x:c>
    </x:row>
    <x:row r="1290">
      <x:c r="A1290" t="n">
        <x:f>1289</x:f>
        <x:v>1289</x:v>
      </x:c>
      <x:c r="B1290" s="7" t="str">
        <x:f>IF('요약'!$B$4=4,IF(ISNUMBER('input'!A1290),'input'!A1290,""),IF(1289&lt;=1000,CHOOSE('요약'!$B$4,'input'!B1290,'input'!C1290,'input'!D1290),""))</x:f>
      </x:c>
      <x:c r="C1290" s="7" t="str">
        <x:f>IF(AND(ISNUMBER(B1290),'요약'!$B$19),B1290-'요약'!$B$7,"")</x:f>
      </x:c>
      <x:c r="D1290" s="7" t="str">
        <x:f>IF(ISNUMBER(C1290),C1290^2,"")</x:f>
      </x:c>
      <x:c r="E1290" s="15" t="str">
        <x:f>IF(ISNUMBER(C1290),C1290^3,"")</x:f>
      </x:c>
      <x:c r="F1290" s="15" t="str">
        <x:f>IF(ISNUMBER(C1290),C1290^4,"")</x:f>
      </x:c>
      <x:c r="G1290" s="7" t="str">
        <x:f>IF(ISNUMBER(B1290),ABS(B1290),"")</x:f>
      </x:c>
      <x:c r="H1290" s="7" t="str">
        <x:f>IF(ISNUMBER(B1290),B1290^2,"")</x:f>
      </x:c>
      <x:c r="I1290" s="7" t="str">
        <x:f>IF(AND(ISNUMBER(G1290),'요약'!$B$19),G1290-'요약'!$B$14,"")</x:f>
      </x:c>
      <x:c r="J1290" s="7" t="str">
        <x:f>IF(AND(ISNUMBER(H1290),'요약'!$B$19),H1290-'요약'!$B$15,"")</x:f>
      </x:c>
      <x:c r="K1290" t="str">
        <x:f>IF(ISNUMBER(B1290),IF('Hill'!$B$4=1,IF(B1290&lt;0,-B1290,""),IF('Hill'!$B$4=2,IF(B1290&gt;0,B1290,""),IF('Hill'!$B$4=3,IF(B1290&lt;&gt;0,ABS(B1290),""),""))),"")</x:f>
      </x:c>
    </x:row>
    <x:row r="1291">
      <x:c r="A1291" t="n">
        <x:f>1290</x:f>
        <x:v>1290</x:v>
      </x:c>
      <x:c r="B1291" s="7" t="str">
        <x:f>IF('요약'!$B$4=4,IF(ISNUMBER('input'!A1291),'input'!A1291,""),IF(1290&lt;=1000,CHOOSE('요약'!$B$4,'input'!B1291,'input'!C1291,'input'!D1291),""))</x:f>
      </x:c>
      <x:c r="C1291" s="7" t="str">
        <x:f>IF(AND(ISNUMBER(B1291),'요약'!$B$19),B1291-'요약'!$B$7,"")</x:f>
      </x:c>
      <x:c r="D1291" s="7" t="str">
        <x:f>IF(ISNUMBER(C1291),C1291^2,"")</x:f>
      </x:c>
      <x:c r="E1291" s="15" t="str">
        <x:f>IF(ISNUMBER(C1291),C1291^3,"")</x:f>
      </x:c>
      <x:c r="F1291" s="15" t="str">
        <x:f>IF(ISNUMBER(C1291),C1291^4,"")</x:f>
      </x:c>
      <x:c r="G1291" s="7" t="str">
        <x:f>IF(ISNUMBER(B1291),ABS(B1291),"")</x:f>
      </x:c>
      <x:c r="H1291" s="7" t="str">
        <x:f>IF(ISNUMBER(B1291),B1291^2,"")</x:f>
      </x:c>
      <x:c r="I1291" s="7" t="str">
        <x:f>IF(AND(ISNUMBER(G1291),'요약'!$B$19),G1291-'요약'!$B$14,"")</x:f>
      </x:c>
      <x:c r="J1291" s="7" t="str">
        <x:f>IF(AND(ISNUMBER(H1291),'요약'!$B$19),H1291-'요약'!$B$15,"")</x:f>
      </x:c>
      <x:c r="K1291" t="str">
        <x:f>IF(ISNUMBER(B1291),IF('Hill'!$B$4=1,IF(B1291&lt;0,-B1291,""),IF('Hill'!$B$4=2,IF(B1291&gt;0,B1291,""),IF('Hill'!$B$4=3,IF(B1291&lt;&gt;0,ABS(B1291),""),""))),"")</x:f>
      </x:c>
    </x:row>
    <x:row r="1292">
      <x:c r="A1292" t="n">
        <x:f>1291</x:f>
        <x:v>1291</x:v>
      </x:c>
      <x:c r="B1292" s="7" t="str">
        <x:f>IF('요약'!$B$4=4,IF(ISNUMBER('input'!A1292),'input'!A1292,""),IF(1291&lt;=1000,CHOOSE('요약'!$B$4,'input'!B1292,'input'!C1292,'input'!D1292),""))</x:f>
      </x:c>
      <x:c r="C1292" s="7" t="str">
        <x:f>IF(AND(ISNUMBER(B1292),'요약'!$B$19),B1292-'요약'!$B$7,"")</x:f>
      </x:c>
      <x:c r="D1292" s="7" t="str">
        <x:f>IF(ISNUMBER(C1292),C1292^2,"")</x:f>
      </x:c>
      <x:c r="E1292" s="15" t="str">
        <x:f>IF(ISNUMBER(C1292),C1292^3,"")</x:f>
      </x:c>
      <x:c r="F1292" s="15" t="str">
        <x:f>IF(ISNUMBER(C1292),C1292^4,"")</x:f>
      </x:c>
      <x:c r="G1292" s="7" t="str">
        <x:f>IF(ISNUMBER(B1292),ABS(B1292),"")</x:f>
      </x:c>
      <x:c r="H1292" s="7" t="str">
        <x:f>IF(ISNUMBER(B1292),B1292^2,"")</x:f>
      </x:c>
      <x:c r="I1292" s="7" t="str">
        <x:f>IF(AND(ISNUMBER(G1292),'요약'!$B$19),G1292-'요약'!$B$14,"")</x:f>
      </x:c>
      <x:c r="J1292" s="7" t="str">
        <x:f>IF(AND(ISNUMBER(H1292),'요약'!$B$19),H1292-'요약'!$B$15,"")</x:f>
      </x:c>
      <x:c r="K1292" t="str">
        <x:f>IF(ISNUMBER(B1292),IF('Hill'!$B$4=1,IF(B1292&lt;0,-B1292,""),IF('Hill'!$B$4=2,IF(B1292&gt;0,B1292,""),IF('Hill'!$B$4=3,IF(B1292&lt;&gt;0,ABS(B1292),""),""))),"")</x:f>
      </x:c>
    </x:row>
    <x:row r="1293">
      <x:c r="A1293" t="n">
        <x:f>1292</x:f>
        <x:v>1292</x:v>
      </x:c>
      <x:c r="B1293" s="7" t="str">
        <x:f>IF('요약'!$B$4=4,IF(ISNUMBER('input'!A1293),'input'!A1293,""),IF(1292&lt;=1000,CHOOSE('요약'!$B$4,'input'!B1293,'input'!C1293,'input'!D1293),""))</x:f>
      </x:c>
      <x:c r="C1293" s="7" t="str">
        <x:f>IF(AND(ISNUMBER(B1293),'요약'!$B$19),B1293-'요약'!$B$7,"")</x:f>
      </x:c>
      <x:c r="D1293" s="7" t="str">
        <x:f>IF(ISNUMBER(C1293),C1293^2,"")</x:f>
      </x:c>
      <x:c r="E1293" s="15" t="str">
        <x:f>IF(ISNUMBER(C1293),C1293^3,"")</x:f>
      </x:c>
      <x:c r="F1293" s="15" t="str">
        <x:f>IF(ISNUMBER(C1293),C1293^4,"")</x:f>
      </x:c>
      <x:c r="G1293" s="7" t="str">
        <x:f>IF(ISNUMBER(B1293),ABS(B1293),"")</x:f>
      </x:c>
      <x:c r="H1293" s="7" t="str">
        <x:f>IF(ISNUMBER(B1293),B1293^2,"")</x:f>
      </x:c>
      <x:c r="I1293" s="7" t="str">
        <x:f>IF(AND(ISNUMBER(G1293),'요약'!$B$19),G1293-'요약'!$B$14,"")</x:f>
      </x:c>
      <x:c r="J1293" s="7" t="str">
        <x:f>IF(AND(ISNUMBER(H1293),'요약'!$B$19),H1293-'요약'!$B$15,"")</x:f>
      </x:c>
      <x:c r="K1293" t="str">
        <x:f>IF(ISNUMBER(B1293),IF('Hill'!$B$4=1,IF(B1293&lt;0,-B1293,""),IF('Hill'!$B$4=2,IF(B1293&gt;0,B1293,""),IF('Hill'!$B$4=3,IF(B1293&lt;&gt;0,ABS(B1293),""),""))),"")</x:f>
      </x:c>
    </x:row>
    <x:row r="1294">
      <x:c r="A1294" t="n">
        <x:f>1293</x:f>
        <x:v>1293</x:v>
      </x:c>
      <x:c r="B1294" s="7" t="str">
        <x:f>IF('요약'!$B$4=4,IF(ISNUMBER('input'!A1294),'input'!A1294,""),IF(1293&lt;=1000,CHOOSE('요약'!$B$4,'input'!B1294,'input'!C1294,'input'!D1294),""))</x:f>
      </x:c>
      <x:c r="C1294" s="7" t="str">
        <x:f>IF(AND(ISNUMBER(B1294),'요약'!$B$19),B1294-'요약'!$B$7,"")</x:f>
      </x:c>
      <x:c r="D1294" s="7" t="str">
        <x:f>IF(ISNUMBER(C1294),C1294^2,"")</x:f>
      </x:c>
      <x:c r="E1294" s="15" t="str">
        <x:f>IF(ISNUMBER(C1294),C1294^3,"")</x:f>
      </x:c>
      <x:c r="F1294" s="15" t="str">
        <x:f>IF(ISNUMBER(C1294),C1294^4,"")</x:f>
      </x:c>
      <x:c r="G1294" s="7" t="str">
        <x:f>IF(ISNUMBER(B1294),ABS(B1294),"")</x:f>
      </x:c>
      <x:c r="H1294" s="7" t="str">
        <x:f>IF(ISNUMBER(B1294),B1294^2,"")</x:f>
      </x:c>
      <x:c r="I1294" s="7" t="str">
        <x:f>IF(AND(ISNUMBER(G1294),'요약'!$B$19),G1294-'요약'!$B$14,"")</x:f>
      </x:c>
      <x:c r="J1294" s="7" t="str">
        <x:f>IF(AND(ISNUMBER(H1294),'요약'!$B$19),H1294-'요약'!$B$15,"")</x:f>
      </x:c>
      <x:c r="K1294" t="str">
        <x:f>IF(ISNUMBER(B1294),IF('Hill'!$B$4=1,IF(B1294&lt;0,-B1294,""),IF('Hill'!$B$4=2,IF(B1294&gt;0,B1294,""),IF('Hill'!$B$4=3,IF(B1294&lt;&gt;0,ABS(B1294),""),""))),"")</x:f>
      </x:c>
    </x:row>
    <x:row r="1295">
      <x:c r="A1295" t="n">
        <x:f>1294</x:f>
        <x:v>1294</x:v>
      </x:c>
      <x:c r="B1295" s="7" t="str">
        <x:f>IF('요약'!$B$4=4,IF(ISNUMBER('input'!A1295),'input'!A1295,""),IF(1294&lt;=1000,CHOOSE('요약'!$B$4,'input'!B1295,'input'!C1295,'input'!D1295),""))</x:f>
      </x:c>
      <x:c r="C1295" s="7" t="str">
        <x:f>IF(AND(ISNUMBER(B1295),'요약'!$B$19),B1295-'요약'!$B$7,"")</x:f>
      </x:c>
      <x:c r="D1295" s="7" t="str">
        <x:f>IF(ISNUMBER(C1295),C1295^2,"")</x:f>
      </x:c>
      <x:c r="E1295" s="15" t="str">
        <x:f>IF(ISNUMBER(C1295),C1295^3,"")</x:f>
      </x:c>
      <x:c r="F1295" s="15" t="str">
        <x:f>IF(ISNUMBER(C1295),C1295^4,"")</x:f>
      </x:c>
      <x:c r="G1295" s="7" t="str">
        <x:f>IF(ISNUMBER(B1295),ABS(B1295),"")</x:f>
      </x:c>
      <x:c r="H1295" s="7" t="str">
        <x:f>IF(ISNUMBER(B1295),B1295^2,"")</x:f>
      </x:c>
      <x:c r="I1295" s="7" t="str">
        <x:f>IF(AND(ISNUMBER(G1295),'요약'!$B$19),G1295-'요약'!$B$14,"")</x:f>
      </x:c>
      <x:c r="J1295" s="7" t="str">
        <x:f>IF(AND(ISNUMBER(H1295),'요약'!$B$19),H1295-'요약'!$B$15,"")</x:f>
      </x:c>
      <x:c r="K1295" t="str">
        <x:f>IF(ISNUMBER(B1295),IF('Hill'!$B$4=1,IF(B1295&lt;0,-B1295,""),IF('Hill'!$B$4=2,IF(B1295&gt;0,B1295,""),IF('Hill'!$B$4=3,IF(B1295&lt;&gt;0,ABS(B1295),""),""))),"")</x:f>
      </x:c>
    </x:row>
    <x:row r="1296">
      <x:c r="A1296" t="n">
        <x:f>1295</x:f>
        <x:v>1295</x:v>
      </x:c>
      <x:c r="B1296" s="7" t="str">
        <x:f>IF('요약'!$B$4=4,IF(ISNUMBER('input'!A1296),'input'!A1296,""),IF(1295&lt;=1000,CHOOSE('요약'!$B$4,'input'!B1296,'input'!C1296,'input'!D1296),""))</x:f>
      </x:c>
      <x:c r="C1296" s="7" t="str">
        <x:f>IF(AND(ISNUMBER(B1296),'요약'!$B$19),B1296-'요약'!$B$7,"")</x:f>
      </x:c>
      <x:c r="D1296" s="7" t="str">
        <x:f>IF(ISNUMBER(C1296),C1296^2,"")</x:f>
      </x:c>
      <x:c r="E1296" s="15" t="str">
        <x:f>IF(ISNUMBER(C1296),C1296^3,"")</x:f>
      </x:c>
      <x:c r="F1296" s="15" t="str">
        <x:f>IF(ISNUMBER(C1296),C1296^4,"")</x:f>
      </x:c>
      <x:c r="G1296" s="7" t="str">
        <x:f>IF(ISNUMBER(B1296),ABS(B1296),"")</x:f>
      </x:c>
      <x:c r="H1296" s="7" t="str">
        <x:f>IF(ISNUMBER(B1296),B1296^2,"")</x:f>
      </x:c>
      <x:c r="I1296" s="7" t="str">
        <x:f>IF(AND(ISNUMBER(G1296),'요약'!$B$19),G1296-'요약'!$B$14,"")</x:f>
      </x:c>
      <x:c r="J1296" s="7" t="str">
        <x:f>IF(AND(ISNUMBER(H1296),'요약'!$B$19),H1296-'요약'!$B$15,"")</x:f>
      </x:c>
      <x:c r="K1296" t="str">
        <x:f>IF(ISNUMBER(B1296),IF('Hill'!$B$4=1,IF(B1296&lt;0,-B1296,""),IF('Hill'!$B$4=2,IF(B1296&gt;0,B1296,""),IF('Hill'!$B$4=3,IF(B1296&lt;&gt;0,ABS(B1296),""),""))),"")</x:f>
      </x:c>
    </x:row>
    <x:row r="1297">
      <x:c r="A1297" t="n">
        <x:f>1296</x:f>
        <x:v>1296</x:v>
      </x:c>
      <x:c r="B1297" s="7" t="str">
        <x:f>IF('요약'!$B$4=4,IF(ISNUMBER('input'!A1297),'input'!A1297,""),IF(1296&lt;=1000,CHOOSE('요약'!$B$4,'input'!B1297,'input'!C1297,'input'!D1297),""))</x:f>
      </x:c>
      <x:c r="C1297" s="7" t="str">
        <x:f>IF(AND(ISNUMBER(B1297),'요약'!$B$19),B1297-'요약'!$B$7,"")</x:f>
      </x:c>
      <x:c r="D1297" s="7" t="str">
        <x:f>IF(ISNUMBER(C1297),C1297^2,"")</x:f>
      </x:c>
      <x:c r="E1297" s="15" t="str">
        <x:f>IF(ISNUMBER(C1297),C1297^3,"")</x:f>
      </x:c>
      <x:c r="F1297" s="15" t="str">
        <x:f>IF(ISNUMBER(C1297),C1297^4,"")</x:f>
      </x:c>
      <x:c r="G1297" s="7" t="str">
        <x:f>IF(ISNUMBER(B1297),ABS(B1297),"")</x:f>
      </x:c>
      <x:c r="H1297" s="7" t="str">
        <x:f>IF(ISNUMBER(B1297),B1297^2,"")</x:f>
      </x:c>
      <x:c r="I1297" s="7" t="str">
        <x:f>IF(AND(ISNUMBER(G1297),'요약'!$B$19),G1297-'요약'!$B$14,"")</x:f>
      </x:c>
      <x:c r="J1297" s="7" t="str">
        <x:f>IF(AND(ISNUMBER(H1297),'요약'!$B$19),H1297-'요약'!$B$15,"")</x:f>
      </x:c>
      <x:c r="K1297" t="str">
        <x:f>IF(ISNUMBER(B1297),IF('Hill'!$B$4=1,IF(B1297&lt;0,-B1297,""),IF('Hill'!$B$4=2,IF(B1297&gt;0,B1297,""),IF('Hill'!$B$4=3,IF(B1297&lt;&gt;0,ABS(B1297),""),""))),"")</x:f>
      </x:c>
    </x:row>
    <x:row r="1298">
      <x:c r="A1298" t="n">
        <x:f>1297</x:f>
        <x:v>1297</x:v>
      </x:c>
      <x:c r="B1298" s="7" t="str">
        <x:f>IF('요약'!$B$4=4,IF(ISNUMBER('input'!A1298),'input'!A1298,""),IF(1297&lt;=1000,CHOOSE('요약'!$B$4,'input'!B1298,'input'!C1298,'input'!D1298),""))</x:f>
      </x:c>
      <x:c r="C1298" s="7" t="str">
        <x:f>IF(AND(ISNUMBER(B1298),'요약'!$B$19),B1298-'요약'!$B$7,"")</x:f>
      </x:c>
      <x:c r="D1298" s="7" t="str">
        <x:f>IF(ISNUMBER(C1298),C1298^2,"")</x:f>
      </x:c>
      <x:c r="E1298" s="15" t="str">
        <x:f>IF(ISNUMBER(C1298),C1298^3,"")</x:f>
      </x:c>
      <x:c r="F1298" s="15" t="str">
        <x:f>IF(ISNUMBER(C1298),C1298^4,"")</x:f>
      </x:c>
      <x:c r="G1298" s="7" t="str">
        <x:f>IF(ISNUMBER(B1298),ABS(B1298),"")</x:f>
      </x:c>
      <x:c r="H1298" s="7" t="str">
        <x:f>IF(ISNUMBER(B1298),B1298^2,"")</x:f>
      </x:c>
      <x:c r="I1298" s="7" t="str">
        <x:f>IF(AND(ISNUMBER(G1298),'요약'!$B$19),G1298-'요약'!$B$14,"")</x:f>
      </x:c>
      <x:c r="J1298" s="7" t="str">
        <x:f>IF(AND(ISNUMBER(H1298),'요약'!$B$19),H1298-'요약'!$B$15,"")</x:f>
      </x:c>
      <x:c r="K1298" t="str">
        <x:f>IF(ISNUMBER(B1298),IF('Hill'!$B$4=1,IF(B1298&lt;0,-B1298,""),IF('Hill'!$B$4=2,IF(B1298&gt;0,B1298,""),IF('Hill'!$B$4=3,IF(B1298&lt;&gt;0,ABS(B1298),""),""))),"")</x:f>
      </x:c>
    </x:row>
    <x:row r="1299">
      <x:c r="A1299" t="n">
        <x:f>1298</x:f>
        <x:v>1298</x:v>
      </x:c>
      <x:c r="B1299" s="7" t="str">
        <x:f>IF('요약'!$B$4=4,IF(ISNUMBER('input'!A1299),'input'!A1299,""),IF(1298&lt;=1000,CHOOSE('요약'!$B$4,'input'!B1299,'input'!C1299,'input'!D1299),""))</x:f>
      </x:c>
      <x:c r="C1299" s="7" t="str">
        <x:f>IF(AND(ISNUMBER(B1299),'요약'!$B$19),B1299-'요약'!$B$7,"")</x:f>
      </x:c>
      <x:c r="D1299" s="7" t="str">
        <x:f>IF(ISNUMBER(C1299),C1299^2,"")</x:f>
      </x:c>
      <x:c r="E1299" s="15" t="str">
        <x:f>IF(ISNUMBER(C1299),C1299^3,"")</x:f>
      </x:c>
      <x:c r="F1299" s="15" t="str">
        <x:f>IF(ISNUMBER(C1299),C1299^4,"")</x:f>
      </x:c>
      <x:c r="G1299" s="7" t="str">
        <x:f>IF(ISNUMBER(B1299),ABS(B1299),"")</x:f>
      </x:c>
      <x:c r="H1299" s="7" t="str">
        <x:f>IF(ISNUMBER(B1299),B1299^2,"")</x:f>
      </x:c>
      <x:c r="I1299" s="7" t="str">
        <x:f>IF(AND(ISNUMBER(G1299),'요약'!$B$19),G1299-'요약'!$B$14,"")</x:f>
      </x:c>
      <x:c r="J1299" s="7" t="str">
        <x:f>IF(AND(ISNUMBER(H1299),'요약'!$B$19),H1299-'요약'!$B$15,"")</x:f>
      </x:c>
      <x:c r="K1299" t="str">
        <x:f>IF(ISNUMBER(B1299),IF('Hill'!$B$4=1,IF(B1299&lt;0,-B1299,""),IF('Hill'!$B$4=2,IF(B1299&gt;0,B1299,""),IF('Hill'!$B$4=3,IF(B1299&lt;&gt;0,ABS(B1299),""),""))),"")</x:f>
      </x:c>
    </x:row>
    <x:row r="1300">
      <x:c r="A1300" t="n">
        <x:f>1299</x:f>
        <x:v>1299</x:v>
      </x:c>
      <x:c r="B1300" s="7" t="str">
        <x:f>IF('요약'!$B$4=4,IF(ISNUMBER('input'!A1300),'input'!A1300,""),IF(1299&lt;=1000,CHOOSE('요약'!$B$4,'input'!B1300,'input'!C1300,'input'!D1300),""))</x:f>
      </x:c>
      <x:c r="C1300" s="7" t="str">
        <x:f>IF(AND(ISNUMBER(B1300),'요약'!$B$19),B1300-'요약'!$B$7,"")</x:f>
      </x:c>
      <x:c r="D1300" s="7" t="str">
        <x:f>IF(ISNUMBER(C1300),C1300^2,"")</x:f>
      </x:c>
      <x:c r="E1300" s="15" t="str">
        <x:f>IF(ISNUMBER(C1300),C1300^3,"")</x:f>
      </x:c>
      <x:c r="F1300" s="15" t="str">
        <x:f>IF(ISNUMBER(C1300),C1300^4,"")</x:f>
      </x:c>
      <x:c r="G1300" s="7" t="str">
        <x:f>IF(ISNUMBER(B1300),ABS(B1300),"")</x:f>
      </x:c>
      <x:c r="H1300" s="7" t="str">
        <x:f>IF(ISNUMBER(B1300),B1300^2,"")</x:f>
      </x:c>
      <x:c r="I1300" s="7" t="str">
        <x:f>IF(AND(ISNUMBER(G1300),'요약'!$B$19),G1300-'요약'!$B$14,"")</x:f>
      </x:c>
      <x:c r="J1300" s="7" t="str">
        <x:f>IF(AND(ISNUMBER(H1300),'요약'!$B$19),H1300-'요약'!$B$15,"")</x:f>
      </x:c>
      <x:c r="K1300" t="str">
        <x:f>IF(ISNUMBER(B1300),IF('Hill'!$B$4=1,IF(B1300&lt;0,-B1300,""),IF('Hill'!$B$4=2,IF(B1300&gt;0,B1300,""),IF('Hill'!$B$4=3,IF(B1300&lt;&gt;0,ABS(B1300),""),""))),"")</x:f>
      </x:c>
    </x:row>
    <x:row r="1301">
      <x:c r="A1301" t="n">
        <x:f>1300</x:f>
        <x:v>1300</x:v>
      </x:c>
      <x:c r="B1301" s="7" t="str">
        <x:f>IF('요약'!$B$4=4,IF(ISNUMBER('input'!A1301),'input'!A1301,""),IF(1300&lt;=1000,CHOOSE('요약'!$B$4,'input'!B1301,'input'!C1301,'input'!D1301),""))</x:f>
      </x:c>
      <x:c r="C1301" s="7" t="str">
        <x:f>IF(AND(ISNUMBER(B1301),'요약'!$B$19),B1301-'요약'!$B$7,"")</x:f>
      </x:c>
      <x:c r="D1301" s="7" t="str">
        <x:f>IF(ISNUMBER(C1301),C1301^2,"")</x:f>
      </x:c>
      <x:c r="E1301" s="15" t="str">
        <x:f>IF(ISNUMBER(C1301),C1301^3,"")</x:f>
      </x:c>
      <x:c r="F1301" s="15" t="str">
        <x:f>IF(ISNUMBER(C1301),C1301^4,"")</x:f>
      </x:c>
      <x:c r="G1301" s="7" t="str">
        <x:f>IF(ISNUMBER(B1301),ABS(B1301),"")</x:f>
      </x:c>
      <x:c r="H1301" s="7" t="str">
        <x:f>IF(ISNUMBER(B1301),B1301^2,"")</x:f>
      </x:c>
      <x:c r="I1301" s="7" t="str">
        <x:f>IF(AND(ISNUMBER(G1301),'요약'!$B$19),G1301-'요약'!$B$14,"")</x:f>
      </x:c>
      <x:c r="J1301" s="7" t="str">
        <x:f>IF(AND(ISNUMBER(H1301),'요약'!$B$19),H1301-'요약'!$B$15,"")</x:f>
      </x:c>
      <x:c r="K1301" t="str">
        <x:f>IF(ISNUMBER(B1301),IF('Hill'!$B$4=1,IF(B1301&lt;0,-B1301,""),IF('Hill'!$B$4=2,IF(B1301&gt;0,B1301,""),IF('Hill'!$B$4=3,IF(B1301&lt;&gt;0,ABS(B1301),""),""))),"")</x:f>
      </x:c>
    </x:row>
    <x:row r="1302">
      <x:c r="A1302" t="n">
        <x:f>1301</x:f>
        <x:v>1301</x:v>
      </x:c>
      <x:c r="B1302" s="7" t="str">
        <x:f>IF('요약'!$B$4=4,IF(ISNUMBER('input'!A1302),'input'!A1302,""),IF(1301&lt;=1000,CHOOSE('요약'!$B$4,'input'!B1302,'input'!C1302,'input'!D1302),""))</x:f>
      </x:c>
      <x:c r="C1302" s="7" t="str">
        <x:f>IF(AND(ISNUMBER(B1302),'요약'!$B$19),B1302-'요약'!$B$7,"")</x:f>
      </x:c>
      <x:c r="D1302" s="7" t="str">
        <x:f>IF(ISNUMBER(C1302),C1302^2,"")</x:f>
      </x:c>
      <x:c r="E1302" s="15" t="str">
        <x:f>IF(ISNUMBER(C1302),C1302^3,"")</x:f>
      </x:c>
      <x:c r="F1302" s="15" t="str">
        <x:f>IF(ISNUMBER(C1302),C1302^4,"")</x:f>
      </x:c>
      <x:c r="G1302" s="7" t="str">
        <x:f>IF(ISNUMBER(B1302),ABS(B1302),"")</x:f>
      </x:c>
      <x:c r="H1302" s="7" t="str">
        <x:f>IF(ISNUMBER(B1302),B1302^2,"")</x:f>
      </x:c>
      <x:c r="I1302" s="7" t="str">
        <x:f>IF(AND(ISNUMBER(G1302),'요약'!$B$19),G1302-'요약'!$B$14,"")</x:f>
      </x:c>
      <x:c r="J1302" s="7" t="str">
        <x:f>IF(AND(ISNUMBER(H1302),'요약'!$B$19),H1302-'요약'!$B$15,"")</x:f>
      </x:c>
      <x:c r="K1302" t="str">
        <x:f>IF(ISNUMBER(B1302),IF('Hill'!$B$4=1,IF(B1302&lt;0,-B1302,""),IF('Hill'!$B$4=2,IF(B1302&gt;0,B1302,""),IF('Hill'!$B$4=3,IF(B1302&lt;&gt;0,ABS(B1302),""),""))),"")</x:f>
      </x:c>
    </x:row>
    <x:row r="1303">
      <x:c r="A1303" t="n">
        <x:f>1302</x:f>
        <x:v>1302</x:v>
      </x:c>
      <x:c r="B1303" s="7" t="str">
        <x:f>IF('요약'!$B$4=4,IF(ISNUMBER('input'!A1303),'input'!A1303,""),IF(1302&lt;=1000,CHOOSE('요약'!$B$4,'input'!B1303,'input'!C1303,'input'!D1303),""))</x:f>
      </x:c>
      <x:c r="C1303" s="7" t="str">
        <x:f>IF(AND(ISNUMBER(B1303),'요약'!$B$19),B1303-'요약'!$B$7,"")</x:f>
      </x:c>
      <x:c r="D1303" s="7" t="str">
        <x:f>IF(ISNUMBER(C1303),C1303^2,"")</x:f>
      </x:c>
      <x:c r="E1303" s="15" t="str">
        <x:f>IF(ISNUMBER(C1303),C1303^3,"")</x:f>
      </x:c>
      <x:c r="F1303" s="15" t="str">
        <x:f>IF(ISNUMBER(C1303),C1303^4,"")</x:f>
      </x:c>
      <x:c r="G1303" s="7" t="str">
        <x:f>IF(ISNUMBER(B1303),ABS(B1303),"")</x:f>
      </x:c>
      <x:c r="H1303" s="7" t="str">
        <x:f>IF(ISNUMBER(B1303),B1303^2,"")</x:f>
      </x:c>
      <x:c r="I1303" s="7" t="str">
        <x:f>IF(AND(ISNUMBER(G1303),'요약'!$B$19),G1303-'요약'!$B$14,"")</x:f>
      </x:c>
      <x:c r="J1303" s="7" t="str">
        <x:f>IF(AND(ISNUMBER(H1303),'요약'!$B$19),H1303-'요약'!$B$15,"")</x:f>
      </x:c>
      <x:c r="K1303" t="str">
        <x:f>IF(ISNUMBER(B1303),IF('Hill'!$B$4=1,IF(B1303&lt;0,-B1303,""),IF('Hill'!$B$4=2,IF(B1303&gt;0,B1303,""),IF('Hill'!$B$4=3,IF(B1303&lt;&gt;0,ABS(B1303),""),""))),"")</x:f>
      </x:c>
    </x:row>
    <x:row r="1304">
      <x:c r="A1304" t="n">
        <x:f>1303</x:f>
        <x:v>1303</x:v>
      </x:c>
      <x:c r="B1304" s="7" t="str">
        <x:f>IF('요약'!$B$4=4,IF(ISNUMBER('input'!A1304),'input'!A1304,""),IF(1303&lt;=1000,CHOOSE('요약'!$B$4,'input'!B1304,'input'!C1304,'input'!D1304),""))</x:f>
      </x:c>
      <x:c r="C1304" s="7" t="str">
        <x:f>IF(AND(ISNUMBER(B1304),'요약'!$B$19),B1304-'요약'!$B$7,"")</x:f>
      </x:c>
      <x:c r="D1304" s="7" t="str">
        <x:f>IF(ISNUMBER(C1304),C1304^2,"")</x:f>
      </x:c>
      <x:c r="E1304" s="15" t="str">
        <x:f>IF(ISNUMBER(C1304),C1304^3,"")</x:f>
      </x:c>
      <x:c r="F1304" s="15" t="str">
        <x:f>IF(ISNUMBER(C1304),C1304^4,"")</x:f>
      </x:c>
      <x:c r="G1304" s="7" t="str">
        <x:f>IF(ISNUMBER(B1304),ABS(B1304),"")</x:f>
      </x:c>
      <x:c r="H1304" s="7" t="str">
        <x:f>IF(ISNUMBER(B1304),B1304^2,"")</x:f>
      </x:c>
      <x:c r="I1304" s="7" t="str">
        <x:f>IF(AND(ISNUMBER(G1304),'요약'!$B$19),G1304-'요약'!$B$14,"")</x:f>
      </x:c>
      <x:c r="J1304" s="7" t="str">
        <x:f>IF(AND(ISNUMBER(H1304),'요약'!$B$19),H1304-'요약'!$B$15,"")</x:f>
      </x:c>
      <x:c r="K1304" t="str">
        <x:f>IF(ISNUMBER(B1304),IF('Hill'!$B$4=1,IF(B1304&lt;0,-B1304,""),IF('Hill'!$B$4=2,IF(B1304&gt;0,B1304,""),IF('Hill'!$B$4=3,IF(B1304&lt;&gt;0,ABS(B1304),""),""))),"")</x:f>
      </x:c>
    </x:row>
    <x:row r="1305">
      <x:c r="A1305" t="n">
        <x:f>1304</x:f>
        <x:v>1304</x:v>
      </x:c>
      <x:c r="B1305" s="7" t="str">
        <x:f>IF('요약'!$B$4=4,IF(ISNUMBER('input'!A1305),'input'!A1305,""),IF(1304&lt;=1000,CHOOSE('요약'!$B$4,'input'!B1305,'input'!C1305,'input'!D1305),""))</x:f>
      </x:c>
      <x:c r="C1305" s="7" t="str">
        <x:f>IF(AND(ISNUMBER(B1305),'요약'!$B$19),B1305-'요약'!$B$7,"")</x:f>
      </x:c>
      <x:c r="D1305" s="7" t="str">
        <x:f>IF(ISNUMBER(C1305),C1305^2,"")</x:f>
      </x:c>
      <x:c r="E1305" s="15" t="str">
        <x:f>IF(ISNUMBER(C1305),C1305^3,"")</x:f>
      </x:c>
      <x:c r="F1305" s="15" t="str">
        <x:f>IF(ISNUMBER(C1305),C1305^4,"")</x:f>
      </x:c>
      <x:c r="G1305" s="7" t="str">
        <x:f>IF(ISNUMBER(B1305),ABS(B1305),"")</x:f>
      </x:c>
      <x:c r="H1305" s="7" t="str">
        <x:f>IF(ISNUMBER(B1305),B1305^2,"")</x:f>
      </x:c>
      <x:c r="I1305" s="7" t="str">
        <x:f>IF(AND(ISNUMBER(G1305),'요약'!$B$19),G1305-'요약'!$B$14,"")</x:f>
      </x:c>
      <x:c r="J1305" s="7" t="str">
        <x:f>IF(AND(ISNUMBER(H1305),'요약'!$B$19),H1305-'요약'!$B$15,"")</x:f>
      </x:c>
      <x:c r="K1305" t="str">
        <x:f>IF(ISNUMBER(B1305),IF('Hill'!$B$4=1,IF(B1305&lt;0,-B1305,""),IF('Hill'!$B$4=2,IF(B1305&gt;0,B1305,""),IF('Hill'!$B$4=3,IF(B1305&lt;&gt;0,ABS(B1305),""),""))),"")</x:f>
      </x:c>
    </x:row>
    <x:row r="1306">
      <x:c r="A1306" t="n">
        <x:f>1305</x:f>
        <x:v>1305</x:v>
      </x:c>
      <x:c r="B1306" s="7" t="str">
        <x:f>IF('요약'!$B$4=4,IF(ISNUMBER('input'!A1306),'input'!A1306,""),IF(1305&lt;=1000,CHOOSE('요약'!$B$4,'input'!B1306,'input'!C1306,'input'!D1306),""))</x:f>
      </x:c>
      <x:c r="C1306" s="7" t="str">
        <x:f>IF(AND(ISNUMBER(B1306),'요약'!$B$19),B1306-'요약'!$B$7,"")</x:f>
      </x:c>
      <x:c r="D1306" s="7" t="str">
        <x:f>IF(ISNUMBER(C1306),C1306^2,"")</x:f>
      </x:c>
      <x:c r="E1306" s="15" t="str">
        <x:f>IF(ISNUMBER(C1306),C1306^3,"")</x:f>
      </x:c>
      <x:c r="F1306" s="15" t="str">
        <x:f>IF(ISNUMBER(C1306),C1306^4,"")</x:f>
      </x:c>
      <x:c r="G1306" s="7" t="str">
        <x:f>IF(ISNUMBER(B1306),ABS(B1306),"")</x:f>
      </x:c>
      <x:c r="H1306" s="7" t="str">
        <x:f>IF(ISNUMBER(B1306),B1306^2,"")</x:f>
      </x:c>
      <x:c r="I1306" s="7" t="str">
        <x:f>IF(AND(ISNUMBER(G1306),'요약'!$B$19),G1306-'요약'!$B$14,"")</x:f>
      </x:c>
      <x:c r="J1306" s="7" t="str">
        <x:f>IF(AND(ISNUMBER(H1306),'요약'!$B$19),H1306-'요약'!$B$15,"")</x:f>
      </x:c>
      <x:c r="K1306" t="str">
        <x:f>IF(ISNUMBER(B1306),IF('Hill'!$B$4=1,IF(B1306&lt;0,-B1306,""),IF('Hill'!$B$4=2,IF(B1306&gt;0,B1306,""),IF('Hill'!$B$4=3,IF(B1306&lt;&gt;0,ABS(B1306),""),""))),"")</x:f>
      </x:c>
    </x:row>
    <x:row r="1307">
      <x:c r="A1307" t="n">
        <x:f>1306</x:f>
        <x:v>1306</x:v>
      </x:c>
      <x:c r="B1307" s="7" t="str">
        <x:f>IF('요약'!$B$4=4,IF(ISNUMBER('input'!A1307),'input'!A1307,""),IF(1306&lt;=1000,CHOOSE('요약'!$B$4,'input'!B1307,'input'!C1307,'input'!D1307),""))</x:f>
      </x:c>
      <x:c r="C1307" s="7" t="str">
        <x:f>IF(AND(ISNUMBER(B1307),'요약'!$B$19),B1307-'요약'!$B$7,"")</x:f>
      </x:c>
      <x:c r="D1307" s="7" t="str">
        <x:f>IF(ISNUMBER(C1307),C1307^2,"")</x:f>
      </x:c>
      <x:c r="E1307" s="15" t="str">
        <x:f>IF(ISNUMBER(C1307),C1307^3,"")</x:f>
      </x:c>
      <x:c r="F1307" s="15" t="str">
        <x:f>IF(ISNUMBER(C1307),C1307^4,"")</x:f>
      </x:c>
      <x:c r="G1307" s="7" t="str">
        <x:f>IF(ISNUMBER(B1307),ABS(B1307),"")</x:f>
      </x:c>
      <x:c r="H1307" s="7" t="str">
        <x:f>IF(ISNUMBER(B1307),B1307^2,"")</x:f>
      </x:c>
      <x:c r="I1307" s="7" t="str">
        <x:f>IF(AND(ISNUMBER(G1307),'요약'!$B$19),G1307-'요약'!$B$14,"")</x:f>
      </x:c>
      <x:c r="J1307" s="7" t="str">
        <x:f>IF(AND(ISNUMBER(H1307),'요약'!$B$19),H1307-'요약'!$B$15,"")</x:f>
      </x:c>
      <x:c r="K1307" t="str">
        <x:f>IF(ISNUMBER(B1307),IF('Hill'!$B$4=1,IF(B1307&lt;0,-B1307,""),IF('Hill'!$B$4=2,IF(B1307&gt;0,B1307,""),IF('Hill'!$B$4=3,IF(B1307&lt;&gt;0,ABS(B1307),""),""))),"")</x:f>
      </x:c>
    </x:row>
    <x:row r="1308">
      <x:c r="A1308" t="n">
        <x:f>1307</x:f>
        <x:v>1307</x:v>
      </x:c>
      <x:c r="B1308" s="7" t="str">
        <x:f>IF('요약'!$B$4=4,IF(ISNUMBER('input'!A1308),'input'!A1308,""),IF(1307&lt;=1000,CHOOSE('요약'!$B$4,'input'!B1308,'input'!C1308,'input'!D1308),""))</x:f>
      </x:c>
      <x:c r="C1308" s="7" t="str">
        <x:f>IF(AND(ISNUMBER(B1308),'요약'!$B$19),B1308-'요약'!$B$7,"")</x:f>
      </x:c>
      <x:c r="D1308" s="7" t="str">
        <x:f>IF(ISNUMBER(C1308),C1308^2,"")</x:f>
      </x:c>
      <x:c r="E1308" s="15" t="str">
        <x:f>IF(ISNUMBER(C1308),C1308^3,"")</x:f>
      </x:c>
      <x:c r="F1308" s="15" t="str">
        <x:f>IF(ISNUMBER(C1308),C1308^4,"")</x:f>
      </x:c>
      <x:c r="G1308" s="7" t="str">
        <x:f>IF(ISNUMBER(B1308),ABS(B1308),"")</x:f>
      </x:c>
      <x:c r="H1308" s="7" t="str">
        <x:f>IF(ISNUMBER(B1308),B1308^2,"")</x:f>
      </x:c>
      <x:c r="I1308" s="7" t="str">
        <x:f>IF(AND(ISNUMBER(G1308),'요약'!$B$19),G1308-'요약'!$B$14,"")</x:f>
      </x:c>
      <x:c r="J1308" s="7" t="str">
        <x:f>IF(AND(ISNUMBER(H1308),'요약'!$B$19),H1308-'요약'!$B$15,"")</x:f>
      </x:c>
      <x:c r="K1308" t="str">
        <x:f>IF(ISNUMBER(B1308),IF('Hill'!$B$4=1,IF(B1308&lt;0,-B1308,""),IF('Hill'!$B$4=2,IF(B1308&gt;0,B1308,""),IF('Hill'!$B$4=3,IF(B1308&lt;&gt;0,ABS(B1308),""),""))),"")</x:f>
      </x:c>
    </x:row>
    <x:row r="1309">
      <x:c r="A1309" t="n">
        <x:f>1308</x:f>
        <x:v>1308</x:v>
      </x:c>
      <x:c r="B1309" s="7" t="str">
        <x:f>IF('요약'!$B$4=4,IF(ISNUMBER('input'!A1309),'input'!A1309,""),IF(1308&lt;=1000,CHOOSE('요약'!$B$4,'input'!B1309,'input'!C1309,'input'!D1309),""))</x:f>
      </x:c>
      <x:c r="C1309" s="7" t="str">
        <x:f>IF(AND(ISNUMBER(B1309),'요약'!$B$19),B1309-'요약'!$B$7,"")</x:f>
      </x:c>
      <x:c r="D1309" s="7" t="str">
        <x:f>IF(ISNUMBER(C1309),C1309^2,"")</x:f>
      </x:c>
      <x:c r="E1309" s="15" t="str">
        <x:f>IF(ISNUMBER(C1309),C1309^3,"")</x:f>
      </x:c>
      <x:c r="F1309" s="15" t="str">
        <x:f>IF(ISNUMBER(C1309),C1309^4,"")</x:f>
      </x:c>
      <x:c r="G1309" s="7" t="str">
        <x:f>IF(ISNUMBER(B1309),ABS(B1309),"")</x:f>
      </x:c>
      <x:c r="H1309" s="7" t="str">
        <x:f>IF(ISNUMBER(B1309),B1309^2,"")</x:f>
      </x:c>
      <x:c r="I1309" s="7" t="str">
        <x:f>IF(AND(ISNUMBER(G1309),'요약'!$B$19),G1309-'요약'!$B$14,"")</x:f>
      </x:c>
      <x:c r="J1309" s="7" t="str">
        <x:f>IF(AND(ISNUMBER(H1309),'요약'!$B$19),H1309-'요약'!$B$15,"")</x:f>
      </x:c>
      <x:c r="K1309" t="str">
        <x:f>IF(ISNUMBER(B1309),IF('Hill'!$B$4=1,IF(B1309&lt;0,-B1309,""),IF('Hill'!$B$4=2,IF(B1309&gt;0,B1309,""),IF('Hill'!$B$4=3,IF(B1309&lt;&gt;0,ABS(B1309),""),""))),"")</x:f>
      </x:c>
    </x:row>
    <x:row r="1310">
      <x:c r="A1310" t="n">
        <x:f>1309</x:f>
        <x:v>1309</x:v>
      </x:c>
      <x:c r="B1310" s="7" t="str">
        <x:f>IF('요약'!$B$4=4,IF(ISNUMBER('input'!A1310),'input'!A1310,""),IF(1309&lt;=1000,CHOOSE('요약'!$B$4,'input'!B1310,'input'!C1310,'input'!D1310),""))</x:f>
      </x:c>
      <x:c r="C1310" s="7" t="str">
        <x:f>IF(AND(ISNUMBER(B1310),'요약'!$B$19),B1310-'요약'!$B$7,"")</x:f>
      </x:c>
      <x:c r="D1310" s="7" t="str">
        <x:f>IF(ISNUMBER(C1310),C1310^2,"")</x:f>
      </x:c>
      <x:c r="E1310" s="15" t="str">
        <x:f>IF(ISNUMBER(C1310),C1310^3,"")</x:f>
      </x:c>
      <x:c r="F1310" s="15" t="str">
        <x:f>IF(ISNUMBER(C1310),C1310^4,"")</x:f>
      </x:c>
      <x:c r="G1310" s="7" t="str">
        <x:f>IF(ISNUMBER(B1310),ABS(B1310),"")</x:f>
      </x:c>
      <x:c r="H1310" s="7" t="str">
        <x:f>IF(ISNUMBER(B1310),B1310^2,"")</x:f>
      </x:c>
      <x:c r="I1310" s="7" t="str">
        <x:f>IF(AND(ISNUMBER(G1310),'요약'!$B$19),G1310-'요약'!$B$14,"")</x:f>
      </x:c>
      <x:c r="J1310" s="7" t="str">
        <x:f>IF(AND(ISNUMBER(H1310),'요약'!$B$19),H1310-'요약'!$B$15,"")</x:f>
      </x:c>
      <x:c r="K1310" t="str">
        <x:f>IF(ISNUMBER(B1310),IF('Hill'!$B$4=1,IF(B1310&lt;0,-B1310,""),IF('Hill'!$B$4=2,IF(B1310&gt;0,B1310,""),IF('Hill'!$B$4=3,IF(B1310&lt;&gt;0,ABS(B1310),""),""))),"")</x:f>
      </x:c>
    </x:row>
    <x:row r="1311">
      <x:c r="A1311" t="n">
        <x:f>1310</x:f>
        <x:v>1310</x:v>
      </x:c>
      <x:c r="B1311" s="7" t="str">
        <x:f>IF('요약'!$B$4=4,IF(ISNUMBER('input'!A1311),'input'!A1311,""),IF(1310&lt;=1000,CHOOSE('요약'!$B$4,'input'!B1311,'input'!C1311,'input'!D1311),""))</x:f>
      </x:c>
      <x:c r="C1311" s="7" t="str">
        <x:f>IF(AND(ISNUMBER(B1311),'요약'!$B$19),B1311-'요약'!$B$7,"")</x:f>
      </x:c>
      <x:c r="D1311" s="7" t="str">
        <x:f>IF(ISNUMBER(C1311),C1311^2,"")</x:f>
      </x:c>
      <x:c r="E1311" s="15" t="str">
        <x:f>IF(ISNUMBER(C1311),C1311^3,"")</x:f>
      </x:c>
      <x:c r="F1311" s="15" t="str">
        <x:f>IF(ISNUMBER(C1311),C1311^4,"")</x:f>
      </x:c>
      <x:c r="G1311" s="7" t="str">
        <x:f>IF(ISNUMBER(B1311),ABS(B1311),"")</x:f>
      </x:c>
      <x:c r="H1311" s="7" t="str">
        <x:f>IF(ISNUMBER(B1311),B1311^2,"")</x:f>
      </x:c>
      <x:c r="I1311" s="7" t="str">
        <x:f>IF(AND(ISNUMBER(G1311),'요약'!$B$19),G1311-'요약'!$B$14,"")</x:f>
      </x:c>
      <x:c r="J1311" s="7" t="str">
        <x:f>IF(AND(ISNUMBER(H1311),'요약'!$B$19),H1311-'요약'!$B$15,"")</x:f>
      </x:c>
      <x:c r="K1311" t="str">
        <x:f>IF(ISNUMBER(B1311),IF('Hill'!$B$4=1,IF(B1311&lt;0,-B1311,""),IF('Hill'!$B$4=2,IF(B1311&gt;0,B1311,""),IF('Hill'!$B$4=3,IF(B1311&lt;&gt;0,ABS(B1311),""),""))),"")</x:f>
      </x:c>
    </x:row>
    <x:row r="1312">
      <x:c r="A1312" t="n">
        <x:f>1311</x:f>
        <x:v>1311</x:v>
      </x:c>
      <x:c r="B1312" s="7" t="str">
        <x:f>IF('요약'!$B$4=4,IF(ISNUMBER('input'!A1312),'input'!A1312,""),IF(1311&lt;=1000,CHOOSE('요약'!$B$4,'input'!B1312,'input'!C1312,'input'!D1312),""))</x:f>
      </x:c>
      <x:c r="C1312" s="7" t="str">
        <x:f>IF(AND(ISNUMBER(B1312),'요약'!$B$19),B1312-'요약'!$B$7,"")</x:f>
      </x:c>
      <x:c r="D1312" s="7" t="str">
        <x:f>IF(ISNUMBER(C1312),C1312^2,"")</x:f>
      </x:c>
      <x:c r="E1312" s="15" t="str">
        <x:f>IF(ISNUMBER(C1312),C1312^3,"")</x:f>
      </x:c>
      <x:c r="F1312" s="15" t="str">
        <x:f>IF(ISNUMBER(C1312),C1312^4,"")</x:f>
      </x:c>
      <x:c r="G1312" s="7" t="str">
        <x:f>IF(ISNUMBER(B1312),ABS(B1312),"")</x:f>
      </x:c>
      <x:c r="H1312" s="7" t="str">
        <x:f>IF(ISNUMBER(B1312),B1312^2,"")</x:f>
      </x:c>
      <x:c r="I1312" s="7" t="str">
        <x:f>IF(AND(ISNUMBER(G1312),'요약'!$B$19),G1312-'요약'!$B$14,"")</x:f>
      </x:c>
      <x:c r="J1312" s="7" t="str">
        <x:f>IF(AND(ISNUMBER(H1312),'요약'!$B$19),H1312-'요약'!$B$15,"")</x:f>
      </x:c>
      <x:c r="K1312" t="str">
        <x:f>IF(ISNUMBER(B1312),IF('Hill'!$B$4=1,IF(B1312&lt;0,-B1312,""),IF('Hill'!$B$4=2,IF(B1312&gt;0,B1312,""),IF('Hill'!$B$4=3,IF(B1312&lt;&gt;0,ABS(B1312),""),""))),"")</x:f>
      </x:c>
    </x:row>
    <x:row r="1313">
      <x:c r="A1313" t="n">
        <x:f>1312</x:f>
        <x:v>1312</x:v>
      </x:c>
      <x:c r="B1313" s="7" t="str">
        <x:f>IF('요약'!$B$4=4,IF(ISNUMBER('input'!A1313),'input'!A1313,""),IF(1312&lt;=1000,CHOOSE('요약'!$B$4,'input'!B1313,'input'!C1313,'input'!D1313),""))</x:f>
      </x:c>
      <x:c r="C1313" s="7" t="str">
        <x:f>IF(AND(ISNUMBER(B1313),'요약'!$B$19),B1313-'요약'!$B$7,"")</x:f>
      </x:c>
      <x:c r="D1313" s="7" t="str">
        <x:f>IF(ISNUMBER(C1313),C1313^2,"")</x:f>
      </x:c>
      <x:c r="E1313" s="15" t="str">
        <x:f>IF(ISNUMBER(C1313),C1313^3,"")</x:f>
      </x:c>
      <x:c r="F1313" s="15" t="str">
        <x:f>IF(ISNUMBER(C1313),C1313^4,"")</x:f>
      </x:c>
      <x:c r="G1313" s="7" t="str">
        <x:f>IF(ISNUMBER(B1313),ABS(B1313),"")</x:f>
      </x:c>
      <x:c r="H1313" s="7" t="str">
        <x:f>IF(ISNUMBER(B1313),B1313^2,"")</x:f>
      </x:c>
      <x:c r="I1313" s="7" t="str">
        <x:f>IF(AND(ISNUMBER(G1313),'요약'!$B$19),G1313-'요약'!$B$14,"")</x:f>
      </x:c>
      <x:c r="J1313" s="7" t="str">
        <x:f>IF(AND(ISNUMBER(H1313),'요약'!$B$19),H1313-'요약'!$B$15,"")</x:f>
      </x:c>
      <x:c r="K1313" t="str">
        <x:f>IF(ISNUMBER(B1313),IF('Hill'!$B$4=1,IF(B1313&lt;0,-B1313,""),IF('Hill'!$B$4=2,IF(B1313&gt;0,B1313,""),IF('Hill'!$B$4=3,IF(B1313&lt;&gt;0,ABS(B1313),""),""))),"")</x:f>
      </x:c>
    </x:row>
    <x:row r="1314">
      <x:c r="A1314" t="n">
        <x:f>1313</x:f>
        <x:v>1313</x:v>
      </x:c>
      <x:c r="B1314" s="7" t="str">
        <x:f>IF('요약'!$B$4=4,IF(ISNUMBER('input'!A1314),'input'!A1314,""),IF(1313&lt;=1000,CHOOSE('요약'!$B$4,'input'!B1314,'input'!C1314,'input'!D1314),""))</x:f>
      </x:c>
      <x:c r="C1314" s="7" t="str">
        <x:f>IF(AND(ISNUMBER(B1314),'요약'!$B$19),B1314-'요약'!$B$7,"")</x:f>
      </x:c>
      <x:c r="D1314" s="7" t="str">
        <x:f>IF(ISNUMBER(C1314),C1314^2,"")</x:f>
      </x:c>
      <x:c r="E1314" s="15" t="str">
        <x:f>IF(ISNUMBER(C1314),C1314^3,"")</x:f>
      </x:c>
      <x:c r="F1314" s="15" t="str">
        <x:f>IF(ISNUMBER(C1314),C1314^4,"")</x:f>
      </x:c>
      <x:c r="G1314" s="7" t="str">
        <x:f>IF(ISNUMBER(B1314),ABS(B1314),"")</x:f>
      </x:c>
      <x:c r="H1314" s="7" t="str">
        <x:f>IF(ISNUMBER(B1314),B1314^2,"")</x:f>
      </x:c>
      <x:c r="I1314" s="7" t="str">
        <x:f>IF(AND(ISNUMBER(G1314),'요약'!$B$19),G1314-'요약'!$B$14,"")</x:f>
      </x:c>
      <x:c r="J1314" s="7" t="str">
        <x:f>IF(AND(ISNUMBER(H1314),'요약'!$B$19),H1314-'요약'!$B$15,"")</x:f>
      </x:c>
      <x:c r="K1314" t="str">
        <x:f>IF(ISNUMBER(B1314),IF('Hill'!$B$4=1,IF(B1314&lt;0,-B1314,""),IF('Hill'!$B$4=2,IF(B1314&gt;0,B1314,""),IF('Hill'!$B$4=3,IF(B1314&lt;&gt;0,ABS(B1314),""),""))),"")</x:f>
      </x:c>
    </x:row>
    <x:row r="1315">
      <x:c r="A1315" t="n">
        <x:f>1314</x:f>
        <x:v>1314</x:v>
      </x:c>
      <x:c r="B1315" s="7" t="str">
        <x:f>IF('요약'!$B$4=4,IF(ISNUMBER('input'!A1315),'input'!A1315,""),IF(1314&lt;=1000,CHOOSE('요약'!$B$4,'input'!B1315,'input'!C1315,'input'!D1315),""))</x:f>
      </x:c>
      <x:c r="C1315" s="7" t="str">
        <x:f>IF(AND(ISNUMBER(B1315),'요약'!$B$19),B1315-'요약'!$B$7,"")</x:f>
      </x:c>
      <x:c r="D1315" s="7" t="str">
        <x:f>IF(ISNUMBER(C1315),C1315^2,"")</x:f>
      </x:c>
      <x:c r="E1315" s="15" t="str">
        <x:f>IF(ISNUMBER(C1315),C1315^3,"")</x:f>
      </x:c>
      <x:c r="F1315" s="15" t="str">
        <x:f>IF(ISNUMBER(C1315),C1315^4,"")</x:f>
      </x:c>
      <x:c r="G1315" s="7" t="str">
        <x:f>IF(ISNUMBER(B1315),ABS(B1315),"")</x:f>
      </x:c>
      <x:c r="H1315" s="7" t="str">
        <x:f>IF(ISNUMBER(B1315),B1315^2,"")</x:f>
      </x:c>
      <x:c r="I1315" s="7" t="str">
        <x:f>IF(AND(ISNUMBER(G1315),'요약'!$B$19),G1315-'요약'!$B$14,"")</x:f>
      </x:c>
      <x:c r="J1315" s="7" t="str">
        <x:f>IF(AND(ISNUMBER(H1315),'요약'!$B$19),H1315-'요약'!$B$15,"")</x:f>
      </x:c>
      <x:c r="K1315" t="str">
        <x:f>IF(ISNUMBER(B1315),IF('Hill'!$B$4=1,IF(B1315&lt;0,-B1315,""),IF('Hill'!$B$4=2,IF(B1315&gt;0,B1315,""),IF('Hill'!$B$4=3,IF(B1315&lt;&gt;0,ABS(B1315),""),""))),"")</x:f>
      </x:c>
    </x:row>
    <x:row r="1316">
      <x:c r="A1316" t="n">
        <x:f>1315</x:f>
        <x:v>1315</x:v>
      </x:c>
      <x:c r="B1316" s="7" t="str">
        <x:f>IF('요약'!$B$4=4,IF(ISNUMBER('input'!A1316),'input'!A1316,""),IF(1315&lt;=1000,CHOOSE('요약'!$B$4,'input'!B1316,'input'!C1316,'input'!D1316),""))</x:f>
      </x:c>
      <x:c r="C1316" s="7" t="str">
        <x:f>IF(AND(ISNUMBER(B1316),'요약'!$B$19),B1316-'요약'!$B$7,"")</x:f>
      </x:c>
      <x:c r="D1316" s="7" t="str">
        <x:f>IF(ISNUMBER(C1316),C1316^2,"")</x:f>
      </x:c>
      <x:c r="E1316" s="15" t="str">
        <x:f>IF(ISNUMBER(C1316),C1316^3,"")</x:f>
      </x:c>
      <x:c r="F1316" s="15" t="str">
        <x:f>IF(ISNUMBER(C1316),C1316^4,"")</x:f>
      </x:c>
      <x:c r="G1316" s="7" t="str">
        <x:f>IF(ISNUMBER(B1316),ABS(B1316),"")</x:f>
      </x:c>
      <x:c r="H1316" s="7" t="str">
        <x:f>IF(ISNUMBER(B1316),B1316^2,"")</x:f>
      </x:c>
      <x:c r="I1316" s="7" t="str">
        <x:f>IF(AND(ISNUMBER(G1316),'요약'!$B$19),G1316-'요약'!$B$14,"")</x:f>
      </x:c>
      <x:c r="J1316" s="7" t="str">
        <x:f>IF(AND(ISNUMBER(H1316),'요약'!$B$19),H1316-'요약'!$B$15,"")</x:f>
      </x:c>
      <x:c r="K1316" t="str">
        <x:f>IF(ISNUMBER(B1316),IF('Hill'!$B$4=1,IF(B1316&lt;0,-B1316,""),IF('Hill'!$B$4=2,IF(B1316&gt;0,B1316,""),IF('Hill'!$B$4=3,IF(B1316&lt;&gt;0,ABS(B1316),""),""))),"")</x:f>
      </x:c>
    </x:row>
    <x:row r="1317">
      <x:c r="A1317" t="n">
        <x:f>1316</x:f>
        <x:v>1316</x:v>
      </x:c>
      <x:c r="B1317" s="7" t="str">
        <x:f>IF('요약'!$B$4=4,IF(ISNUMBER('input'!A1317),'input'!A1317,""),IF(1316&lt;=1000,CHOOSE('요약'!$B$4,'input'!B1317,'input'!C1317,'input'!D1317),""))</x:f>
      </x:c>
      <x:c r="C1317" s="7" t="str">
        <x:f>IF(AND(ISNUMBER(B1317),'요약'!$B$19),B1317-'요약'!$B$7,"")</x:f>
      </x:c>
      <x:c r="D1317" s="7" t="str">
        <x:f>IF(ISNUMBER(C1317),C1317^2,"")</x:f>
      </x:c>
      <x:c r="E1317" s="15" t="str">
        <x:f>IF(ISNUMBER(C1317),C1317^3,"")</x:f>
      </x:c>
      <x:c r="F1317" s="15" t="str">
        <x:f>IF(ISNUMBER(C1317),C1317^4,"")</x:f>
      </x:c>
      <x:c r="G1317" s="7" t="str">
        <x:f>IF(ISNUMBER(B1317),ABS(B1317),"")</x:f>
      </x:c>
      <x:c r="H1317" s="7" t="str">
        <x:f>IF(ISNUMBER(B1317),B1317^2,"")</x:f>
      </x:c>
      <x:c r="I1317" s="7" t="str">
        <x:f>IF(AND(ISNUMBER(G1317),'요약'!$B$19),G1317-'요약'!$B$14,"")</x:f>
      </x:c>
      <x:c r="J1317" s="7" t="str">
        <x:f>IF(AND(ISNUMBER(H1317),'요약'!$B$19),H1317-'요약'!$B$15,"")</x:f>
      </x:c>
      <x:c r="K1317" t="str">
        <x:f>IF(ISNUMBER(B1317),IF('Hill'!$B$4=1,IF(B1317&lt;0,-B1317,""),IF('Hill'!$B$4=2,IF(B1317&gt;0,B1317,""),IF('Hill'!$B$4=3,IF(B1317&lt;&gt;0,ABS(B1317),""),""))),"")</x:f>
      </x:c>
    </x:row>
    <x:row r="1318">
      <x:c r="A1318" t="n">
        <x:f>1317</x:f>
        <x:v>1317</x:v>
      </x:c>
      <x:c r="B1318" s="7" t="str">
        <x:f>IF('요약'!$B$4=4,IF(ISNUMBER('input'!A1318),'input'!A1318,""),IF(1317&lt;=1000,CHOOSE('요약'!$B$4,'input'!B1318,'input'!C1318,'input'!D1318),""))</x:f>
      </x:c>
      <x:c r="C1318" s="7" t="str">
        <x:f>IF(AND(ISNUMBER(B1318),'요약'!$B$19),B1318-'요약'!$B$7,"")</x:f>
      </x:c>
      <x:c r="D1318" s="7" t="str">
        <x:f>IF(ISNUMBER(C1318),C1318^2,"")</x:f>
      </x:c>
      <x:c r="E1318" s="15" t="str">
        <x:f>IF(ISNUMBER(C1318),C1318^3,"")</x:f>
      </x:c>
      <x:c r="F1318" s="15" t="str">
        <x:f>IF(ISNUMBER(C1318),C1318^4,"")</x:f>
      </x:c>
      <x:c r="G1318" s="7" t="str">
        <x:f>IF(ISNUMBER(B1318),ABS(B1318),"")</x:f>
      </x:c>
      <x:c r="H1318" s="7" t="str">
        <x:f>IF(ISNUMBER(B1318),B1318^2,"")</x:f>
      </x:c>
      <x:c r="I1318" s="7" t="str">
        <x:f>IF(AND(ISNUMBER(G1318),'요약'!$B$19),G1318-'요약'!$B$14,"")</x:f>
      </x:c>
      <x:c r="J1318" s="7" t="str">
        <x:f>IF(AND(ISNUMBER(H1318),'요약'!$B$19),H1318-'요약'!$B$15,"")</x:f>
      </x:c>
      <x:c r="K1318" t="str">
        <x:f>IF(ISNUMBER(B1318),IF('Hill'!$B$4=1,IF(B1318&lt;0,-B1318,""),IF('Hill'!$B$4=2,IF(B1318&gt;0,B1318,""),IF('Hill'!$B$4=3,IF(B1318&lt;&gt;0,ABS(B1318),""),""))),"")</x:f>
      </x:c>
    </x:row>
    <x:row r="1319">
      <x:c r="A1319" t="n">
        <x:f>1318</x:f>
        <x:v>1318</x:v>
      </x:c>
      <x:c r="B1319" s="7" t="str">
        <x:f>IF('요약'!$B$4=4,IF(ISNUMBER('input'!A1319),'input'!A1319,""),IF(1318&lt;=1000,CHOOSE('요약'!$B$4,'input'!B1319,'input'!C1319,'input'!D1319),""))</x:f>
      </x:c>
      <x:c r="C1319" s="7" t="str">
        <x:f>IF(AND(ISNUMBER(B1319),'요약'!$B$19),B1319-'요약'!$B$7,"")</x:f>
      </x:c>
      <x:c r="D1319" s="7" t="str">
        <x:f>IF(ISNUMBER(C1319),C1319^2,"")</x:f>
      </x:c>
      <x:c r="E1319" s="15" t="str">
        <x:f>IF(ISNUMBER(C1319),C1319^3,"")</x:f>
      </x:c>
      <x:c r="F1319" s="15" t="str">
        <x:f>IF(ISNUMBER(C1319),C1319^4,"")</x:f>
      </x:c>
      <x:c r="G1319" s="7" t="str">
        <x:f>IF(ISNUMBER(B1319),ABS(B1319),"")</x:f>
      </x:c>
      <x:c r="H1319" s="7" t="str">
        <x:f>IF(ISNUMBER(B1319),B1319^2,"")</x:f>
      </x:c>
      <x:c r="I1319" s="7" t="str">
        <x:f>IF(AND(ISNUMBER(G1319),'요약'!$B$19),G1319-'요약'!$B$14,"")</x:f>
      </x:c>
      <x:c r="J1319" s="7" t="str">
        <x:f>IF(AND(ISNUMBER(H1319),'요약'!$B$19),H1319-'요약'!$B$15,"")</x:f>
      </x:c>
      <x:c r="K1319" t="str">
        <x:f>IF(ISNUMBER(B1319),IF('Hill'!$B$4=1,IF(B1319&lt;0,-B1319,""),IF('Hill'!$B$4=2,IF(B1319&gt;0,B1319,""),IF('Hill'!$B$4=3,IF(B1319&lt;&gt;0,ABS(B1319),""),""))),"")</x:f>
      </x:c>
    </x:row>
    <x:row r="1320">
      <x:c r="A1320" t="n">
        <x:f>1319</x:f>
        <x:v>1319</x:v>
      </x:c>
      <x:c r="B1320" s="7" t="str">
        <x:f>IF('요약'!$B$4=4,IF(ISNUMBER('input'!A1320),'input'!A1320,""),IF(1319&lt;=1000,CHOOSE('요약'!$B$4,'input'!B1320,'input'!C1320,'input'!D1320),""))</x:f>
      </x:c>
      <x:c r="C1320" s="7" t="str">
        <x:f>IF(AND(ISNUMBER(B1320),'요약'!$B$19),B1320-'요약'!$B$7,"")</x:f>
      </x:c>
      <x:c r="D1320" s="7" t="str">
        <x:f>IF(ISNUMBER(C1320),C1320^2,"")</x:f>
      </x:c>
      <x:c r="E1320" s="15" t="str">
        <x:f>IF(ISNUMBER(C1320),C1320^3,"")</x:f>
      </x:c>
      <x:c r="F1320" s="15" t="str">
        <x:f>IF(ISNUMBER(C1320),C1320^4,"")</x:f>
      </x:c>
      <x:c r="G1320" s="7" t="str">
        <x:f>IF(ISNUMBER(B1320),ABS(B1320),"")</x:f>
      </x:c>
      <x:c r="H1320" s="7" t="str">
        <x:f>IF(ISNUMBER(B1320),B1320^2,"")</x:f>
      </x:c>
      <x:c r="I1320" s="7" t="str">
        <x:f>IF(AND(ISNUMBER(G1320),'요약'!$B$19),G1320-'요약'!$B$14,"")</x:f>
      </x:c>
      <x:c r="J1320" s="7" t="str">
        <x:f>IF(AND(ISNUMBER(H1320),'요약'!$B$19),H1320-'요약'!$B$15,"")</x:f>
      </x:c>
      <x:c r="K1320" t="str">
        <x:f>IF(ISNUMBER(B1320),IF('Hill'!$B$4=1,IF(B1320&lt;0,-B1320,""),IF('Hill'!$B$4=2,IF(B1320&gt;0,B1320,""),IF('Hill'!$B$4=3,IF(B1320&lt;&gt;0,ABS(B1320),""),""))),"")</x:f>
      </x:c>
    </x:row>
    <x:row r="1321">
      <x:c r="A1321" t="n">
        <x:f>1320</x:f>
        <x:v>1320</x:v>
      </x:c>
      <x:c r="B1321" s="7" t="str">
        <x:f>IF('요약'!$B$4=4,IF(ISNUMBER('input'!A1321),'input'!A1321,""),IF(1320&lt;=1000,CHOOSE('요약'!$B$4,'input'!B1321,'input'!C1321,'input'!D1321),""))</x:f>
      </x:c>
      <x:c r="C1321" s="7" t="str">
        <x:f>IF(AND(ISNUMBER(B1321),'요약'!$B$19),B1321-'요약'!$B$7,"")</x:f>
      </x:c>
      <x:c r="D1321" s="7" t="str">
        <x:f>IF(ISNUMBER(C1321),C1321^2,"")</x:f>
      </x:c>
      <x:c r="E1321" s="15" t="str">
        <x:f>IF(ISNUMBER(C1321),C1321^3,"")</x:f>
      </x:c>
      <x:c r="F1321" s="15" t="str">
        <x:f>IF(ISNUMBER(C1321),C1321^4,"")</x:f>
      </x:c>
      <x:c r="G1321" s="7" t="str">
        <x:f>IF(ISNUMBER(B1321),ABS(B1321),"")</x:f>
      </x:c>
      <x:c r="H1321" s="7" t="str">
        <x:f>IF(ISNUMBER(B1321),B1321^2,"")</x:f>
      </x:c>
      <x:c r="I1321" s="7" t="str">
        <x:f>IF(AND(ISNUMBER(G1321),'요약'!$B$19),G1321-'요약'!$B$14,"")</x:f>
      </x:c>
      <x:c r="J1321" s="7" t="str">
        <x:f>IF(AND(ISNUMBER(H1321),'요약'!$B$19),H1321-'요약'!$B$15,"")</x:f>
      </x:c>
      <x:c r="K1321" t="str">
        <x:f>IF(ISNUMBER(B1321),IF('Hill'!$B$4=1,IF(B1321&lt;0,-B1321,""),IF('Hill'!$B$4=2,IF(B1321&gt;0,B1321,""),IF('Hill'!$B$4=3,IF(B1321&lt;&gt;0,ABS(B1321),""),""))),"")</x:f>
      </x:c>
    </x:row>
    <x:row r="1322">
      <x:c r="A1322" t="n">
        <x:f>1321</x:f>
        <x:v>1321</x:v>
      </x:c>
      <x:c r="B1322" s="7" t="str">
        <x:f>IF('요약'!$B$4=4,IF(ISNUMBER('input'!A1322),'input'!A1322,""),IF(1321&lt;=1000,CHOOSE('요약'!$B$4,'input'!B1322,'input'!C1322,'input'!D1322),""))</x:f>
      </x:c>
      <x:c r="C1322" s="7" t="str">
        <x:f>IF(AND(ISNUMBER(B1322),'요약'!$B$19),B1322-'요약'!$B$7,"")</x:f>
      </x:c>
      <x:c r="D1322" s="7" t="str">
        <x:f>IF(ISNUMBER(C1322),C1322^2,"")</x:f>
      </x:c>
      <x:c r="E1322" s="15" t="str">
        <x:f>IF(ISNUMBER(C1322),C1322^3,"")</x:f>
      </x:c>
      <x:c r="F1322" s="15" t="str">
        <x:f>IF(ISNUMBER(C1322),C1322^4,"")</x:f>
      </x:c>
      <x:c r="G1322" s="7" t="str">
        <x:f>IF(ISNUMBER(B1322),ABS(B1322),"")</x:f>
      </x:c>
      <x:c r="H1322" s="7" t="str">
        <x:f>IF(ISNUMBER(B1322),B1322^2,"")</x:f>
      </x:c>
      <x:c r="I1322" s="7" t="str">
        <x:f>IF(AND(ISNUMBER(G1322),'요약'!$B$19),G1322-'요약'!$B$14,"")</x:f>
      </x:c>
      <x:c r="J1322" s="7" t="str">
        <x:f>IF(AND(ISNUMBER(H1322),'요약'!$B$19),H1322-'요약'!$B$15,"")</x:f>
      </x:c>
      <x:c r="K1322" t="str">
        <x:f>IF(ISNUMBER(B1322),IF('Hill'!$B$4=1,IF(B1322&lt;0,-B1322,""),IF('Hill'!$B$4=2,IF(B1322&gt;0,B1322,""),IF('Hill'!$B$4=3,IF(B1322&lt;&gt;0,ABS(B1322),""),""))),"")</x:f>
      </x:c>
    </x:row>
    <x:row r="1323">
      <x:c r="A1323" t="n">
        <x:f>1322</x:f>
        <x:v>1322</x:v>
      </x:c>
      <x:c r="B1323" s="7" t="str">
        <x:f>IF('요약'!$B$4=4,IF(ISNUMBER('input'!A1323),'input'!A1323,""),IF(1322&lt;=1000,CHOOSE('요약'!$B$4,'input'!B1323,'input'!C1323,'input'!D1323),""))</x:f>
      </x:c>
      <x:c r="C1323" s="7" t="str">
        <x:f>IF(AND(ISNUMBER(B1323),'요약'!$B$19),B1323-'요약'!$B$7,"")</x:f>
      </x:c>
      <x:c r="D1323" s="7" t="str">
        <x:f>IF(ISNUMBER(C1323),C1323^2,"")</x:f>
      </x:c>
      <x:c r="E1323" s="15" t="str">
        <x:f>IF(ISNUMBER(C1323),C1323^3,"")</x:f>
      </x:c>
      <x:c r="F1323" s="15" t="str">
        <x:f>IF(ISNUMBER(C1323),C1323^4,"")</x:f>
      </x:c>
      <x:c r="G1323" s="7" t="str">
        <x:f>IF(ISNUMBER(B1323),ABS(B1323),"")</x:f>
      </x:c>
      <x:c r="H1323" s="7" t="str">
        <x:f>IF(ISNUMBER(B1323),B1323^2,"")</x:f>
      </x:c>
      <x:c r="I1323" s="7" t="str">
        <x:f>IF(AND(ISNUMBER(G1323),'요약'!$B$19),G1323-'요약'!$B$14,"")</x:f>
      </x:c>
      <x:c r="J1323" s="7" t="str">
        <x:f>IF(AND(ISNUMBER(H1323),'요약'!$B$19),H1323-'요약'!$B$15,"")</x:f>
      </x:c>
      <x:c r="K1323" t="str">
        <x:f>IF(ISNUMBER(B1323),IF('Hill'!$B$4=1,IF(B1323&lt;0,-B1323,""),IF('Hill'!$B$4=2,IF(B1323&gt;0,B1323,""),IF('Hill'!$B$4=3,IF(B1323&lt;&gt;0,ABS(B1323),""),""))),"")</x:f>
      </x:c>
    </x:row>
    <x:row r="1324">
      <x:c r="A1324" t="n">
        <x:f>1323</x:f>
        <x:v>1323</x:v>
      </x:c>
      <x:c r="B1324" s="7" t="str">
        <x:f>IF('요약'!$B$4=4,IF(ISNUMBER('input'!A1324),'input'!A1324,""),IF(1323&lt;=1000,CHOOSE('요약'!$B$4,'input'!B1324,'input'!C1324,'input'!D1324),""))</x:f>
      </x:c>
      <x:c r="C1324" s="7" t="str">
        <x:f>IF(AND(ISNUMBER(B1324),'요약'!$B$19),B1324-'요약'!$B$7,"")</x:f>
      </x:c>
      <x:c r="D1324" s="7" t="str">
        <x:f>IF(ISNUMBER(C1324),C1324^2,"")</x:f>
      </x:c>
      <x:c r="E1324" s="15" t="str">
        <x:f>IF(ISNUMBER(C1324),C1324^3,"")</x:f>
      </x:c>
      <x:c r="F1324" s="15" t="str">
        <x:f>IF(ISNUMBER(C1324),C1324^4,"")</x:f>
      </x:c>
      <x:c r="G1324" s="7" t="str">
        <x:f>IF(ISNUMBER(B1324),ABS(B1324),"")</x:f>
      </x:c>
      <x:c r="H1324" s="7" t="str">
        <x:f>IF(ISNUMBER(B1324),B1324^2,"")</x:f>
      </x:c>
      <x:c r="I1324" s="7" t="str">
        <x:f>IF(AND(ISNUMBER(G1324),'요약'!$B$19),G1324-'요약'!$B$14,"")</x:f>
      </x:c>
      <x:c r="J1324" s="7" t="str">
        <x:f>IF(AND(ISNUMBER(H1324),'요약'!$B$19),H1324-'요약'!$B$15,"")</x:f>
      </x:c>
      <x:c r="K1324" t="str">
        <x:f>IF(ISNUMBER(B1324),IF('Hill'!$B$4=1,IF(B1324&lt;0,-B1324,""),IF('Hill'!$B$4=2,IF(B1324&gt;0,B1324,""),IF('Hill'!$B$4=3,IF(B1324&lt;&gt;0,ABS(B1324),""),""))),"")</x:f>
      </x:c>
    </x:row>
    <x:row r="1325">
      <x:c r="A1325" t="n">
        <x:f>1324</x:f>
        <x:v>1324</x:v>
      </x:c>
      <x:c r="B1325" s="7" t="str">
        <x:f>IF('요약'!$B$4=4,IF(ISNUMBER('input'!A1325),'input'!A1325,""),IF(1324&lt;=1000,CHOOSE('요약'!$B$4,'input'!B1325,'input'!C1325,'input'!D1325),""))</x:f>
      </x:c>
      <x:c r="C1325" s="7" t="str">
        <x:f>IF(AND(ISNUMBER(B1325),'요약'!$B$19),B1325-'요약'!$B$7,"")</x:f>
      </x:c>
      <x:c r="D1325" s="7" t="str">
        <x:f>IF(ISNUMBER(C1325),C1325^2,"")</x:f>
      </x:c>
      <x:c r="E1325" s="15" t="str">
        <x:f>IF(ISNUMBER(C1325),C1325^3,"")</x:f>
      </x:c>
      <x:c r="F1325" s="15" t="str">
        <x:f>IF(ISNUMBER(C1325),C1325^4,"")</x:f>
      </x:c>
      <x:c r="G1325" s="7" t="str">
        <x:f>IF(ISNUMBER(B1325),ABS(B1325),"")</x:f>
      </x:c>
      <x:c r="H1325" s="7" t="str">
        <x:f>IF(ISNUMBER(B1325),B1325^2,"")</x:f>
      </x:c>
      <x:c r="I1325" s="7" t="str">
        <x:f>IF(AND(ISNUMBER(G1325),'요약'!$B$19),G1325-'요약'!$B$14,"")</x:f>
      </x:c>
      <x:c r="J1325" s="7" t="str">
        <x:f>IF(AND(ISNUMBER(H1325),'요약'!$B$19),H1325-'요약'!$B$15,"")</x:f>
      </x:c>
      <x:c r="K1325" t="str">
        <x:f>IF(ISNUMBER(B1325),IF('Hill'!$B$4=1,IF(B1325&lt;0,-B1325,""),IF('Hill'!$B$4=2,IF(B1325&gt;0,B1325,""),IF('Hill'!$B$4=3,IF(B1325&lt;&gt;0,ABS(B1325),""),""))),"")</x:f>
      </x:c>
    </x:row>
    <x:row r="1326">
      <x:c r="A1326" t="n">
        <x:f>1325</x:f>
        <x:v>1325</x:v>
      </x:c>
      <x:c r="B1326" s="7" t="str">
        <x:f>IF('요약'!$B$4=4,IF(ISNUMBER('input'!A1326),'input'!A1326,""),IF(1325&lt;=1000,CHOOSE('요약'!$B$4,'input'!B1326,'input'!C1326,'input'!D1326),""))</x:f>
      </x:c>
      <x:c r="C1326" s="7" t="str">
        <x:f>IF(AND(ISNUMBER(B1326),'요약'!$B$19),B1326-'요약'!$B$7,"")</x:f>
      </x:c>
      <x:c r="D1326" s="7" t="str">
        <x:f>IF(ISNUMBER(C1326),C1326^2,"")</x:f>
      </x:c>
      <x:c r="E1326" s="15" t="str">
        <x:f>IF(ISNUMBER(C1326),C1326^3,"")</x:f>
      </x:c>
      <x:c r="F1326" s="15" t="str">
        <x:f>IF(ISNUMBER(C1326),C1326^4,"")</x:f>
      </x:c>
      <x:c r="G1326" s="7" t="str">
        <x:f>IF(ISNUMBER(B1326),ABS(B1326),"")</x:f>
      </x:c>
      <x:c r="H1326" s="7" t="str">
        <x:f>IF(ISNUMBER(B1326),B1326^2,"")</x:f>
      </x:c>
      <x:c r="I1326" s="7" t="str">
        <x:f>IF(AND(ISNUMBER(G1326),'요약'!$B$19),G1326-'요약'!$B$14,"")</x:f>
      </x:c>
      <x:c r="J1326" s="7" t="str">
        <x:f>IF(AND(ISNUMBER(H1326),'요약'!$B$19),H1326-'요약'!$B$15,"")</x:f>
      </x:c>
      <x:c r="K1326" t="str">
        <x:f>IF(ISNUMBER(B1326),IF('Hill'!$B$4=1,IF(B1326&lt;0,-B1326,""),IF('Hill'!$B$4=2,IF(B1326&gt;0,B1326,""),IF('Hill'!$B$4=3,IF(B1326&lt;&gt;0,ABS(B1326),""),""))),"")</x:f>
      </x:c>
    </x:row>
    <x:row r="1327">
      <x:c r="A1327" t="n">
        <x:f>1326</x:f>
        <x:v>1326</x:v>
      </x:c>
      <x:c r="B1327" s="7" t="str">
        <x:f>IF('요약'!$B$4=4,IF(ISNUMBER('input'!A1327),'input'!A1327,""),IF(1326&lt;=1000,CHOOSE('요약'!$B$4,'input'!B1327,'input'!C1327,'input'!D1327),""))</x:f>
      </x:c>
      <x:c r="C1327" s="7" t="str">
        <x:f>IF(AND(ISNUMBER(B1327),'요약'!$B$19),B1327-'요약'!$B$7,"")</x:f>
      </x:c>
      <x:c r="D1327" s="7" t="str">
        <x:f>IF(ISNUMBER(C1327),C1327^2,"")</x:f>
      </x:c>
      <x:c r="E1327" s="15" t="str">
        <x:f>IF(ISNUMBER(C1327),C1327^3,"")</x:f>
      </x:c>
      <x:c r="F1327" s="15" t="str">
        <x:f>IF(ISNUMBER(C1327),C1327^4,"")</x:f>
      </x:c>
      <x:c r="G1327" s="7" t="str">
        <x:f>IF(ISNUMBER(B1327),ABS(B1327),"")</x:f>
      </x:c>
      <x:c r="H1327" s="7" t="str">
        <x:f>IF(ISNUMBER(B1327),B1327^2,"")</x:f>
      </x:c>
      <x:c r="I1327" s="7" t="str">
        <x:f>IF(AND(ISNUMBER(G1327),'요약'!$B$19),G1327-'요약'!$B$14,"")</x:f>
      </x:c>
      <x:c r="J1327" s="7" t="str">
        <x:f>IF(AND(ISNUMBER(H1327),'요약'!$B$19),H1327-'요약'!$B$15,"")</x:f>
      </x:c>
      <x:c r="K1327" t="str">
        <x:f>IF(ISNUMBER(B1327),IF('Hill'!$B$4=1,IF(B1327&lt;0,-B1327,""),IF('Hill'!$B$4=2,IF(B1327&gt;0,B1327,""),IF('Hill'!$B$4=3,IF(B1327&lt;&gt;0,ABS(B1327),""),""))),"")</x:f>
      </x:c>
    </x:row>
    <x:row r="1328">
      <x:c r="A1328" t="n">
        <x:f>1327</x:f>
        <x:v>1327</x:v>
      </x:c>
      <x:c r="B1328" s="7" t="str">
        <x:f>IF('요약'!$B$4=4,IF(ISNUMBER('input'!A1328),'input'!A1328,""),IF(1327&lt;=1000,CHOOSE('요약'!$B$4,'input'!B1328,'input'!C1328,'input'!D1328),""))</x:f>
      </x:c>
      <x:c r="C1328" s="7" t="str">
        <x:f>IF(AND(ISNUMBER(B1328),'요약'!$B$19),B1328-'요약'!$B$7,"")</x:f>
      </x:c>
      <x:c r="D1328" s="7" t="str">
        <x:f>IF(ISNUMBER(C1328),C1328^2,"")</x:f>
      </x:c>
      <x:c r="E1328" s="15" t="str">
        <x:f>IF(ISNUMBER(C1328),C1328^3,"")</x:f>
      </x:c>
      <x:c r="F1328" s="15" t="str">
        <x:f>IF(ISNUMBER(C1328),C1328^4,"")</x:f>
      </x:c>
      <x:c r="G1328" s="7" t="str">
        <x:f>IF(ISNUMBER(B1328),ABS(B1328),"")</x:f>
      </x:c>
      <x:c r="H1328" s="7" t="str">
        <x:f>IF(ISNUMBER(B1328),B1328^2,"")</x:f>
      </x:c>
      <x:c r="I1328" s="7" t="str">
        <x:f>IF(AND(ISNUMBER(G1328),'요약'!$B$19),G1328-'요약'!$B$14,"")</x:f>
      </x:c>
      <x:c r="J1328" s="7" t="str">
        <x:f>IF(AND(ISNUMBER(H1328),'요약'!$B$19),H1328-'요약'!$B$15,"")</x:f>
      </x:c>
      <x:c r="K1328" t="str">
        <x:f>IF(ISNUMBER(B1328),IF('Hill'!$B$4=1,IF(B1328&lt;0,-B1328,""),IF('Hill'!$B$4=2,IF(B1328&gt;0,B1328,""),IF('Hill'!$B$4=3,IF(B1328&lt;&gt;0,ABS(B1328),""),""))),"")</x:f>
      </x:c>
    </x:row>
    <x:row r="1329">
      <x:c r="A1329" t="n">
        <x:f>1328</x:f>
        <x:v>1328</x:v>
      </x:c>
      <x:c r="B1329" s="7" t="str">
        <x:f>IF('요약'!$B$4=4,IF(ISNUMBER('input'!A1329),'input'!A1329,""),IF(1328&lt;=1000,CHOOSE('요약'!$B$4,'input'!B1329,'input'!C1329,'input'!D1329),""))</x:f>
      </x:c>
      <x:c r="C1329" s="7" t="str">
        <x:f>IF(AND(ISNUMBER(B1329),'요약'!$B$19),B1329-'요약'!$B$7,"")</x:f>
      </x:c>
      <x:c r="D1329" s="7" t="str">
        <x:f>IF(ISNUMBER(C1329),C1329^2,"")</x:f>
      </x:c>
      <x:c r="E1329" s="15" t="str">
        <x:f>IF(ISNUMBER(C1329),C1329^3,"")</x:f>
      </x:c>
      <x:c r="F1329" s="15" t="str">
        <x:f>IF(ISNUMBER(C1329),C1329^4,"")</x:f>
      </x:c>
      <x:c r="G1329" s="7" t="str">
        <x:f>IF(ISNUMBER(B1329),ABS(B1329),"")</x:f>
      </x:c>
      <x:c r="H1329" s="7" t="str">
        <x:f>IF(ISNUMBER(B1329),B1329^2,"")</x:f>
      </x:c>
      <x:c r="I1329" s="7" t="str">
        <x:f>IF(AND(ISNUMBER(G1329),'요약'!$B$19),G1329-'요약'!$B$14,"")</x:f>
      </x:c>
      <x:c r="J1329" s="7" t="str">
        <x:f>IF(AND(ISNUMBER(H1329),'요약'!$B$19),H1329-'요약'!$B$15,"")</x:f>
      </x:c>
      <x:c r="K1329" t="str">
        <x:f>IF(ISNUMBER(B1329),IF('Hill'!$B$4=1,IF(B1329&lt;0,-B1329,""),IF('Hill'!$B$4=2,IF(B1329&gt;0,B1329,""),IF('Hill'!$B$4=3,IF(B1329&lt;&gt;0,ABS(B1329),""),""))),"")</x:f>
      </x:c>
    </x:row>
    <x:row r="1330">
      <x:c r="A1330" t="n">
        <x:f>1329</x:f>
        <x:v>1329</x:v>
      </x:c>
      <x:c r="B1330" s="7" t="str">
        <x:f>IF('요약'!$B$4=4,IF(ISNUMBER('input'!A1330),'input'!A1330,""),IF(1329&lt;=1000,CHOOSE('요약'!$B$4,'input'!B1330,'input'!C1330,'input'!D1330),""))</x:f>
      </x:c>
      <x:c r="C1330" s="7" t="str">
        <x:f>IF(AND(ISNUMBER(B1330),'요약'!$B$19),B1330-'요약'!$B$7,"")</x:f>
      </x:c>
      <x:c r="D1330" s="7" t="str">
        <x:f>IF(ISNUMBER(C1330),C1330^2,"")</x:f>
      </x:c>
      <x:c r="E1330" s="15" t="str">
        <x:f>IF(ISNUMBER(C1330),C1330^3,"")</x:f>
      </x:c>
      <x:c r="F1330" s="15" t="str">
        <x:f>IF(ISNUMBER(C1330),C1330^4,"")</x:f>
      </x:c>
      <x:c r="G1330" s="7" t="str">
        <x:f>IF(ISNUMBER(B1330),ABS(B1330),"")</x:f>
      </x:c>
      <x:c r="H1330" s="7" t="str">
        <x:f>IF(ISNUMBER(B1330),B1330^2,"")</x:f>
      </x:c>
      <x:c r="I1330" s="7" t="str">
        <x:f>IF(AND(ISNUMBER(G1330),'요약'!$B$19),G1330-'요약'!$B$14,"")</x:f>
      </x:c>
      <x:c r="J1330" s="7" t="str">
        <x:f>IF(AND(ISNUMBER(H1330),'요약'!$B$19),H1330-'요약'!$B$15,"")</x:f>
      </x:c>
      <x:c r="K1330" t="str">
        <x:f>IF(ISNUMBER(B1330),IF('Hill'!$B$4=1,IF(B1330&lt;0,-B1330,""),IF('Hill'!$B$4=2,IF(B1330&gt;0,B1330,""),IF('Hill'!$B$4=3,IF(B1330&lt;&gt;0,ABS(B1330),""),""))),"")</x:f>
      </x:c>
    </x:row>
    <x:row r="1331">
      <x:c r="A1331" t="n">
        <x:f>1330</x:f>
        <x:v>1330</x:v>
      </x:c>
      <x:c r="B1331" s="7" t="str">
        <x:f>IF('요약'!$B$4=4,IF(ISNUMBER('input'!A1331),'input'!A1331,""),IF(1330&lt;=1000,CHOOSE('요약'!$B$4,'input'!B1331,'input'!C1331,'input'!D1331),""))</x:f>
      </x:c>
      <x:c r="C1331" s="7" t="str">
        <x:f>IF(AND(ISNUMBER(B1331),'요약'!$B$19),B1331-'요약'!$B$7,"")</x:f>
      </x:c>
      <x:c r="D1331" s="7" t="str">
        <x:f>IF(ISNUMBER(C1331),C1331^2,"")</x:f>
      </x:c>
      <x:c r="E1331" s="15" t="str">
        <x:f>IF(ISNUMBER(C1331),C1331^3,"")</x:f>
      </x:c>
      <x:c r="F1331" s="15" t="str">
        <x:f>IF(ISNUMBER(C1331),C1331^4,"")</x:f>
      </x:c>
      <x:c r="G1331" s="7" t="str">
        <x:f>IF(ISNUMBER(B1331),ABS(B1331),"")</x:f>
      </x:c>
      <x:c r="H1331" s="7" t="str">
        <x:f>IF(ISNUMBER(B1331),B1331^2,"")</x:f>
      </x:c>
      <x:c r="I1331" s="7" t="str">
        <x:f>IF(AND(ISNUMBER(G1331),'요약'!$B$19),G1331-'요약'!$B$14,"")</x:f>
      </x:c>
      <x:c r="J1331" s="7" t="str">
        <x:f>IF(AND(ISNUMBER(H1331),'요약'!$B$19),H1331-'요약'!$B$15,"")</x:f>
      </x:c>
      <x:c r="K1331" t="str">
        <x:f>IF(ISNUMBER(B1331),IF('Hill'!$B$4=1,IF(B1331&lt;0,-B1331,""),IF('Hill'!$B$4=2,IF(B1331&gt;0,B1331,""),IF('Hill'!$B$4=3,IF(B1331&lt;&gt;0,ABS(B1331),""),""))),"")</x:f>
      </x:c>
    </x:row>
    <x:row r="1332">
      <x:c r="A1332" t="n">
        <x:f>1331</x:f>
        <x:v>1331</x:v>
      </x:c>
      <x:c r="B1332" s="7" t="str">
        <x:f>IF('요약'!$B$4=4,IF(ISNUMBER('input'!A1332),'input'!A1332,""),IF(1331&lt;=1000,CHOOSE('요약'!$B$4,'input'!B1332,'input'!C1332,'input'!D1332),""))</x:f>
      </x:c>
      <x:c r="C1332" s="7" t="str">
        <x:f>IF(AND(ISNUMBER(B1332),'요약'!$B$19),B1332-'요약'!$B$7,"")</x:f>
      </x:c>
      <x:c r="D1332" s="7" t="str">
        <x:f>IF(ISNUMBER(C1332),C1332^2,"")</x:f>
      </x:c>
      <x:c r="E1332" s="15" t="str">
        <x:f>IF(ISNUMBER(C1332),C1332^3,"")</x:f>
      </x:c>
      <x:c r="F1332" s="15" t="str">
        <x:f>IF(ISNUMBER(C1332),C1332^4,"")</x:f>
      </x:c>
      <x:c r="G1332" s="7" t="str">
        <x:f>IF(ISNUMBER(B1332),ABS(B1332),"")</x:f>
      </x:c>
      <x:c r="H1332" s="7" t="str">
        <x:f>IF(ISNUMBER(B1332),B1332^2,"")</x:f>
      </x:c>
      <x:c r="I1332" s="7" t="str">
        <x:f>IF(AND(ISNUMBER(G1332),'요약'!$B$19),G1332-'요약'!$B$14,"")</x:f>
      </x:c>
      <x:c r="J1332" s="7" t="str">
        <x:f>IF(AND(ISNUMBER(H1332),'요약'!$B$19),H1332-'요약'!$B$15,"")</x:f>
      </x:c>
      <x:c r="K1332" t="str">
        <x:f>IF(ISNUMBER(B1332),IF('Hill'!$B$4=1,IF(B1332&lt;0,-B1332,""),IF('Hill'!$B$4=2,IF(B1332&gt;0,B1332,""),IF('Hill'!$B$4=3,IF(B1332&lt;&gt;0,ABS(B1332),""),""))),"")</x:f>
      </x:c>
    </x:row>
    <x:row r="1333">
      <x:c r="A1333" t="n">
        <x:f>1332</x:f>
        <x:v>1332</x:v>
      </x:c>
      <x:c r="B1333" s="7" t="str">
        <x:f>IF('요약'!$B$4=4,IF(ISNUMBER('input'!A1333),'input'!A1333,""),IF(1332&lt;=1000,CHOOSE('요약'!$B$4,'input'!B1333,'input'!C1333,'input'!D1333),""))</x:f>
      </x:c>
      <x:c r="C1333" s="7" t="str">
        <x:f>IF(AND(ISNUMBER(B1333),'요약'!$B$19),B1333-'요약'!$B$7,"")</x:f>
      </x:c>
      <x:c r="D1333" s="7" t="str">
        <x:f>IF(ISNUMBER(C1333),C1333^2,"")</x:f>
      </x:c>
      <x:c r="E1333" s="15" t="str">
        <x:f>IF(ISNUMBER(C1333),C1333^3,"")</x:f>
      </x:c>
      <x:c r="F1333" s="15" t="str">
        <x:f>IF(ISNUMBER(C1333),C1333^4,"")</x:f>
      </x:c>
      <x:c r="G1333" s="7" t="str">
        <x:f>IF(ISNUMBER(B1333),ABS(B1333),"")</x:f>
      </x:c>
      <x:c r="H1333" s="7" t="str">
        <x:f>IF(ISNUMBER(B1333),B1333^2,"")</x:f>
      </x:c>
      <x:c r="I1333" s="7" t="str">
        <x:f>IF(AND(ISNUMBER(G1333),'요약'!$B$19),G1333-'요약'!$B$14,"")</x:f>
      </x:c>
      <x:c r="J1333" s="7" t="str">
        <x:f>IF(AND(ISNUMBER(H1333),'요약'!$B$19),H1333-'요약'!$B$15,"")</x:f>
      </x:c>
      <x:c r="K1333" t="str">
        <x:f>IF(ISNUMBER(B1333),IF('Hill'!$B$4=1,IF(B1333&lt;0,-B1333,""),IF('Hill'!$B$4=2,IF(B1333&gt;0,B1333,""),IF('Hill'!$B$4=3,IF(B1333&lt;&gt;0,ABS(B1333),""),""))),"")</x:f>
      </x:c>
    </x:row>
    <x:row r="1334">
      <x:c r="A1334" t="n">
        <x:f>1333</x:f>
        <x:v>1333</x:v>
      </x:c>
      <x:c r="B1334" s="7" t="str">
        <x:f>IF('요약'!$B$4=4,IF(ISNUMBER('input'!A1334),'input'!A1334,""),IF(1333&lt;=1000,CHOOSE('요약'!$B$4,'input'!B1334,'input'!C1334,'input'!D1334),""))</x:f>
      </x:c>
      <x:c r="C1334" s="7" t="str">
        <x:f>IF(AND(ISNUMBER(B1334),'요약'!$B$19),B1334-'요약'!$B$7,"")</x:f>
      </x:c>
      <x:c r="D1334" s="7" t="str">
        <x:f>IF(ISNUMBER(C1334),C1334^2,"")</x:f>
      </x:c>
      <x:c r="E1334" s="15" t="str">
        <x:f>IF(ISNUMBER(C1334),C1334^3,"")</x:f>
      </x:c>
      <x:c r="F1334" s="15" t="str">
        <x:f>IF(ISNUMBER(C1334),C1334^4,"")</x:f>
      </x:c>
      <x:c r="G1334" s="7" t="str">
        <x:f>IF(ISNUMBER(B1334),ABS(B1334),"")</x:f>
      </x:c>
      <x:c r="H1334" s="7" t="str">
        <x:f>IF(ISNUMBER(B1334),B1334^2,"")</x:f>
      </x:c>
      <x:c r="I1334" s="7" t="str">
        <x:f>IF(AND(ISNUMBER(G1334),'요약'!$B$19),G1334-'요약'!$B$14,"")</x:f>
      </x:c>
      <x:c r="J1334" s="7" t="str">
        <x:f>IF(AND(ISNUMBER(H1334),'요약'!$B$19),H1334-'요약'!$B$15,"")</x:f>
      </x:c>
      <x:c r="K1334" t="str">
        <x:f>IF(ISNUMBER(B1334),IF('Hill'!$B$4=1,IF(B1334&lt;0,-B1334,""),IF('Hill'!$B$4=2,IF(B1334&gt;0,B1334,""),IF('Hill'!$B$4=3,IF(B1334&lt;&gt;0,ABS(B1334),""),""))),"")</x:f>
      </x:c>
    </x:row>
    <x:row r="1335">
      <x:c r="A1335" t="n">
        <x:f>1334</x:f>
        <x:v>1334</x:v>
      </x:c>
      <x:c r="B1335" s="7" t="str">
        <x:f>IF('요약'!$B$4=4,IF(ISNUMBER('input'!A1335),'input'!A1335,""),IF(1334&lt;=1000,CHOOSE('요약'!$B$4,'input'!B1335,'input'!C1335,'input'!D1335),""))</x:f>
      </x:c>
      <x:c r="C1335" s="7" t="str">
        <x:f>IF(AND(ISNUMBER(B1335),'요약'!$B$19),B1335-'요약'!$B$7,"")</x:f>
      </x:c>
      <x:c r="D1335" s="7" t="str">
        <x:f>IF(ISNUMBER(C1335),C1335^2,"")</x:f>
      </x:c>
      <x:c r="E1335" s="15" t="str">
        <x:f>IF(ISNUMBER(C1335),C1335^3,"")</x:f>
      </x:c>
      <x:c r="F1335" s="15" t="str">
        <x:f>IF(ISNUMBER(C1335),C1335^4,"")</x:f>
      </x:c>
      <x:c r="G1335" s="7" t="str">
        <x:f>IF(ISNUMBER(B1335),ABS(B1335),"")</x:f>
      </x:c>
      <x:c r="H1335" s="7" t="str">
        <x:f>IF(ISNUMBER(B1335),B1335^2,"")</x:f>
      </x:c>
      <x:c r="I1335" s="7" t="str">
        <x:f>IF(AND(ISNUMBER(G1335),'요약'!$B$19),G1335-'요약'!$B$14,"")</x:f>
      </x:c>
      <x:c r="J1335" s="7" t="str">
        <x:f>IF(AND(ISNUMBER(H1335),'요약'!$B$19),H1335-'요약'!$B$15,"")</x:f>
      </x:c>
      <x:c r="K1335" t="str">
        <x:f>IF(ISNUMBER(B1335),IF('Hill'!$B$4=1,IF(B1335&lt;0,-B1335,""),IF('Hill'!$B$4=2,IF(B1335&gt;0,B1335,""),IF('Hill'!$B$4=3,IF(B1335&lt;&gt;0,ABS(B1335),""),""))),"")</x:f>
      </x:c>
    </x:row>
    <x:row r="1336">
      <x:c r="A1336" t="n">
        <x:f>1335</x:f>
        <x:v>1335</x:v>
      </x:c>
      <x:c r="B1336" s="7" t="str">
        <x:f>IF('요약'!$B$4=4,IF(ISNUMBER('input'!A1336),'input'!A1336,""),IF(1335&lt;=1000,CHOOSE('요약'!$B$4,'input'!B1336,'input'!C1336,'input'!D1336),""))</x:f>
      </x:c>
      <x:c r="C1336" s="7" t="str">
        <x:f>IF(AND(ISNUMBER(B1336),'요약'!$B$19),B1336-'요약'!$B$7,"")</x:f>
      </x:c>
      <x:c r="D1336" s="7" t="str">
        <x:f>IF(ISNUMBER(C1336),C1336^2,"")</x:f>
      </x:c>
      <x:c r="E1336" s="15" t="str">
        <x:f>IF(ISNUMBER(C1336),C1336^3,"")</x:f>
      </x:c>
      <x:c r="F1336" s="15" t="str">
        <x:f>IF(ISNUMBER(C1336),C1336^4,"")</x:f>
      </x:c>
      <x:c r="G1336" s="7" t="str">
        <x:f>IF(ISNUMBER(B1336),ABS(B1336),"")</x:f>
      </x:c>
      <x:c r="H1336" s="7" t="str">
        <x:f>IF(ISNUMBER(B1336),B1336^2,"")</x:f>
      </x:c>
      <x:c r="I1336" s="7" t="str">
        <x:f>IF(AND(ISNUMBER(G1336),'요약'!$B$19),G1336-'요약'!$B$14,"")</x:f>
      </x:c>
      <x:c r="J1336" s="7" t="str">
        <x:f>IF(AND(ISNUMBER(H1336),'요약'!$B$19),H1336-'요약'!$B$15,"")</x:f>
      </x:c>
      <x:c r="K1336" t="str">
        <x:f>IF(ISNUMBER(B1336),IF('Hill'!$B$4=1,IF(B1336&lt;0,-B1336,""),IF('Hill'!$B$4=2,IF(B1336&gt;0,B1336,""),IF('Hill'!$B$4=3,IF(B1336&lt;&gt;0,ABS(B1336),""),""))),"")</x:f>
      </x:c>
    </x:row>
    <x:row r="1337">
      <x:c r="A1337" t="n">
        <x:f>1336</x:f>
        <x:v>1336</x:v>
      </x:c>
      <x:c r="B1337" s="7" t="str">
        <x:f>IF('요약'!$B$4=4,IF(ISNUMBER('input'!A1337),'input'!A1337,""),IF(1336&lt;=1000,CHOOSE('요약'!$B$4,'input'!B1337,'input'!C1337,'input'!D1337),""))</x:f>
      </x:c>
      <x:c r="C1337" s="7" t="str">
        <x:f>IF(AND(ISNUMBER(B1337),'요약'!$B$19),B1337-'요약'!$B$7,"")</x:f>
      </x:c>
      <x:c r="D1337" s="7" t="str">
        <x:f>IF(ISNUMBER(C1337),C1337^2,"")</x:f>
      </x:c>
      <x:c r="E1337" s="15" t="str">
        <x:f>IF(ISNUMBER(C1337),C1337^3,"")</x:f>
      </x:c>
      <x:c r="F1337" s="15" t="str">
        <x:f>IF(ISNUMBER(C1337),C1337^4,"")</x:f>
      </x:c>
      <x:c r="G1337" s="7" t="str">
        <x:f>IF(ISNUMBER(B1337),ABS(B1337),"")</x:f>
      </x:c>
      <x:c r="H1337" s="7" t="str">
        <x:f>IF(ISNUMBER(B1337),B1337^2,"")</x:f>
      </x:c>
      <x:c r="I1337" s="7" t="str">
        <x:f>IF(AND(ISNUMBER(G1337),'요약'!$B$19),G1337-'요약'!$B$14,"")</x:f>
      </x:c>
      <x:c r="J1337" s="7" t="str">
        <x:f>IF(AND(ISNUMBER(H1337),'요약'!$B$19),H1337-'요약'!$B$15,"")</x:f>
      </x:c>
      <x:c r="K1337" t="str">
        <x:f>IF(ISNUMBER(B1337),IF('Hill'!$B$4=1,IF(B1337&lt;0,-B1337,""),IF('Hill'!$B$4=2,IF(B1337&gt;0,B1337,""),IF('Hill'!$B$4=3,IF(B1337&lt;&gt;0,ABS(B1337),""),""))),"")</x:f>
      </x:c>
    </x:row>
    <x:row r="1338">
      <x:c r="A1338" t="n">
        <x:f>1337</x:f>
        <x:v>1337</x:v>
      </x:c>
      <x:c r="B1338" s="7" t="str">
        <x:f>IF('요약'!$B$4=4,IF(ISNUMBER('input'!A1338),'input'!A1338,""),IF(1337&lt;=1000,CHOOSE('요약'!$B$4,'input'!B1338,'input'!C1338,'input'!D1338),""))</x:f>
      </x:c>
      <x:c r="C1338" s="7" t="str">
        <x:f>IF(AND(ISNUMBER(B1338),'요약'!$B$19),B1338-'요약'!$B$7,"")</x:f>
      </x:c>
      <x:c r="D1338" s="7" t="str">
        <x:f>IF(ISNUMBER(C1338),C1338^2,"")</x:f>
      </x:c>
      <x:c r="E1338" s="15" t="str">
        <x:f>IF(ISNUMBER(C1338),C1338^3,"")</x:f>
      </x:c>
      <x:c r="F1338" s="15" t="str">
        <x:f>IF(ISNUMBER(C1338),C1338^4,"")</x:f>
      </x:c>
      <x:c r="G1338" s="7" t="str">
        <x:f>IF(ISNUMBER(B1338),ABS(B1338),"")</x:f>
      </x:c>
      <x:c r="H1338" s="7" t="str">
        <x:f>IF(ISNUMBER(B1338),B1338^2,"")</x:f>
      </x:c>
      <x:c r="I1338" s="7" t="str">
        <x:f>IF(AND(ISNUMBER(G1338),'요약'!$B$19),G1338-'요약'!$B$14,"")</x:f>
      </x:c>
      <x:c r="J1338" s="7" t="str">
        <x:f>IF(AND(ISNUMBER(H1338),'요약'!$B$19),H1338-'요약'!$B$15,"")</x:f>
      </x:c>
      <x:c r="K1338" t="str">
        <x:f>IF(ISNUMBER(B1338),IF('Hill'!$B$4=1,IF(B1338&lt;0,-B1338,""),IF('Hill'!$B$4=2,IF(B1338&gt;0,B1338,""),IF('Hill'!$B$4=3,IF(B1338&lt;&gt;0,ABS(B1338),""),""))),"")</x:f>
      </x:c>
    </x:row>
    <x:row r="1339">
      <x:c r="A1339" t="n">
        <x:f>1338</x:f>
        <x:v>1338</x:v>
      </x:c>
      <x:c r="B1339" s="7" t="str">
        <x:f>IF('요약'!$B$4=4,IF(ISNUMBER('input'!A1339),'input'!A1339,""),IF(1338&lt;=1000,CHOOSE('요약'!$B$4,'input'!B1339,'input'!C1339,'input'!D1339),""))</x:f>
      </x:c>
      <x:c r="C1339" s="7" t="str">
        <x:f>IF(AND(ISNUMBER(B1339),'요약'!$B$19),B1339-'요약'!$B$7,"")</x:f>
      </x:c>
      <x:c r="D1339" s="7" t="str">
        <x:f>IF(ISNUMBER(C1339),C1339^2,"")</x:f>
      </x:c>
      <x:c r="E1339" s="15" t="str">
        <x:f>IF(ISNUMBER(C1339),C1339^3,"")</x:f>
      </x:c>
      <x:c r="F1339" s="15" t="str">
        <x:f>IF(ISNUMBER(C1339),C1339^4,"")</x:f>
      </x:c>
      <x:c r="G1339" s="7" t="str">
        <x:f>IF(ISNUMBER(B1339),ABS(B1339),"")</x:f>
      </x:c>
      <x:c r="H1339" s="7" t="str">
        <x:f>IF(ISNUMBER(B1339),B1339^2,"")</x:f>
      </x:c>
      <x:c r="I1339" s="7" t="str">
        <x:f>IF(AND(ISNUMBER(G1339),'요약'!$B$19),G1339-'요약'!$B$14,"")</x:f>
      </x:c>
      <x:c r="J1339" s="7" t="str">
        <x:f>IF(AND(ISNUMBER(H1339),'요약'!$B$19),H1339-'요약'!$B$15,"")</x:f>
      </x:c>
      <x:c r="K1339" t="str">
        <x:f>IF(ISNUMBER(B1339),IF('Hill'!$B$4=1,IF(B1339&lt;0,-B1339,""),IF('Hill'!$B$4=2,IF(B1339&gt;0,B1339,""),IF('Hill'!$B$4=3,IF(B1339&lt;&gt;0,ABS(B1339),""),""))),"")</x:f>
      </x:c>
    </x:row>
    <x:row r="1340">
      <x:c r="A1340" t="n">
        <x:f>1339</x:f>
        <x:v>1339</x:v>
      </x:c>
      <x:c r="B1340" s="7" t="str">
        <x:f>IF('요약'!$B$4=4,IF(ISNUMBER('input'!A1340),'input'!A1340,""),IF(1339&lt;=1000,CHOOSE('요약'!$B$4,'input'!B1340,'input'!C1340,'input'!D1340),""))</x:f>
      </x:c>
      <x:c r="C1340" s="7" t="str">
        <x:f>IF(AND(ISNUMBER(B1340),'요약'!$B$19),B1340-'요약'!$B$7,"")</x:f>
      </x:c>
      <x:c r="D1340" s="7" t="str">
        <x:f>IF(ISNUMBER(C1340),C1340^2,"")</x:f>
      </x:c>
      <x:c r="E1340" s="15" t="str">
        <x:f>IF(ISNUMBER(C1340),C1340^3,"")</x:f>
      </x:c>
      <x:c r="F1340" s="15" t="str">
        <x:f>IF(ISNUMBER(C1340),C1340^4,"")</x:f>
      </x:c>
      <x:c r="G1340" s="7" t="str">
        <x:f>IF(ISNUMBER(B1340),ABS(B1340),"")</x:f>
      </x:c>
      <x:c r="H1340" s="7" t="str">
        <x:f>IF(ISNUMBER(B1340),B1340^2,"")</x:f>
      </x:c>
      <x:c r="I1340" s="7" t="str">
        <x:f>IF(AND(ISNUMBER(G1340),'요약'!$B$19),G1340-'요약'!$B$14,"")</x:f>
      </x:c>
      <x:c r="J1340" s="7" t="str">
        <x:f>IF(AND(ISNUMBER(H1340),'요약'!$B$19),H1340-'요약'!$B$15,"")</x:f>
      </x:c>
      <x:c r="K1340" t="str">
        <x:f>IF(ISNUMBER(B1340),IF('Hill'!$B$4=1,IF(B1340&lt;0,-B1340,""),IF('Hill'!$B$4=2,IF(B1340&gt;0,B1340,""),IF('Hill'!$B$4=3,IF(B1340&lt;&gt;0,ABS(B1340),""),""))),"")</x:f>
      </x:c>
    </x:row>
    <x:row r="1341">
      <x:c r="A1341" t="n">
        <x:f>1340</x:f>
        <x:v>1340</x:v>
      </x:c>
      <x:c r="B1341" s="7" t="str">
        <x:f>IF('요약'!$B$4=4,IF(ISNUMBER('input'!A1341),'input'!A1341,""),IF(1340&lt;=1000,CHOOSE('요약'!$B$4,'input'!B1341,'input'!C1341,'input'!D1341),""))</x:f>
      </x:c>
      <x:c r="C1341" s="7" t="str">
        <x:f>IF(AND(ISNUMBER(B1341),'요약'!$B$19),B1341-'요약'!$B$7,"")</x:f>
      </x:c>
      <x:c r="D1341" s="7" t="str">
        <x:f>IF(ISNUMBER(C1341),C1341^2,"")</x:f>
      </x:c>
      <x:c r="E1341" s="15" t="str">
        <x:f>IF(ISNUMBER(C1341),C1341^3,"")</x:f>
      </x:c>
      <x:c r="F1341" s="15" t="str">
        <x:f>IF(ISNUMBER(C1341),C1341^4,"")</x:f>
      </x:c>
      <x:c r="G1341" s="7" t="str">
        <x:f>IF(ISNUMBER(B1341),ABS(B1341),"")</x:f>
      </x:c>
      <x:c r="H1341" s="7" t="str">
        <x:f>IF(ISNUMBER(B1341),B1341^2,"")</x:f>
      </x:c>
      <x:c r="I1341" s="7" t="str">
        <x:f>IF(AND(ISNUMBER(G1341),'요약'!$B$19),G1341-'요약'!$B$14,"")</x:f>
      </x:c>
      <x:c r="J1341" s="7" t="str">
        <x:f>IF(AND(ISNUMBER(H1341),'요약'!$B$19),H1341-'요약'!$B$15,"")</x:f>
      </x:c>
      <x:c r="K1341" t="str">
        <x:f>IF(ISNUMBER(B1341),IF('Hill'!$B$4=1,IF(B1341&lt;0,-B1341,""),IF('Hill'!$B$4=2,IF(B1341&gt;0,B1341,""),IF('Hill'!$B$4=3,IF(B1341&lt;&gt;0,ABS(B1341),""),""))),"")</x:f>
      </x:c>
    </x:row>
    <x:row r="1342">
      <x:c r="A1342" t="n">
        <x:f>1341</x:f>
        <x:v>1341</x:v>
      </x:c>
      <x:c r="B1342" s="7" t="str">
        <x:f>IF('요약'!$B$4=4,IF(ISNUMBER('input'!A1342),'input'!A1342,""),IF(1341&lt;=1000,CHOOSE('요약'!$B$4,'input'!B1342,'input'!C1342,'input'!D1342),""))</x:f>
      </x:c>
      <x:c r="C1342" s="7" t="str">
        <x:f>IF(AND(ISNUMBER(B1342),'요약'!$B$19),B1342-'요약'!$B$7,"")</x:f>
      </x:c>
      <x:c r="D1342" s="7" t="str">
        <x:f>IF(ISNUMBER(C1342),C1342^2,"")</x:f>
      </x:c>
      <x:c r="E1342" s="15" t="str">
        <x:f>IF(ISNUMBER(C1342),C1342^3,"")</x:f>
      </x:c>
      <x:c r="F1342" s="15" t="str">
        <x:f>IF(ISNUMBER(C1342),C1342^4,"")</x:f>
      </x:c>
      <x:c r="G1342" s="7" t="str">
        <x:f>IF(ISNUMBER(B1342),ABS(B1342),"")</x:f>
      </x:c>
      <x:c r="H1342" s="7" t="str">
        <x:f>IF(ISNUMBER(B1342),B1342^2,"")</x:f>
      </x:c>
      <x:c r="I1342" s="7" t="str">
        <x:f>IF(AND(ISNUMBER(G1342),'요약'!$B$19),G1342-'요약'!$B$14,"")</x:f>
      </x:c>
      <x:c r="J1342" s="7" t="str">
        <x:f>IF(AND(ISNUMBER(H1342),'요약'!$B$19),H1342-'요약'!$B$15,"")</x:f>
      </x:c>
      <x:c r="K1342" t="str">
        <x:f>IF(ISNUMBER(B1342),IF('Hill'!$B$4=1,IF(B1342&lt;0,-B1342,""),IF('Hill'!$B$4=2,IF(B1342&gt;0,B1342,""),IF('Hill'!$B$4=3,IF(B1342&lt;&gt;0,ABS(B1342),""),""))),"")</x:f>
      </x:c>
    </x:row>
    <x:row r="1343">
      <x:c r="A1343" t="n">
        <x:f>1342</x:f>
        <x:v>1342</x:v>
      </x:c>
      <x:c r="B1343" s="7" t="str">
        <x:f>IF('요약'!$B$4=4,IF(ISNUMBER('input'!A1343),'input'!A1343,""),IF(1342&lt;=1000,CHOOSE('요약'!$B$4,'input'!B1343,'input'!C1343,'input'!D1343),""))</x:f>
      </x:c>
      <x:c r="C1343" s="7" t="str">
        <x:f>IF(AND(ISNUMBER(B1343),'요약'!$B$19),B1343-'요약'!$B$7,"")</x:f>
      </x:c>
      <x:c r="D1343" s="7" t="str">
        <x:f>IF(ISNUMBER(C1343),C1343^2,"")</x:f>
      </x:c>
      <x:c r="E1343" s="15" t="str">
        <x:f>IF(ISNUMBER(C1343),C1343^3,"")</x:f>
      </x:c>
      <x:c r="F1343" s="15" t="str">
        <x:f>IF(ISNUMBER(C1343),C1343^4,"")</x:f>
      </x:c>
      <x:c r="G1343" s="7" t="str">
        <x:f>IF(ISNUMBER(B1343),ABS(B1343),"")</x:f>
      </x:c>
      <x:c r="H1343" s="7" t="str">
        <x:f>IF(ISNUMBER(B1343),B1343^2,"")</x:f>
      </x:c>
      <x:c r="I1343" s="7" t="str">
        <x:f>IF(AND(ISNUMBER(G1343),'요약'!$B$19),G1343-'요약'!$B$14,"")</x:f>
      </x:c>
      <x:c r="J1343" s="7" t="str">
        <x:f>IF(AND(ISNUMBER(H1343),'요약'!$B$19),H1343-'요약'!$B$15,"")</x:f>
      </x:c>
      <x:c r="K1343" t="str">
        <x:f>IF(ISNUMBER(B1343),IF('Hill'!$B$4=1,IF(B1343&lt;0,-B1343,""),IF('Hill'!$B$4=2,IF(B1343&gt;0,B1343,""),IF('Hill'!$B$4=3,IF(B1343&lt;&gt;0,ABS(B1343),""),""))),"")</x:f>
      </x:c>
    </x:row>
    <x:row r="1344">
      <x:c r="A1344" t="n">
        <x:f>1343</x:f>
        <x:v>1343</x:v>
      </x:c>
      <x:c r="B1344" s="7" t="str">
        <x:f>IF('요약'!$B$4=4,IF(ISNUMBER('input'!A1344),'input'!A1344,""),IF(1343&lt;=1000,CHOOSE('요약'!$B$4,'input'!B1344,'input'!C1344,'input'!D1344),""))</x:f>
      </x:c>
      <x:c r="C1344" s="7" t="str">
        <x:f>IF(AND(ISNUMBER(B1344),'요약'!$B$19),B1344-'요약'!$B$7,"")</x:f>
      </x:c>
      <x:c r="D1344" s="7" t="str">
        <x:f>IF(ISNUMBER(C1344),C1344^2,"")</x:f>
      </x:c>
      <x:c r="E1344" s="15" t="str">
        <x:f>IF(ISNUMBER(C1344),C1344^3,"")</x:f>
      </x:c>
      <x:c r="F1344" s="15" t="str">
        <x:f>IF(ISNUMBER(C1344),C1344^4,"")</x:f>
      </x:c>
      <x:c r="G1344" s="7" t="str">
        <x:f>IF(ISNUMBER(B1344),ABS(B1344),"")</x:f>
      </x:c>
      <x:c r="H1344" s="7" t="str">
        <x:f>IF(ISNUMBER(B1344),B1344^2,"")</x:f>
      </x:c>
      <x:c r="I1344" s="7" t="str">
        <x:f>IF(AND(ISNUMBER(G1344),'요약'!$B$19),G1344-'요약'!$B$14,"")</x:f>
      </x:c>
      <x:c r="J1344" s="7" t="str">
        <x:f>IF(AND(ISNUMBER(H1344),'요약'!$B$19),H1344-'요약'!$B$15,"")</x:f>
      </x:c>
      <x:c r="K1344" t="str">
        <x:f>IF(ISNUMBER(B1344),IF('Hill'!$B$4=1,IF(B1344&lt;0,-B1344,""),IF('Hill'!$B$4=2,IF(B1344&gt;0,B1344,""),IF('Hill'!$B$4=3,IF(B1344&lt;&gt;0,ABS(B1344),""),""))),"")</x:f>
      </x:c>
    </x:row>
    <x:row r="1345">
      <x:c r="A1345" t="n">
        <x:f>1344</x:f>
        <x:v>1344</x:v>
      </x:c>
      <x:c r="B1345" s="7" t="str">
        <x:f>IF('요약'!$B$4=4,IF(ISNUMBER('input'!A1345),'input'!A1345,""),IF(1344&lt;=1000,CHOOSE('요약'!$B$4,'input'!B1345,'input'!C1345,'input'!D1345),""))</x:f>
      </x:c>
      <x:c r="C1345" s="7" t="str">
        <x:f>IF(AND(ISNUMBER(B1345),'요약'!$B$19),B1345-'요약'!$B$7,"")</x:f>
      </x:c>
      <x:c r="D1345" s="7" t="str">
        <x:f>IF(ISNUMBER(C1345),C1345^2,"")</x:f>
      </x:c>
      <x:c r="E1345" s="15" t="str">
        <x:f>IF(ISNUMBER(C1345),C1345^3,"")</x:f>
      </x:c>
      <x:c r="F1345" s="15" t="str">
        <x:f>IF(ISNUMBER(C1345),C1345^4,"")</x:f>
      </x:c>
      <x:c r="G1345" s="7" t="str">
        <x:f>IF(ISNUMBER(B1345),ABS(B1345),"")</x:f>
      </x:c>
      <x:c r="H1345" s="7" t="str">
        <x:f>IF(ISNUMBER(B1345),B1345^2,"")</x:f>
      </x:c>
      <x:c r="I1345" s="7" t="str">
        <x:f>IF(AND(ISNUMBER(G1345),'요약'!$B$19),G1345-'요약'!$B$14,"")</x:f>
      </x:c>
      <x:c r="J1345" s="7" t="str">
        <x:f>IF(AND(ISNUMBER(H1345),'요약'!$B$19),H1345-'요약'!$B$15,"")</x:f>
      </x:c>
      <x:c r="K1345" t="str">
        <x:f>IF(ISNUMBER(B1345),IF('Hill'!$B$4=1,IF(B1345&lt;0,-B1345,""),IF('Hill'!$B$4=2,IF(B1345&gt;0,B1345,""),IF('Hill'!$B$4=3,IF(B1345&lt;&gt;0,ABS(B1345),""),""))),"")</x:f>
      </x:c>
    </x:row>
    <x:row r="1346">
      <x:c r="A1346" t="n">
        <x:f>1345</x:f>
        <x:v>1345</x:v>
      </x:c>
      <x:c r="B1346" s="7" t="str">
        <x:f>IF('요약'!$B$4=4,IF(ISNUMBER('input'!A1346),'input'!A1346,""),IF(1345&lt;=1000,CHOOSE('요약'!$B$4,'input'!B1346,'input'!C1346,'input'!D1346),""))</x:f>
      </x:c>
      <x:c r="C1346" s="7" t="str">
        <x:f>IF(AND(ISNUMBER(B1346),'요약'!$B$19),B1346-'요약'!$B$7,"")</x:f>
      </x:c>
      <x:c r="D1346" s="7" t="str">
        <x:f>IF(ISNUMBER(C1346),C1346^2,"")</x:f>
      </x:c>
      <x:c r="E1346" s="15" t="str">
        <x:f>IF(ISNUMBER(C1346),C1346^3,"")</x:f>
      </x:c>
      <x:c r="F1346" s="15" t="str">
        <x:f>IF(ISNUMBER(C1346),C1346^4,"")</x:f>
      </x:c>
      <x:c r="G1346" s="7" t="str">
        <x:f>IF(ISNUMBER(B1346),ABS(B1346),"")</x:f>
      </x:c>
      <x:c r="H1346" s="7" t="str">
        <x:f>IF(ISNUMBER(B1346),B1346^2,"")</x:f>
      </x:c>
      <x:c r="I1346" s="7" t="str">
        <x:f>IF(AND(ISNUMBER(G1346),'요약'!$B$19),G1346-'요약'!$B$14,"")</x:f>
      </x:c>
      <x:c r="J1346" s="7" t="str">
        <x:f>IF(AND(ISNUMBER(H1346),'요약'!$B$19),H1346-'요약'!$B$15,"")</x:f>
      </x:c>
      <x:c r="K1346" t="str">
        <x:f>IF(ISNUMBER(B1346),IF('Hill'!$B$4=1,IF(B1346&lt;0,-B1346,""),IF('Hill'!$B$4=2,IF(B1346&gt;0,B1346,""),IF('Hill'!$B$4=3,IF(B1346&lt;&gt;0,ABS(B1346),""),""))),"")</x:f>
      </x:c>
    </x:row>
    <x:row r="1347">
      <x:c r="A1347" t="n">
        <x:f>1346</x:f>
        <x:v>1346</x:v>
      </x:c>
      <x:c r="B1347" s="7" t="str">
        <x:f>IF('요약'!$B$4=4,IF(ISNUMBER('input'!A1347),'input'!A1347,""),IF(1346&lt;=1000,CHOOSE('요약'!$B$4,'input'!B1347,'input'!C1347,'input'!D1347),""))</x:f>
      </x:c>
      <x:c r="C1347" s="7" t="str">
        <x:f>IF(AND(ISNUMBER(B1347),'요약'!$B$19),B1347-'요약'!$B$7,"")</x:f>
      </x:c>
      <x:c r="D1347" s="7" t="str">
        <x:f>IF(ISNUMBER(C1347),C1347^2,"")</x:f>
      </x:c>
      <x:c r="E1347" s="15" t="str">
        <x:f>IF(ISNUMBER(C1347),C1347^3,"")</x:f>
      </x:c>
      <x:c r="F1347" s="15" t="str">
        <x:f>IF(ISNUMBER(C1347),C1347^4,"")</x:f>
      </x:c>
      <x:c r="G1347" s="7" t="str">
        <x:f>IF(ISNUMBER(B1347),ABS(B1347),"")</x:f>
      </x:c>
      <x:c r="H1347" s="7" t="str">
        <x:f>IF(ISNUMBER(B1347),B1347^2,"")</x:f>
      </x:c>
      <x:c r="I1347" s="7" t="str">
        <x:f>IF(AND(ISNUMBER(G1347),'요약'!$B$19),G1347-'요약'!$B$14,"")</x:f>
      </x:c>
      <x:c r="J1347" s="7" t="str">
        <x:f>IF(AND(ISNUMBER(H1347),'요약'!$B$19),H1347-'요약'!$B$15,"")</x:f>
      </x:c>
      <x:c r="K1347" t="str">
        <x:f>IF(ISNUMBER(B1347),IF('Hill'!$B$4=1,IF(B1347&lt;0,-B1347,""),IF('Hill'!$B$4=2,IF(B1347&gt;0,B1347,""),IF('Hill'!$B$4=3,IF(B1347&lt;&gt;0,ABS(B1347),""),""))),"")</x:f>
      </x:c>
    </x:row>
    <x:row r="1348">
      <x:c r="A1348" t="n">
        <x:f>1347</x:f>
        <x:v>1347</x:v>
      </x:c>
      <x:c r="B1348" s="7" t="str">
        <x:f>IF('요약'!$B$4=4,IF(ISNUMBER('input'!A1348),'input'!A1348,""),IF(1347&lt;=1000,CHOOSE('요약'!$B$4,'input'!B1348,'input'!C1348,'input'!D1348),""))</x:f>
      </x:c>
      <x:c r="C1348" s="7" t="str">
        <x:f>IF(AND(ISNUMBER(B1348),'요약'!$B$19),B1348-'요약'!$B$7,"")</x:f>
      </x:c>
      <x:c r="D1348" s="7" t="str">
        <x:f>IF(ISNUMBER(C1348),C1348^2,"")</x:f>
      </x:c>
      <x:c r="E1348" s="15" t="str">
        <x:f>IF(ISNUMBER(C1348),C1348^3,"")</x:f>
      </x:c>
      <x:c r="F1348" s="15" t="str">
        <x:f>IF(ISNUMBER(C1348),C1348^4,"")</x:f>
      </x:c>
      <x:c r="G1348" s="7" t="str">
        <x:f>IF(ISNUMBER(B1348),ABS(B1348),"")</x:f>
      </x:c>
      <x:c r="H1348" s="7" t="str">
        <x:f>IF(ISNUMBER(B1348),B1348^2,"")</x:f>
      </x:c>
      <x:c r="I1348" s="7" t="str">
        <x:f>IF(AND(ISNUMBER(G1348),'요약'!$B$19),G1348-'요약'!$B$14,"")</x:f>
      </x:c>
      <x:c r="J1348" s="7" t="str">
        <x:f>IF(AND(ISNUMBER(H1348),'요약'!$B$19),H1348-'요약'!$B$15,"")</x:f>
      </x:c>
      <x:c r="K1348" t="str">
        <x:f>IF(ISNUMBER(B1348),IF('Hill'!$B$4=1,IF(B1348&lt;0,-B1348,""),IF('Hill'!$B$4=2,IF(B1348&gt;0,B1348,""),IF('Hill'!$B$4=3,IF(B1348&lt;&gt;0,ABS(B1348),""),""))),"")</x:f>
      </x:c>
    </x:row>
    <x:row r="1349">
      <x:c r="A1349" t="n">
        <x:f>1348</x:f>
        <x:v>1348</x:v>
      </x:c>
      <x:c r="B1349" s="7" t="str">
        <x:f>IF('요약'!$B$4=4,IF(ISNUMBER('input'!A1349),'input'!A1349,""),IF(1348&lt;=1000,CHOOSE('요약'!$B$4,'input'!B1349,'input'!C1349,'input'!D1349),""))</x:f>
      </x:c>
      <x:c r="C1349" s="7" t="str">
        <x:f>IF(AND(ISNUMBER(B1349),'요약'!$B$19),B1349-'요약'!$B$7,"")</x:f>
      </x:c>
      <x:c r="D1349" s="7" t="str">
        <x:f>IF(ISNUMBER(C1349),C1349^2,"")</x:f>
      </x:c>
      <x:c r="E1349" s="15" t="str">
        <x:f>IF(ISNUMBER(C1349),C1349^3,"")</x:f>
      </x:c>
      <x:c r="F1349" s="15" t="str">
        <x:f>IF(ISNUMBER(C1349),C1349^4,"")</x:f>
      </x:c>
      <x:c r="G1349" s="7" t="str">
        <x:f>IF(ISNUMBER(B1349),ABS(B1349),"")</x:f>
      </x:c>
      <x:c r="H1349" s="7" t="str">
        <x:f>IF(ISNUMBER(B1349),B1349^2,"")</x:f>
      </x:c>
      <x:c r="I1349" s="7" t="str">
        <x:f>IF(AND(ISNUMBER(G1349),'요약'!$B$19),G1349-'요약'!$B$14,"")</x:f>
      </x:c>
      <x:c r="J1349" s="7" t="str">
        <x:f>IF(AND(ISNUMBER(H1349),'요약'!$B$19),H1349-'요약'!$B$15,"")</x:f>
      </x:c>
      <x:c r="K1349" t="str">
        <x:f>IF(ISNUMBER(B1349),IF('Hill'!$B$4=1,IF(B1349&lt;0,-B1349,""),IF('Hill'!$B$4=2,IF(B1349&gt;0,B1349,""),IF('Hill'!$B$4=3,IF(B1349&lt;&gt;0,ABS(B1349),""),""))),"")</x:f>
      </x:c>
    </x:row>
    <x:row r="1350">
      <x:c r="A1350" t="n">
        <x:f>1349</x:f>
        <x:v>1349</x:v>
      </x:c>
      <x:c r="B1350" s="7" t="str">
        <x:f>IF('요약'!$B$4=4,IF(ISNUMBER('input'!A1350),'input'!A1350,""),IF(1349&lt;=1000,CHOOSE('요약'!$B$4,'input'!B1350,'input'!C1350,'input'!D1350),""))</x:f>
      </x:c>
      <x:c r="C1350" s="7" t="str">
        <x:f>IF(AND(ISNUMBER(B1350),'요약'!$B$19),B1350-'요약'!$B$7,"")</x:f>
      </x:c>
      <x:c r="D1350" s="7" t="str">
        <x:f>IF(ISNUMBER(C1350),C1350^2,"")</x:f>
      </x:c>
      <x:c r="E1350" s="15" t="str">
        <x:f>IF(ISNUMBER(C1350),C1350^3,"")</x:f>
      </x:c>
      <x:c r="F1350" s="15" t="str">
        <x:f>IF(ISNUMBER(C1350),C1350^4,"")</x:f>
      </x:c>
      <x:c r="G1350" s="7" t="str">
        <x:f>IF(ISNUMBER(B1350),ABS(B1350),"")</x:f>
      </x:c>
      <x:c r="H1350" s="7" t="str">
        <x:f>IF(ISNUMBER(B1350),B1350^2,"")</x:f>
      </x:c>
      <x:c r="I1350" s="7" t="str">
        <x:f>IF(AND(ISNUMBER(G1350),'요약'!$B$19),G1350-'요약'!$B$14,"")</x:f>
      </x:c>
      <x:c r="J1350" s="7" t="str">
        <x:f>IF(AND(ISNUMBER(H1350),'요약'!$B$19),H1350-'요약'!$B$15,"")</x:f>
      </x:c>
      <x:c r="K1350" t="str">
        <x:f>IF(ISNUMBER(B1350),IF('Hill'!$B$4=1,IF(B1350&lt;0,-B1350,""),IF('Hill'!$B$4=2,IF(B1350&gt;0,B1350,""),IF('Hill'!$B$4=3,IF(B1350&lt;&gt;0,ABS(B1350),""),""))),"")</x:f>
      </x:c>
    </x:row>
    <x:row r="1351">
      <x:c r="A1351" t="n">
        <x:f>1350</x:f>
        <x:v>1350</x:v>
      </x:c>
      <x:c r="B1351" s="7" t="str">
        <x:f>IF('요약'!$B$4=4,IF(ISNUMBER('input'!A1351),'input'!A1351,""),IF(1350&lt;=1000,CHOOSE('요약'!$B$4,'input'!B1351,'input'!C1351,'input'!D1351),""))</x:f>
      </x:c>
      <x:c r="C1351" s="7" t="str">
        <x:f>IF(AND(ISNUMBER(B1351),'요약'!$B$19),B1351-'요약'!$B$7,"")</x:f>
      </x:c>
      <x:c r="D1351" s="7" t="str">
        <x:f>IF(ISNUMBER(C1351),C1351^2,"")</x:f>
      </x:c>
      <x:c r="E1351" s="15" t="str">
        <x:f>IF(ISNUMBER(C1351),C1351^3,"")</x:f>
      </x:c>
      <x:c r="F1351" s="15" t="str">
        <x:f>IF(ISNUMBER(C1351),C1351^4,"")</x:f>
      </x:c>
      <x:c r="G1351" s="7" t="str">
        <x:f>IF(ISNUMBER(B1351),ABS(B1351),"")</x:f>
      </x:c>
      <x:c r="H1351" s="7" t="str">
        <x:f>IF(ISNUMBER(B1351),B1351^2,"")</x:f>
      </x:c>
      <x:c r="I1351" s="7" t="str">
        <x:f>IF(AND(ISNUMBER(G1351),'요약'!$B$19),G1351-'요약'!$B$14,"")</x:f>
      </x:c>
      <x:c r="J1351" s="7" t="str">
        <x:f>IF(AND(ISNUMBER(H1351),'요약'!$B$19),H1351-'요약'!$B$15,"")</x:f>
      </x:c>
      <x:c r="K1351" t="str">
        <x:f>IF(ISNUMBER(B1351),IF('Hill'!$B$4=1,IF(B1351&lt;0,-B1351,""),IF('Hill'!$B$4=2,IF(B1351&gt;0,B1351,""),IF('Hill'!$B$4=3,IF(B1351&lt;&gt;0,ABS(B1351),""),""))),"")</x:f>
      </x:c>
    </x:row>
    <x:row r="1352">
      <x:c r="A1352" t="n">
        <x:f>1351</x:f>
        <x:v>1351</x:v>
      </x:c>
      <x:c r="B1352" s="7" t="str">
        <x:f>IF('요약'!$B$4=4,IF(ISNUMBER('input'!A1352),'input'!A1352,""),IF(1351&lt;=1000,CHOOSE('요약'!$B$4,'input'!B1352,'input'!C1352,'input'!D1352),""))</x:f>
      </x:c>
      <x:c r="C1352" s="7" t="str">
        <x:f>IF(AND(ISNUMBER(B1352),'요약'!$B$19),B1352-'요약'!$B$7,"")</x:f>
      </x:c>
      <x:c r="D1352" s="7" t="str">
        <x:f>IF(ISNUMBER(C1352),C1352^2,"")</x:f>
      </x:c>
      <x:c r="E1352" s="15" t="str">
        <x:f>IF(ISNUMBER(C1352),C1352^3,"")</x:f>
      </x:c>
      <x:c r="F1352" s="15" t="str">
        <x:f>IF(ISNUMBER(C1352),C1352^4,"")</x:f>
      </x:c>
      <x:c r="G1352" s="7" t="str">
        <x:f>IF(ISNUMBER(B1352),ABS(B1352),"")</x:f>
      </x:c>
      <x:c r="H1352" s="7" t="str">
        <x:f>IF(ISNUMBER(B1352),B1352^2,"")</x:f>
      </x:c>
      <x:c r="I1352" s="7" t="str">
        <x:f>IF(AND(ISNUMBER(G1352),'요약'!$B$19),G1352-'요약'!$B$14,"")</x:f>
      </x:c>
      <x:c r="J1352" s="7" t="str">
        <x:f>IF(AND(ISNUMBER(H1352),'요약'!$B$19),H1352-'요약'!$B$15,"")</x:f>
      </x:c>
      <x:c r="K1352" t="str">
        <x:f>IF(ISNUMBER(B1352),IF('Hill'!$B$4=1,IF(B1352&lt;0,-B1352,""),IF('Hill'!$B$4=2,IF(B1352&gt;0,B1352,""),IF('Hill'!$B$4=3,IF(B1352&lt;&gt;0,ABS(B1352),""),""))),"")</x:f>
      </x:c>
    </x:row>
    <x:row r="1353">
      <x:c r="A1353" t="n">
        <x:f>1352</x:f>
        <x:v>1352</x:v>
      </x:c>
      <x:c r="B1353" s="7" t="str">
        <x:f>IF('요약'!$B$4=4,IF(ISNUMBER('input'!A1353),'input'!A1353,""),IF(1352&lt;=1000,CHOOSE('요약'!$B$4,'input'!B1353,'input'!C1353,'input'!D1353),""))</x:f>
      </x:c>
      <x:c r="C1353" s="7" t="str">
        <x:f>IF(AND(ISNUMBER(B1353),'요약'!$B$19),B1353-'요약'!$B$7,"")</x:f>
      </x:c>
      <x:c r="D1353" s="7" t="str">
        <x:f>IF(ISNUMBER(C1353),C1353^2,"")</x:f>
      </x:c>
      <x:c r="E1353" s="15" t="str">
        <x:f>IF(ISNUMBER(C1353),C1353^3,"")</x:f>
      </x:c>
      <x:c r="F1353" s="15" t="str">
        <x:f>IF(ISNUMBER(C1353),C1353^4,"")</x:f>
      </x:c>
      <x:c r="G1353" s="7" t="str">
        <x:f>IF(ISNUMBER(B1353),ABS(B1353),"")</x:f>
      </x:c>
      <x:c r="H1353" s="7" t="str">
        <x:f>IF(ISNUMBER(B1353),B1353^2,"")</x:f>
      </x:c>
      <x:c r="I1353" s="7" t="str">
        <x:f>IF(AND(ISNUMBER(G1353),'요약'!$B$19),G1353-'요약'!$B$14,"")</x:f>
      </x:c>
      <x:c r="J1353" s="7" t="str">
        <x:f>IF(AND(ISNUMBER(H1353),'요약'!$B$19),H1353-'요약'!$B$15,"")</x:f>
      </x:c>
      <x:c r="K1353" t="str">
        <x:f>IF(ISNUMBER(B1353),IF('Hill'!$B$4=1,IF(B1353&lt;0,-B1353,""),IF('Hill'!$B$4=2,IF(B1353&gt;0,B1353,""),IF('Hill'!$B$4=3,IF(B1353&lt;&gt;0,ABS(B1353),""),""))),"")</x:f>
      </x:c>
    </x:row>
    <x:row r="1354">
      <x:c r="A1354" t="n">
        <x:f>1353</x:f>
        <x:v>1353</x:v>
      </x:c>
      <x:c r="B1354" s="7" t="str">
        <x:f>IF('요약'!$B$4=4,IF(ISNUMBER('input'!A1354),'input'!A1354,""),IF(1353&lt;=1000,CHOOSE('요약'!$B$4,'input'!B1354,'input'!C1354,'input'!D1354),""))</x:f>
      </x:c>
      <x:c r="C1354" s="7" t="str">
        <x:f>IF(AND(ISNUMBER(B1354),'요약'!$B$19),B1354-'요약'!$B$7,"")</x:f>
      </x:c>
      <x:c r="D1354" s="7" t="str">
        <x:f>IF(ISNUMBER(C1354),C1354^2,"")</x:f>
      </x:c>
      <x:c r="E1354" s="15" t="str">
        <x:f>IF(ISNUMBER(C1354),C1354^3,"")</x:f>
      </x:c>
      <x:c r="F1354" s="15" t="str">
        <x:f>IF(ISNUMBER(C1354),C1354^4,"")</x:f>
      </x:c>
      <x:c r="G1354" s="7" t="str">
        <x:f>IF(ISNUMBER(B1354),ABS(B1354),"")</x:f>
      </x:c>
      <x:c r="H1354" s="7" t="str">
        <x:f>IF(ISNUMBER(B1354),B1354^2,"")</x:f>
      </x:c>
      <x:c r="I1354" s="7" t="str">
        <x:f>IF(AND(ISNUMBER(G1354),'요약'!$B$19),G1354-'요약'!$B$14,"")</x:f>
      </x:c>
      <x:c r="J1354" s="7" t="str">
        <x:f>IF(AND(ISNUMBER(H1354),'요약'!$B$19),H1354-'요약'!$B$15,"")</x:f>
      </x:c>
      <x:c r="K1354" t="str">
        <x:f>IF(ISNUMBER(B1354),IF('Hill'!$B$4=1,IF(B1354&lt;0,-B1354,""),IF('Hill'!$B$4=2,IF(B1354&gt;0,B1354,""),IF('Hill'!$B$4=3,IF(B1354&lt;&gt;0,ABS(B1354),""),""))),"")</x:f>
      </x:c>
    </x:row>
    <x:row r="1355">
      <x:c r="A1355" t="n">
        <x:f>1354</x:f>
        <x:v>1354</x:v>
      </x:c>
      <x:c r="B1355" s="7" t="str">
        <x:f>IF('요약'!$B$4=4,IF(ISNUMBER('input'!A1355),'input'!A1355,""),IF(1354&lt;=1000,CHOOSE('요약'!$B$4,'input'!B1355,'input'!C1355,'input'!D1355),""))</x:f>
      </x:c>
      <x:c r="C1355" s="7" t="str">
        <x:f>IF(AND(ISNUMBER(B1355),'요약'!$B$19),B1355-'요약'!$B$7,"")</x:f>
      </x:c>
      <x:c r="D1355" s="7" t="str">
        <x:f>IF(ISNUMBER(C1355),C1355^2,"")</x:f>
      </x:c>
      <x:c r="E1355" s="15" t="str">
        <x:f>IF(ISNUMBER(C1355),C1355^3,"")</x:f>
      </x:c>
      <x:c r="F1355" s="15" t="str">
        <x:f>IF(ISNUMBER(C1355),C1355^4,"")</x:f>
      </x:c>
      <x:c r="G1355" s="7" t="str">
        <x:f>IF(ISNUMBER(B1355),ABS(B1355),"")</x:f>
      </x:c>
      <x:c r="H1355" s="7" t="str">
        <x:f>IF(ISNUMBER(B1355),B1355^2,"")</x:f>
      </x:c>
      <x:c r="I1355" s="7" t="str">
        <x:f>IF(AND(ISNUMBER(G1355),'요약'!$B$19),G1355-'요약'!$B$14,"")</x:f>
      </x:c>
      <x:c r="J1355" s="7" t="str">
        <x:f>IF(AND(ISNUMBER(H1355),'요약'!$B$19),H1355-'요약'!$B$15,"")</x:f>
      </x:c>
      <x:c r="K1355" t="str">
        <x:f>IF(ISNUMBER(B1355),IF('Hill'!$B$4=1,IF(B1355&lt;0,-B1355,""),IF('Hill'!$B$4=2,IF(B1355&gt;0,B1355,""),IF('Hill'!$B$4=3,IF(B1355&lt;&gt;0,ABS(B1355),""),""))),"")</x:f>
      </x:c>
    </x:row>
    <x:row r="1356">
      <x:c r="A1356" t="n">
        <x:f>1355</x:f>
        <x:v>1355</x:v>
      </x:c>
      <x:c r="B1356" s="7" t="str">
        <x:f>IF('요약'!$B$4=4,IF(ISNUMBER('input'!A1356),'input'!A1356,""),IF(1355&lt;=1000,CHOOSE('요약'!$B$4,'input'!B1356,'input'!C1356,'input'!D1356),""))</x:f>
      </x:c>
      <x:c r="C1356" s="7" t="str">
        <x:f>IF(AND(ISNUMBER(B1356),'요약'!$B$19),B1356-'요약'!$B$7,"")</x:f>
      </x:c>
      <x:c r="D1356" s="7" t="str">
        <x:f>IF(ISNUMBER(C1356),C1356^2,"")</x:f>
      </x:c>
      <x:c r="E1356" s="15" t="str">
        <x:f>IF(ISNUMBER(C1356),C1356^3,"")</x:f>
      </x:c>
      <x:c r="F1356" s="15" t="str">
        <x:f>IF(ISNUMBER(C1356),C1356^4,"")</x:f>
      </x:c>
      <x:c r="G1356" s="7" t="str">
        <x:f>IF(ISNUMBER(B1356),ABS(B1356),"")</x:f>
      </x:c>
      <x:c r="H1356" s="7" t="str">
        <x:f>IF(ISNUMBER(B1356),B1356^2,"")</x:f>
      </x:c>
      <x:c r="I1356" s="7" t="str">
        <x:f>IF(AND(ISNUMBER(G1356),'요약'!$B$19),G1356-'요약'!$B$14,"")</x:f>
      </x:c>
      <x:c r="J1356" s="7" t="str">
        <x:f>IF(AND(ISNUMBER(H1356),'요약'!$B$19),H1356-'요약'!$B$15,"")</x:f>
      </x:c>
      <x:c r="K1356" t="str">
        <x:f>IF(ISNUMBER(B1356),IF('Hill'!$B$4=1,IF(B1356&lt;0,-B1356,""),IF('Hill'!$B$4=2,IF(B1356&gt;0,B1356,""),IF('Hill'!$B$4=3,IF(B1356&lt;&gt;0,ABS(B1356),""),""))),"")</x:f>
      </x:c>
    </x:row>
    <x:row r="1357">
      <x:c r="A1357" t="n">
        <x:f>1356</x:f>
        <x:v>1356</x:v>
      </x:c>
      <x:c r="B1357" s="7" t="str">
        <x:f>IF('요약'!$B$4=4,IF(ISNUMBER('input'!A1357),'input'!A1357,""),IF(1356&lt;=1000,CHOOSE('요약'!$B$4,'input'!B1357,'input'!C1357,'input'!D1357),""))</x:f>
      </x:c>
      <x:c r="C1357" s="7" t="str">
        <x:f>IF(AND(ISNUMBER(B1357),'요약'!$B$19),B1357-'요약'!$B$7,"")</x:f>
      </x:c>
      <x:c r="D1357" s="7" t="str">
        <x:f>IF(ISNUMBER(C1357),C1357^2,"")</x:f>
      </x:c>
      <x:c r="E1357" s="15" t="str">
        <x:f>IF(ISNUMBER(C1357),C1357^3,"")</x:f>
      </x:c>
      <x:c r="F1357" s="15" t="str">
        <x:f>IF(ISNUMBER(C1357),C1357^4,"")</x:f>
      </x:c>
      <x:c r="G1357" s="7" t="str">
        <x:f>IF(ISNUMBER(B1357),ABS(B1357),"")</x:f>
      </x:c>
      <x:c r="H1357" s="7" t="str">
        <x:f>IF(ISNUMBER(B1357),B1357^2,"")</x:f>
      </x:c>
      <x:c r="I1357" s="7" t="str">
        <x:f>IF(AND(ISNUMBER(G1357),'요약'!$B$19),G1357-'요약'!$B$14,"")</x:f>
      </x:c>
      <x:c r="J1357" s="7" t="str">
        <x:f>IF(AND(ISNUMBER(H1357),'요약'!$B$19),H1357-'요약'!$B$15,"")</x:f>
      </x:c>
      <x:c r="K1357" t="str">
        <x:f>IF(ISNUMBER(B1357),IF('Hill'!$B$4=1,IF(B1357&lt;0,-B1357,""),IF('Hill'!$B$4=2,IF(B1357&gt;0,B1357,""),IF('Hill'!$B$4=3,IF(B1357&lt;&gt;0,ABS(B1357),""),""))),"")</x:f>
      </x:c>
    </x:row>
    <x:row r="1358">
      <x:c r="A1358" t="n">
        <x:f>1357</x:f>
        <x:v>1357</x:v>
      </x:c>
      <x:c r="B1358" s="7" t="str">
        <x:f>IF('요약'!$B$4=4,IF(ISNUMBER('input'!A1358),'input'!A1358,""),IF(1357&lt;=1000,CHOOSE('요약'!$B$4,'input'!B1358,'input'!C1358,'input'!D1358),""))</x:f>
      </x:c>
      <x:c r="C1358" s="7" t="str">
        <x:f>IF(AND(ISNUMBER(B1358),'요약'!$B$19),B1358-'요약'!$B$7,"")</x:f>
      </x:c>
      <x:c r="D1358" s="7" t="str">
        <x:f>IF(ISNUMBER(C1358),C1358^2,"")</x:f>
      </x:c>
      <x:c r="E1358" s="15" t="str">
        <x:f>IF(ISNUMBER(C1358),C1358^3,"")</x:f>
      </x:c>
      <x:c r="F1358" s="15" t="str">
        <x:f>IF(ISNUMBER(C1358),C1358^4,"")</x:f>
      </x:c>
      <x:c r="G1358" s="7" t="str">
        <x:f>IF(ISNUMBER(B1358),ABS(B1358),"")</x:f>
      </x:c>
      <x:c r="H1358" s="7" t="str">
        <x:f>IF(ISNUMBER(B1358),B1358^2,"")</x:f>
      </x:c>
      <x:c r="I1358" s="7" t="str">
        <x:f>IF(AND(ISNUMBER(G1358),'요약'!$B$19),G1358-'요약'!$B$14,"")</x:f>
      </x:c>
      <x:c r="J1358" s="7" t="str">
        <x:f>IF(AND(ISNUMBER(H1358),'요약'!$B$19),H1358-'요약'!$B$15,"")</x:f>
      </x:c>
      <x:c r="K1358" t="str">
        <x:f>IF(ISNUMBER(B1358),IF('Hill'!$B$4=1,IF(B1358&lt;0,-B1358,""),IF('Hill'!$B$4=2,IF(B1358&gt;0,B1358,""),IF('Hill'!$B$4=3,IF(B1358&lt;&gt;0,ABS(B1358),""),""))),"")</x:f>
      </x:c>
    </x:row>
    <x:row r="1359">
      <x:c r="A1359" t="n">
        <x:f>1358</x:f>
        <x:v>1358</x:v>
      </x:c>
      <x:c r="B1359" s="7" t="str">
        <x:f>IF('요약'!$B$4=4,IF(ISNUMBER('input'!A1359),'input'!A1359,""),IF(1358&lt;=1000,CHOOSE('요약'!$B$4,'input'!B1359,'input'!C1359,'input'!D1359),""))</x:f>
      </x:c>
      <x:c r="C1359" s="7" t="str">
        <x:f>IF(AND(ISNUMBER(B1359),'요약'!$B$19),B1359-'요약'!$B$7,"")</x:f>
      </x:c>
      <x:c r="D1359" s="7" t="str">
        <x:f>IF(ISNUMBER(C1359),C1359^2,"")</x:f>
      </x:c>
      <x:c r="E1359" s="15" t="str">
        <x:f>IF(ISNUMBER(C1359),C1359^3,"")</x:f>
      </x:c>
      <x:c r="F1359" s="15" t="str">
        <x:f>IF(ISNUMBER(C1359),C1359^4,"")</x:f>
      </x:c>
      <x:c r="G1359" s="7" t="str">
        <x:f>IF(ISNUMBER(B1359),ABS(B1359),"")</x:f>
      </x:c>
      <x:c r="H1359" s="7" t="str">
        <x:f>IF(ISNUMBER(B1359),B1359^2,"")</x:f>
      </x:c>
      <x:c r="I1359" s="7" t="str">
        <x:f>IF(AND(ISNUMBER(G1359),'요약'!$B$19),G1359-'요약'!$B$14,"")</x:f>
      </x:c>
      <x:c r="J1359" s="7" t="str">
        <x:f>IF(AND(ISNUMBER(H1359),'요약'!$B$19),H1359-'요약'!$B$15,"")</x:f>
      </x:c>
      <x:c r="K1359" t="str">
        <x:f>IF(ISNUMBER(B1359),IF('Hill'!$B$4=1,IF(B1359&lt;0,-B1359,""),IF('Hill'!$B$4=2,IF(B1359&gt;0,B1359,""),IF('Hill'!$B$4=3,IF(B1359&lt;&gt;0,ABS(B1359),""),""))),"")</x:f>
      </x:c>
    </x:row>
    <x:row r="1360">
      <x:c r="A1360" t="n">
        <x:f>1359</x:f>
        <x:v>1359</x:v>
      </x:c>
      <x:c r="B1360" s="7" t="str">
        <x:f>IF('요약'!$B$4=4,IF(ISNUMBER('input'!A1360),'input'!A1360,""),IF(1359&lt;=1000,CHOOSE('요약'!$B$4,'input'!B1360,'input'!C1360,'input'!D1360),""))</x:f>
      </x:c>
      <x:c r="C1360" s="7" t="str">
        <x:f>IF(AND(ISNUMBER(B1360),'요약'!$B$19),B1360-'요약'!$B$7,"")</x:f>
      </x:c>
      <x:c r="D1360" s="7" t="str">
        <x:f>IF(ISNUMBER(C1360),C1360^2,"")</x:f>
      </x:c>
      <x:c r="E1360" s="15" t="str">
        <x:f>IF(ISNUMBER(C1360),C1360^3,"")</x:f>
      </x:c>
      <x:c r="F1360" s="15" t="str">
        <x:f>IF(ISNUMBER(C1360),C1360^4,"")</x:f>
      </x:c>
      <x:c r="G1360" s="7" t="str">
        <x:f>IF(ISNUMBER(B1360),ABS(B1360),"")</x:f>
      </x:c>
      <x:c r="H1360" s="7" t="str">
        <x:f>IF(ISNUMBER(B1360),B1360^2,"")</x:f>
      </x:c>
      <x:c r="I1360" s="7" t="str">
        <x:f>IF(AND(ISNUMBER(G1360),'요약'!$B$19),G1360-'요약'!$B$14,"")</x:f>
      </x:c>
      <x:c r="J1360" s="7" t="str">
        <x:f>IF(AND(ISNUMBER(H1360),'요약'!$B$19),H1360-'요약'!$B$15,"")</x:f>
      </x:c>
      <x:c r="K1360" t="str">
        <x:f>IF(ISNUMBER(B1360),IF('Hill'!$B$4=1,IF(B1360&lt;0,-B1360,""),IF('Hill'!$B$4=2,IF(B1360&gt;0,B1360,""),IF('Hill'!$B$4=3,IF(B1360&lt;&gt;0,ABS(B1360),""),""))),"")</x:f>
      </x:c>
    </x:row>
    <x:row r="1361">
      <x:c r="A1361" t="n">
        <x:f>1360</x:f>
        <x:v>1360</x:v>
      </x:c>
      <x:c r="B1361" s="7" t="str">
        <x:f>IF('요약'!$B$4=4,IF(ISNUMBER('input'!A1361),'input'!A1361,""),IF(1360&lt;=1000,CHOOSE('요약'!$B$4,'input'!B1361,'input'!C1361,'input'!D1361),""))</x:f>
      </x:c>
      <x:c r="C1361" s="7" t="str">
        <x:f>IF(AND(ISNUMBER(B1361),'요약'!$B$19),B1361-'요약'!$B$7,"")</x:f>
      </x:c>
      <x:c r="D1361" s="7" t="str">
        <x:f>IF(ISNUMBER(C1361),C1361^2,"")</x:f>
      </x:c>
      <x:c r="E1361" s="15" t="str">
        <x:f>IF(ISNUMBER(C1361),C1361^3,"")</x:f>
      </x:c>
      <x:c r="F1361" s="15" t="str">
        <x:f>IF(ISNUMBER(C1361),C1361^4,"")</x:f>
      </x:c>
      <x:c r="G1361" s="7" t="str">
        <x:f>IF(ISNUMBER(B1361),ABS(B1361),"")</x:f>
      </x:c>
      <x:c r="H1361" s="7" t="str">
        <x:f>IF(ISNUMBER(B1361),B1361^2,"")</x:f>
      </x:c>
      <x:c r="I1361" s="7" t="str">
        <x:f>IF(AND(ISNUMBER(G1361),'요약'!$B$19),G1361-'요약'!$B$14,"")</x:f>
      </x:c>
      <x:c r="J1361" s="7" t="str">
        <x:f>IF(AND(ISNUMBER(H1361),'요약'!$B$19),H1361-'요약'!$B$15,"")</x:f>
      </x:c>
      <x:c r="K1361" t="str">
        <x:f>IF(ISNUMBER(B1361),IF('Hill'!$B$4=1,IF(B1361&lt;0,-B1361,""),IF('Hill'!$B$4=2,IF(B1361&gt;0,B1361,""),IF('Hill'!$B$4=3,IF(B1361&lt;&gt;0,ABS(B1361),""),""))),"")</x:f>
      </x:c>
    </x:row>
    <x:row r="1362">
      <x:c r="A1362" t="n">
        <x:f>1361</x:f>
        <x:v>1361</x:v>
      </x:c>
      <x:c r="B1362" s="7" t="str">
        <x:f>IF('요약'!$B$4=4,IF(ISNUMBER('input'!A1362),'input'!A1362,""),IF(1361&lt;=1000,CHOOSE('요약'!$B$4,'input'!B1362,'input'!C1362,'input'!D1362),""))</x:f>
      </x:c>
      <x:c r="C1362" s="7" t="str">
        <x:f>IF(AND(ISNUMBER(B1362),'요약'!$B$19),B1362-'요약'!$B$7,"")</x:f>
      </x:c>
      <x:c r="D1362" s="7" t="str">
        <x:f>IF(ISNUMBER(C1362),C1362^2,"")</x:f>
      </x:c>
      <x:c r="E1362" s="15" t="str">
        <x:f>IF(ISNUMBER(C1362),C1362^3,"")</x:f>
      </x:c>
      <x:c r="F1362" s="15" t="str">
        <x:f>IF(ISNUMBER(C1362),C1362^4,"")</x:f>
      </x:c>
      <x:c r="G1362" s="7" t="str">
        <x:f>IF(ISNUMBER(B1362),ABS(B1362),"")</x:f>
      </x:c>
      <x:c r="H1362" s="7" t="str">
        <x:f>IF(ISNUMBER(B1362),B1362^2,"")</x:f>
      </x:c>
      <x:c r="I1362" s="7" t="str">
        <x:f>IF(AND(ISNUMBER(G1362),'요약'!$B$19),G1362-'요약'!$B$14,"")</x:f>
      </x:c>
      <x:c r="J1362" s="7" t="str">
        <x:f>IF(AND(ISNUMBER(H1362),'요약'!$B$19),H1362-'요약'!$B$15,"")</x:f>
      </x:c>
      <x:c r="K1362" t="str">
        <x:f>IF(ISNUMBER(B1362),IF('Hill'!$B$4=1,IF(B1362&lt;0,-B1362,""),IF('Hill'!$B$4=2,IF(B1362&gt;0,B1362,""),IF('Hill'!$B$4=3,IF(B1362&lt;&gt;0,ABS(B1362),""),""))),"")</x:f>
      </x:c>
    </x:row>
    <x:row r="1363">
      <x:c r="A1363" t="n">
        <x:f>1362</x:f>
        <x:v>1362</x:v>
      </x:c>
      <x:c r="B1363" s="7" t="str">
        <x:f>IF('요약'!$B$4=4,IF(ISNUMBER('input'!A1363),'input'!A1363,""),IF(1362&lt;=1000,CHOOSE('요약'!$B$4,'input'!B1363,'input'!C1363,'input'!D1363),""))</x:f>
      </x:c>
      <x:c r="C1363" s="7" t="str">
        <x:f>IF(AND(ISNUMBER(B1363),'요약'!$B$19),B1363-'요약'!$B$7,"")</x:f>
      </x:c>
      <x:c r="D1363" s="7" t="str">
        <x:f>IF(ISNUMBER(C1363),C1363^2,"")</x:f>
      </x:c>
      <x:c r="E1363" s="15" t="str">
        <x:f>IF(ISNUMBER(C1363),C1363^3,"")</x:f>
      </x:c>
      <x:c r="F1363" s="15" t="str">
        <x:f>IF(ISNUMBER(C1363),C1363^4,"")</x:f>
      </x:c>
      <x:c r="G1363" s="7" t="str">
        <x:f>IF(ISNUMBER(B1363),ABS(B1363),"")</x:f>
      </x:c>
      <x:c r="H1363" s="7" t="str">
        <x:f>IF(ISNUMBER(B1363),B1363^2,"")</x:f>
      </x:c>
      <x:c r="I1363" s="7" t="str">
        <x:f>IF(AND(ISNUMBER(G1363),'요약'!$B$19),G1363-'요약'!$B$14,"")</x:f>
      </x:c>
      <x:c r="J1363" s="7" t="str">
        <x:f>IF(AND(ISNUMBER(H1363),'요약'!$B$19),H1363-'요약'!$B$15,"")</x:f>
      </x:c>
      <x:c r="K1363" t="str">
        <x:f>IF(ISNUMBER(B1363),IF('Hill'!$B$4=1,IF(B1363&lt;0,-B1363,""),IF('Hill'!$B$4=2,IF(B1363&gt;0,B1363,""),IF('Hill'!$B$4=3,IF(B1363&lt;&gt;0,ABS(B1363),""),""))),"")</x:f>
      </x:c>
    </x:row>
    <x:row r="1364">
      <x:c r="A1364" t="n">
        <x:f>1363</x:f>
        <x:v>1363</x:v>
      </x:c>
      <x:c r="B1364" s="7" t="str">
        <x:f>IF('요약'!$B$4=4,IF(ISNUMBER('input'!A1364),'input'!A1364,""),IF(1363&lt;=1000,CHOOSE('요약'!$B$4,'input'!B1364,'input'!C1364,'input'!D1364),""))</x:f>
      </x:c>
      <x:c r="C1364" s="7" t="str">
        <x:f>IF(AND(ISNUMBER(B1364),'요약'!$B$19),B1364-'요약'!$B$7,"")</x:f>
      </x:c>
      <x:c r="D1364" s="7" t="str">
        <x:f>IF(ISNUMBER(C1364),C1364^2,"")</x:f>
      </x:c>
      <x:c r="E1364" s="15" t="str">
        <x:f>IF(ISNUMBER(C1364),C1364^3,"")</x:f>
      </x:c>
      <x:c r="F1364" s="15" t="str">
        <x:f>IF(ISNUMBER(C1364),C1364^4,"")</x:f>
      </x:c>
      <x:c r="G1364" s="7" t="str">
        <x:f>IF(ISNUMBER(B1364),ABS(B1364),"")</x:f>
      </x:c>
      <x:c r="H1364" s="7" t="str">
        <x:f>IF(ISNUMBER(B1364),B1364^2,"")</x:f>
      </x:c>
      <x:c r="I1364" s="7" t="str">
        <x:f>IF(AND(ISNUMBER(G1364),'요약'!$B$19),G1364-'요약'!$B$14,"")</x:f>
      </x:c>
      <x:c r="J1364" s="7" t="str">
        <x:f>IF(AND(ISNUMBER(H1364),'요약'!$B$19),H1364-'요약'!$B$15,"")</x:f>
      </x:c>
      <x:c r="K1364" t="str">
        <x:f>IF(ISNUMBER(B1364),IF('Hill'!$B$4=1,IF(B1364&lt;0,-B1364,""),IF('Hill'!$B$4=2,IF(B1364&gt;0,B1364,""),IF('Hill'!$B$4=3,IF(B1364&lt;&gt;0,ABS(B1364),""),""))),"")</x:f>
      </x:c>
    </x:row>
    <x:row r="1365">
      <x:c r="A1365" t="n">
        <x:f>1364</x:f>
        <x:v>1364</x:v>
      </x:c>
      <x:c r="B1365" s="7" t="str">
        <x:f>IF('요약'!$B$4=4,IF(ISNUMBER('input'!A1365),'input'!A1365,""),IF(1364&lt;=1000,CHOOSE('요약'!$B$4,'input'!B1365,'input'!C1365,'input'!D1365),""))</x:f>
      </x:c>
      <x:c r="C1365" s="7" t="str">
        <x:f>IF(AND(ISNUMBER(B1365),'요약'!$B$19),B1365-'요약'!$B$7,"")</x:f>
      </x:c>
      <x:c r="D1365" s="7" t="str">
        <x:f>IF(ISNUMBER(C1365),C1365^2,"")</x:f>
      </x:c>
      <x:c r="E1365" s="15" t="str">
        <x:f>IF(ISNUMBER(C1365),C1365^3,"")</x:f>
      </x:c>
      <x:c r="F1365" s="15" t="str">
        <x:f>IF(ISNUMBER(C1365),C1365^4,"")</x:f>
      </x:c>
      <x:c r="G1365" s="7" t="str">
        <x:f>IF(ISNUMBER(B1365),ABS(B1365),"")</x:f>
      </x:c>
      <x:c r="H1365" s="7" t="str">
        <x:f>IF(ISNUMBER(B1365),B1365^2,"")</x:f>
      </x:c>
      <x:c r="I1365" s="7" t="str">
        <x:f>IF(AND(ISNUMBER(G1365),'요약'!$B$19),G1365-'요약'!$B$14,"")</x:f>
      </x:c>
      <x:c r="J1365" s="7" t="str">
        <x:f>IF(AND(ISNUMBER(H1365),'요약'!$B$19),H1365-'요약'!$B$15,"")</x:f>
      </x:c>
      <x:c r="K1365" t="str">
        <x:f>IF(ISNUMBER(B1365),IF('Hill'!$B$4=1,IF(B1365&lt;0,-B1365,""),IF('Hill'!$B$4=2,IF(B1365&gt;0,B1365,""),IF('Hill'!$B$4=3,IF(B1365&lt;&gt;0,ABS(B1365),""),""))),"")</x:f>
      </x:c>
    </x:row>
    <x:row r="1366">
      <x:c r="A1366" t="n">
        <x:f>1365</x:f>
        <x:v>1365</x:v>
      </x:c>
      <x:c r="B1366" s="7" t="str">
        <x:f>IF('요약'!$B$4=4,IF(ISNUMBER('input'!A1366),'input'!A1366,""),IF(1365&lt;=1000,CHOOSE('요약'!$B$4,'input'!B1366,'input'!C1366,'input'!D1366),""))</x:f>
      </x:c>
      <x:c r="C1366" s="7" t="str">
        <x:f>IF(AND(ISNUMBER(B1366),'요약'!$B$19),B1366-'요약'!$B$7,"")</x:f>
      </x:c>
      <x:c r="D1366" s="7" t="str">
        <x:f>IF(ISNUMBER(C1366),C1366^2,"")</x:f>
      </x:c>
      <x:c r="E1366" s="15" t="str">
        <x:f>IF(ISNUMBER(C1366),C1366^3,"")</x:f>
      </x:c>
      <x:c r="F1366" s="15" t="str">
        <x:f>IF(ISNUMBER(C1366),C1366^4,"")</x:f>
      </x:c>
      <x:c r="G1366" s="7" t="str">
        <x:f>IF(ISNUMBER(B1366),ABS(B1366),"")</x:f>
      </x:c>
      <x:c r="H1366" s="7" t="str">
        <x:f>IF(ISNUMBER(B1366),B1366^2,"")</x:f>
      </x:c>
      <x:c r="I1366" s="7" t="str">
        <x:f>IF(AND(ISNUMBER(G1366),'요약'!$B$19),G1366-'요약'!$B$14,"")</x:f>
      </x:c>
      <x:c r="J1366" s="7" t="str">
        <x:f>IF(AND(ISNUMBER(H1366),'요약'!$B$19),H1366-'요약'!$B$15,"")</x:f>
      </x:c>
      <x:c r="K1366" t="str">
        <x:f>IF(ISNUMBER(B1366),IF('Hill'!$B$4=1,IF(B1366&lt;0,-B1366,""),IF('Hill'!$B$4=2,IF(B1366&gt;0,B1366,""),IF('Hill'!$B$4=3,IF(B1366&lt;&gt;0,ABS(B1366),""),""))),"")</x:f>
      </x:c>
    </x:row>
    <x:row r="1367">
      <x:c r="A1367" t="n">
        <x:f>1366</x:f>
        <x:v>1366</x:v>
      </x:c>
      <x:c r="B1367" s="7" t="str">
        <x:f>IF('요약'!$B$4=4,IF(ISNUMBER('input'!A1367),'input'!A1367,""),IF(1366&lt;=1000,CHOOSE('요약'!$B$4,'input'!B1367,'input'!C1367,'input'!D1367),""))</x:f>
      </x:c>
      <x:c r="C1367" s="7" t="str">
        <x:f>IF(AND(ISNUMBER(B1367),'요약'!$B$19),B1367-'요약'!$B$7,"")</x:f>
      </x:c>
      <x:c r="D1367" s="7" t="str">
        <x:f>IF(ISNUMBER(C1367),C1367^2,"")</x:f>
      </x:c>
      <x:c r="E1367" s="15" t="str">
        <x:f>IF(ISNUMBER(C1367),C1367^3,"")</x:f>
      </x:c>
      <x:c r="F1367" s="15" t="str">
        <x:f>IF(ISNUMBER(C1367),C1367^4,"")</x:f>
      </x:c>
      <x:c r="G1367" s="7" t="str">
        <x:f>IF(ISNUMBER(B1367),ABS(B1367),"")</x:f>
      </x:c>
      <x:c r="H1367" s="7" t="str">
        <x:f>IF(ISNUMBER(B1367),B1367^2,"")</x:f>
      </x:c>
      <x:c r="I1367" s="7" t="str">
        <x:f>IF(AND(ISNUMBER(G1367),'요약'!$B$19),G1367-'요약'!$B$14,"")</x:f>
      </x:c>
      <x:c r="J1367" s="7" t="str">
        <x:f>IF(AND(ISNUMBER(H1367),'요약'!$B$19),H1367-'요약'!$B$15,"")</x:f>
      </x:c>
      <x:c r="K1367" t="str">
        <x:f>IF(ISNUMBER(B1367),IF('Hill'!$B$4=1,IF(B1367&lt;0,-B1367,""),IF('Hill'!$B$4=2,IF(B1367&gt;0,B1367,""),IF('Hill'!$B$4=3,IF(B1367&lt;&gt;0,ABS(B1367),""),""))),"")</x:f>
      </x:c>
    </x:row>
    <x:row r="1368">
      <x:c r="A1368" t="n">
        <x:f>1367</x:f>
        <x:v>1367</x:v>
      </x:c>
      <x:c r="B1368" s="7" t="str">
        <x:f>IF('요약'!$B$4=4,IF(ISNUMBER('input'!A1368),'input'!A1368,""),IF(1367&lt;=1000,CHOOSE('요약'!$B$4,'input'!B1368,'input'!C1368,'input'!D1368),""))</x:f>
      </x:c>
      <x:c r="C1368" s="7" t="str">
        <x:f>IF(AND(ISNUMBER(B1368),'요약'!$B$19),B1368-'요약'!$B$7,"")</x:f>
      </x:c>
      <x:c r="D1368" s="7" t="str">
        <x:f>IF(ISNUMBER(C1368),C1368^2,"")</x:f>
      </x:c>
      <x:c r="E1368" s="15" t="str">
        <x:f>IF(ISNUMBER(C1368),C1368^3,"")</x:f>
      </x:c>
      <x:c r="F1368" s="15" t="str">
        <x:f>IF(ISNUMBER(C1368),C1368^4,"")</x:f>
      </x:c>
      <x:c r="G1368" s="7" t="str">
        <x:f>IF(ISNUMBER(B1368),ABS(B1368),"")</x:f>
      </x:c>
      <x:c r="H1368" s="7" t="str">
        <x:f>IF(ISNUMBER(B1368),B1368^2,"")</x:f>
      </x:c>
      <x:c r="I1368" s="7" t="str">
        <x:f>IF(AND(ISNUMBER(G1368),'요약'!$B$19),G1368-'요약'!$B$14,"")</x:f>
      </x:c>
      <x:c r="J1368" s="7" t="str">
        <x:f>IF(AND(ISNUMBER(H1368),'요약'!$B$19),H1368-'요약'!$B$15,"")</x:f>
      </x:c>
      <x:c r="K1368" t="str">
        <x:f>IF(ISNUMBER(B1368),IF('Hill'!$B$4=1,IF(B1368&lt;0,-B1368,""),IF('Hill'!$B$4=2,IF(B1368&gt;0,B1368,""),IF('Hill'!$B$4=3,IF(B1368&lt;&gt;0,ABS(B1368),""),""))),"")</x:f>
      </x:c>
    </x:row>
    <x:row r="1369">
      <x:c r="A1369" t="n">
        <x:f>1368</x:f>
        <x:v>1368</x:v>
      </x:c>
      <x:c r="B1369" s="7" t="str">
        <x:f>IF('요약'!$B$4=4,IF(ISNUMBER('input'!A1369),'input'!A1369,""),IF(1368&lt;=1000,CHOOSE('요약'!$B$4,'input'!B1369,'input'!C1369,'input'!D1369),""))</x:f>
      </x:c>
      <x:c r="C1369" s="7" t="str">
        <x:f>IF(AND(ISNUMBER(B1369),'요약'!$B$19),B1369-'요약'!$B$7,"")</x:f>
      </x:c>
      <x:c r="D1369" s="7" t="str">
        <x:f>IF(ISNUMBER(C1369),C1369^2,"")</x:f>
      </x:c>
      <x:c r="E1369" s="15" t="str">
        <x:f>IF(ISNUMBER(C1369),C1369^3,"")</x:f>
      </x:c>
      <x:c r="F1369" s="15" t="str">
        <x:f>IF(ISNUMBER(C1369),C1369^4,"")</x:f>
      </x:c>
      <x:c r="G1369" s="7" t="str">
        <x:f>IF(ISNUMBER(B1369),ABS(B1369),"")</x:f>
      </x:c>
      <x:c r="H1369" s="7" t="str">
        <x:f>IF(ISNUMBER(B1369),B1369^2,"")</x:f>
      </x:c>
      <x:c r="I1369" s="7" t="str">
        <x:f>IF(AND(ISNUMBER(G1369),'요약'!$B$19),G1369-'요약'!$B$14,"")</x:f>
      </x:c>
      <x:c r="J1369" s="7" t="str">
        <x:f>IF(AND(ISNUMBER(H1369),'요약'!$B$19),H1369-'요약'!$B$15,"")</x:f>
      </x:c>
      <x:c r="K1369" t="str">
        <x:f>IF(ISNUMBER(B1369),IF('Hill'!$B$4=1,IF(B1369&lt;0,-B1369,""),IF('Hill'!$B$4=2,IF(B1369&gt;0,B1369,""),IF('Hill'!$B$4=3,IF(B1369&lt;&gt;0,ABS(B1369),""),""))),"")</x:f>
      </x:c>
    </x:row>
    <x:row r="1370">
      <x:c r="A1370" t="n">
        <x:f>1369</x:f>
        <x:v>1369</x:v>
      </x:c>
      <x:c r="B1370" s="7" t="str">
        <x:f>IF('요약'!$B$4=4,IF(ISNUMBER('input'!A1370),'input'!A1370,""),IF(1369&lt;=1000,CHOOSE('요약'!$B$4,'input'!B1370,'input'!C1370,'input'!D1370),""))</x:f>
      </x:c>
      <x:c r="C1370" s="7" t="str">
        <x:f>IF(AND(ISNUMBER(B1370),'요약'!$B$19),B1370-'요약'!$B$7,"")</x:f>
      </x:c>
      <x:c r="D1370" s="7" t="str">
        <x:f>IF(ISNUMBER(C1370),C1370^2,"")</x:f>
      </x:c>
      <x:c r="E1370" s="15" t="str">
        <x:f>IF(ISNUMBER(C1370),C1370^3,"")</x:f>
      </x:c>
      <x:c r="F1370" s="15" t="str">
        <x:f>IF(ISNUMBER(C1370),C1370^4,"")</x:f>
      </x:c>
      <x:c r="G1370" s="7" t="str">
        <x:f>IF(ISNUMBER(B1370),ABS(B1370),"")</x:f>
      </x:c>
      <x:c r="H1370" s="7" t="str">
        <x:f>IF(ISNUMBER(B1370),B1370^2,"")</x:f>
      </x:c>
      <x:c r="I1370" s="7" t="str">
        <x:f>IF(AND(ISNUMBER(G1370),'요약'!$B$19),G1370-'요약'!$B$14,"")</x:f>
      </x:c>
      <x:c r="J1370" s="7" t="str">
        <x:f>IF(AND(ISNUMBER(H1370),'요약'!$B$19),H1370-'요약'!$B$15,"")</x:f>
      </x:c>
      <x:c r="K1370" t="str">
        <x:f>IF(ISNUMBER(B1370),IF('Hill'!$B$4=1,IF(B1370&lt;0,-B1370,""),IF('Hill'!$B$4=2,IF(B1370&gt;0,B1370,""),IF('Hill'!$B$4=3,IF(B1370&lt;&gt;0,ABS(B1370),""),""))),"")</x:f>
      </x:c>
    </x:row>
    <x:row r="1371">
      <x:c r="A1371" t="n">
        <x:f>1370</x:f>
        <x:v>1370</x:v>
      </x:c>
      <x:c r="B1371" s="7" t="str">
        <x:f>IF('요약'!$B$4=4,IF(ISNUMBER('input'!A1371),'input'!A1371,""),IF(1370&lt;=1000,CHOOSE('요약'!$B$4,'input'!B1371,'input'!C1371,'input'!D1371),""))</x:f>
      </x:c>
      <x:c r="C1371" s="7" t="str">
        <x:f>IF(AND(ISNUMBER(B1371),'요약'!$B$19),B1371-'요약'!$B$7,"")</x:f>
      </x:c>
      <x:c r="D1371" s="7" t="str">
        <x:f>IF(ISNUMBER(C1371),C1371^2,"")</x:f>
      </x:c>
      <x:c r="E1371" s="15" t="str">
        <x:f>IF(ISNUMBER(C1371),C1371^3,"")</x:f>
      </x:c>
      <x:c r="F1371" s="15" t="str">
        <x:f>IF(ISNUMBER(C1371),C1371^4,"")</x:f>
      </x:c>
      <x:c r="G1371" s="7" t="str">
        <x:f>IF(ISNUMBER(B1371),ABS(B1371),"")</x:f>
      </x:c>
      <x:c r="H1371" s="7" t="str">
        <x:f>IF(ISNUMBER(B1371),B1371^2,"")</x:f>
      </x:c>
      <x:c r="I1371" s="7" t="str">
        <x:f>IF(AND(ISNUMBER(G1371),'요약'!$B$19),G1371-'요약'!$B$14,"")</x:f>
      </x:c>
      <x:c r="J1371" s="7" t="str">
        <x:f>IF(AND(ISNUMBER(H1371),'요약'!$B$19),H1371-'요약'!$B$15,"")</x:f>
      </x:c>
      <x:c r="K1371" t="str">
        <x:f>IF(ISNUMBER(B1371),IF('Hill'!$B$4=1,IF(B1371&lt;0,-B1371,""),IF('Hill'!$B$4=2,IF(B1371&gt;0,B1371,""),IF('Hill'!$B$4=3,IF(B1371&lt;&gt;0,ABS(B1371),""),""))),"")</x:f>
      </x:c>
    </x:row>
    <x:row r="1372">
      <x:c r="A1372" t="n">
        <x:f>1371</x:f>
        <x:v>1371</x:v>
      </x:c>
      <x:c r="B1372" s="7" t="str">
        <x:f>IF('요약'!$B$4=4,IF(ISNUMBER('input'!A1372),'input'!A1372,""),IF(1371&lt;=1000,CHOOSE('요약'!$B$4,'input'!B1372,'input'!C1372,'input'!D1372),""))</x:f>
      </x:c>
      <x:c r="C1372" s="7" t="str">
        <x:f>IF(AND(ISNUMBER(B1372),'요약'!$B$19),B1372-'요약'!$B$7,"")</x:f>
      </x:c>
      <x:c r="D1372" s="7" t="str">
        <x:f>IF(ISNUMBER(C1372),C1372^2,"")</x:f>
      </x:c>
      <x:c r="E1372" s="15" t="str">
        <x:f>IF(ISNUMBER(C1372),C1372^3,"")</x:f>
      </x:c>
      <x:c r="F1372" s="15" t="str">
        <x:f>IF(ISNUMBER(C1372),C1372^4,"")</x:f>
      </x:c>
      <x:c r="G1372" s="7" t="str">
        <x:f>IF(ISNUMBER(B1372),ABS(B1372),"")</x:f>
      </x:c>
      <x:c r="H1372" s="7" t="str">
        <x:f>IF(ISNUMBER(B1372),B1372^2,"")</x:f>
      </x:c>
      <x:c r="I1372" s="7" t="str">
        <x:f>IF(AND(ISNUMBER(G1372),'요약'!$B$19),G1372-'요약'!$B$14,"")</x:f>
      </x:c>
      <x:c r="J1372" s="7" t="str">
        <x:f>IF(AND(ISNUMBER(H1372),'요약'!$B$19),H1372-'요약'!$B$15,"")</x:f>
      </x:c>
      <x:c r="K1372" t="str">
        <x:f>IF(ISNUMBER(B1372),IF('Hill'!$B$4=1,IF(B1372&lt;0,-B1372,""),IF('Hill'!$B$4=2,IF(B1372&gt;0,B1372,""),IF('Hill'!$B$4=3,IF(B1372&lt;&gt;0,ABS(B1372),""),""))),"")</x:f>
      </x:c>
    </x:row>
    <x:row r="1373">
      <x:c r="A1373" t="n">
        <x:f>1372</x:f>
        <x:v>1372</x:v>
      </x:c>
      <x:c r="B1373" s="7" t="str">
        <x:f>IF('요약'!$B$4=4,IF(ISNUMBER('input'!A1373),'input'!A1373,""),IF(1372&lt;=1000,CHOOSE('요약'!$B$4,'input'!B1373,'input'!C1373,'input'!D1373),""))</x:f>
      </x:c>
      <x:c r="C1373" s="7" t="str">
        <x:f>IF(AND(ISNUMBER(B1373),'요약'!$B$19),B1373-'요약'!$B$7,"")</x:f>
      </x:c>
      <x:c r="D1373" s="7" t="str">
        <x:f>IF(ISNUMBER(C1373),C1373^2,"")</x:f>
      </x:c>
      <x:c r="E1373" s="15" t="str">
        <x:f>IF(ISNUMBER(C1373),C1373^3,"")</x:f>
      </x:c>
      <x:c r="F1373" s="15" t="str">
        <x:f>IF(ISNUMBER(C1373),C1373^4,"")</x:f>
      </x:c>
      <x:c r="G1373" s="7" t="str">
        <x:f>IF(ISNUMBER(B1373),ABS(B1373),"")</x:f>
      </x:c>
      <x:c r="H1373" s="7" t="str">
        <x:f>IF(ISNUMBER(B1373),B1373^2,"")</x:f>
      </x:c>
      <x:c r="I1373" s="7" t="str">
        <x:f>IF(AND(ISNUMBER(G1373),'요약'!$B$19),G1373-'요약'!$B$14,"")</x:f>
      </x:c>
      <x:c r="J1373" s="7" t="str">
        <x:f>IF(AND(ISNUMBER(H1373),'요약'!$B$19),H1373-'요약'!$B$15,"")</x:f>
      </x:c>
      <x:c r="K1373" t="str">
        <x:f>IF(ISNUMBER(B1373),IF('Hill'!$B$4=1,IF(B1373&lt;0,-B1373,""),IF('Hill'!$B$4=2,IF(B1373&gt;0,B1373,""),IF('Hill'!$B$4=3,IF(B1373&lt;&gt;0,ABS(B1373),""),""))),"")</x:f>
      </x:c>
    </x:row>
    <x:row r="1374">
      <x:c r="A1374" t="n">
        <x:f>1373</x:f>
        <x:v>1373</x:v>
      </x:c>
      <x:c r="B1374" s="7" t="str">
        <x:f>IF('요약'!$B$4=4,IF(ISNUMBER('input'!A1374),'input'!A1374,""),IF(1373&lt;=1000,CHOOSE('요약'!$B$4,'input'!B1374,'input'!C1374,'input'!D1374),""))</x:f>
      </x:c>
      <x:c r="C1374" s="7" t="str">
        <x:f>IF(AND(ISNUMBER(B1374),'요약'!$B$19),B1374-'요약'!$B$7,"")</x:f>
      </x:c>
      <x:c r="D1374" s="7" t="str">
        <x:f>IF(ISNUMBER(C1374),C1374^2,"")</x:f>
      </x:c>
      <x:c r="E1374" s="15" t="str">
        <x:f>IF(ISNUMBER(C1374),C1374^3,"")</x:f>
      </x:c>
      <x:c r="F1374" s="15" t="str">
        <x:f>IF(ISNUMBER(C1374),C1374^4,"")</x:f>
      </x:c>
      <x:c r="G1374" s="7" t="str">
        <x:f>IF(ISNUMBER(B1374),ABS(B1374),"")</x:f>
      </x:c>
      <x:c r="H1374" s="7" t="str">
        <x:f>IF(ISNUMBER(B1374),B1374^2,"")</x:f>
      </x:c>
      <x:c r="I1374" s="7" t="str">
        <x:f>IF(AND(ISNUMBER(G1374),'요약'!$B$19),G1374-'요약'!$B$14,"")</x:f>
      </x:c>
      <x:c r="J1374" s="7" t="str">
        <x:f>IF(AND(ISNUMBER(H1374),'요약'!$B$19),H1374-'요약'!$B$15,"")</x:f>
      </x:c>
      <x:c r="K1374" t="str">
        <x:f>IF(ISNUMBER(B1374),IF('Hill'!$B$4=1,IF(B1374&lt;0,-B1374,""),IF('Hill'!$B$4=2,IF(B1374&gt;0,B1374,""),IF('Hill'!$B$4=3,IF(B1374&lt;&gt;0,ABS(B1374),""),""))),"")</x:f>
      </x:c>
    </x:row>
    <x:row r="1375">
      <x:c r="A1375" t="n">
        <x:f>1374</x:f>
        <x:v>1374</x:v>
      </x:c>
      <x:c r="B1375" s="7" t="str">
        <x:f>IF('요약'!$B$4=4,IF(ISNUMBER('input'!A1375),'input'!A1375,""),IF(1374&lt;=1000,CHOOSE('요약'!$B$4,'input'!B1375,'input'!C1375,'input'!D1375),""))</x:f>
      </x:c>
      <x:c r="C1375" s="7" t="str">
        <x:f>IF(AND(ISNUMBER(B1375),'요약'!$B$19),B1375-'요약'!$B$7,"")</x:f>
      </x:c>
      <x:c r="D1375" s="7" t="str">
        <x:f>IF(ISNUMBER(C1375),C1375^2,"")</x:f>
      </x:c>
      <x:c r="E1375" s="15" t="str">
        <x:f>IF(ISNUMBER(C1375),C1375^3,"")</x:f>
      </x:c>
      <x:c r="F1375" s="15" t="str">
        <x:f>IF(ISNUMBER(C1375),C1375^4,"")</x:f>
      </x:c>
      <x:c r="G1375" s="7" t="str">
        <x:f>IF(ISNUMBER(B1375),ABS(B1375),"")</x:f>
      </x:c>
      <x:c r="H1375" s="7" t="str">
        <x:f>IF(ISNUMBER(B1375),B1375^2,"")</x:f>
      </x:c>
      <x:c r="I1375" s="7" t="str">
        <x:f>IF(AND(ISNUMBER(G1375),'요약'!$B$19),G1375-'요약'!$B$14,"")</x:f>
      </x:c>
      <x:c r="J1375" s="7" t="str">
        <x:f>IF(AND(ISNUMBER(H1375),'요약'!$B$19),H1375-'요약'!$B$15,"")</x:f>
      </x:c>
      <x:c r="K1375" t="str">
        <x:f>IF(ISNUMBER(B1375),IF('Hill'!$B$4=1,IF(B1375&lt;0,-B1375,""),IF('Hill'!$B$4=2,IF(B1375&gt;0,B1375,""),IF('Hill'!$B$4=3,IF(B1375&lt;&gt;0,ABS(B1375),""),""))),"")</x:f>
      </x:c>
    </x:row>
    <x:row r="1376">
      <x:c r="A1376" t="n">
        <x:f>1375</x:f>
        <x:v>1375</x:v>
      </x:c>
      <x:c r="B1376" s="7" t="str">
        <x:f>IF('요약'!$B$4=4,IF(ISNUMBER('input'!A1376),'input'!A1376,""),IF(1375&lt;=1000,CHOOSE('요약'!$B$4,'input'!B1376,'input'!C1376,'input'!D1376),""))</x:f>
      </x:c>
      <x:c r="C1376" s="7" t="str">
        <x:f>IF(AND(ISNUMBER(B1376),'요약'!$B$19),B1376-'요약'!$B$7,"")</x:f>
      </x:c>
      <x:c r="D1376" s="7" t="str">
        <x:f>IF(ISNUMBER(C1376),C1376^2,"")</x:f>
      </x:c>
      <x:c r="E1376" s="15" t="str">
        <x:f>IF(ISNUMBER(C1376),C1376^3,"")</x:f>
      </x:c>
      <x:c r="F1376" s="15" t="str">
        <x:f>IF(ISNUMBER(C1376),C1376^4,"")</x:f>
      </x:c>
      <x:c r="G1376" s="7" t="str">
        <x:f>IF(ISNUMBER(B1376),ABS(B1376),"")</x:f>
      </x:c>
      <x:c r="H1376" s="7" t="str">
        <x:f>IF(ISNUMBER(B1376),B1376^2,"")</x:f>
      </x:c>
      <x:c r="I1376" s="7" t="str">
        <x:f>IF(AND(ISNUMBER(G1376),'요약'!$B$19),G1376-'요약'!$B$14,"")</x:f>
      </x:c>
      <x:c r="J1376" s="7" t="str">
        <x:f>IF(AND(ISNUMBER(H1376),'요약'!$B$19),H1376-'요약'!$B$15,"")</x:f>
      </x:c>
      <x:c r="K1376" t="str">
        <x:f>IF(ISNUMBER(B1376),IF('Hill'!$B$4=1,IF(B1376&lt;0,-B1376,""),IF('Hill'!$B$4=2,IF(B1376&gt;0,B1376,""),IF('Hill'!$B$4=3,IF(B1376&lt;&gt;0,ABS(B1376),""),""))),"")</x:f>
      </x:c>
    </x:row>
    <x:row r="1377">
      <x:c r="A1377" t="n">
        <x:f>1376</x:f>
        <x:v>1376</x:v>
      </x:c>
      <x:c r="B1377" s="7" t="str">
        <x:f>IF('요약'!$B$4=4,IF(ISNUMBER('input'!A1377),'input'!A1377,""),IF(1376&lt;=1000,CHOOSE('요약'!$B$4,'input'!B1377,'input'!C1377,'input'!D1377),""))</x:f>
      </x:c>
      <x:c r="C1377" s="7" t="str">
        <x:f>IF(AND(ISNUMBER(B1377),'요약'!$B$19),B1377-'요약'!$B$7,"")</x:f>
      </x:c>
      <x:c r="D1377" s="7" t="str">
        <x:f>IF(ISNUMBER(C1377),C1377^2,"")</x:f>
      </x:c>
      <x:c r="E1377" s="15" t="str">
        <x:f>IF(ISNUMBER(C1377),C1377^3,"")</x:f>
      </x:c>
      <x:c r="F1377" s="15" t="str">
        <x:f>IF(ISNUMBER(C1377),C1377^4,"")</x:f>
      </x:c>
      <x:c r="G1377" s="7" t="str">
        <x:f>IF(ISNUMBER(B1377),ABS(B1377),"")</x:f>
      </x:c>
      <x:c r="H1377" s="7" t="str">
        <x:f>IF(ISNUMBER(B1377),B1377^2,"")</x:f>
      </x:c>
      <x:c r="I1377" s="7" t="str">
        <x:f>IF(AND(ISNUMBER(G1377),'요약'!$B$19),G1377-'요약'!$B$14,"")</x:f>
      </x:c>
      <x:c r="J1377" s="7" t="str">
        <x:f>IF(AND(ISNUMBER(H1377),'요약'!$B$19),H1377-'요약'!$B$15,"")</x:f>
      </x:c>
      <x:c r="K1377" t="str">
        <x:f>IF(ISNUMBER(B1377),IF('Hill'!$B$4=1,IF(B1377&lt;0,-B1377,""),IF('Hill'!$B$4=2,IF(B1377&gt;0,B1377,""),IF('Hill'!$B$4=3,IF(B1377&lt;&gt;0,ABS(B1377),""),""))),"")</x:f>
      </x:c>
    </x:row>
    <x:row r="1378">
      <x:c r="A1378" t="n">
        <x:f>1377</x:f>
        <x:v>1377</x:v>
      </x:c>
      <x:c r="B1378" s="7" t="str">
        <x:f>IF('요약'!$B$4=4,IF(ISNUMBER('input'!A1378),'input'!A1378,""),IF(1377&lt;=1000,CHOOSE('요약'!$B$4,'input'!B1378,'input'!C1378,'input'!D1378),""))</x:f>
      </x:c>
      <x:c r="C1378" s="7" t="str">
        <x:f>IF(AND(ISNUMBER(B1378),'요약'!$B$19),B1378-'요약'!$B$7,"")</x:f>
      </x:c>
      <x:c r="D1378" s="7" t="str">
        <x:f>IF(ISNUMBER(C1378),C1378^2,"")</x:f>
      </x:c>
      <x:c r="E1378" s="15" t="str">
        <x:f>IF(ISNUMBER(C1378),C1378^3,"")</x:f>
      </x:c>
      <x:c r="F1378" s="15" t="str">
        <x:f>IF(ISNUMBER(C1378),C1378^4,"")</x:f>
      </x:c>
      <x:c r="G1378" s="7" t="str">
        <x:f>IF(ISNUMBER(B1378),ABS(B1378),"")</x:f>
      </x:c>
      <x:c r="H1378" s="7" t="str">
        <x:f>IF(ISNUMBER(B1378),B1378^2,"")</x:f>
      </x:c>
      <x:c r="I1378" s="7" t="str">
        <x:f>IF(AND(ISNUMBER(G1378),'요약'!$B$19),G1378-'요약'!$B$14,"")</x:f>
      </x:c>
      <x:c r="J1378" s="7" t="str">
        <x:f>IF(AND(ISNUMBER(H1378),'요약'!$B$19),H1378-'요약'!$B$15,"")</x:f>
      </x:c>
      <x:c r="K1378" t="str">
        <x:f>IF(ISNUMBER(B1378),IF('Hill'!$B$4=1,IF(B1378&lt;0,-B1378,""),IF('Hill'!$B$4=2,IF(B1378&gt;0,B1378,""),IF('Hill'!$B$4=3,IF(B1378&lt;&gt;0,ABS(B1378),""),""))),"")</x:f>
      </x:c>
    </x:row>
    <x:row r="1379">
      <x:c r="A1379" t="n">
        <x:f>1378</x:f>
        <x:v>1378</x:v>
      </x:c>
      <x:c r="B1379" s="7" t="str">
        <x:f>IF('요약'!$B$4=4,IF(ISNUMBER('input'!A1379),'input'!A1379,""),IF(1378&lt;=1000,CHOOSE('요약'!$B$4,'input'!B1379,'input'!C1379,'input'!D1379),""))</x:f>
      </x:c>
      <x:c r="C1379" s="7" t="str">
        <x:f>IF(AND(ISNUMBER(B1379),'요약'!$B$19),B1379-'요약'!$B$7,"")</x:f>
      </x:c>
      <x:c r="D1379" s="7" t="str">
        <x:f>IF(ISNUMBER(C1379),C1379^2,"")</x:f>
      </x:c>
      <x:c r="E1379" s="15" t="str">
        <x:f>IF(ISNUMBER(C1379),C1379^3,"")</x:f>
      </x:c>
      <x:c r="F1379" s="15" t="str">
        <x:f>IF(ISNUMBER(C1379),C1379^4,"")</x:f>
      </x:c>
      <x:c r="G1379" s="7" t="str">
        <x:f>IF(ISNUMBER(B1379),ABS(B1379),"")</x:f>
      </x:c>
      <x:c r="H1379" s="7" t="str">
        <x:f>IF(ISNUMBER(B1379),B1379^2,"")</x:f>
      </x:c>
      <x:c r="I1379" s="7" t="str">
        <x:f>IF(AND(ISNUMBER(G1379),'요약'!$B$19),G1379-'요약'!$B$14,"")</x:f>
      </x:c>
      <x:c r="J1379" s="7" t="str">
        <x:f>IF(AND(ISNUMBER(H1379),'요약'!$B$19),H1379-'요약'!$B$15,"")</x:f>
      </x:c>
      <x:c r="K1379" t="str">
        <x:f>IF(ISNUMBER(B1379),IF('Hill'!$B$4=1,IF(B1379&lt;0,-B1379,""),IF('Hill'!$B$4=2,IF(B1379&gt;0,B1379,""),IF('Hill'!$B$4=3,IF(B1379&lt;&gt;0,ABS(B1379),""),""))),"")</x:f>
      </x:c>
    </x:row>
    <x:row r="1380">
      <x:c r="A1380" t="n">
        <x:f>1379</x:f>
        <x:v>1379</x:v>
      </x:c>
      <x:c r="B1380" s="7" t="str">
        <x:f>IF('요약'!$B$4=4,IF(ISNUMBER('input'!A1380),'input'!A1380,""),IF(1379&lt;=1000,CHOOSE('요약'!$B$4,'input'!B1380,'input'!C1380,'input'!D1380),""))</x:f>
      </x:c>
      <x:c r="C1380" s="7" t="str">
        <x:f>IF(AND(ISNUMBER(B1380),'요약'!$B$19),B1380-'요약'!$B$7,"")</x:f>
      </x:c>
      <x:c r="D1380" s="7" t="str">
        <x:f>IF(ISNUMBER(C1380),C1380^2,"")</x:f>
      </x:c>
      <x:c r="E1380" s="15" t="str">
        <x:f>IF(ISNUMBER(C1380),C1380^3,"")</x:f>
      </x:c>
      <x:c r="F1380" s="15" t="str">
        <x:f>IF(ISNUMBER(C1380),C1380^4,"")</x:f>
      </x:c>
      <x:c r="G1380" s="7" t="str">
        <x:f>IF(ISNUMBER(B1380),ABS(B1380),"")</x:f>
      </x:c>
      <x:c r="H1380" s="7" t="str">
        <x:f>IF(ISNUMBER(B1380),B1380^2,"")</x:f>
      </x:c>
      <x:c r="I1380" s="7" t="str">
        <x:f>IF(AND(ISNUMBER(G1380),'요약'!$B$19),G1380-'요약'!$B$14,"")</x:f>
      </x:c>
      <x:c r="J1380" s="7" t="str">
        <x:f>IF(AND(ISNUMBER(H1380),'요약'!$B$19),H1380-'요약'!$B$15,"")</x:f>
      </x:c>
      <x:c r="K1380" t="str">
        <x:f>IF(ISNUMBER(B1380),IF('Hill'!$B$4=1,IF(B1380&lt;0,-B1380,""),IF('Hill'!$B$4=2,IF(B1380&gt;0,B1380,""),IF('Hill'!$B$4=3,IF(B1380&lt;&gt;0,ABS(B1380),""),""))),"")</x:f>
      </x:c>
    </x:row>
    <x:row r="1381">
      <x:c r="A1381" t="n">
        <x:f>1380</x:f>
        <x:v>1380</x:v>
      </x:c>
      <x:c r="B1381" s="7" t="str">
        <x:f>IF('요약'!$B$4=4,IF(ISNUMBER('input'!A1381),'input'!A1381,""),IF(1380&lt;=1000,CHOOSE('요약'!$B$4,'input'!B1381,'input'!C1381,'input'!D1381),""))</x:f>
      </x:c>
      <x:c r="C1381" s="7" t="str">
        <x:f>IF(AND(ISNUMBER(B1381),'요약'!$B$19),B1381-'요약'!$B$7,"")</x:f>
      </x:c>
      <x:c r="D1381" s="7" t="str">
        <x:f>IF(ISNUMBER(C1381),C1381^2,"")</x:f>
      </x:c>
      <x:c r="E1381" s="15" t="str">
        <x:f>IF(ISNUMBER(C1381),C1381^3,"")</x:f>
      </x:c>
      <x:c r="F1381" s="15" t="str">
        <x:f>IF(ISNUMBER(C1381),C1381^4,"")</x:f>
      </x:c>
      <x:c r="G1381" s="7" t="str">
        <x:f>IF(ISNUMBER(B1381),ABS(B1381),"")</x:f>
      </x:c>
      <x:c r="H1381" s="7" t="str">
        <x:f>IF(ISNUMBER(B1381),B1381^2,"")</x:f>
      </x:c>
      <x:c r="I1381" s="7" t="str">
        <x:f>IF(AND(ISNUMBER(G1381),'요약'!$B$19),G1381-'요약'!$B$14,"")</x:f>
      </x:c>
      <x:c r="J1381" s="7" t="str">
        <x:f>IF(AND(ISNUMBER(H1381),'요약'!$B$19),H1381-'요약'!$B$15,"")</x:f>
      </x:c>
      <x:c r="K1381" t="str">
        <x:f>IF(ISNUMBER(B1381),IF('Hill'!$B$4=1,IF(B1381&lt;0,-B1381,""),IF('Hill'!$B$4=2,IF(B1381&gt;0,B1381,""),IF('Hill'!$B$4=3,IF(B1381&lt;&gt;0,ABS(B1381),""),""))),"")</x:f>
      </x:c>
    </x:row>
    <x:row r="1382">
      <x:c r="A1382" t="n">
        <x:f>1381</x:f>
        <x:v>1381</x:v>
      </x:c>
      <x:c r="B1382" s="7" t="str">
        <x:f>IF('요약'!$B$4=4,IF(ISNUMBER('input'!A1382),'input'!A1382,""),IF(1381&lt;=1000,CHOOSE('요약'!$B$4,'input'!B1382,'input'!C1382,'input'!D1382),""))</x:f>
      </x:c>
      <x:c r="C1382" s="7" t="str">
        <x:f>IF(AND(ISNUMBER(B1382),'요약'!$B$19),B1382-'요약'!$B$7,"")</x:f>
      </x:c>
      <x:c r="D1382" s="7" t="str">
        <x:f>IF(ISNUMBER(C1382),C1382^2,"")</x:f>
      </x:c>
      <x:c r="E1382" s="15" t="str">
        <x:f>IF(ISNUMBER(C1382),C1382^3,"")</x:f>
      </x:c>
      <x:c r="F1382" s="15" t="str">
        <x:f>IF(ISNUMBER(C1382),C1382^4,"")</x:f>
      </x:c>
      <x:c r="G1382" s="7" t="str">
        <x:f>IF(ISNUMBER(B1382),ABS(B1382),"")</x:f>
      </x:c>
      <x:c r="H1382" s="7" t="str">
        <x:f>IF(ISNUMBER(B1382),B1382^2,"")</x:f>
      </x:c>
      <x:c r="I1382" s="7" t="str">
        <x:f>IF(AND(ISNUMBER(G1382),'요약'!$B$19),G1382-'요약'!$B$14,"")</x:f>
      </x:c>
      <x:c r="J1382" s="7" t="str">
        <x:f>IF(AND(ISNUMBER(H1382),'요약'!$B$19),H1382-'요약'!$B$15,"")</x:f>
      </x:c>
      <x:c r="K1382" t="str">
        <x:f>IF(ISNUMBER(B1382),IF('Hill'!$B$4=1,IF(B1382&lt;0,-B1382,""),IF('Hill'!$B$4=2,IF(B1382&gt;0,B1382,""),IF('Hill'!$B$4=3,IF(B1382&lt;&gt;0,ABS(B1382),""),""))),"")</x:f>
      </x:c>
    </x:row>
    <x:row r="1383">
      <x:c r="A1383" t="n">
        <x:f>1382</x:f>
        <x:v>1382</x:v>
      </x:c>
      <x:c r="B1383" s="7" t="str">
        <x:f>IF('요약'!$B$4=4,IF(ISNUMBER('input'!A1383),'input'!A1383,""),IF(1382&lt;=1000,CHOOSE('요약'!$B$4,'input'!B1383,'input'!C1383,'input'!D1383),""))</x:f>
      </x:c>
      <x:c r="C1383" s="7" t="str">
        <x:f>IF(AND(ISNUMBER(B1383),'요약'!$B$19),B1383-'요약'!$B$7,"")</x:f>
      </x:c>
      <x:c r="D1383" s="7" t="str">
        <x:f>IF(ISNUMBER(C1383),C1383^2,"")</x:f>
      </x:c>
      <x:c r="E1383" s="15" t="str">
        <x:f>IF(ISNUMBER(C1383),C1383^3,"")</x:f>
      </x:c>
      <x:c r="F1383" s="15" t="str">
        <x:f>IF(ISNUMBER(C1383),C1383^4,"")</x:f>
      </x:c>
      <x:c r="G1383" s="7" t="str">
        <x:f>IF(ISNUMBER(B1383),ABS(B1383),"")</x:f>
      </x:c>
      <x:c r="H1383" s="7" t="str">
        <x:f>IF(ISNUMBER(B1383),B1383^2,"")</x:f>
      </x:c>
      <x:c r="I1383" s="7" t="str">
        <x:f>IF(AND(ISNUMBER(G1383),'요약'!$B$19),G1383-'요약'!$B$14,"")</x:f>
      </x:c>
      <x:c r="J1383" s="7" t="str">
        <x:f>IF(AND(ISNUMBER(H1383),'요약'!$B$19),H1383-'요약'!$B$15,"")</x:f>
      </x:c>
      <x:c r="K1383" t="str">
        <x:f>IF(ISNUMBER(B1383),IF('Hill'!$B$4=1,IF(B1383&lt;0,-B1383,""),IF('Hill'!$B$4=2,IF(B1383&gt;0,B1383,""),IF('Hill'!$B$4=3,IF(B1383&lt;&gt;0,ABS(B1383),""),""))),"")</x:f>
      </x:c>
    </x:row>
    <x:row r="1384">
      <x:c r="A1384" t="n">
        <x:f>1383</x:f>
        <x:v>1383</x:v>
      </x:c>
      <x:c r="B1384" s="7" t="str">
        <x:f>IF('요약'!$B$4=4,IF(ISNUMBER('input'!A1384),'input'!A1384,""),IF(1383&lt;=1000,CHOOSE('요약'!$B$4,'input'!B1384,'input'!C1384,'input'!D1384),""))</x:f>
      </x:c>
      <x:c r="C1384" s="7" t="str">
        <x:f>IF(AND(ISNUMBER(B1384),'요약'!$B$19),B1384-'요약'!$B$7,"")</x:f>
      </x:c>
      <x:c r="D1384" s="7" t="str">
        <x:f>IF(ISNUMBER(C1384),C1384^2,"")</x:f>
      </x:c>
      <x:c r="E1384" s="15" t="str">
        <x:f>IF(ISNUMBER(C1384),C1384^3,"")</x:f>
      </x:c>
      <x:c r="F1384" s="15" t="str">
        <x:f>IF(ISNUMBER(C1384),C1384^4,"")</x:f>
      </x:c>
      <x:c r="G1384" s="7" t="str">
        <x:f>IF(ISNUMBER(B1384),ABS(B1384),"")</x:f>
      </x:c>
      <x:c r="H1384" s="7" t="str">
        <x:f>IF(ISNUMBER(B1384),B1384^2,"")</x:f>
      </x:c>
      <x:c r="I1384" s="7" t="str">
        <x:f>IF(AND(ISNUMBER(G1384),'요약'!$B$19),G1384-'요약'!$B$14,"")</x:f>
      </x:c>
      <x:c r="J1384" s="7" t="str">
        <x:f>IF(AND(ISNUMBER(H1384),'요약'!$B$19),H1384-'요약'!$B$15,"")</x:f>
      </x:c>
      <x:c r="K1384" t="str">
        <x:f>IF(ISNUMBER(B1384),IF('Hill'!$B$4=1,IF(B1384&lt;0,-B1384,""),IF('Hill'!$B$4=2,IF(B1384&gt;0,B1384,""),IF('Hill'!$B$4=3,IF(B1384&lt;&gt;0,ABS(B1384),""),""))),"")</x:f>
      </x:c>
    </x:row>
    <x:row r="1385">
      <x:c r="A1385" t="n">
        <x:f>1384</x:f>
        <x:v>1384</x:v>
      </x:c>
      <x:c r="B1385" s="7" t="str">
        <x:f>IF('요약'!$B$4=4,IF(ISNUMBER('input'!A1385),'input'!A1385,""),IF(1384&lt;=1000,CHOOSE('요약'!$B$4,'input'!B1385,'input'!C1385,'input'!D1385),""))</x:f>
      </x:c>
      <x:c r="C1385" s="7" t="str">
        <x:f>IF(AND(ISNUMBER(B1385),'요약'!$B$19),B1385-'요약'!$B$7,"")</x:f>
      </x:c>
      <x:c r="D1385" s="7" t="str">
        <x:f>IF(ISNUMBER(C1385),C1385^2,"")</x:f>
      </x:c>
      <x:c r="E1385" s="15" t="str">
        <x:f>IF(ISNUMBER(C1385),C1385^3,"")</x:f>
      </x:c>
      <x:c r="F1385" s="15" t="str">
        <x:f>IF(ISNUMBER(C1385),C1385^4,"")</x:f>
      </x:c>
      <x:c r="G1385" s="7" t="str">
        <x:f>IF(ISNUMBER(B1385),ABS(B1385),"")</x:f>
      </x:c>
      <x:c r="H1385" s="7" t="str">
        <x:f>IF(ISNUMBER(B1385),B1385^2,"")</x:f>
      </x:c>
      <x:c r="I1385" s="7" t="str">
        <x:f>IF(AND(ISNUMBER(G1385),'요약'!$B$19),G1385-'요약'!$B$14,"")</x:f>
      </x:c>
      <x:c r="J1385" s="7" t="str">
        <x:f>IF(AND(ISNUMBER(H1385),'요약'!$B$19),H1385-'요약'!$B$15,"")</x:f>
      </x:c>
      <x:c r="K1385" t="str">
        <x:f>IF(ISNUMBER(B1385),IF('Hill'!$B$4=1,IF(B1385&lt;0,-B1385,""),IF('Hill'!$B$4=2,IF(B1385&gt;0,B1385,""),IF('Hill'!$B$4=3,IF(B1385&lt;&gt;0,ABS(B1385),""),""))),"")</x:f>
      </x:c>
    </x:row>
    <x:row r="1386">
      <x:c r="A1386" t="n">
        <x:f>1385</x:f>
        <x:v>1385</x:v>
      </x:c>
      <x:c r="B1386" s="7" t="str">
        <x:f>IF('요약'!$B$4=4,IF(ISNUMBER('input'!A1386),'input'!A1386,""),IF(1385&lt;=1000,CHOOSE('요약'!$B$4,'input'!B1386,'input'!C1386,'input'!D1386),""))</x:f>
      </x:c>
      <x:c r="C1386" s="7" t="str">
        <x:f>IF(AND(ISNUMBER(B1386),'요약'!$B$19),B1386-'요약'!$B$7,"")</x:f>
      </x:c>
      <x:c r="D1386" s="7" t="str">
        <x:f>IF(ISNUMBER(C1386),C1386^2,"")</x:f>
      </x:c>
      <x:c r="E1386" s="15" t="str">
        <x:f>IF(ISNUMBER(C1386),C1386^3,"")</x:f>
      </x:c>
      <x:c r="F1386" s="15" t="str">
        <x:f>IF(ISNUMBER(C1386),C1386^4,"")</x:f>
      </x:c>
      <x:c r="G1386" s="7" t="str">
        <x:f>IF(ISNUMBER(B1386),ABS(B1386),"")</x:f>
      </x:c>
      <x:c r="H1386" s="7" t="str">
        <x:f>IF(ISNUMBER(B1386),B1386^2,"")</x:f>
      </x:c>
      <x:c r="I1386" s="7" t="str">
        <x:f>IF(AND(ISNUMBER(G1386),'요약'!$B$19),G1386-'요약'!$B$14,"")</x:f>
      </x:c>
      <x:c r="J1386" s="7" t="str">
        <x:f>IF(AND(ISNUMBER(H1386),'요약'!$B$19),H1386-'요약'!$B$15,"")</x:f>
      </x:c>
      <x:c r="K1386" t="str">
        <x:f>IF(ISNUMBER(B1386),IF('Hill'!$B$4=1,IF(B1386&lt;0,-B1386,""),IF('Hill'!$B$4=2,IF(B1386&gt;0,B1386,""),IF('Hill'!$B$4=3,IF(B1386&lt;&gt;0,ABS(B1386),""),""))),"")</x:f>
      </x:c>
    </x:row>
    <x:row r="1387">
      <x:c r="A1387" t="n">
        <x:f>1386</x:f>
        <x:v>1386</x:v>
      </x:c>
      <x:c r="B1387" s="7" t="str">
        <x:f>IF('요약'!$B$4=4,IF(ISNUMBER('input'!A1387),'input'!A1387,""),IF(1386&lt;=1000,CHOOSE('요약'!$B$4,'input'!B1387,'input'!C1387,'input'!D1387),""))</x:f>
      </x:c>
      <x:c r="C1387" s="7" t="str">
        <x:f>IF(AND(ISNUMBER(B1387),'요약'!$B$19),B1387-'요약'!$B$7,"")</x:f>
      </x:c>
      <x:c r="D1387" s="7" t="str">
        <x:f>IF(ISNUMBER(C1387),C1387^2,"")</x:f>
      </x:c>
      <x:c r="E1387" s="15" t="str">
        <x:f>IF(ISNUMBER(C1387),C1387^3,"")</x:f>
      </x:c>
      <x:c r="F1387" s="15" t="str">
        <x:f>IF(ISNUMBER(C1387),C1387^4,"")</x:f>
      </x:c>
      <x:c r="G1387" s="7" t="str">
        <x:f>IF(ISNUMBER(B1387),ABS(B1387),"")</x:f>
      </x:c>
      <x:c r="H1387" s="7" t="str">
        <x:f>IF(ISNUMBER(B1387),B1387^2,"")</x:f>
      </x:c>
      <x:c r="I1387" s="7" t="str">
        <x:f>IF(AND(ISNUMBER(G1387),'요약'!$B$19),G1387-'요약'!$B$14,"")</x:f>
      </x:c>
      <x:c r="J1387" s="7" t="str">
        <x:f>IF(AND(ISNUMBER(H1387),'요약'!$B$19),H1387-'요약'!$B$15,"")</x:f>
      </x:c>
      <x:c r="K1387" t="str">
        <x:f>IF(ISNUMBER(B1387),IF('Hill'!$B$4=1,IF(B1387&lt;0,-B1387,""),IF('Hill'!$B$4=2,IF(B1387&gt;0,B1387,""),IF('Hill'!$B$4=3,IF(B1387&lt;&gt;0,ABS(B1387),""),""))),"")</x:f>
      </x:c>
    </x:row>
    <x:row r="1388">
      <x:c r="A1388" t="n">
        <x:f>1387</x:f>
        <x:v>1387</x:v>
      </x:c>
      <x:c r="B1388" s="7" t="str">
        <x:f>IF('요약'!$B$4=4,IF(ISNUMBER('input'!A1388),'input'!A1388,""),IF(1387&lt;=1000,CHOOSE('요약'!$B$4,'input'!B1388,'input'!C1388,'input'!D1388),""))</x:f>
      </x:c>
      <x:c r="C1388" s="7" t="str">
        <x:f>IF(AND(ISNUMBER(B1388),'요약'!$B$19),B1388-'요약'!$B$7,"")</x:f>
      </x:c>
      <x:c r="D1388" s="7" t="str">
        <x:f>IF(ISNUMBER(C1388),C1388^2,"")</x:f>
      </x:c>
      <x:c r="E1388" s="15" t="str">
        <x:f>IF(ISNUMBER(C1388),C1388^3,"")</x:f>
      </x:c>
      <x:c r="F1388" s="15" t="str">
        <x:f>IF(ISNUMBER(C1388),C1388^4,"")</x:f>
      </x:c>
      <x:c r="G1388" s="7" t="str">
        <x:f>IF(ISNUMBER(B1388),ABS(B1388),"")</x:f>
      </x:c>
      <x:c r="H1388" s="7" t="str">
        <x:f>IF(ISNUMBER(B1388),B1388^2,"")</x:f>
      </x:c>
      <x:c r="I1388" s="7" t="str">
        <x:f>IF(AND(ISNUMBER(G1388),'요약'!$B$19),G1388-'요약'!$B$14,"")</x:f>
      </x:c>
      <x:c r="J1388" s="7" t="str">
        <x:f>IF(AND(ISNUMBER(H1388),'요약'!$B$19),H1388-'요약'!$B$15,"")</x:f>
      </x:c>
      <x:c r="K1388" t="str">
        <x:f>IF(ISNUMBER(B1388),IF('Hill'!$B$4=1,IF(B1388&lt;0,-B1388,""),IF('Hill'!$B$4=2,IF(B1388&gt;0,B1388,""),IF('Hill'!$B$4=3,IF(B1388&lt;&gt;0,ABS(B1388),""),""))),"")</x:f>
      </x:c>
    </x:row>
    <x:row r="1389">
      <x:c r="A1389" t="n">
        <x:f>1388</x:f>
        <x:v>1388</x:v>
      </x:c>
      <x:c r="B1389" s="7" t="str">
        <x:f>IF('요약'!$B$4=4,IF(ISNUMBER('input'!A1389),'input'!A1389,""),IF(1388&lt;=1000,CHOOSE('요약'!$B$4,'input'!B1389,'input'!C1389,'input'!D1389),""))</x:f>
      </x:c>
      <x:c r="C1389" s="7" t="str">
        <x:f>IF(AND(ISNUMBER(B1389),'요약'!$B$19),B1389-'요약'!$B$7,"")</x:f>
      </x:c>
      <x:c r="D1389" s="7" t="str">
        <x:f>IF(ISNUMBER(C1389),C1389^2,"")</x:f>
      </x:c>
      <x:c r="E1389" s="15" t="str">
        <x:f>IF(ISNUMBER(C1389),C1389^3,"")</x:f>
      </x:c>
      <x:c r="F1389" s="15" t="str">
        <x:f>IF(ISNUMBER(C1389),C1389^4,"")</x:f>
      </x:c>
      <x:c r="G1389" s="7" t="str">
        <x:f>IF(ISNUMBER(B1389),ABS(B1389),"")</x:f>
      </x:c>
      <x:c r="H1389" s="7" t="str">
        <x:f>IF(ISNUMBER(B1389),B1389^2,"")</x:f>
      </x:c>
      <x:c r="I1389" s="7" t="str">
        <x:f>IF(AND(ISNUMBER(G1389),'요약'!$B$19),G1389-'요약'!$B$14,"")</x:f>
      </x:c>
      <x:c r="J1389" s="7" t="str">
        <x:f>IF(AND(ISNUMBER(H1389),'요약'!$B$19),H1389-'요약'!$B$15,"")</x:f>
      </x:c>
      <x:c r="K1389" t="str">
        <x:f>IF(ISNUMBER(B1389),IF('Hill'!$B$4=1,IF(B1389&lt;0,-B1389,""),IF('Hill'!$B$4=2,IF(B1389&gt;0,B1389,""),IF('Hill'!$B$4=3,IF(B1389&lt;&gt;0,ABS(B1389),""),""))),"")</x:f>
      </x:c>
    </x:row>
    <x:row r="1390">
      <x:c r="A1390" t="n">
        <x:f>1389</x:f>
        <x:v>1389</x:v>
      </x:c>
      <x:c r="B1390" s="7" t="str">
        <x:f>IF('요약'!$B$4=4,IF(ISNUMBER('input'!A1390),'input'!A1390,""),IF(1389&lt;=1000,CHOOSE('요약'!$B$4,'input'!B1390,'input'!C1390,'input'!D1390),""))</x:f>
      </x:c>
      <x:c r="C1390" s="7" t="str">
        <x:f>IF(AND(ISNUMBER(B1390),'요약'!$B$19),B1390-'요약'!$B$7,"")</x:f>
      </x:c>
      <x:c r="D1390" s="7" t="str">
        <x:f>IF(ISNUMBER(C1390),C1390^2,"")</x:f>
      </x:c>
      <x:c r="E1390" s="15" t="str">
        <x:f>IF(ISNUMBER(C1390),C1390^3,"")</x:f>
      </x:c>
      <x:c r="F1390" s="15" t="str">
        <x:f>IF(ISNUMBER(C1390),C1390^4,"")</x:f>
      </x:c>
      <x:c r="G1390" s="7" t="str">
        <x:f>IF(ISNUMBER(B1390),ABS(B1390),"")</x:f>
      </x:c>
      <x:c r="H1390" s="7" t="str">
        <x:f>IF(ISNUMBER(B1390),B1390^2,"")</x:f>
      </x:c>
      <x:c r="I1390" s="7" t="str">
        <x:f>IF(AND(ISNUMBER(G1390),'요약'!$B$19),G1390-'요약'!$B$14,"")</x:f>
      </x:c>
      <x:c r="J1390" s="7" t="str">
        <x:f>IF(AND(ISNUMBER(H1390),'요약'!$B$19),H1390-'요약'!$B$15,"")</x:f>
      </x:c>
      <x:c r="K1390" t="str">
        <x:f>IF(ISNUMBER(B1390),IF('Hill'!$B$4=1,IF(B1390&lt;0,-B1390,""),IF('Hill'!$B$4=2,IF(B1390&gt;0,B1390,""),IF('Hill'!$B$4=3,IF(B1390&lt;&gt;0,ABS(B1390),""),""))),"")</x:f>
      </x:c>
    </x:row>
    <x:row r="1391">
      <x:c r="A1391" t="n">
        <x:f>1390</x:f>
        <x:v>1390</x:v>
      </x:c>
      <x:c r="B1391" s="7" t="str">
        <x:f>IF('요약'!$B$4=4,IF(ISNUMBER('input'!A1391),'input'!A1391,""),IF(1390&lt;=1000,CHOOSE('요약'!$B$4,'input'!B1391,'input'!C1391,'input'!D1391),""))</x:f>
      </x:c>
      <x:c r="C1391" s="7" t="str">
        <x:f>IF(AND(ISNUMBER(B1391),'요약'!$B$19),B1391-'요약'!$B$7,"")</x:f>
      </x:c>
      <x:c r="D1391" s="7" t="str">
        <x:f>IF(ISNUMBER(C1391),C1391^2,"")</x:f>
      </x:c>
      <x:c r="E1391" s="15" t="str">
        <x:f>IF(ISNUMBER(C1391),C1391^3,"")</x:f>
      </x:c>
      <x:c r="F1391" s="15" t="str">
        <x:f>IF(ISNUMBER(C1391),C1391^4,"")</x:f>
      </x:c>
      <x:c r="G1391" s="7" t="str">
        <x:f>IF(ISNUMBER(B1391),ABS(B1391),"")</x:f>
      </x:c>
      <x:c r="H1391" s="7" t="str">
        <x:f>IF(ISNUMBER(B1391),B1391^2,"")</x:f>
      </x:c>
      <x:c r="I1391" s="7" t="str">
        <x:f>IF(AND(ISNUMBER(G1391),'요약'!$B$19),G1391-'요약'!$B$14,"")</x:f>
      </x:c>
      <x:c r="J1391" s="7" t="str">
        <x:f>IF(AND(ISNUMBER(H1391),'요약'!$B$19),H1391-'요약'!$B$15,"")</x:f>
      </x:c>
      <x:c r="K1391" t="str">
        <x:f>IF(ISNUMBER(B1391),IF('Hill'!$B$4=1,IF(B1391&lt;0,-B1391,""),IF('Hill'!$B$4=2,IF(B1391&gt;0,B1391,""),IF('Hill'!$B$4=3,IF(B1391&lt;&gt;0,ABS(B1391),""),""))),"")</x:f>
      </x:c>
    </x:row>
    <x:row r="1392">
      <x:c r="A1392" t="n">
        <x:f>1391</x:f>
        <x:v>1391</x:v>
      </x:c>
      <x:c r="B1392" s="7" t="str">
        <x:f>IF('요약'!$B$4=4,IF(ISNUMBER('input'!A1392),'input'!A1392,""),IF(1391&lt;=1000,CHOOSE('요약'!$B$4,'input'!B1392,'input'!C1392,'input'!D1392),""))</x:f>
      </x:c>
      <x:c r="C1392" s="7" t="str">
        <x:f>IF(AND(ISNUMBER(B1392),'요약'!$B$19),B1392-'요약'!$B$7,"")</x:f>
      </x:c>
      <x:c r="D1392" s="7" t="str">
        <x:f>IF(ISNUMBER(C1392),C1392^2,"")</x:f>
      </x:c>
      <x:c r="E1392" s="15" t="str">
        <x:f>IF(ISNUMBER(C1392),C1392^3,"")</x:f>
      </x:c>
      <x:c r="F1392" s="15" t="str">
        <x:f>IF(ISNUMBER(C1392),C1392^4,"")</x:f>
      </x:c>
      <x:c r="G1392" s="7" t="str">
        <x:f>IF(ISNUMBER(B1392),ABS(B1392),"")</x:f>
      </x:c>
      <x:c r="H1392" s="7" t="str">
        <x:f>IF(ISNUMBER(B1392),B1392^2,"")</x:f>
      </x:c>
      <x:c r="I1392" s="7" t="str">
        <x:f>IF(AND(ISNUMBER(G1392),'요약'!$B$19),G1392-'요약'!$B$14,"")</x:f>
      </x:c>
      <x:c r="J1392" s="7" t="str">
        <x:f>IF(AND(ISNUMBER(H1392),'요약'!$B$19),H1392-'요약'!$B$15,"")</x:f>
      </x:c>
      <x:c r="K1392" t="str">
        <x:f>IF(ISNUMBER(B1392),IF('Hill'!$B$4=1,IF(B1392&lt;0,-B1392,""),IF('Hill'!$B$4=2,IF(B1392&gt;0,B1392,""),IF('Hill'!$B$4=3,IF(B1392&lt;&gt;0,ABS(B1392),""),""))),"")</x:f>
      </x:c>
    </x:row>
    <x:row r="1393">
      <x:c r="A1393" t="n">
        <x:f>1392</x:f>
        <x:v>1392</x:v>
      </x:c>
      <x:c r="B1393" s="7" t="str">
        <x:f>IF('요약'!$B$4=4,IF(ISNUMBER('input'!A1393),'input'!A1393,""),IF(1392&lt;=1000,CHOOSE('요약'!$B$4,'input'!B1393,'input'!C1393,'input'!D1393),""))</x:f>
      </x:c>
      <x:c r="C1393" s="7" t="str">
        <x:f>IF(AND(ISNUMBER(B1393),'요약'!$B$19),B1393-'요약'!$B$7,"")</x:f>
      </x:c>
      <x:c r="D1393" s="7" t="str">
        <x:f>IF(ISNUMBER(C1393),C1393^2,"")</x:f>
      </x:c>
      <x:c r="E1393" s="15" t="str">
        <x:f>IF(ISNUMBER(C1393),C1393^3,"")</x:f>
      </x:c>
      <x:c r="F1393" s="15" t="str">
        <x:f>IF(ISNUMBER(C1393),C1393^4,"")</x:f>
      </x:c>
      <x:c r="G1393" s="7" t="str">
        <x:f>IF(ISNUMBER(B1393),ABS(B1393),"")</x:f>
      </x:c>
      <x:c r="H1393" s="7" t="str">
        <x:f>IF(ISNUMBER(B1393),B1393^2,"")</x:f>
      </x:c>
      <x:c r="I1393" s="7" t="str">
        <x:f>IF(AND(ISNUMBER(G1393),'요약'!$B$19),G1393-'요약'!$B$14,"")</x:f>
      </x:c>
      <x:c r="J1393" s="7" t="str">
        <x:f>IF(AND(ISNUMBER(H1393),'요약'!$B$19),H1393-'요약'!$B$15,"")</x:f>
      </x:c>
      <x:c r="K1393" t="str">
        <x:f>IF(ISNUMBER(B1393),IF('Hill'!$B$4=1,IF(B1393&lt;0,-B1393,""),IF('Hill'!$B$4=2,IF(B1393&gt;0,B1393,""),IF('Hill'!$B$4=3,IF(B1393&lt;&gt;0,ABS(B1393),""),""))),"")</x:f>
      </x:c>
    </x:row>
    <x:row r="1394">
      <x:c r="A1394" t="n">
        <x:f>1393</x:f>
        <x:v>1393</x:v>
      </x:c>
      <x:c r="B1394" s="7" t="str">
        <x:f>IF('요약'!$B$4=4,IF(ISNUMBER('input'!A1394),'input'!A1394,""),IF(1393&lt;=1000,CHOOSE('요약'!$B$4,'input'!B1394,'input'!C1394,'input'!D1394),""))</x:f>
      </x:c>
      <x:c r="C1394" s="7" t="str">
        <x:f>IF(AND(ISNUMBER(B1394),'요약'!$B$19),B1394-'요약'!$B$7,"")</x:f>
      </x:c>
      <x:c r="D1394" s="7" t="str">
        <x:f>IF(ISNUMBER(C1394),C1394^2,"")</x:f>
      </x:c>
      <x:c r="E1394" s="15" t="str">
        <x:f>IF(ISNUMBER(C1394),C1394^3,"")</x:f>
      </x:c>
      <x:c r="F1394" s="15" t="str">
        <x:f>IF(ISNUMBER(C1394),C1394^4,"")</x:f>
      </x:c>
      <x:c r="G1394" s="7" t="str">
        <x:f>IF(ISNUMBER(B1394),ABS(B1394),"")</x:f>
      </x:c>
      <x:c r="H1394" s="7" t="str">
        <x:f>IF(ISNUMBER(B1394),B1394^2,"")</x:f>
      </x:c>
      <x:c r="I1394" s="7" t="str">
        <x:f>IF(AND(ISNUMBER(G1394),'요약'!$B$19),G1394-'요약'!$B$14,"")</x:f>
      </x:c>
      <x:c r="J1394" s="7" t="str">
        <x:f>IF(AND(ISNUMBER(H1394),'요약'!$B$19),H1394-'요약'!$B$15,"")</x:f>
      </x:c>
      <x:c r="K1394" t="str">
        <x:f>IF(ISNUMBER(B1394),IF('Hill'!$B$4=1,IF(B1394&lt;0,-B1394,""),IF('Hill'!$B$4=2,IF(B1394&gt;0,B1394,""),IF('Hill'!$B$4=3,IF(B1394&lt;&gt;0,ABS(B1394),""),""))),"")</x:f>
      </x:c>
    </x:row>
    <x:row r="1395">
      <x:c r="A1395" t="n">
        <x:f>1394</x:f>
        <x:v>1394</x:v>
      </x:c>
      <x:c r="B1395" s="7" t="str">
        <x:f>IF('요약'!$B$4=4,IF(ISNUMBER('input'!A1395),'input'!A1395,""),IF(1394&lt;=1000,CHOOSE('요약'!$B$4,'input'!B1395,'input'!C1395,'input'!D1395),""))</x:f>
      </x:c>
      <x:c r="C1395" s="7" t="str">
        <x:f>IF(AND(ISNUMBER(B1395),'요약'!$B$19),B1395-'요약'!$B$7,"")</x:f>
      </x:c>
      <x:c r="D1395" s="7" t="str">
        <x:f>IF(ISNUMBER(C1395),C1395^2,"")</x:f>
      </x:c>
      <x:c r="E1395" s="15" t="str">
        <x:f>IF(ISNUMBER(C1395),C1395^3,"")</x:f>
      </x:c>
      <x:c r="F1395" s="15" t="str">
        <x:f>IF(ISNUMBER(C1395),C1395^4,"")</x:f>
      </x:c>
      <x:c r="G1395" s="7" t="str">
        <x:f>IF(ISNUMBER(B1395),ABS(B1395),"")</x:f>
      </x:c>
      <x:c r="H1395" s="7" t="str">
        <x:f>IF(ISNUMBER(B1395),B1395^2,"")</x:f>
      </x:c>
      <x:c r="I1395" s="7" t="str">
        <x:f>IF(AND(ISNUMBER(G1395),'요약'!$B$19),G1395-'요약'!$B$14,"")</x:f>
      </x:c>
      <x:c r="J1395" s="7" t="str">
        <x:f>IF(AND(ISNUMBER(H1395),'요약'!$B$19),H1395-'요약'!$B$15,"")</x:f>
      </x:c>
      <x:c r="K1395" t="str">
        <x:f>IF(ISNUMBER(B1395),IF('Hill'!$B$4=1,IF(B1395&lt;0,-B1395,""),IF('Hill'!$B$4=2,IF(B1395&gt;0,B1395,""),IF('Hill'!$B$4=3,IF(B1395&lt;&gt;0,ABS(B1395),""),""))),"")</x:f>
      </x:c>
    </x:row>
    <x:row r="1396">
      <x:c r="A1396" t="n">
        <x:f>1395</x:f>
        <x:v>1395</x:v>
      </x:c>
      <x:c r="B1396" s="7" t="str">
        <x:f>IF('요약'!$B$4=4,IF(ISNUMBER('input'!A1396),'input'!A1396,""),IF(1395&lt;=1000,CHOOSE('요약'!$B$4,'input'!B1396,'input'!C1396,'input'!D1396),""))</x:f>
      </x:c>
      <x:c r="C1396" s="7" t="str">
        <x:f>IF(AND(ISNUMBER(B1396),'요약'!$B$19),B1396-'요약'!$B$7,"")</x:f>
      </x:c>
      <x:c r="D1396" s="7" t="str">
        <x:f>IF(ISNUMBER(C1396),C1396^2,"")</x:f>
      </x:c>
      <x:c r="E1396" s="15" t="str">
        <x:f>IF(ISNUMBER(C1396),C1396^3,"")</x:f>
      </x:c>
      <x:c r="F1396" s="15" t="str">
        <x:f>IF(ISNUMBER(C1396),C1396^4,"")</x:f>
      </x:c>
      <x:c r="G1396" s="7" t="str">
        <x:f>IF(ISNUMBER(B1396),ABS(B1396),"")</x:f>
      </x:c>
      <x:c r="H1396" s="7" t="str">
        <x:f>IF(ISNUMBER(B1396),B1396^2,"")</x:f>
      </x:c>
      <x:c r="I1396" s="7" t="str">
        <x:f>IF(AND(ISNUMBER(G1396),'요약'!$B$19),G1396-'요약'!$B$14,"")</x:f>
      </x:c>
      <x:c r="J1396" s="7" t="str">
        <x:f>IF(AND(ISNUMBER(H1396),'요약'!$B$19),H1396-'요약'!$B$15,"")</x:f>
      </x:c>
      <x:c r="K1396" t="str">
        <x:f>IF(ISNUMBER(B1396),IF('Hill'!$B$4=1,IF(B1396&lt;0,-B1396,""),IF('Hill'!$B$4=2,IF(B1396&gt;0,B1396,""),IF('Hill'!$B$4=3,IF(B1396&lt;&gt;0,ABS(B1396),""),""))),"")</x:f>
      </x:c>
    </x:row>
    <x:row r="1397">
      <x:c r="A1397" t="n">
        <x:f>1396</x:f>
        <x:v>1396</x:v>
      </x:c>
      <x:c r="B1397" s="7" t="str">
        <x:f>IF('요약'!$B$4=4,IF(ISNUMBER('input'!A1397),'input'!A1397,""),IF(1396&lt;=1000,CHOOSE('요약'!$B$4,'input'!B1397,'input'!C1397,'input'!D1397),""))</x:f>
      </x:c>
      <x:c r="C1397" s="7" t="str">
        <x:f>IF(AND(ISNUMBER(B1397),'요약'!$B$19),B1397-'요약'!$B$7,"")</x:f>
      </x:c>
      <x:c r="D1397" s="7" t="str">
        <x:f>IF(ISNUMBER(C1397),C1397^2,"")</x:f>
      </x:c>
      <x:c r="E1397" s="15" t="str">
        <x:f>IF(ISNUMBER(C1397),C1397^3,"")</x:f>
      </x:c>
      <x:c r="F1397" s="15" t="str">
        <x:f>IF(ISNUMBER(C1397),C1397^4,"")</x:f>
      </x:c>
      <x:c r="G1397" s="7" t="str">
        <x:f>IF(ISNUMBER(B1397),ABS(B1397),"")</x:f>
      </x:c>
      <x:c r="H1397" s="7" t="str">
        <x:f>IF(ISNUMBER(B1397),B1397^2,"")</x:f>
      </x:c>
      <x:c r="I1397" s="7" t="str">
        <x:f>IF(AND(ISNUMBER(G1397),'요약'!$B$19),G1397-'요약'!$B$14,"")</x:f>
      </x:c>
      <x:c r="J1397" s="7" t="str">
        <x:f>IF(AND(ISNUMBER(H1397),'요약'!$B$19),H1397-'요약'!$B$15,"")</x:f>
      </x:c>
      <x:c r="K1397" t="str">
        <x:f>IF(ISNUMBER(B1397),IF('Hill'!$B$4=1,IF(B1397&lt;0,-B1397,""),IF('Hill'!$B$4=2,IF(B1397&gt;0,B1397,""),IF('Hill'!$B$4=3,IF(B1397&lt;&gt;0,ABS(B1397),""),""))),"")</x:f>
      </x:c>
    </x:row>
    <x:row r="1398">
      <x:c r="A1398" t="n">
        <x:f>1397</x:f>
        <x:v>1397</x:v>
      </x:c>
      <x:c r="B1398" s="7" t="str">
        <x:f>IF('요약'!$B$4=4,IF(ISNUMBER('input'!A1398),'input'!A1398,""),IF(1397&lt;=1000,CHOOSE('요약'!$B$4,'input'!B1398,'input'!C1398,'input'!D1398),""))</x:f>
      </x:c>
      <x:c r="C1398" s="7" t="str">
        <x:f>IF(AND(ISNUMBER(B1398),'요약'!$B$19),B1398-'요약'!$B$7,"")</x:f>
      </x:c>
      <x:c r="D1398" s="7" t="str">
        <x:f>IF(ISNUMBER(C1398),C1398^2,"")</x:f>
      </x:c>
      <x:c r="E1398" s="15" t="str">
        <x:f>IF(ISNUMBER(C1398),C1398^3,"")</x:f>
      </x:c>
      <x:c r="F1398" s="15" t="str">
        <x:f>IF(ISNUMBER(C1398),C1398^4,"")</x:f>
      </x:c>
      <x:c r="G1398" s="7" t="str">
        <x:f>IF(ISNUMBER(B1398),ABS(B1398),"")</x:f>
      </x:c>
      <x:c r="H1398" s="7" t="str">
        <x:f>IF(ISNUMBER(B1398),B1398^2,"")</x:f>
      </x:c>
      <x:c r="I1398" s="7" t="str">
        <x:f>IF(AND(ISNUMBER(G1398),'요약'!$B$19),G1398-'요약'!$B$14,"")</x:f>
      </x:c>
      <x:c r="J1398" s="7" t="str">
        <x:f>IF(AND(ISNUMBER(H1398),'요약'!$B$19),H1398-'요약'!$B$15,"")</x:f>
      </x:c>
      <x:c r="K1398" t="str">
        <x:f>IF(ISNUMBER(B1398),IF('Hill'!$B$4=1,IF(B1398&lt;0,-B1398,""),IF('Hill'!$B$4=2,IF(B1398&gt;0,B1398,""),IF('Hill'!$B$4=3,IF(B1398&lt;&gt;0,ABS(B1398),""),""))),"")</x:f>
      </x:c>
    </x:row>
    <x:row r="1399">
      <x:c r="A1399" t="n">
        <x:f>1398</x:f>
        <x:v>1398</x:v>
      </x:c>
      <x:c r="B1399" s="7" t="str">
        <x:f>IF('요약'!$B$4=4,IF(ISNUMBER('input'!A1399),'input'!A1399,""),IF(1398&lt;=1000,CHOOSE('요약'!$B$4,'input'!B1399,'input'!C1399,'input'!D1399),""))</x:f>
      </x:c>
      <x:c r="C1399" s="7" t="str">
        <x:f>IF(AND(ISNUMBER(B1399),'요약'!$B$19),B1399-'요약'!$B$7,"")</x:f>
      </x:c>
      <x:c r="D1399" s="7" t="str">
        <x:f>IF(ISNUMBER(C1399),C1399^2,"")</x:f>
      </x:c>
      <x:c r="E1399" s="15" t="str">
        <x:f>IF(ISNUMBER(C1399),C1399^3,"")</x:f>
      </x:c>
      <x:c r="F1399" s="15" t="str">
        <x:f>IF(ISNUMBER(C1399),C1399^4,"")</x:f>
      </x:c>
      <x:c r="G1399" s="7" t="str">
        <x:f>IF(ISNUMBER(B1399),ABS(B1399),"")</x:f>
      </x:c>
      <x:c r="H1399" s="7" t="str">
        <x:f>IF(ISNUMBER(B1399),B1399^2,"")</x:f>
      </x:c>
      <x:c r="I1399" s="7" t="str">
        <x:f>IF(AND(ISNUMBER(G1399),'요약'!$B$19),G1399-'요약'!$B$14,"")</x:f>
      </x:c>
      <x:c r="J1399" s="7" t="str">
        <x:f>IF(AND(ISNUMBER(H1399),'요약'!$B$19),H1399-'요약'!$B$15,"")</x:f>
      </x:c>
      <x:c r="K1399" t="str">
        <x:f>IF(ISNUMBER(B1399),IF('Hill'!$B$4=1,IF(B1399&lt;0,-B1399,""),IF('Hill'!$B$4=2,IF(B1399&gt;0,B1399,""),IF('Hill'!$B$4=3,IF(B1399&lt;&gt;0,ABS(B1399),""),""))),"")</x:f>
      </x:c>
    </x:row>
    <x:row r="1400">
      <x:c r="A1400" t="n">
        <x:f>1399</x:f>
        <x:v>1399</x:v>
      </x:c>
      <x:c r="B1400" s="7" t="str">
        <x:f>IF('요약'!$B$4=4,IF(ISNUMBER('input'!A1400),'input'!A1400,""),IF(1399&lt;=1000,CHOOSE('요약'!$B$4,'input'!B1400,'input'!C1400,'input'!D1400),""))</x:f>
      </x:c>
      <x:c r="C1400" s="7" t="str">
        <x:f>IF(AND(ISNUMBER(B1400),'요약'!$B$19),B1400-'요약'!$B$7,"")</x:f>
      </x:c>
      <x:c r="D1400" s="7" t="str">
        <x:f>IF(ISNUMBER(C1400),C1400^2,"")</x:f>
      </x:c>
      <x:c r="E1400" s="15" t="str">
        <x:f>IF(ISNUMBER(C1400),C1400^3,"")</x:f>
      </x:c>
      <x:c r="F1400" s="15" t="str">
        <x:f>IF(ISNUMBER(C1400),C1400^4,"")</x:f>
      </x:c>
      <x:c r="G1400" s="7" t="str">
        <x:f>IF(ISNUMBER(B1400),ABS(B1400),"")</x:f>
      </x:c>
      <x:c r="H1400" s="7" t="str">
        <x:f>IF(ISNUMBER(B1400),B1400^2,"")</x:f>
      </x:c>
      <x:c r="I1400" s="7" t="str">
        <x:f>IF(AND(ISNUMBER(G1400),'요약'!$B$19),G1400-'요약'!$B$14,"")</x:f>
      </x:c>
      <x:c r="J1400" s="7" t="str">
        <x:f>IF(AND(ISNUMBER(H1400),'요약'!$B$19),H1400-'요약'!$B$15,"")</x:f>
      </x:c>
      <x:c r="K1400" t="str">
        <x:f>IF(ISNUMBER(B1400),IF('Hill'!$B$4=1,IF(B1400&lt;0,-B1400,""),IF('Hill'!$B$4=2,IF(B1400&gt;0,B1400,""),IF('Hill'!$B$4=3,IF(B1400&lt;&gt;0,ABS(B1400),""),""))),"")</x:f>
      </x:c>
    </x:row>
    <x:row r="1401">
      <x:c r="A1401" t="n">
        <x:f>1400</x:f>
        <x:v>1400</x:v>
      </x:c>
      <x:c r="B1401" s="7" t="str">
        <x:f>IF('요약'!$B$4=4,IF(ISNUMBER('input'!A1401),'input'!A1401,""),IF(1400&lt;=1000,CHOOSE('요약'!$B$4,'input'!B1401,'input'!C1401,'input'!D1401),""))</x:f>
      </x:c>
      <x:c r="C1401" s="7" t="str">
        <x:f>IF(AND(ISNUMBER(B1401),'요약'!$B$19),B1401-'요약'!$B$7,"")</x:f>
      </x:c>
      <x:c r="D1401" s="7" t="str">
        <x:f>IF(ISNUMBER(C1401),C1401^2,"")</x:f>
      </x:c>
      <x:c r="E1401" s="15" t="str">
        <x:f>IF(ISNUMBER(C1401),C1401^3,"")</x:f>
      </x:c>
      <x:c r="F1401" s="15" t="str">
        <x:f>IF(ISNUMBER(C1401),C1401^4,"")</x:f>
      </x:c>
      <x:c r="G1401" s="7" t="str">
        <x:f>IF(ISNUMBER(B1401),ABS(B1401),"")</x:f>
      </x:c>
      <x:c r="H1401" s="7" t="str">
        <x:f>IF(ISNUMBER(B1401),B1401^2,"")</x:f>
      </x:c>
      <x:c r="I1401" s="7" t="str">
        <x:f>IF(AND(ISNUMBER(G1401),'요약'!$B$19),G1401-'요약'!$B$14,"")</x:f>
      </x:c>
      <x:c r="J1401" s="7" t="str">
        <x:f>IF(AND(ISNUMBER(H1401),'요약'!$B$19),H1401-'요약'!$B$15,"")</x:f>
      </x:c>
      <x:c r="K1401" t="str">
        <x:f>IF(ISNUMBER(B1401),IF('Hill'!$B$4=1,IF(B1401&lt;0,-B1401,""),IF('Hill'!$B$4=2,IF(B1401&gt;0,B1401,""),IF('Hill'!$B$4=3,IF(B1401&lt;&gt;0,ABS(B1401),""),""))),"")</x:f>
      </x:c>
    </x:row>
    <x:row r="1402">
      <x:c r="A1402" t="n">
        <x:f>1401</x:f>
        <x:v>1401</x:v>
      </x:c>
      <x:c r="B1402" s="7" t="str">
        <x:f>IF('요약'!$B$4=4,IF(ISNUMBER('input'!A1402),'input'!A1402,""),IF(1401&lt;=1000,CHOOSE('요약'!$B$4,'input'!B1402,'input'!C1402,'input'!D1402),""))</x:f>
      </x:c>
      <x:c r="C1402" s="7" t="str">
        <x:f>IF(AND(ISNUMBER(B1402),'요약'!$B$19),B1402-'요약'!$B$7,"")</x:f>
      </x:c>
      <x:c r="D1402" s="7" t="str">
        <x:f>IF(ISNUMBER(C1402),C1402^2,"")</x:f>
      </x:c>
      <x:c r="E1402" s="15" t="str">
        <x:f>IF(ISNUMBER(C1402),C1402^3,"")</x:f>
      </x:c>
      <x:c r="F1402" s="15" t="str">
        <x:f>IF(ISNUMBER(C1402),C1402^4,"")</x:f>
      </x:c>
      <x:c r="G1402" s="7" t="str">
        <x:f>IF(ISNUMBER(B1402),ABS(B1402),"")</x:f>
      </x:c>
      <x:c r="H1402" s="7" t="str">
        <x:f>IF(ISNUMBER(B1402),B1402^2,"")</x:f>
      </x:c>
      <x:c r="I1402" s="7" t="str">
        <x:f>IF(AND(ISNUMBER(G1402),'요약'!$B$19),G1402-'요약'!$B$14,"")</x:f>
      </x:c>
      <x:c r="J1402" s="7" t="str">
        <x:f>IF(AND(ISNUMBER(H1402),'요약'!$B$19),H1402-'요약'!$B$15,"")</x:f>
      </x:c>
      <x:c r="K1402" t="str">
        <x:f>IF(ISNUMBER(B1402),IF('Hill'!$B$4=1,IF(B1402&lt;0,-B1402,""),IF('Hill'!$B$4=2,IF(B1402&gt;0,B1402,""),IF('Hill'!$B$4=3,IF(B1402&lt;&gt;0,ABS(B1402),""),""))),"")</x:f>
      </x:c>
    </x:row>
    <x:row r="1403">
      <x:c r="A1403" t="n">
        <x:f>1402</x:f>
        <x:v>1402</x:v>
      </x:c>
      <x:c r="B1403" s="7" t="str">
        <x:f>IF('요약'!$B$4=4,IF(ISNUMBER('input'!A1403),'input'!A1403,""),IF(1402&lt;=1000,CHOOSE('요약'!$B$4,'input'!B1403,'input'!C1403,'input'!D1403),""))</x:f>
      </x:c>
      <x:c r="C1403" s="7" t="str">
        <x:f>IF(AND(ISNUMBER(B1403),'요약'!$B$19),B1403-'요약'!$B$7,"")</x:f>
      </x:c>
      <x:c r="D1403" s="7" t="str">
        <x:f>IF(ISNUMBER(C1403),C1403^2,"")</x:f>
      </x:c>
      <x:c r="E1403" s="15" t="str">
        <x:f>IF(ISNUMBER(C1403),C1403^3,"")</x:f>
      </x:c>
      <x:c r="F1403" s="15" t="str">
        <x:f>IF(ISNUMBER(C1403),C1403^4,"")</x:f>
      </x:c>
      <x:c r="G1403" s="7" t="str">
        <x:f>IF(ISNUMBER(B1403),ABS(B1403),"")</x:f>
      </x:c>
      <x:c r="H1403" s="7" t="str">
        <x:f>IF(ISNUMBER(B1403),B1403^2,"")</x:f>
      </x:c>
      <x:c r="I1403" s="7" t="str">
        <x:f>IF(AND(ISNUMBER(G1403),'요약'!$B$19),G1403-'요약'!$B$14,"")</x:f>
      </x:c>
      <x:c r="J1403" s="7" t="str">
        <x:f>IF(AND(ISNUMBER(H1403),'요약'!$B$19),H1403-'요약'!$B$15,"")</x:f>
      </x:c>
      <x:c r="K1403" t="str">
        <x:f>IF(ISNUMBER(B1403),IF('Hill'!$B$4=1,IF(B1403&lt;0,-B1403,""),IF('Hill'!$B$4=2,IF(B1403&gt;0,B1403,""),IF('Hill'!$B$4=3,IF(B1403&lt;&gt;0,ABS(B1403),""),""))),"")</x:f>
      </x:c>
    </x:row>
    <x:row r="1404">
      <x:c r="A1404" t="n">
        <x:f>1403</x:f>
        <x:v>1403</x:v>
      </x:c>
      <x:c r="B1404" s="7" t="str">
        <x:f>IF('요약'!$B$4=4,IF(ISNUMBER('input'!A1404),'input'!A1404,""),IF(1403&lt;=1000,CHOOSE('요약'!$B$4,'input'!B1404,'input'!C1404,'input'!D1404),""))</x:f>
      </x:c>
      <x:c r="C1404" s="7" t="str">
        <x:f>IF(AND(ISNUMBER(B1404),'요약'!$B$19),B1404-'요약'!$B$7,"")</x:f>
      </x:c>
      <x:c r="D1404" s="7" t="str">
        <x:f>IF(ISNUMBER(C1404),C1404^2,"")</x:f>
      </x:c>
      <x:c r="E1404" s="15" t="str">
        <x:f>IF(ISNUMBER(C1404),C1404^3,"")</x:f>
      </x:c>
      <x:c r="F1404" s="15" t="str">
        <x:f>IF(ISNUMBER(C1404),C1404^4,"")</x:f>
      </x:c>
      <x:c r="G1404" s="7" t="str">
        <x:f>IF(ISNUMBER(B1404),ABS(B1404),"")</x:f>
      </x:c>
      <x:c r="H1404" s="7" t="str">
        <x:f>IF(ISNUMBER(B1404),B1404^2,"")</x:f>
      </x:c>
      <x:c r="I1404" s="7" t="str">
        <x:f>IF(AND(ISNUMBER(G1404),'요약'!$B$19),G1404-'요약'!$B$14,"")</x:f>
      </x:c>
      <x:c r="J1404" s="7" t="str">
        <x:f>IF(AND(ISNUMBER(H1404),'요약'!$B$19),H1404-'요약'!$B$15,"")</x:f>
      </x:c>
      <x:c r="K1404" t="str">
        <x:f>IF(ISNUMBER(B1404),IF('Hill'!$B$4=1,IF(B1404&lt;0,-B1404,""),IF('Hill'!$B$4=2,IF(B1404&gt;0,B1404,""),IF('Hill'!$B$4=3,IF(B1404&lt;&gt;0,ABS(B1404),""),""))),"")</x:f>
      </x:c>
    </x:row>
    <x:row r="1405">
      <x:c r="A1405" t="n">
        <x:f>1404</x:f>
        <x:v>1404</x:v>
      </x:c>
      <x:c r="B1405" s="7" t="str">
        <x:f>IF('요약'!$B$4=4,IF(ISNUMBER('input'!A1405),'input'!A1405,""),IF(1404&lt;=1000,CHOOSE('요약'!$B$4,'input'!B1405,'input'!C1405,'input'!D1405),""))</x:f>
      </x:c>
      <x:c r="C1405" s="7" t="str">
        <x:f>IF(AND(ISNUMBER(B1405),'요약'!$B$19),B1405-'요약'!$B$7,"")</x:f>
      </x:c>
      <x:c r="D1405" s="7" t="str">
        <x:f>IF(ISNUMBER(C1405),C1405^2,"")</x:f>
      </x:c>
      <x:c r="E1405" s="15" t="str">
        <x:f>IF(ISNUMBER(C1405),C1405^3,"")</x:f>
      </x:c>
      <x:c r="F1405" s="15" t="str">
        <x:f>IF(ISNUMBER(C1405),C1405^4,"")</x:f>
      </x:c>
      <x:c r="G1405" s="7" t="str">
        <x:f>IF(ISNUMBER(B1405),ABS(B1405),"")</x:f>
      </x:c>
      <x:c r="H1405" s="7" t="str">
        <x:f>IF(ISNUMBER(B1405),B1405^2,"")</x:f>
      </x:c>
      <x:c r="I1405" s="7" t="str">
        <x:f>IF(AND(ISNUMBER(G1405),'요약'!$B$19),G1405-'요약'!$B$14,"")</x:f>
      </x:c>
      <x:c r="J1405" s="7" t="str">
        <x:f>IF(AND(ISNUMBER(H1405),'요약'!$B$19),H1405-'요약'!$B$15,"")</x:f>
      </x:c>
      <x:c r="K1405" t="str">
        <x:f>IF(ISNUMBER(B1405),IF('Hill'!$B$4=1,IF(B1405&lt;0,-B1405,""),IF('Hill'!$B$4=2,IF(B1405&gt;0,B1405,""),IF('Hill'!$B$4=3,IF(B1405&lt;&gt;0,ABS(B1405),""),""))),"")</x:f>
      </x:c>
    </x:row>
    <x:row r="1406">
      <x:c r="A1406" t="n">
        <x:f>1405</x:f>
        <x:v>1405</x:v>
      </x:c>
      <x:c r="B1406" s="7" t="str">
        <x:f>IF('요약'!$B$4=4,IF(ISNUMBER('input'!A1406),'input'!A1406,""),IF(1405&lt;=1000,CHOOSE('요약'!$B$4,'input'!B1406,'input'!C1406,'input'!D1406),""))</x:f>
      </x:c>
      <x:c r="C1406" s="7" t="str">
        <x:f>IF(AND(ISNUMBER(B1406),'요약'!$B$19),B1406-'요약'!$B$7,"")</x:f>
      </x:c>
      <x:c r="D1406" s="7" t="str">
        <x:f>IF(ISNUMBER(C1406),C1406^2,"")</x:f>
      </x:c>
      <x:c r="E1406" s="15" t="str">
        <x:f>IF(ISNUMBER(C1406),C1406^3,"")</x:f>
      </x:c>
      <x:c r="F1406" s="15" t="str">
        <x:f>IF(ISNUMBER(C1406),C1406^4,"")</x:f>
      </x:c>
      <x:c r="G1406" s="7" t="str">
        <x:f>IF(ISNUMBER(B1406),ABS(B1406),"")</x:f>
      </x:c>
      <x:c r="H1406" s="7" t="str">
        <x:f>IF(ISNUMBER(B1406),B1406^2,"")</x:f>
      </x:c>
      <x:c r="I1406" s="7" t="str">
        <x:f>IF(AND(ISNUMBER(G1406),'요약'!$B$19),G1406-'요약'!$B$14,"")</x:f>
      </x:c>
      <x:c r="J1406" s="7" t="str">
        <x:f>IF(AND(ISNUMBER(H1406),'요약'!$B$19),H1406-'요약'!$B$15,"")</x:f>
      </x:c>
      <x:c r="K1406" t="str">
        <x:f>IF(ISNUMBER(B1406),IF('Hill'!$B$4=1,IF(B1406&lt;0,-B1406,""),IF('Hill'!$B$4=2,IF(B1406&gt;0,B1406,""),IF('Hill'!$B$4=3,IF(B1406&lt;&gt;0,ABS(B1406),""),""))),"")</x:f>
      </x:c>
    </x:row>
    <x:row r="1407">
      <x:c r="A1407" t="n">
        <x:f>1406</x:f>
        <x:v>1406</x:v>
      </x:c>
      <x:c r="B1407" s="7" t="str">
        <x:f>IF('요약'!$B$4=4,IF(ISNUMBER('input'!A1407),'input'!A1407,""),IF(1406&lt;=1000,CHOOSE('요약'!$B$4,'input'!B1407,'input'!C1407,'input'!D1407),""))</x:f>
      </x:c>
      <x:c r="C1407" s="7" t="str">
        <x:f>IF(AND(ISNUMBER(B1407),'요약'!$B$19),B1407-'요약'!$B$7,"")</x:f>
      </x:c>
      <x:c r="D1407" s="7" t="str">
        <x:f>IF(ISNUMBER(C1407),C1407^2,"")</x:f>
      </x:c>
      <x:c r="E1407" s="15" t="str">
        <x:f>IF(ISNUMBER(C1407),C1407^3,"")</x:f>
      </x:c>
      <x:c r="F1407" s="15" t="str">
        <x:f>IF(ISNUMBER(C1407),C1407^4,"")</x:f>
      </x:c>
      <x:c r="G1407" s="7" t="str">
        <x:f>IF(ISNUMBER(B1407),ABS(B1407),"")</x:f>
      </x:c>
      <x:c r="H1407" s="7" t="str">
        <x:f>IF(ISNUMBER(B1407),B1407^2,"")</x:f>
      </x:c>
      <x:c r="I1407" s="7" t="str">
        <x:f>IF(AND(ISNUMBER(G1407),'요약'!$B$19),G1407-'요약'!$B$14,"")</x:f>
      </x:c>
      <x:c r="J1407" s="7" t="str">
        <x:f>IF(AND(ISNUMBER(H1407),'요약'!$B$19),H1407-'요약'!$B$15,"")</x:f>
      </x:c>
      <x:c r="K1407" t="str">
        <x:f>IF(ISNUMBER(B1407),IF('Hill'!$B$4=1,IF(B1407&lt;0,-B1407,""),IF('Hill'!$B$4=2,IF(B1407&gt;0,B1407,""),IF('Hill'!$B$4=3,IF(B1407&lt;&gt;0,ABS(B1407),""),""))),"")</x:f>
      </x:c>
    </x:row>
    <x:row r="1408">
      <x:c r="A1408" t="n">
        <x:f>1407</x:f>
        <x:v>1407</x:v>
      </x:c>
      <x:c r="B1408" s="7" t="str">
        <x:f>IF('요약'!$B$4=4,IF(ISNUMBER('input'!A1408),'input'!A1408,""),IF(1407&lt;=1000,CHOOSE('요약'!$B$4,'input'!B1408,'input'!C1408,'input'!D1408),""))</x:f>
      </x:c>
      <x:c r="C1408" s="7" t="str">
        <x:f>IF(AND(ISNUMBER(B1408),'요약'!$B$19),B1408-'요약'!$B$7,"")</x:f>
      </x:c>
      <x:c r="D1408" s="7" t="str">
        <x:f>IF(ISNUMBER(C1408),C1408^2,"")</x:f>
      </x:c>
      <x:c r="E1408" s="15" t="str">
        <x:f>IF(ISNUMBER(C1408),C1408^3,"")</x:f>
      </x:c>
      <x:c r="F1408" s="15" t="str">
        <x:f>IF(ISNUMBER(C1408),C1408^4,"")</x:f>
      </x:c>
      <x:c r="G1408" s="7" t="str">
        <x:f>IF(ISNUMBER(B1408),ABS(B1408),"")</x:f>
      </x:c>
      <x:c r="H1408" s="7" t="str">
        <x:f>IF(ISNUMBER(B1408),B1408^2,"")</x:f>
      </x:c>
      <x:c r="I1408" s="7" t="str">
        <x:f>IF(AND(ISNUMBER(G1408),'요약'!$B$19),G1408-'요약'!$B$14,"")</x:f>
      </x:c>
      <x:c r="J1408" s="7" t="str">
        <x:f>IF(AND(ISNUMBER(H1408),'요약'!$B$19),H1408-'요약'!$B$15,"")</x:f>
      </x:c>
      <x:c r="K1408" t="str">
        <x:f>IF(ISNUMBER(B1408),IF('Hill'!$B$4=1,IF(B1408&lt;0,-B1408,""),IF('Hill'!$B$4=2,IF(B1408&gt;0,B1408,""),IF('Hill'!$B$4=3,IF(B1408&lt;&gt;0,ABS(B1408),""),""))),"")</x:f>
      </x:c>
    </x:row>
    <x:row r="1409">
      <x:c r="A1409" t="n">
        <x:f>1408</x:f>
        <x:v>1408</x:v>
      </x:c>
      <x:c r="B1409" s="7" t="str">
        <x:f>IF('요약'!$B$4=4,IF(ISNUMBER('input'!A1409),'input'!A1409,""),IF(1408&lt;=1000,CHOOSE('요약'!$B$4,'input'!B1409,'input'!C1409,'input'!D1409),""))</x:f>
      </x:c>
      <x:c r="C1409" s="7" t="str">
        <x:f>IF(AND(ISNUMBER(B1409),'요약'!$B$19),B1409-'요약'!$B$7,"")</x:f>
      </x:c>
      <x:c r="D1409" s="7" t="str">
        <x:f>IF(ISNUMBER(C1409),C1409^2,"")</x:f>
      </x:c>
      <x:c r="E1409" s="15" t="str">
        <x:f>IF(ISNUMBER(C1409),C1409^3,"")</x:f>
      </x:c>
      <x:c r="F1409" s="15" t="str">
        <x:f>IF(ISNUMBER(C1409),C1409^4,"")</x:f>
      </x:c>
      <x:c r="G1409" s="7" t="str">
        <x:f>IF(ISNUMBER(B1409),ABS(B1409),"")</x:f>
      </x:c>
      <x:c r="H1409" s="7" t="str">
        <x:f>IF(ISNUMBER(B1409),B1409^2,"")</x:f>
      </x:c>
      <x:c r="I1409" s="7" t="str">
        <x:f>IF(AND(ISNUMBER(G1409),'요약'!$B$19),G1409-'요약'!$B$14,"")</x:f>
      </x:c>
      <x:c r="J1409" s="7" t="str">
        <x:f>IF(AND(ISNUMBER(H1409),'요약'!$B$19),H1409-'요약'!$B$15,"")</x:f>
      </x:c>
      <x:c r="K1409" t="str">
        <x:f>IF(ISNUMBER(B1409),IF('Hill'!$B$4=1,IF(B1409&lt;0,-B1409,""),IF('Hill'!$B$4=2,IF(B1409&gt;0,B1409,""),IF('Hill'!$B$4=3,IF(B1409&lt;&gt;0,ABS(B1409),""),""))),"")</x:f>
      </x:c>
    </x:row>
    <x:row r="1410">
      <x:c r="A1410" t="n">
        <x:f>1409</x:f>
        <x:v>1409</x:v>
      </x:c>
      <x:c r="B1410" s="7" t="str">
        <x:f>IF('요약'!$B$4=4,IF(ISNUMBER('input'!A1410),'input'!A1410,""),IF(1409&lt;=1000,CHOOSE('요약'!$B$4,'input'!B1410,'input'!C1410,'input'!D1410),""))</x:f>
      </x:c>
      <x:c r="C1410" s="7" t="str">
        <x:f>IF(AND(ISNUMBER(B1410),'요약'!$B$19),B1410-'요약'!$B$7,"")</x:f>
      </x:c>
      <x:c r="D1410" s="7" t="str">
        <x:f>IF(ISNUMBER(C1410),C1410^2,"")</x:f>
      </x:c>
      <x:c r="E1410" s="15" t="str">
        <x:f>IF(ISNUMBER(C1410),C1410^3,"")</x:f>
      </x:c>
      <x:c r="F1410" s="15" t="str">
        <x:f>IF(ISNUMBER(C1410),C1410^4,"")</x:f>
      </x:c>
      <x:c r="G1410" s="7" t="str">
        <x:f>IF(ISNUMBER(B1410),ABS(B1410),"")</x:f>
      </x:c>
      <x:c r="H1410" s="7" t="str">
        <x:f>IF(ISNUMBER(B1410),B1410^2,"")</x:f>
      </x:c>
      <x:c r="I1410" s="7" t="str">
        <x:f>IF(AND(ISNUMBER(G1410),'요약'!$B$19),G1410-'요약'!$B$14,"")</x:f>
      </x:c>
      <x:c r="J1410" s="7" t="str">
        <x:f>IF(AND(ISNUMBER(H1410),'요약'!$B$19),H1410-'요약'!$B$15,"")</x:f>
      </x:c>
      <x:c r="K1410" t="str">
        <x:f>IF(ISNUMBER(B1410),IF('Hill'!$B$4=1,IF(B1410&lt;0,-B1410,""),IF('Hill'!$B$4=2,IF(B1410&gt;0,B1410,""),IF('Hill'!$B$4=3,IF(B1410&lt;&gt;0,ABS(B1410),""),""))),"")</x:f>
      </x:c>
    </x:row>
    <x:row r="1411">
      <x:c r="A1411" t="n">
        <x:f>1410</x:f>
        <x:v>1410</x:v>
      </x:c>
      <x:c r="B1411" s="7" t="str">
        <x:f>IF('요약'!$B$4=4,IF(ISNUMBER('input'!A1411),'input'!A1411,""),IF(1410&lt;=1000,CHOOSE('요약'!$B$4,'input'!B1411,'input'!C1411,'input'!D1411),""))</x:f>
      </x:c>
      <x:c r="C1411" s="7" t="str">
        <x:f>IF(AND(ISNUMBER(B1411),'요약'!$B$19),B1411-'요약'!$B$7,"")</x:f>
      </x:c>
      <x:c r="D1411" s="7" t="str">
        <x:f>IF(ISNUMBER(C1411),C1411^2,"")</x:f>
      </x:c>
      <x:c r="E1411" s="15" t="str">
        <x:f>IF(ISNUMBER(C1411),C1411^3,"")</x:f>
      </x:c>
      <x:c r="F1411" s="15" t="str">
        <x:f>IF(ISNUMBER(C1411),C1411^4,"")</x:f>
      </x:c>
      <x:c r="G1411" s="7" t="str">
        <x:f>IF(ISNUMBER(B1411),ABS(B1411),"")</x:f>
      </x:c>
      <x:c r="H1411" s="7" t="str">
        <x:f>IF(ISNUMBER(B1411),B1411^2,"")</x:f>
      </x:c>
      <x:c r="I1411" s="7" t="str">
        <x:f>IF(AND(ISNUMBER(G1411),'요약'!$B$19),G1411-'요약'!$B$14,"")</x:f>
      </x:c>
      <x:c r="J1411" s="7" t="str">
        <x:f>IF(AND(ISNUMBER(H1411),'요약'!$B$19),H1411-'요약'!$B$15,"")</x:f>
      </x:c>
      <x:c r="K1411" t="str">
        <x:f>IF(ISNUMBER(B1411),IF('Hill'!$B$4=1,IF(B1411&lt;0,-B1411,""),IF('Hill'!$B$4=2,IF(B1411&gt;0,B1411,""),IF('Hill'!$B$4=3,IF(B1411&lt;&gt;0,ABS(B1411),""),""))),"")</x:f>
      </x:c>
    </x:row>
    <x:row r="1412">
      <x:c r="A1412" t="n">
        <x:f>1411</x:f>
        <x:v>1411</x:v>
      </x:c>
      <x:c r="B1412" s="7" t="str">
        <x:f>IF('요약'!$B$4=4,IF(ISNUMBER('input'!A1412),'input'!A1412,""),IF(1411&lt;=1000,CHOOSE('요약'!$B$4,'input'!B1412,'input'!C1412,'input'!D1412),""))</x:f>
      </x:c>
      <x:c r="C1412" s="7" t="str">
        <x:f>IF(AND(ISNUMBER(B1412),'요약'!$B$19),B1412-'요약'!$B$7,"")</x:f>
      </x:c>
      <x:c r="D1412" s="7" t="str">
        <x:f>IF(ISNUMBER(C1412),C1412^2,"")</x:f>
      </x:c>
      <x:c r="E1412" s="15" t="str">
        <x:f>IF(ISNUMBER(C1412),C1412^3,"")</x:f>
      </x:c>
      <x:c r="F1412" s="15" t="str">
        <x:f>IF(ISNUMBER(C1412),C1412^4,"")</x:f>
      </x:c>
      <x:c r="G1412" s="7" t="str">
        <x:f>IF(ISNUMBER(B1412),ABS(B1412),"")</x:f>
      </x:c>
      <x:c r="H1412" s="7" t="str">
        <x:f>IF(ISNUMBER(B1412),B1412^2,"")</x:f>
      </x:c>
      <x:c r="I1412" s="7" t="str">
        <x:f>IF(AND(ISNUMBER(G1412),'요약'!$B$19),G1412-'요약'!$B$14,"")</x:f>
      </x:c>
      <x:c r="J1412" s="7" t="str">
        <x:f>IF(AND(ISNUMBER(H1412),'요약'!$B$19),H1412-'요약'!$B$15,"")</x:f>
      </x:c>
      <x:c r="K1412" t="str">
        <x:f>IF(ISNUMBER(B1412),IF('Hill'!$B$4=1,IF(B1412&lt;0,-B1412,""),IF('Hill'!$B$4=2,IF(B1412&gt;0,B1412,""),IF('Hill'!$B$4=3,IF(B1412&lt;&gt;0,ABS(B1412),""),""))),"")</x:f>
      </x:c>
    </x:row>
    <x:row r="1413">
      <x:c r="A1413" t="n">
        <x:f>1412</x:f>
        <x:v>1412</x:v>
      </x:c>
      <x:c r="B1413" s="7" t="str">
        <x:f>IF('요약'!$B$4=4,IF(ISNUMBER('input'!A1413),'input'!A1413,""),IF(1412&lt;=1000,CHOOSE('요약'!$B$4,'input'!B1413,'input'!C1413,'input'!D1413),""))</x:f>
      </x:c>
      <x:c r="C1413" s="7" t="str">
        <x:f>IF(AND(ISNUMBER(B1413),'요약'!$B$19),B1413-'요약'!$B$7,"")</x:f>
      </x:c>
      <x:c r="D1413" s="7" t="str">
        <x:f>IF(ISNUMBER(C1413),C1413^2,"")</x:f>
      </x:c>
      <x:c r="E1413" s="15" t="str">
        <x:f>IF(ISNUMBER(C1413),C1413^3,"")</x:f>
      </x:c>
      <x:c r="F1413" s="15" t="str">
        <x:f>IF(ISNUMBER(C1413),C1413^4,"")</x:f>
      </x:c>
      <x:c r="G1413" s="7" t="str">
        <x:f>IF(ISNUMBER(B1413),ABS(B1413),"")</x:f>
      </x:c>
      <x:c r="H1413" s="7" t="str">
        <x:f>IF(ISNUMBER(B1413),B1413^2,"")</x:f>
      </x:c>
      <x:c r="I1413" s="7" t="str">
        <x:f>IF(AND(ISNUMBER(G1413),'요약'!$B$19),G1413-'요약'!$B$14,"")</x:f>
      </x:c>
      <x:c r="J1413" s="7" t="str">
        <x:f>IF(AND(ISNUMBER(H1413),'요약'!$B$19),H1413-'요약'!$B$15,"")</x:f>
      </x:c>
      <x:c r="K1413" t="str">
        <x:f>IF(ISNUMBER(B1413),IF('Hill'!$B$4=1,IF(B1413&lt;0,-B1413,""),IF('Hill'!$B$4=2,IF(B1413&gt;0,B1413,""),IF('Hill'!$B$4=3,IF(B1413&lt;&gt;0,ABS(B1413),""),""))),"")</x:f>
      </x:c>
    </x:row>
    <x:row r="1414">
      <x:c r="A1414" t="n">
        <x:f>1413</x:f>
        <x:v>1413</x:v>
      </x:c>
      <x:c r="B1414" s="7" t="str">
        <x:f>IF('요약'!$B$4=4,IF(ISNUMBER('input'!A1414),'input'!A1414,""),IF(1413&lt;=1000,CHOOSE('요약'!$B$4,'input'!B1414,'input'!C1414,'input'!D1414),""))</x:f>
      </x:c>
      <x:c r="C1414" s="7" t="str">
        <x:f>IF(AND(ISNUMBER(B1414),'요약'!$B$19),B1414-'요약'!$B$7,"")</x:f>
      </x:c>
      <x:c r="D1414" s="7" t="str">
        <x:f>IF(ISNUMBER(C1414),C1414^2,"")</x:f>
      </x:c>
      <x:c r="E1414" s="15" t="str">
        <x:f>IF(ISNUMBER(C1414),C1414^3,"")</x:f>
      </x:c>
      <x:c r="F1414" s="15" t="str">
        <x:f>IF(ISNUMBER(C1414),C1414^4,"")</x:f>
      </x:c>
      <x:c r="G1414" s="7" t="str">
        <x:f>IF(ISNUMBER(B1414),ABS(B1414),"")</x:f>
      </x:c>
      <x:c r="H1414" s="7" t="str">
        <x:f>IF(ISNUMBER(B1414),B1414^2,"")</x:f>
      </x:c>
      <x:c r="I1414" s="7" t="str">
        <x:f>IF(AND(ISNUMBER(G1414),'요약'!$B$19),G1414-'요약'!$B$14,"")</x:f>
      </x:c>
      <x:c r="J1414" s="7" t="str">
        <x:f>IF(AND(ISNUMBER(H1414),'요약'!$B$19),H1414-'요약'!$B$15,"")</x:f>
      </x:c>
      <x:c r="K1414" t="str">
        <x:f>IF(ISNUMBER(B1414),IF('Hill'!$B$4=1,IF(B1414&lt;0,-B1414,""),IF('Hill'!$B$4=2,IF(B1414&gt;0,B1414,""),IF('Hill'!$B$4=3,IF(B1414&lt;&gt;0,ABS(B1414),""),""))),"")</x:f>
      </x:c>
    </x:row>
    <x:row r="1415">
      <x:c r="A1415" t="n">
        <x:f>1414</x:f>
        <x:v>1414</x:v>
      </x:c>
      <x:c r="B1415" s="7" t="str">
        <x:f>IF('요약'!$B$4=4,IF(ISNUMBER('input'!A1415),'input'!A1415,""),IF(1414&lt;=1000,CHOOSE('요약'!$B$4,'input'!B1415,'input'!C1415,'input'!D1415),""))</x:f>
      </x:c>
      <x:c r="C1415" s="7" t="str">
        <x:f>IF(AND(ISNUMBER(B1415),'요약'!$B$19),B1415-'요약'!$B$7,"")</x:f>
      </x:c>
      <x:c r="D1415" s="7" t="str">
        <x:f>IF(ISNUMBER(C1415),C1415^2,"")</x:f>
      </x:c>
      <x:c r="E1415" s="15" t="str">
        <x:f>IF(ISNUMBER(C1415),C1415^3,"")</x:f>
      </x:c>
      <x:c r="F1415" s="15" t="str">
        <x:f>IF(ISNUMBER(C1415),C1415^4,"")</x:f>
      </x:c>
      <x:c r="G1415" s="7" t="str">
        <x:f>IF(ISNUMBER(B1415),ABS(B1415),"")</x:f>
      </x:c>
      <x:c r="H1415" s="7" t="str">
        <x:f>IF(ISNUMBER(B1415),B1415^2,"")</x:f>
      </x:c>
      <x:c r="I1415" s="7" t="str">
        <x:f>IF(AND(ISNUMBER(G1415),'요약'!$B$19),G1415-'요약'!$B$14,"")</x:f>
      </x:c>
      <x:c r="J1415" s="7" t="str">
        <x:f>IF(AND(ISNUMBER(H1415),'요약'!$B$19),H1415-'요약'!$B$15,"")</x:f>
      </x:c>
      <x:c r="K1415" t="str">
        <x:f>IF(ISNUMBER(B1415),IF('Hill'!$B$4=1,IF(B1415&lt;0,-B1415,""),IF('Hill'!$B$4=2,IF(B1415&gt;0,B1415,""),IF('Hill'!$B$4=3,IF(B1415&lt;&gt;0,ABS(B1415),""),""))),"")</x:f>
      </x:c>
    </x:row>
    <x:row r="1416">
      <x:c r="A1416" t="n">
        <x:f>1415</x:f>
        <x:v>1415</x:v>
      </x:c>
      <x:c r="B1416" s="7" t="str">
        <x:f>IF('요약'!$B$4=4,IF(ISNUMBER('input'!A1416),'input'!A1416,""),IF(1415&lt;=1000,CHOOSE('요약'!$B$4,'input'!B1416,'input'!C1416,'input'!D1416),""))</x:f>
      </x:c>
      <x:c r="C1416" s="7" t="str">
        <x:f>IF(AND(ISNUMBER(B1416),'요약'!$B$19),B1416-'요약'!$B$7,"")</x:f>
      </x:c>
      <x:c r="D1416" s="7" t="str">
        <x:f>IF(ISNUMBER(C1416),C1416^2,"")</x:f>
      </x:c>
      <x:c r="E1416" s="15" t="str">
        <x:f>IF(ISNUMBER(C1416),C1416^3,"")</x:f>
      </x:c>
      <x:c r="F1416" s="15" t="str">
        <x:f>IF(ISNUMBER(C1416),C1416^4,"")</x:f>
      </x:c>
      <x:c r="G1416" s="7" t="str">
        <x:f>IF(ISNUMBER(B1416),ABS(B1416),"")</x:f>
      </x:c>
      <x:c r="H1416" s="7" t="str">
        <x:f>IF(ISNUMBER(B1416),B1416^2,"")</x:f>
      </x:c>
      <x:c r="I1416" s="7" t="str">
        <x:f>IF(AND(ISNUMBER(G1416),'요약'!$B$19),G1416-'요약'!$B$14,"")</x:f>
      </x:c>
      <x:c r="J1416" s="7" t="str">
        <x:f>IF(AND(ISNUMBER(H1416),'요약'!$B$19),H1416-'요약'!$B$15,"")</x:f>
      </x:c>
      <x:c r="K1416" t="str">
        <x:f>IF(ISNUMBER(B1416),IF('Hill'!$B$4=1,IF(B1416&lt;0,-B1416,""),IF('Hill'!$B$4=2,IF(B1416&gt;0,B1416,""),IF('Hill'!$B$4=3,IF(B1416&lt;&gt;0,ABS(B1416),""),""))),"")</x:f>
      </x:c>
    </x:row>
    <x:row r="1417">
      <x:c r="A1417" t="n">
        <x:f>1416</x:f>
        <x:v>1416</x:v>
      </x:c>
      <x:c r="B1417" s="7" t="str">
        <x:f>IF('요약'!$B$4=4,IF(ISNUMBER('input'!A1417),'input'!A1417,""),IF(1416&lt;=1000,CHOOSE('요약'!$B$4,'input'!B1417,'input'!C1417,'input'!D1417),""))</x:f>
      </x:c>
      <x:c r="C1417" s="7" t="str">
        <x:f>IF(AND(ISNUMBER(B1417),'요약'!$B$19),B1417-'요약'!$B$7,"")</x:f>
      </x:c>
      <x:c r="D1417" s="7" t="str">
        <x:f>IF(ISNUMBER(C1417),C1417^2,"")</x:f>
      </x:c>
      <x:c r="E1417" s="15" t="str">
        <x:f>IF(ISNUMBER(C1417),C1417^3,"")</x:f>
      </x:c>
      <x:c r="F1417" s="15" t="str">
        <x:f>IF(ISNUMBER(C1417),C1417^4,"")</x:f>
      </x:c>
      <x:c r="G1417" s="7" t="str">
        <x:f>IF(ISNUMBER(B1417),ABS(B1417),"")</x:f>
      </x:c>
      <x:c r="H1417" s="7" t="str">
        <x:f>IF(ISNUMBER(B1417),B1417^2,"")</x:f>
      </x:c>
      <x:c r="I1417" s="7" t="str">
        <x:f>IF(AND(ISNUMBER(G1417),'요약'!$B$19),G1417-'요약'!$B$14,"")</x:f>
      </x:c>
      <x:c r="J1417" s="7" t="str">
        <x:f>IF(AND(ISNUMBER(H1417),'요약'!$B$19),H1417-'요약'!$B$15,"")</x:f>
      </x:c>
      <x:c r="K1417" t="str">
        <x:f>IF(ISNUMBER(B1417),IF('Hill'!$B$4=1,IF(B1417&lt;0,-B1417,""),IF('Hill'!$B$4=2,IF(B1417&gt;0,B1417,""),IF('Hill'!$B$4=3,IF(B1417&lt;&gt;0,ABS(B1417),""),""))),"")</x:f>
      </x:c>
    </x:row>
    <x:row r="1418">
      <x:c r="A1418" t="n">
        <x:f>1417</x:f>
        <x:v>1417</x:v>
      </x:c>
      <x:c r="B1418" s="7" t="str">
        <x:f>IF('요약'!$B$4=4,IF(ISNUMBER('input'!A1418),'input'!A1418,""),IF(1417&lt;=1000,CHOOSE('요약'!$B$4,'input'!B1418,'input'!C1418,'input'!D1418),""))</x:f>
      </x:c>
      <x:c r="C1418" s="7" t="str">
        <x:f>IF(AND(ISNUMBER(B1418),'요약'!$B$19),B1418-'요약'!$B$7,"")</x:f>
      </x:c>
      <x:c r="D1418" s="7" t="str">
        <x:f>IF(ISNUMBER(C1418),C1418^2,"")</x:f>
      </x:c>
      <x:c r="E1418" s="15" t="str">
        <x:f>IF(ISNUMBER(C1418),C1418^3,"")</x:f>
      </x:c>
      <x:c r="F1418" s="15" t="str">
        <x:f>IF(ISNUMBER(C1418),C1418^4,"")</x:f>
      </x:c>
      <x:c r="G1418" s="7" t="str">
        <x:f>IF(ISNUMBER(B1418),ABS(B1418),"")</x:f>
      </x:c>
      <x:c r="H1418" s="7" t="str">
        <x:f>IF(ISNUMBER(B1418),B1418^2,"")</x:f>
      </x:c>
      <x:c r="I1418" s="7" t="str">
        <x:f>IF(AND(ISNUMBER(G1418),'요약'!$B$19),G1418-'요약'!$B$14,"")</x:f>
      </x:c>
      <x:c r="J1418" s="7" t="str">
        <x:f>IF(AND(ISNUMBER(H1418),'요약'!$B$19),H1418-'요약'!$B$15,"")</x:f>
      </x:c>
      <x:c r="K1418" t="str">
        <x:f>IF(ISNUMBER(B1418),IF('Hill'!$B$4=1,IF(B1418&lt;0,-B1418,""),IF('Hill'!$B$4=2,IF(B1418&gt;0,B1418,""),IF('Hill'!$B$4=3,IF(B1418&lt;&gt;0,ABS(B1418),""),""))),"")</x:f>
      </x:c>
    </x:row>
    <x:row r="1419">
      <x:c r="A1419" t="n">
        <x:f>1418</x:f>
        <x:v>1418</x:v>
      </x:c>
      <x:c r="B1419" s="7" t="str">
        <x:f>IF('요약'!$B$4=4,IF(ISNUMBER('input'!A1419),'input'!A1419,""),IF(1418&lt;=1000,CHOOSE('요약'!$B$4,'input'!B1419,'input'!C1419,'input'!D1419),""))</x:f>
      </x:c>
      <x:c r="C1419" s="7" t="str">
        <x:f>IF(AND(ISNUMBER(B1419),'요약'!$B$19),B1419-'요약'!$B$7,"")</x:f>
      </x:c>
      <x:c r="D1419" s="7" t="str">
        <x:f>IF(ISNUMBER(C1419),C1419^2,"")</x:f>
      </x:c>
      <x:c r="E1419" s="15" t="str">
        <x:f>IF(ISNUMBER(C1419),C1419^3,"")</x:f>
      </x:c>
      <x:c r="F1419" s="15" t="str">
        <x:f>IF(ISNUMBER(C1419),C1419^4,"")</x:f>
      </x:c>
      <x:c r="G1419" s="7" t="str">
        <x:f>IF(ISNUMBER(B1419),ABS(B1419),"")</x:f>
      </x:c>
      <x:c r="H1419" s="7" t="str">
        <x:f>IF(ISNUMBER(B1419),B1419^2,"")</x:f>
      </x:c>
      <x:c r="I1419" s="7" t="str">
        <x:f>IF(AND(ISNUMBER(G1419),'요약'!$B$19),G1419-'요약'!$B$14,"")</x:f>
      </x:c>
      <x:c r="J1419" s="7" t="str">
        <x:f>IF(AND(ISNUMBER(H1419),'요약'!$B$19),H1419-'요약'!$B$15,"")</x:f>
      </x:c>
      <x:c r="K1419" t="str">
        <x:f>IF(ISNUMBER(B1419),IF('Hill'!$B$4=1,IF(B1419&lt;0,-B1419,""),IF('Hill'!$B$4=2,IF(B1419&gt;0,B1419,""),IF('Hill'!$B$4=3,IF(B1419&lt;&gt;0,ABS(B1419),""),""))),"")</x:f>
      </x:c>
    </x:row>
    <x:row r="1420">
      <x:c r="A1420" t="n">
        <x:f>1419</x:f>
        <x:v>1419</x:v>
      </x:c>
      <x:c r="B1420" s="7" t="str">
        <x:f>IF('요약'!$B$4=4,IF(ISNUMBER('input'!A1420),'input'!A1420,""),IF(1419&lt;=1000,CHOOSE('요약'!$B$4,'input'!B1420,'input'!C1420,'input'!D1420),""))</x:f>
      </x:c>
      <x:c r="C1420" s="7" t="str">
        <x:f>IF(AND(ISNUMBER(B1420),'요약'!$B$19),B1420-'요약'!$B$7,"")</x:f>
      </x:c>
      <x:c r="D1420" s="7" t="str">
        <x:f>IF(ISNUMBER(C1420),C1420^2,"")</x:f>
      </x:c>
      <x:c r="E1420" s="15" t="str">
        <x:f>IF(ISNUMBER(C1420),C1420^3,"")</x:f>
      </x:c>
      <x:c r="F1420" s="15" t="str">
        <x:f>IF(ISNUMBER(C1420),C1420^4,"")</x:f>
      </x:c>
      <x:c r="G1420" s="7" t="str">
        <x:f>IF(ISNUMBER(B1420),ABS(B1420),"")</x:f>
      </x:c>
      <x:c r="H1420" s="7" t="str">
        <x:f>IF(ISNUMBER(B1420),B1420^2,"")</x:f>
      </x:c>
      <x:c r="I1420" s="7" t="str">
        <x:f>IF(AND(ISNUMBER(G1420),'요약'!$B$19),G1420-'요약'!$B$14,"")</x:f>
      </x:c>
      <x:c r="J1420" s="7" t="str">
        <x:f>IF(AND(ISNUMBER(H1420),'요약'!$B$19),H1420-'요약'!$B$15,"")</x:f>
      </x:c>
      <x:c r="K1420" t="str">
        <x:f>IF(ISNUMBER(B1420),IF('Hill'!$B$4=1,IF(B1420&lt;0,-B1420,""),IF('Hill'!$B$4=2,IF(B1420&gt;0,B1420,""),IF('Hill'!$B$4=3,IF(B1420&lt;&gt;0,ABS(B1420),""),""))),"")</x:f>
      </x:c>
    </x:row>
    <x:row r="1421">
      <x:c r="A1421" t="n">
        <x:f>1420</x:f>
        <x:v>1420</x:v>
      </x:c>
      <x:c r="B1421" s="7" t="str">
        <x:f>IF('요약'!$B$4=4,IF(ISNUMBER('input'!A1421),'input'!A1421,""),IF(1420&lt;=1000,CHOOSE('요약'!$B$4,'input'!B1421,'input'!C1421,'input'!D1421),""))</x:f>
      </x:c>
      <x:c r="C1421" s="7" t="str">
        <x:f>IF(AND(ISNUMBER(B1421),'요약'!$B$19),B1421-'요약'!$B$7,"")</x:f>
      </x:c>
      <x:c r="D1421" s="7" t="str">
        <x:f>IF(ISNUMBER(C1421),C1421^2,"")</x:f>
      </x:c>
      <x:c r="E1421" s="15" t="str">
        <x:f>IF(ISNUMBER(C1421),C1421^3,"")</x:f>
      </x:c>
      <x:c r="F1421" s="15" t="str">
        <x:f>IF(ISNUMBER(C1421),C1421^4,"")</x:f>
      </x:c>
      <x:c r="G1421" s="7" t="str">
        <x:f>IF(ISNUMBER(B1421),ABS(B1421),"")</x:f>
      </x:c>
      <x:c r="H1421" s="7" t="str">
        <x:f>IF(ISNUMBER(B1421),B1421^2,"")</x:f>
      </x:c>
      <x:c r="I1421" s="7" t="str">
        <x:f>IF(AND(ISNUMBER(G1421),'요약'!$B$19),G1421-'요약'!$B$14,"")</x:f>
      </x:c>
      <x:c r="J1421" s="7" t="str">
        <x:f>IF(AND(ISNUMBER(H1421),'요약'!$B$19),H1421-'요약'!$B$15,"")</x:f>
      </x:c>
      <x:c r="K1421" t="str">
        <x:f>IF(ISNUMBER(B1421),IF('Hill'!$B$4=1,IF(B1421&lt;0,-B1421,""),IF('Hill'!$B$4=2,IF(B1421&gt;0,B1421,""),IF('Hill'!$B$4=3,IF(B1421&lt;&gt;0,ABS(B1421),""),""))),"")</x:f>
      </x:c>
    </x:row>
    <x:row r="1422">
      <x:c r="A1422" t="n">
        <x:f>1421</x:f>
        <x:v>1421</x:v>
      </x:c>
      <x:c r="B1422" s="7" t="str">
        <x:f>IF('요약'!$B$4=4,IF(ISNUMBER('input'!A1422),'input'!A1422,""),IF(1421&lt;=1000,CHOOSE('요약'!$B$4,'input'!B1422,'input'!C1422,'input'!D1422),""))</x:f>
      </x:c>
      <x:c r="C1422" s="7" t="str">
        <x:f>IF(AND(ISNUMBER(B1422),'요약'!$B$19),B1422-'요약'!$B$7,"")</x:f>
      </x:c>
      <x:c r="D1422" s="7" t="str">
        <x:f>IF(ISNUMBER(C1422),C1422^2,"")</x:f>
      </x:c>
      <x:c r="E1422" s="15" t="str">
        <x:f>IF(ISNUMBER(C1422),C1422^3,"")</x:f>
      </x:c>
      <x:c r="F1422" s="15" t="str">
        <x:f>IF(ISNUMBER(C1422),C1422^4,"")</x:f>
      </x:c>
      <x:c r="G1422" s="7" t="str">
        <x:f>IF(ISNUMBER(B1422),ABS(B1422),"")</x:f>
      </x:c>
      <x:c r="H1422" s="7" t="str">
        <x:f>IF(ISNUMBER(B1422),B1422^2,"")</x:f>
      </x:c>
      <x:c r="I1422" s="7" t="str">
        <x:f>IF(AND(ISNUMBER(G1422),'요약'!$B$19),G1422-'요약'!$B$14,"")</x:f>
      </x:c>
      <x:c r="J1422" s="7" t="str">
        <x:f>IF(AND(ISNUMBER(H1422),'요약'!$B$19),H1422-'요약'!$B$15,"")</x:f>
      </x:c>
      <x:c r="K1422" t="str">
        <x:f>IF(ISNUMBER(B1422),IF('Hill'!$B$4=1,IF(B1422&lt;0,-B1422,""),IF('Hill'!$B$4=2,IF(B1422&gt;0,B1422,""),IF('Hill'!$B$4=3,IF(B1422&lt;&gt;0,ABS(B1422),""),""))),"")</x:f>
      </x:c>
    </x:row>
    <x:row r="1423">
      <x:c r="A1423" t="n">
        <x:f>1422</x:f>
        <x:v>1422</x:v>
      </x:c>
      <x:c r="B1423" s="7" t="str">
        <x:f>IF('요약'!$B$4=4,IF(ISNUMBER('input'!A1423),'input'!A1423,""),IF(1422&lt;=1000,CHOOSE('요약'!$B$4,'input'!B1423,'input'!C1423,'input'!D1423),""))</x:f>
      </x:c>
      <x:c r="C1423" s="7" t="str">
        <x:f>IF(AND(ISNUMBER(B1423),'요약'!$B$19),B1423-'요약'!$B$7,"")</x:f>
      </x:c>
      <x:c r="D1423" s="7" t="str">
        <x:f>IF(ISNUMBER(C1423),C1423^2,"")</x:f>
      </x:c>
      <x:c r="E1423" s="15" t="str">
        <x:f>IF(ISNUMBER(C1423),C1423^3,"")</x:f>
      </x:c>
      <x:c r="F1423" s="15" t="str">
        <x:f>IF(ISNUMBER(C1423),C1423^4,"")</x:f>
      </x:c>
      <x:c r="G1423" s="7" t="str">
        <x:f>IF(ISNUMBER(B1423),ABS(B1423),"")</x:f>
      </x:c>
      <x:c r="H1423" s="7" t="str">
        <x:f>IF(ISNUMBER(B1423),B1423^2,"")</x:f>
      </x:c>
      <x:c r="I1423" s="7" t="str">
        <x:f>IF(AND(ISNUMBER(G1423),'요약'!$B$19),G1423-'요약'!$B$14,"")</x:f>
      </x:c>
      <x:c r="J1423" s="7" t="str">
        <x:f>IF(AND(ISNUMBER(H1423),'요약'!$B$19),H1423-'요약'!$B$15,"")</x:f>
      </x:c>
      <x:c r="K1423" t="str">
        <x:f>IF(ISNUMBER(B1423),IF('Hill'!$B$4=1,IF(B1423&lt;0,-B1423,""),IF('Hill'!$B$4=2,IF(B1423&gt;0,B1423,""),IF('Hill'!$B$4=3,IF(B1423&lt;&gt;0,ABS(B1423),""),""))),"")</x:f>
      </x:c>
    </x:row>
    <x:row r="1424">
      <x:c r="A1424" t="n">
        <x:f>1423</x:f>
        <x:v>1423</x:v>
      </x:c>
      <x:c r="B1424" s="7" t="str">
        <x:f>IF('요약'!$B$4=4,IF(ISNUMBER('input'!A1424),'input'!A1424,""),IF(1423&lt;=1000,CHOOSE('요약'!$B$4,'input'!B1424,'input'!C1424,'input'!D1424),""))</x:f>
      </x:c>
      <x:c r="C1424" s="7" t="str">
        <x:f>IF(AND(ISNUMBER(B1424),'요약'!$B$19),B1424-'요약'!$B$7,"")</x:f>
      </x:c>
      <x:c r="D1424" s="7" t="str">
        <x:f>IF(ISNUMBER(C1424),C1424^2,"")</x:f>
      </x:c>
      <x:c r="E1424" s="15" t="str">
        <x:f>IF(ISNUMBER(C1424),C1424^3,"")</x:f>
      </x:c>
      <x:c r="F1424" s="15" t="str">
        <x:f>IF(ISNUMBER(C1424),C1424^4,"")</x:f>
      </x:c>
      <x:c r="G1424" s="7" t="str">
        <x:f>IF(ISNUMBER(B1424),ABS(B1424),"")</x:f>
      </x:c>
      <x:c r="H1424" s="7" t="str">
        <x:f>IF(ISNUMBER(B1424),B1424^2,"")</x:f>
      </x:c>
      <x:c r="I1424" s="7" t="str">
        <x:f>IF(AND(ISNUMBER(G1424),'요약'!$B$19),G1424-'요약'!$B$14,"")</x:f>
      </x:c>
      <x:c r="J1424" s="7" t="str">
        <x:f>IF(AND(ISNUMBER(H1424),'요약'!$B$19),H1424-'요약'!$B$15,"")</x:f>
      </x:c>
      <x:c r="K1424" t="str">
        <x:f>IF(ISNUMBER(B1424),IF('Hill'!$B$4=1,IF(B1424&lt;0,-B1424,""),IF('Hill'!$B$4=2,IF(B1424&gt;0,B1424,""),IF('Hill'!$B$4=3,IF(B1424&lt;&gt;0,ABS(B1424),""),""))),"")</x:f>
      </x:c>
    </x:row>
    <x:row r="1425">
      <x:c r="A1425" t="n">
        <x:f>1424</x:f>
        <x:v>1424</x:v>
      </x:c>
      <x:c r="B1425" s="7" t="str">
        <x:f>IF('요약'!$B$4=4,IF(ISNUMBER('input'!A1425),'input'!A1425,""),IF(1424&lt;=1000,CHOOSE('요약'!$B$4,'input'!B1425,'input'!C1425,'input'!D1425),""))</x:f>
      </x:c>
      <x:c r="C1425" s="7" t="str">
        <x:f>IF(AND(ISNUMBER(B1425),'요약'!$B$19),B1425-'요약'!$B$7,"")</x:f>
      </x:c>
      <x:c r="D1425" s="7" t="str">
        <x:f>IF(ISNUMBER(C1425),C1425^2,"")</x:f>
      </x:c>
      <x:c r="E1425" s="15" t="str">
        <x:f>IF(ISNUMBER(C1425),C1425^3,"")</x:f>
      </x:c>
      <x:c r="F1425" s="15" t="str">
        <x:f>IF(ISNUMBER(C1425),C1425^4,"")</x:f>
      </x:c>
      <x:c r="G1425" s="7" t="str">
        <x:f>IF(ISNUMBER(B1425),ABS(B1425),"")</x:f>
      </x:c>
      <x:c r="H1425" s="7" t="str">
        <x:f>IF(ISNUMBER(B1425),B1425^2,"")</x:f>
      </x:c>
      <x:c r="I1425" s="7" t="str">
        <x:f>IF(AND(ISNUMBER(G1425),'요약'!$B$19),G1425-'요약'!$B$14,"")</x:f>
      </x:c>
      <x:c r="J1425" s="7" t="str">
        <x:f>IF(AND(ISNUMBER(H1425),'요약'!$B$19),H1425-'요약'!$B$15,"")</x:f>
      </x:c>
      <x:c r="K1425" t="str">
        <x:f>IF(ISNUMBER(B1425),IF('Hill'!$B$4=1,IF(B1425&lt;0,-B1425,""),IF('Hill'!$B$4=2,IF(B1425&gt;0,B1425,""),IF('Hill'!$B$4=3,IF(B1425&lt;&gt;0,ABS(B1425),""),""))),"")</x:f>
      </x:c>
    </x:row>
    <x:row r="1426">
      <x:c r="A1426" t="n">
        <x:f>1425</x:f>
        <x:v>1425</x:v>
      </x:c>
      <x:c r="B1426" s="7" t="str">
        <x:f>IF('요약'!$B$4=4,IF(ISNUMBER('input'!A1426),'input'!A1426,""),IF(1425&lt;=1000,CHOOSE('요약'!$B$4,'input'!B1426,'input'!C1426,'input'!D1426),""))</x:f>
      </x:c>
      <x:c r="C1426" s="7" t="str">
        <x:f>IF(AND(ISNUMBER(B1426),'요약'!$B$19),B1426-'요약'!$B$7,"")</x:f>
      </x:c>
      <x:c r="D1426" s="7" t="str">
        <x:f>IF(ISNUMBER(C1426),C1426^2,"")</x:f>
      </x:c>
      <x:c r="E1426" s="15" t="str">
        <x:f>IF(ISNUMBER(C1426),C1426^3,"")</x:f>
      </x:c>
      <x:c r="F1426" s="15" t="str">
        <x:f>IF(ISNUMBER(C1426),C1426^4,"")</x:f>
      </x:c>
      <x:c r="G1426" s="7" t="str">
        <x:f>IF(ISNUMBER(B1426),ABS(B1426),"")</x:f>
      </x:c>
      <x:c r="H1426" s="7" t="str">
        <x:f>IF(ISNUMBER(B1426),B1426^2,"")</x:f>
      </x:c>
      <x:c r="I1426" s="7" t="str">
        <x:f>IF(AND(ISNUMBER(G1426),'요약'!$B$19),G1426-'요약'!$B$14,"")</x:f>
      </x:c>
      <x:c r="J1426" s="7" t="str">
        <x:f>IF(AND(ISNUMBER(H1426),'요약'!$B$19),H1426-'요약'!$B$15,"")</x:f>
      </x:c>
      <x:c r="K1426" t="str">
        <x:f>IF(ISNUMBER(B1426),IF('Hill'!$B$4=1,IF(B1426&lt;0,-B1426,""),IF('Hill'!$B$4=2,IF(B1426&gt;0,B1426,""),IF('Hill'!$B$4=3,IF(B1426&lt;&gt;0,ABS(B1426),""),""))),"")</x:f>
      </x:c>
    </x:row>
    <x:row r="1427">
      <x:c r="A1427" t="n">
        <x:f>1426</x:f>
        <x:v>1426</x:v>
      </x:c>
      <x:c r="B1427" s="7" t="str">
        <x:f>IF('요약'!$B$4=4,IF(ISNUMBER('input'!A1427),'input'!A1427,""),IF(1426&lt;=1000,CHOOSE('요약'!$B$4,'input'!B1427,'input'!C1427,'input'!D1427),""))</x:f>
      </x:c>
      <x:c r="C1427" s="7" t="str">
        <x:f>IF(AND(ISNUMBER(B1427),'요약'!$B$19),B1427-'요약'!$B$7,"")</x:f>
      </x:c>
      <x:c r="D1427" s="7" t="str">
        <x:f>IF(ISNUMBER(C1427),C1427^2,"")</x:f>
      </x:c>
      <x:c r="E1427" s="15" t="str">
        <x:f>IF(ISNUMBER(C1427),C1427^3,"")</x:f>
      </x:c>
      <x:c r="F1427" s="15" t="str">
        <x:f>IF(ISNUMBER(C1427),C1427^4,"")</x:f>
      </x:c>
      <x:c r="G1427" s="7" t="str">
        <x:f>IF(ISNUMBER(B1427),ABS(B1427),"")</x:f>
      </x:c>
      <x:c r="H1427" s="7" t="str">
        <x:f>IF(ISNUMBER(B1427),B1427^2,"")</x:f>
      </x:c>
      <x:c r="I1427" s="7" t="str">
        <x:f>IF(AND(ISNUMBER(G1427),'요약'!$B$19),G1427-'요약'!$B$14,"")</x:f>
      </x:c>
      <x:c r="J1427" s="7" t="str">
        <x:f>IF(AND(ISNUMBER(H1427),'요약'!$B$19),H1427-'요약'!$B$15,"")</x:f>
      </x:c>
      <x:c r="K1427" t="str">
        <x:f>IF(ISNUMBER(B1427),IF('Hill'!$B$4=1,IF(B1427&lt;0,-B1427,""),IF('Hill'!$B$4=2,IF(B1427&gt;0,B1427,""),IF('Hill'!$B$4=3,IF(B1427&lt;&gt;0,ABS(B1427),""),""))),"")</x:f>
      </x:c>
    </x:row>
    <x:row r="1428">
      <x:c r="A1428" t="n">
        <x:f>1427</x:f>
        <x:v>1427</x:v>
      </x:c>
      <x:c r="B1428" s="7" t="str">
        <x:f>IF('요약'!$B$4=4,IF(ISNUMBER('input'!A1428),'input'!A1428,""),IF(1427&lt;=1000,CHOOSE('요약'!$B$4,'input'!B1428,'input'!C1428,'input'!D1428),""))</x:f>
      </x:c>
      <x:c r="C1428" s="7" t="str">
        <x:f>IF(AND(ISNUMBER(B1428),'요약'!$B$19),B1428-'요약'!$B$7,"")</x:f>
      </x:c>
      <x:c r="D1428" s="7" t="str">
        <x:f>IF(ISNUMBER(C1428),C1428^2,"")</x:f>
      </x:c>
      <x:c r="E1428" s="15" t="str">
        <x:f>IF(ISNUMBER(C1428),C1428^3,"")</x:f>
      </x:c>
      <x:c r="F1428" s="15" t="str">
        <x:f>IF(ISNUMBER(C1428),C1428^4,"")</x:f>
      </x:c>
      <x:c r="G1428" s="7" t="str">
        <x:f>IF(ISNUMBER(B1428),ABS(B1428),"")</x:f>
      </x:c>
      <x:c r="H1428" s="7" t="str">
        <x:f>IF(ISNUMBER(B1428),B1428^2,"")</x:f>
      </x:c>
      <x:c r="I1428" s="7" t="str">
        <x:f>IF(AND(ISNUMBER(G1428),'요약'!$B$19),G1428-'요약'!$B$14,"")</x:f>
      </x:c>
      <x:c r="J1428" s="7" t="str">
        <x:f>IF(AND(ISNUMBER(H1428),'요약'!$B$19),H1428-'요약'!$B$15,"")</x:f>
      </x:c>
      <x:c r="K1428" t="str">
        <x:f>IF(ISNUMBER(B1428),IF('Hill'!$B$4=1,IF(B1428&lt;0,-B1428,""),IF('Hill'!$B$4=2,IF(B1428&gt;0,B1428,""),IF('Hill'!$B$4=3,IF(B1428&lt;&gt;0,ABS(B1428),""),""))),"")</x:f>
      </x:c>
    </x:row>
    <x:row r="1429">
      <x:c r="A1429" t="n">
        <x:f>1428</x:f>
        <x:v>1428</x:v>
      </x:c>
      <x:c r="B1429" s="7" t="str">
        <x:f>IF('요약'!$B$4=4,IF(ISNUMBER('input'!A1429),'input'!A1429,""),IF(1428&lt;=1000,CHOOSE('요약'!$B$4,'input'!B1429,'input'!C1429,'input'!D1429),""))</x:f>
      </x:c>
      <x:c r="C1429" s="7" t="str">
        <x:f>IF(AND(ISNUMBER(B1429),'요약'!$B$19),B1429-'요약'!$B$7,"")</x:f>
      </x:c>
      <x:c r="D1429" s="7" t="str">
        <x:f>IF(ISNUMBER(C1429),C1429^2,"")</x:f>
      </x:c>
      <x:c r="E1429" s="15" t="str">
        <x:f>IF(ISNUMBER(C1429),C1429^3,"")</x:f>
      </x:c>
      <x:c r="F1429" s="15" t="str">
        <x:f>IF(ISNUMBER(C1429),C1429^4,"")</x:f>
      </x:c>
      <x:c r="G1429" s="7" t="str">
        <x:f>IF(ISNUMBER(B1429),ABS(B1429),"")</x:f>
      </x:c>
      <x:c r="H1429" s="7" t="str">
        <x:f>IF(ISNUMBER(B1429),B1429^2,"")</x:f>
      </x:c>
      <x:c r="I1429" s="7" t="str">
        <x:f>IF(AND(ISNUMBER(G1429),'요약'!$B$19),G1429-'요약'!$B$14,"")</x:f>
      </x:c>
      <x:c r="J1429" s="7" t="str">
        <x:f>IF(AND(ISNUMBER(H1429),'요약'!$B$19),H1429-'요약'!$B$15,"")</x:f>
      </x:c>
      <x:c r="K1429" t="str">
        <x:f>IF(ISNUMBER(B1429),IF('Hill'!$B$4=1,IF(B1429&lt;0,-B1429,""),IF('Hill'!$B$4=2,IF(B1429&gt;0,B1429,""),IF('Hill'!$B$4=3,IF(B1429&lt;&gt;0,ABS(B1429),""),""))),"")</x:f>
      </x:c>
    </x:row>
    <x:row r="1430">
      <x:c r="A1430" t="n">
        <x:f>1429</x:f>
        <x:v>1429</x:v>
      </x:c>
      <x:c r="B1430" s="7" t="str">
        <x:f>IF('요약'!$B$4=4,IF(ISNUMBER('input'!A1430),'input'!A1430,""),IF(1429&lt;=1000,CHOOSE('요약'!$B$4,'input'!B1430,'input'!C1430,'input'!D1430),""))</x:f>
      </x:c>
      <x:c r="C1430" s="7" t="str">
        <x:f>IF(AND(ISNUMBER(B1430),'요약'!$B$19),B1430-'요약'!$B$7,"")</x:f>
      </x:c>
      <x:c r="D1430" s="7" t="str">
        <x:f>IF(ISNUMBER(C1430),C1430^2,"")</x:f>
      </x:c>
      <x:c r="E1430" s="15" t="str">
        <x:f>IF(ISNUMBER(C1430),C1430^3,"")</x:f>
      </x:c>
      <x:c r="F1430" s="15" t="str">
        <x:f>IF(ISNUMBER(C1430),C1430^4,"")</x:f>
      </x:c>
      <x:c r="G1430" s="7" t="str">
        <x:f>IF(ISNUMBER(B1430),ABS(B1430),"")</x:f>
      </x:c>
      <x:c r="H1430" s="7" t="str">
        <x:f>IF(ISNUMBER(B1430),B1430^2,"")</x:f>
      </x:c>
      <x:c r="I1430" s="7" t="str">
        <x:f>IF(AND(ISNUMBER(G1430),'요약'!$B$19),G1430-'요약'!$B$14,"")</x:f>
      </x:c>
      <x:c r="J1430" s="7" t="str">
        <x:f>IF(AND(ISNUMBER(H1430),'요약'!$B$19),H1430-'요약'!$B$15,"")</x:f>
      </x:c>
      <x:c r="K1430" t="str">
        <x:f>IF(ISNUMBER(B1430),IF('Hill'!$B$4=1,IF(B1430&lt;0,-B1430,""),IF('Hill'!$B$4=2,IF(B1430&gt;0,B1430,""),IF('Hill'!$B$4=3,IF(B1430&lt;&gt;0,ABS(B1430),""),""))),"")</x:f>
      </x:c>
    </x:row>
    <x:row r="1431">
      <x:c r="A1431" t="n">
        <x:f>1430</x:f>
        <x:v>1430</x:v>
      </x:c>
      <x:c r="B1431" s="7" t="str">
        <x:f>IF('요약'!$B$4=4,IF(ISNUMBER('input'!A1431),'input'!A1431,""),IF(1430&lt;=1000,CHOOSE('요약'!$B$4,'input'!B1431,'input'!C1431,'input'!D1431),""))</x:f>
      </x:c>
      <x:c r="C1431" s="7" t="str">
        <x:f>IF(AND(ISNUMBER(B1431),'요약'!$B$19),B1431-'요약'!$B$7,"")</x:f>
      </x:c>
      <x:c r="D1431" s="7" t="str">
        <x:f>IF(ISNUMBER(C1431),C1431^2,"")</x:f>
      </x:c>
      <x:c r="E1431" s="15" t="str">
        <x:f>IF(ISNUMBER(C1431),C1431^3,"")</x:f>
      </x:c>
      <x:c r="F1431" s="15" t="str">
        <x:f>IF(ISNUMBER(C1431),C1431^4,"")</x:f>
      </x:c>
      <x:c r="G1431" s="7" t="str">
        <x:f>IF(ISNUMBER(B1431),ABS(B1431),"")</x:f>
      </x:c>
      <x:c r="H1431" s="7" t="str">
        <x:f>IF(ISNUMBER(B1431),B1431^2,"")</x:f>
      </x:c>
      <x:c r="I1431" s="7" t="str">
        <x:f>IF(AND(ISNUMBER(G1431),'요약'!$B$19),G1431-'요약'!$B$14,"")</x:f>
      </x:c>
      <x:c r="J1431" s="7" t="str">
        <x:f>IF(AND(ISNUMBER(H1431),'요약'!$B$19),H1431-'요약'!$B$15,"")</x:f>
      </x:c>
      <x:c r="K1431" t="str">
        <x:f>IF(ISNUMBER(B1431),IF('Hill'!$B$4=1,IF(B1431&lt;0,-B1431,""),IF('Hill'!$B$4=2,IF(B1431&gt;0,B1431,""),IF('Hill'!$B$4=3,IF(B1431&lt;&gt;0,ABS(B1431),""),""))),"")</x:f>
      </x:c>
    </x:row>
    <x:row r="1432">
      <x:c r="A1432" t="n">
        <x:f>1431</x:f>
        <x:v>1431</x:v>
      </x:c>
      <x:c r="B1432" s="7" t="str">
        <x:f>IF('요약'!$B$4=4,IF(ISNUMBER('input'!A1432),'input'!A1432,""),IF(1431&lt;=1000,CHOOSE('요약'!$B$4,'input'!B1432,'input'!C1432,'input'!D1432),""))</x:f>
      </x:c>
      <x:c r="C1432" s="7" t="str">
        <x:f>IF(AND(ISNUMBER(B1432),'요약'!$B$19),B1432-'요약'!$B$7,"")</x:f>
      </x:c>
      <x:c r="D1432" s="7" t="str">
        <x:f>IF(ISNUMBER(C1432),C1432^2,"")</x:f>
      </x:c>
      <x:c r="E1432" s="15" t="str">
        <x:f>IF(ISNUMBER(C1432),C1432^3,"")</x:f>
      </x:c>
      <x:c r="F1432" s="15" t="str">
        <x:f>IF(ISNUMBER(C1432),C1432^4,"")</x:f>
      </x:c>
      <x:c r="G1432" s="7" t="str">
        <x:f>IF(ISNUMBER(B1432),ABS(B1432),"")</x:f>
      </x:c>
      <x:c r="H1432" s="7" t="str">
        <x:f>IF(ISNUMBER(B1432),B1432^2,"")</x:f>
      </x:c>
      <x:c r="I1432" s="7" t="str">
        <x:f>IF(AND(ISNUMBER(G1432),'요약'!$B$19),G1432-'요약'!$B$14,"")</x:f>
      </x:c>
      <x:c r="J1432" s="7" t="str">
        <x:f>IF(AND(ISNUMBER(H1432),'요약'!$B$19),H1432-'요약'!$B$15,"")</x:f>
      </x:c>
      <x:c r="K1432" t="str">
        <x:f>IF(ISNUMBER(B1432),IF('Hill'!$B$4=1,IF(B1432&lt;0,-B1432,""),IF('Hill'!$B$4=2,IF(B1432&gt;0,B1432,""),IF('Hill'!$B$4=3,IF(B1432&lt;&gt;0,ABS(B1432),""),""))),"")</x:f>
      </x:c>
    </x:row>
    <x:row r="1433">
      <x:c r="A1433" t="n">
        <x:f>1432</x:f>
        <x:v>1432</x:v>
      </x:c>
      <x:c r="B1433" s="7" t="str">
        <x:f>IF('요약'!$B$4=4,IF(ISNUMBER('input'!A1433),'input'!A1433,""),IF(1432&lt;=1000,CHOOSE('요약'!$B$4,'input'!B1433,'input'!C1433,'input'!D1433),""))</x:f>
      </x:c>
      <x:c r="C1433" s="7" t="str">
        <x:f>IF(AND(ISNUMBER(B1433),'요약'!$B$19),B1433-'요약'!$B$7,"")</x:f>
      </x:c>
      <x:c r="D1433" s="7" t="str">
        <x:f>IF(ISNUMBER(C1433),C1433^2,"")</x:f>
      </x:c>
      <x:c r="E1433" s="15" t="str">
        <x:f>IF(ISNUMBER(C1433),C1433^3,"")</x:f>
      </x:c>
      <x:c r="F1433" s="15" t="str">
        <x:f>IF(ISNUMBER(C1433),C1433^4,"")</x:f>
      </x:c>
      <x:c r="G1433" s="7" t="str">
        <x:f>IF(ISNUMBER(B1433),ABS(B1433),"")</x:f>
      </x:c>
      <x:c r="H1433" s="7" t="str">
        <x:f>IF(ISNUMBER(B1433),B1433^2,"")</x:f>
      </x:c>
      <x:c r="I1433" s="7" t="str">
        <x:f>IF(AND(ISNUMBER(G1433),'요약'!$B$19),G1433-'요약'!$B$14,"")</x:f>
      </x:c>
      <x:c r="J1433" s="7" t="str">
        <x:f>IF(AND(ISNUMBER(H1433),'요약'!$B$19),H1433-'요약'!$B$15,"")</x:f>
      </x:c>
      <x:c r="K1433" t="str">
        <x:f>IF(ISNUMBER(B1433),IF('Hill'!$B$4=1,IF(B1433&lt;0,-B1433,""),IF('Hill'!$B$4=2,IF(B1433&gt;0,B1433,""),IF('Hill'!$B$4=3,IF(B1433&lt;&gt;0,ABS(B1433),""),""))),"")</x:f>
      </x:c>
    </x:row>
    <x:row r="1434">
      <x:c r="A1434" t="n">
        <x:f>1433</x:f>
        <x:v>1433</x:v>
      </x:c>
      <x:c r="B1434" s="7" t="str">
        <x:f>IF('요약'!$B$4=4,IF(ISNUMBER('input'!A1434),'input'!A1434,""),IF(1433&lt;=1000,CHOOSE('요약'!$B$4,'input'!B1434,'input'!C1434,'input'!D1434),""))</x:f>
      </x:c>
      <x:c r="C1434" s="7" t="str">
        <x:f>IF(AND(ISNUMBER(B1434),'요약'!$B$19),B1434-'요약'!$B$7,"")</x:f>
      </x:c>
      <x:c r="D1434" s="7" t="str">
        <x:f>IF(ISNUMBER(C1434),C1434^2,"")</x:f>
      </x:c>
      <x:c r="E1434" s="15" t="str">
        <x:f>IF(ISNUMBER(C1434),C1434^3,"")</x:f>
      </x:c>
      <x:c r="F1434" s="15" t="str">
        <x:f>IF(ISNUMBER(C1434),C1434^4,"")</x:f>
      </x:c>
      <x:c r="G1434" s="7" t="str">
        <x:f>IF(ISNUMBER(B1434),ABS(B1434),"")</x:f>
      </x:c>
      <x:c r="H1434" s="7" t="str">
        <x:f>IF(ISNUMBER(B1434),B1434^2,"")</x:f>
      </x:c>
      <x:c r="I1434" s="7" t="str">
        <x:f>IF(AND(ISNUMBER(G1434),'요약'!$B$19),G1434-'요약'!$B$14,"")</x:f>
      </x:c>
      <x:c r="J1434" s="7" t="str">
        <x:f>IF(AND(ISNUMBER(H1434),'요약'!$B$19),H1434-'요약'!$B$15,"")</x:f>
      </x:c>
      <x:c r="K1434" t="str">
        <x:f>IF(ISNUMBER(B1434),IF('Hill'!$B$4=1,IF(B1434&lt;0,-B1434,""),IF('Hill'!$B$4=2,IF(B1434&gt;0,B1434,""),IF('Hill'!$B$4=3,IF(B1434&lt;&gt;0,ABS(B1434),""),""))),"")</x:f>
      </x:c>
    </x:row>
    <x:row r="1435">
      <x:c r="A1435" t="n">
        <x:f>1434</x:f>
        <x:v>1434</x:v>
      </x:c>
      <x:c r="B1435" s="7" t="str">
        <x:f>IF('요약'!$B$4=4,IF(ISNUMBER('input'!A1435),'input'!A1435,""),IF(1434&lt;=1000,CHOOSE('요약'!$B$4,'input'!B1435,'input'!C1435,'input'!D1435),""))</x:f>
      </x:c>
      <x:c r="C1435" s="7" t="str">
        <x:f>IF(AND(ISNUMBER(B1435),'요약'!$B$19),B1435-'요약'!$B$7,"")</x:f>
      </x:c>
      <x:c r="D1435" s="7" t="str">
        <x:f>IF(ISNUMBER(C1435),C1435^2,"")</x:f>
      </x:c>
      <x:c r="E1435" s="15" t="str">
        <x:f>IF(ISNUMBER(C1435),C1435^3,"")</x:f>
      </x:c>
      <x:c r="F1435" s="15" t="str">
        <x:f>IF(ISNUMBER(C1435),C1435^4,"")</x:f>
      </x:c>
      <x:c r="G1435" s="7" t="str">
        <x:f>IF(ISNUMBER(B1435),ABS(B1435),"")</x:f>
      </x:c>
      <x:c r="H1435" s="7" t="str">
        <x:f>IF(ISNUMBER(B1435),B1435^2,"")</x:f>
      </x:c>
      <x:c r="I1435" s="7" t="str">
        <x:f>IF(AND(ISNUMBER(G1435),'요약'!$B$19),G1435-'요약'!$B$14,"")</x:f>
      </x:c>
      <x:c r="J1435" s="7" t="str">
        <x:f>IF(AND(ISNUMBER(H1435),'요약'!$B$19),H1435-'요약'!$B$15,"")</x:f>
      </x:c>
      <x:c r="K1435" t="str">
        <x:f>IF(ISNUMBER(B1435),IF('Hill'!$B$4=1,IF(B1435&lt;0,-B1435,""),IF('Hill'!$B$4=2,IF(B1435&gt;0,B1435,""),IF('Hill'!$B$4=3,IF(B1435&lt;&gt;0,ABS(B1435),""),""))),"")</x:f>
      </x:c>
    </x:row>
    <x:row r="1436">
      <x:c r="A1436" t="n">
        <x:f>1435</x:f>
        <x:v>1435</x:v>
      </x:c>
      <x:c r="B1436" s="7" t="str">
        <x:f>IF('요약'!$B$4=4,IF(ISNUMBER('input'!A1436),'input'!A1436,""),IF(1435&lt;=1000,CHOOSE('요약'!$B$4,'input'!B1436,'input'!C1436,'input'!D1436),""))</x:f>
      </x:c>
      <x:c r="C1436" s="7" t="str">
        <x:f>IF(AND(ISNUMBER(B1436),'요약'!$B$19),B1436-'요약'!$B$7,"")</x:f>
      </x:c>
      <x:c r="D1436" s="7" t="str">
        <x:f>IF(ISNUMBER(C1436),C1436^2,"")</x:f>
      </x:c>
      <x:c r="E1436" s="15" t="str">
        <x:f>IF(ISNUMBER(C1436),C1436^3,"")</x:f>
      </x:c>
      <x:c r="F1436" s="15" t="str">
        <x:f>IF(ISNUMBER(C1436),C1436^4,"")</x:f>
      </x:c>
      <x:c r="G1436" s="7" t="str">
        <x:f>IF(ISNUMBER(B1436),ABS(B1436),"")</x:f>
      </x:c>
      <x:c r="H1436" s="7" t="str">
        <x:f>IF(ISNUMBER(B1436),B1436^2,"")</x:f>
      </x:c>
      <x:c r="I1436" s="7" t="str">
        <x:f>IF(AND(ISNUMBER(G1436),'요약'!$B$19),G1436-'요약'!$B$14,"")</x:f>
      </x:c>
      <x:c r="J1436" s="7" t="str">
        <x:f>IF(AND(ISNUMBER(H1436),'요약'!$B$19),H1436-'요약'!$B$15,"")</x:f>
      </x:c>
      <x:c r="K1436" t="str">
        <x:f>IF(ISNUMBER(B1436),IF('Hill'!$B$4=1,IF(B1436&lt;0,-B1436,""),IF('Hill'!$B$4=2,IF(B1436&gt;0,B1436,""),IF('Hill'!$B$4=3,IF(B1436&lt;&gt;0,ABS(B1436),""),""))),"")</x:f>
      </x:c>
    </x:row>
    <x:row r="1437">
      <x:c r="A1437" t="n">
        <x:f>1436</x:f>
        <x:v>1436</x:v>
      </x:c>
      <x:c r="B1437" s="7" t="str">
        <x:f>IF('요약'!$B$4=4,IF(ISNUMBER('input'!A1437),'input'!A1437,""),IF(1436&lt;=1000,CHOOSE('요약'!$B$4,'input'!B1437,'input'!C1437,'input'!D1437),""))</x:f>
      </x:c>
      <x:c r="C1437" s="7" t="str">
        <x:f>IF(AND(ISNUMBER(B1437),'요약'!$B$19),B1437-'요약'!$B$7,"")</x:f>
      </x:c>
      <x:c r="D1437" s="7" t="str">
        <x:f>IF(ISNUMBER(C1437),C1437^2,"")</x:f>
      </x:c>
      <x:c r="E1437" s="15" t="str">
        <x:f>IF(ISNUMBER(C1437),C1437^3,"")</x:f>
      </x:c>
      <x:c r="F1437" s="15" t="str">
        <x:f>IF(ISNUMBER(C1437),C1437^4,"")</x:f>
      </x:c>
      <x:c r="G1437" s="7" t="str">
        <x:f>IF(ISNUMBER(B1437),ABS(B1437),"")</x:f>
      </x:c>
      <x:c r="H1437" s="7" t="str">
        <x:f>IF(ISNUMBER(B1437),B1437^2,"")</x:f>
      </x:c>
      <x:c r="I1437" s="7" t="str">
        <x:f>IF(AND(ISNUMBER(G1437),'요약'!$B$19),G1437-'요약'!$B$14,"")</x:f>
      </x:c>
      <x:c r="J1437" s="7" t="str">
        <x:f>IF(AND(ISNUMBER(H1437),'요약'!$B$19),H1437-'요약'!$B$15,"")</x:f>
      </x:c>
      <x:c r="K1437" t="str">
        <x:f>IF(ISNUMBER(B1437),IF('Hill'!$B$4=1,IF(B1437&lt;0,-B1437,""),IF('Hill'!$B$4=2,IF(B1437&gt;0,B1437,""),IF('Hill'!$B$4=3,IF(B1437&lt;&gt;0,ABS(B1437),""),""))),"")</x:f>
      </x:c>
    </x:row>
    <x:row r="1438">
      <x:c r="A1438" t="n">
        <x:f>1437</x:f>
        <x:v>1437</x:v>
      </x:c>
      <x:c r="B1438" s="7" t="str">
        <x:f>IF('요약'!$B$4=4,IF(ISNUMBER('input'!A1438),'input'!A1438,""),IF(1437&lt;=1000,CHOOSE('요약'!$B$4,'input'!B1438,'input'!C1438,'input'!D1438),""))</x:f>
      </x:c>
      <x:c r="C1438" s="7" t="str">
        <x:f>IF(AND(ISNUMBER(B1438),'요약'!$B$19),B1438-'요약'!$B$7,"")</x:f>
      </x:c>
      <x:c r="D1438" s="7" t="str">
        <x:f>IF(ISNUMBER(C1438),C1438^2,"")</x:f>
      </x:c>
      <x:c r="E1438" s="15" t="str">
        <x:f>IF(ISNUMBER(C1438),C1438^3,"")</x:f>
      </x:c>
      <x:c r="F1438" s="15" t="str">
        <x:f>IF(ISNUMBER(C1438),C1438^4,"")</x:f>
      </x:c>
      <x:c r="G1438" s="7" t="str">
        <x:f>IF(ISNUMBER(B1438),ABS(B1438),"")</x:f>
      </x:c>
      <x:c r="H1438" s="7" t="str">
        <x:f>IF(ISNUMBER(B1438),B1438^2,"")</x:f>
      </x:c>
      <x:c r="I1438" s="7" t="str">
        <x:f>IF(AND(ISNUMBER(G1438),'요약'!$B$19),G1438-'요약'!$B$14,"")</x:f>
      </x:c>
      <x:c r="J1438" s="7" t="str">
        <x:f>IF(AND(ISNUMBER(H1438),'요약'!$B$19),H1438-'요약'!$B$15,"")</x:f>
      </x:c>
      <x:c r="K1438" t="str">
        <x:f>IF(ISNUMBER(B1438),IF('Hill'!$B$4=1,IF(B1438&lt;0,-B1438,""),IF('Hill'!$B$4=2,IF(B1438&gt;0,B1438,""),IF('Hill'!$B$4=3,IF(B1438&lt;&gt;0,ABS(B1438),""),""))),"")</x:f>
      </x:c>
    </x:row>
    <x:row r="1439">
      <x:c r="A1439" t="n">
        <x:f>1438</x:f>
        <x:v>1438</x:v>
      </x:c>
      <x:c r="B1439" s="7" t="str">
        <x:f>IF('요약'!$B$4=4,IF(ISNUMBER('input'!A1439),'input'!A1439,""),IF(1438&lt;=1000,CHOOSE('요약'!$B$4,'input'!B1439,'input'!C1439,'input'!D1439),""))</x:f>
      </x:c>
      <x:c r="C1439" s="7" t="str">
        <x:f>IF(AND(ISNUMBER(B1439),'요약'!$B$19),B1439-'요약'!$B$7,"")</x:f>
      </x:c>
      <x:c r="D1439" s="7" t="str">
        <x:f>IF(ISNUMBER(C1439),C1439^2,"")</x:f>
      </x:c>
      <x:c r="E1439" s="15" t="str">
        <x:f>IF(ISNUMBER(C1439),C1439^3,"")</x:f>
      </x:c>
      <x:c r="F1439" s="15" t="str">
        <x:f>IF(ISNUMBER(C1439),C1439^4,"")</x:f>
      </x:c>
      <x:c r="G1439" s="7" t="str">
        <x:f>IF(ISNUMBER(B1439),ABS(B1439),"")</x:f>
      </x:c>
      <x:c r="H1439" s="7" t="str">
        <x:f>IF(ISNUMBER(B1439),B1439^2,"")</x:f>
      </x:c>
      <x:c r="I1439" s="7" t="str">
        <x:f>IF(AND(ISNUMBER(G1439),'요약'!$B$19),G1439-'요약'!$B$14,"")</x:f>
      </x:c>
      <x:c r="J1439" s="7" t="str">
        <x:f>IF(AND(ISNUMBER(H1439),'요약'!$B$19),H1439-'요약'!$B$15,"")</x:f>
      </x:c>
      <x:c r="K1439" t="str">
        <x:f>IF(ISNUMBER(B1439),IF('Hill'!$B$4=1,IF(B1439&lt;0,-B1439,""),IF('Hill'!$B$4=2,IF(B1439&gt;0,B1439,""),IF('Hill'!$B$4=3,IF(B1439&lt;&gt;0,ABS(B1439),""),""))),"")</x:f>
      </x:c>
    </x:row>
    <x:row r="1440">
      <x:c r="A1440" t="n">
        <x:f>1439</x:f>
        <x:v>1439</x:v>
      </x:c>
      <x:c r="B1440" s="7" t="str">
        <x:f>IF('요약'!$B$4=4,IF(ISNUMBER('input'!A1440),'input'!A1440,""),IF(1439&lt;=1000,CHOOSE('요약'!$B$4,'input'!B1440,'input'!C1440,'input'!D1440),""))</x:f>
      </x:c>
      <x:c r="C1440" s="7" t="str">
        <x:f>IF(AND(ISNUMBER(B1440),'요약'!$B$19),B1440-'요약'!$B$7,"")</x:f>
      </x:c>
      <x:c r="D1440" s="7" t="str">
        <x:f>IF(ISNUMBER(C1440),C1440^2,"")</x:f>
      </x:c>
      <x:c r="E1440" s="15" t="str">
        <x:f>IF(ISNUMBER(C1440),C1440^3,"")</x:f>
      </x:c>
      <x:c r="F1440" s="15" t="str">
        <x:f>IF(ISNUMBER(C1440),C1440^4,"")</x:f>
      </x:c>
      <x:c r="G1440" s="7" t="str">
        <x:f>IF(ISNUMBER(B1440),ABS(B1440),"")</x:f>
      </x:c>
      <x:c r="H1440" s="7" t="str">
        <x:f>IF(ISNUMBER(B1440),B1440^2,"")</x:f>
      </x:c>
      <x:c r="I1440" s="7" t="str">
        <x:f>IF(AND(ISNUMBER(G1440),'요약'!$B$19),G1440-'요약'!$B$14,"")</x:f>
      </x:c>
      <x:c r="J1440" s="7" t="str">
        <x:f>IF(AND(ISNUMBER(H1440),'요약'!$B$19),H1440-'요약'!$B$15,"")</x:f>
      </x:c>
      <x:c r="K1440" t="str">
        <x:f>IF(ISNUMBER(B1440),IF('Hill'!$B$4=1,IF(B1440&lt;0,-B1440,""),IF('Hill'!$B$4=2,IF(B1440&gt;0,B1440,""),IF('Hill'!$B$4=3,IF(B1440&lt;&gt;0,ABS(B1440),""),""))),"")</x:f>
      </x:c>
    </x:row>
    <x:row r="1441">
      <x:c r="A1441" t="n">
        <x:f>1440</x:f>
        <x:v>1440</x:v>
      </x:c>
      <x:c r="B1441" s="7" t="str">
        <x:f>IF('요약'!$B$4=4,IF(ISNUMBER('input'!A1441),'input'!A1441,""),IF(1440&lt;=1000,CHOOSE('요약'!$B$4,'input'!B1441,'input'!C1441,'input'!D1441),""))</x:f>
      </x:c>
      <x:c r="C1441" s="7" t="str">
        <x:f>IF(AND(ISNUMBER(B1441),'요약'!$B$19),B1441-'요약'!$B$7,"")</x:f>
      </x:c>
      <x:c r="D1441" s="7" t="str">
        <x:f>IF(ISNUMBER(C1441),C1441^2,"")</x:f>
      </x:c>
      <x:c r="E1441" s="15" t="str">
        <x:f>IF(ISNUMBER(C1441),C1441^3,"")</x:f>
      </x:c>
      <x:c r="F1441" s="15" t="str">
        <x:f>IF(ISNUMBER(C1441),C1441^4,"")</x:f>
      </x:c>
      <x:c r="G1441" s="7" t="str">
        <x:f>IF(ISNUMBER(B1441),ABS(B1441),"")</x:f>
      </x:c>
      <x:c r="H1441" s="7" t="str">
        <x:f>IF(ISNUMBER(B1441),B1441^2,"")</x:f>
      </x:c>
      <x:c r="I1441" s="7" t="str">
        <x:f>IF(AND(ISNUMBER(G1441),'요약'!$B$19),G1441-'요약'!$B$14,"")</x:f>
      </x:c>
      <x:c r="J1441" s="7" t="str">
        <x:f>IF(AND(ISNUMBER(H1441),'요약'!$B$19),H1441-'요약'!$B$15,"")</x:f>
      </x:c>
      <x:c r="K1441" t="str">
        <x:f>IF(ISNUMBER(B1441),IF('Hill'!$B$4=1,IF(B1441&lt;0,-B1441,""),IF('Hill'!$B$4=2,IF(B1441&gt;0,B1441,""),IF('Hill'!$B$4=3,IF(B1441&lt;&gt;0,ABS(B1441),""),""))),"")</x:f>
      </x:c>
    </x:row>
    <x:row r="1442">
      <x:c r="A1442" t="n">
        <x:f>1441</x:f>
        <x:v>1441</x:v>
      </x:c>
      <x:c r="B1442" s="7" t="str">
        <x:f>IF('요약'!$B$4=4,IF(ISNUMBER('input'!A1442),'input'!A1442,""),IF(1441&lt;=1000,CHOOSE('요약'!$B$4,'input'!B1442,'input'!C1442,'input'!D1442),""))</x:f>
      </x:c>
      <x:c r="C1442" s="7" t="str">
        <x:f>IF(AND(ISNUMBER(B1442),'요약'!$B$19),B1442-'요약'!$B$7,"")</x:f>
      </x:c>
      <x:c r="D1442" s="7" t="str">
        <x:f>IF(ISNUMBER(C1442),C1442^2,"")</x:f>
      </x:c>
      <x:c r="E1442" s="15" t="str">
        <x:f>IF(ISNUMBER(C1442),C1442^3,"")</x:f>
      </x:c>
      <x:c r="F1442" s="15" t="str">
        <x:f>IF(ISNUMBER(C1442),C1442^4,"")</x:f>
      </x:c>
      <x:c r="G1442" s="7" t="str">
        <x:f>IF(ISNUMBER(B1442),ABS(B1442),"")</x:f>
      </x:c>
      <x:c r="H1442" s="7" t="str">
        <x:f>IF(ISNUMBER(B1442),B1442^2,"")</x:f>
      </x:c>
      <x:c r="I1442" s="7" t="str">
        <x:f>IF(AND(ISNUMBER(G1442),'요약'!$B$19),G1442-'요약'!$B$14,"")</x:f>
      </x:c>
      <x:c r="J1442" s="7" t="str">
        <x:f>IF(AND(ISNUMBER(H1442),'요약'!$B$19),H1442-'요약'!$B$15,"")</x:f>
      </x:c>
      <x:c r="K1442" t="str">
        <x:f>IF(ISNUMBER(B1442),IF('Hill'!$B$4=1,IF(B1442&lt;0,-B1442,""),IF('Hill'!$B$4=2,IF(B1442&gt;0,B1442,""),IF('Hill'!$B$4=3,IF(B1442&lt;&gt;0,ABS(B1442),""),""))),"")</x:f>
      </x:c>
    </x:row>
    <x:row r="1443">
      <x:c r="A1443" t="n">
        <x:f>1442</x:f>
        <x:v>1442</x:v>
      </x:c>
      <x:c r="B1443" s="7" t="str">
        <x:f>IF('요약'!$B$4=4,IF(ISNUMBER('input'!A1443),'input'!A1443,""),IF(1442&lt;=1000,CHOOSE('요약'!$B$4,'input'!B1443,'input'!C1443,'input'!D1443),""))</x:f>
      </x:c>
      <x:c r="C1443" s="7" t="str">
        <x:f>IF(AND(ISNUMBER(B1443),'요약'!$B$19),B1443-'요약'!$B$7,"")</x:f>
      </x:c>
      <x:c r="D1443" s="7" t="str">
        <x:f>IF(ISNUMBER(C1443),C1443^2,"")</x:f>
      </x:c>
      <x:c r="E1443" s="15" t="str">
        <x:f>IF(ISNUMBER(C1443),C1443^3,"")</x:f>
      </x:c>
      <x:c r="F1443" s="15" t="str">
        <x:f>IF(ISNUMBER(C1443),C1443^4,"")</x:f>
      </x:c>
      <x:c r="G1443" s="7" t="str">
        <x:f>IF(ISNUMBER(B1443),ABS(B1443),"")</x:f>
      </x:c>
      <x:c r="H1443" s="7" t="str">
        <x:f>IF(ISNUMBER(B1443),B1443^2,"")</x:f>
      </x:c>
      <x:c r="I1443" s="7" t="str">
        <x:f>IF(AND(ISNUMBER(G1443),'요약'!$B$19),G1443-'요약'!$B$14,"")</x:f>
      </x:c>
      <x:c r="J1443" s="7" t="str">
        <x:f>IF(AND(ISNUMBER(H1443),'요약'!$B$19),H1443-'요약'!$B$15,"")</x:f>
      </x:c>
      <x:c r="K1443" t="str">
        <x:f>IF(ISNUMBER(B1443),IF('Hill'!$B$4=1,IF(B1443&lt;0,-B1443,""),IF('Hill'!$B$4=2,IF(B1443&gt;0,B1443,""),IF('Hill'!$B$4=3,IF(B1443&lt;&gt;0,ABS(B1443),""),""))),"")</x:f>
      </x:c>
    </x:row>
    <x:row r="1444">
      <x:c r="A1444" t="n">
        <x:f>1443</x:f>
        <x:v>1443</x:v>
      </x:c>
      <x:c r="B1444" s="7" t="str">
        <x:f>IF('요약'!$B$4=4,IF(ISNUMBER('input'!A1444),'input'!A1444,""),IF(1443&lt;=1000,CHOOSE('요약'!$B$4,'input'!B1444,'input'!C1444,'input'!D1444),""))</x:f>
      </x:c>
      <x:c r="C1444" s="7" t="str">
        <x:f>IF(AND(ISNUMBER(B1444),'요약'!$B$19),B1444-'요약'!$B$7,"")</x:f>
      </x:c>
      <x:c r="D1444" s="7" t="str">
        <x:f>IF(ISNUMBER(C1444),C1444^2,"")</x:f>
      </x:c>
      <x:c r="E1444" s="15" t="str">
        <x:f>IF(ISNUMBER(C1444),C1444^3,"")</x:f>
      </x:c>
      <x:c r="F1444" s="15" t="str">
        <x:f>IF(ISNUMBER(C1444),C1444^4,"")</x:f>
      </x:c>
      <x:c r="G1444" s="7" t="str">
        <x:f>IF(ISNUMBER(B1444),ABS(B1444),"")</x:f>
      </x:c>
      <x:c r="H1444" s="7" t="str">
        <x:f>IF(ISNUMBER(B1444),B1444^2,"")</x:f>
      </x:c>
      <x:c r="I1444" s="7" t="str">
        <x:f>IF(AND(ISNUMBER(G1444),'요약'!$B$19),G1444-'요약'!$B$14,"")</x:f>
      </x:c>
      <x:c r="J1444" s="7" t="str">
        <x:f>IF(AND(ISNUMBER(H1444),'요약'!$B$19),H1444-'요약'!$B$15,"")</x:f>
      </x:c>
      <x:c r="K1444" t="str">
        <x:f>IF(ISNUMBER(B1444),IF('Hill'!$B$4=1,IF(B1444&lt;0,-B1444,""),IF('Hill'!$B$4=2,IF(B1444&gt;0,B1444,""),IF('Hill'!$B$4=3,IF(B1444&lt;&gt;0,ABS(B1444),""),""))),"")</x:f>
      </x:c>
    </x:row>
    <x:row r="1445">
      <x:c r="A1445" t="n">
        <x:f>1444</x:f>
        <x:v>1444</x:v>
      </x:c>
      <x:c r="B1445" s="7" t="str">
        <x:f>IF('요약'!$B$4=4,IF(ISNUMBER('input'!A1445),'input'!A1445,""),IF(1444&lt;=1000,CHOOSE('요약'!$B$4,'input'!B1445,'input'!C1445,'input'!D1445),""))</x:f>
      </x:c>
      <x:c r="C1445" s="7" t="str">
        <x:f>IF(AND(ISNUMBER(B1445),'요약'!$B$19),B1445-'요약'!$B$7,"")</x:f>
      </x:c>
      <x:c r="D1445" s="7" t="str">
        <x:f>IF(ISNUMBER(C1445),C1445^2,"")</x:f>
      </x:c>
      <x:c r="E1445" s="15" t="str">
        <x:f>IF(ISNUMBER(C1445),C1445^3,"")</x:f>
      </x:c>
      <x:c r="F1445" s="15" t="str">
        <x:f>IF(ISNUMBER(C1445),C1445^4,"")</x:f>
      </x:c>
      <x:c r="G1445" s="7" t="str">
        <x:f>IF(ISNUMBER(B1445),ABS(B1445),"")</x:f>
      </x:c>
      <x:c r="H1445" s="7" t="str">
        <x:f>IF(ISNUMBER(B1445),B1445^2,"")</x:f>
      </x:c>
      <x:c r="I1445" s="7" t="str">
        <x:f>IF(AND(ISNUMBER(G1445),'요약'!$B$19),G1445-'요약'!$B$14,"")</x:f>
      </x:c>
      <x:c r="J1445" s="7" t="str">
        <x:f>IF(AND(ISNUMBER(H1445),'요약'!$B$19),H1445-'요약'!$B$15,"")</x:f>
      </x:c>
      <x:c r="K1445" t="str">
        <x:f>IF(ISNUMBER(B1445),IF('Hill'!$B$4=1,IF(B1445&lt;0,-B1445,""),IF('Hill'!$B$4=2,IF(B1445&gt;0,B1445,""),IF('Hill'!$B$4=3,IF(B1445&lt;&gt;0,ABS(B1445),""),""))),"")</x:f>
      </x:c>
    </x:row>
    <x:row r="1446">
      <x:c r="A1446" t="n">
        <x:f>1445</x:f>
        <x:v>1445</x:v>
      </x:c>
      <x:c r="B1446" s="7" t="str">
        <x:f>IF('요약'!$B$4=4,IF(ISNUMBER('input'!A1446),'input'!A1446,""),IF(1445&lt;=1000,CHOOSE('요약'!$B$4,'input'!B1446,'input'!C1446,'input'!D1446),""))</x:f>
      </x:c>
      <x:c r="C1446" s="7" t="str">
        <x:f>IF(AND(ISNUMBER(B1446),'요약'!$B$19),B1446-'요약'!$B$7,"")</x:f>
      </x:c>
      <x:c r="D1446" s="7" t="str">
        <x:f>IF(ISNUMBER(C1446),C1446^2,"")</x:f>
      </x:c>
      <x:c r="E1446" s="15" t="str">
        <x:f>IF(ISNUMBER(C1446),C1446^3,"")</x:f>
      </x:c>
      <x:c r="F1446" s="15" t="str">
        <x:f>IF(ISNUMBER(C1446),C1446^4,"")</x:f>
      </x:c>
      <x:c r="G1446" s="7" t="str">
        <x:f>IF(ISNUMBER(B1446),ABS(B1446),"")</x:f>
      </x:c>
      <x:c r="H1446" s="7" t="str">
        <x:f>IF(ISNUMBER(B1446),B1446^2,"")</x:f>
      </x:c>
      <x:c r="I1446" s="7" t="str">
        <x:f>IF(AND(ISNUMBER(G1446),'요약'!$B$19),G1446-'요약'!$B$14,"")</x:f>
      </x:c>
      <x:c r="J1446" s="7" t="str">
        <x:f>IF(AND(ISNUMBER(H1446),'요약'!$B$19),H1446-'요약'!$B$15,"")</x:f>
      </x:c>
      <x:c r="K1446" t="str">
        <x:f>IF(ISNUMBER(B1446),IF('Hill'!$B$4=1,IF(B1446&lt;0,-B1446,""),IF('Hill'!$B$4=2,IF(B1446&gt;0,B1446,""),IF('Hill'!$B$4=3,IF(B1446&lt;&gt;0,ABS(B1446),""),""))),"")</x:f>
      </x:c>
    </x:row>
    <x:row r="1447">
      <x:c r="A1447" t="n">
        <x:f>1446</x:f>
        <x:v>1446</x:v>
      </x:c>
      <x:c r="B1447" s="7" t="str">
        <x:f>IF('요약'!$B$4=4,IF(ISNUMBER('input'!A1447),'input'!A1447,""),IF(1446&lt;=1000,CHOOSE('요약'!$B$4,'input'!B1447,'input'!C1447,'input'!D1447),""))</x:f>
      </x:c>
      <x:c r="C1447" s="7" t="str">
        <x:f>IF(AND(ISNUMBER(B1447),'요약'!$B$19),B1447-'요약'!$B$7,"")</x:f>
      </x:c>
      <x:c r="D1447" s="7" t="str">
        <x:f>IF(ISNUMBER(C1447),C1447^2,"")</x:f>
      </x:c>
      <x:c r="E1447" s="15" t="str">
        <x:f>IF(ISNUMBER(C1447),C1447^3,"")</x:f>
      </x:c>
      <x:c r="F1447" s="15" t="str">
        <x:f>IF(ISNUMBER(C1447),C1447^4,"")</x:f>
      </x:c>
      <x:c r="G1447" s="7" t="str">
        <x:f>IF(ISNUMBER(B1447),ABS(B1447),"")</x:f>
      </x:c>
      <x:c r="H1447" s="7" t="str">
        <x:f>IF(ISNUMBER(B1447),B1447^2,"")</x:f>
      </x:c>
      <x:c r="I1447" s="7" t="str">
        <x:f>IF(AND(ISNUMBER(G1447),'요약'!$B$19),G1447-'요약'!$B$14,"")</x:f>
      </x:c>
      <x:c r="J1447" s="7" t="str">
        <x:f>IF(AND(ISNUMBER(H1447),'요약'!$B$19),H1447-'요약'!$B$15,"")</x:f>
      </x:c>
      <x:c r="K1447" t="str">
        <x:f>IF(ISNUMBER(B1447),IF('Hill'!$B$4=1,IF(B1447&lt;0,-B1447,""),IF('Hill'!$B$4=2,IF(B1447&gt;0,B1447,""),IF('Hill'!$B$4=3,IF(B1447&lt;&gt;0,ABS(B1447),""),""))),"")</x:f>
      </x:c>
    </x:row>
    <x:row r="1448">
      <x:c r="A1448" t="n">
        <x:f>1447</x:f>
        <x:v>1447</x:v>
      </x:c>
      <x:c r="B1448" s="7" t="str">
        <x:f>IF('요약'!$B$4=4,IF(ISNUMBER('input'!A1448),'input'!A1448,""),IF(1447&lt;=1000,CHOOSE('요약'!$B$4,'input'!B1448,'input'!C1448,'input'!D1448),""))</x:f>
      </x:c>
      <x:c r="C1448" s="7" t="str">
        <x:f>IF(AND(ISNUMBER(B1448),'요약'!$B$19),B1448-'요약'!$B$7,"")</x:f>
      </x:c>
      <x:c r="D1448" s="7" t="str">
        <x:f>IF(ISNUMBER(C1448),C1448^2,"")</x:f>
      </x:c>
      <x:c r="E1448" s="15" t="str">
        <x:f>IF(ISNUMBER(C1448),C1448^3,"")</x:f>
      </x:c>
      <x:c r="F1448" s="15" t="str">
        <x:f>IF(ISNUMBER(C1448),C1448^4,"")</x:f>
      </x:c>
      <x:c r="G1448" s="7" t="str">
        <x:f>IF(ISNUMBER(B1448),ABS(B1448),"")</x:f>
      </x:c>
      <x:c r="H1448" s="7" t="str">
        <x:f>IF(ISNUMBER(B1448),B1448^2,"")</x:f>
      </x:c>
      <x:c r="I1448" s="7" t="str">
        <x:f>IF(AND(ISNUMBER(G1448),'요약'!$B$19),G1448-'요약'!$B$14,"")</x:f>
      </x:c>
      <x:c r="J1448" s="7" t="str">
        <x:f>IF(AND(ISNUMBER(H1448),'요약'!$B$19),H1448-'요약'!$B$15,"")</x:f>
      </x:c>
      <x:c r="K1448" t="str">
        <x:f>IF(ISNUMBER(B1448),IF('Hill'!$B$4=1,IF(B1448&lt;0,-B1448,""),IF('Hill'!$B$4=2,IF(B1448&gt;0,B1448,""),IF('Hill'!$B$4=3,IF(B1448&lt;&gt;0,ABS(B1448),""),""))),"")</x:f>
      </x:c>
    </x:row>
    <x:row r="1449">
      <x:c r="A1449" t="n">
        <x:f>1448</x:f>
        <x:v>1448</x:v>
      </x:c>
      <x:c r="B1449" s="7" t="str">
        <x:f>IF('요약'!$B$4=4,IF(ISNUMBER('input'!A1449),'input'!A1449,""),IF(1448&lt;=1000,CHOOSE('요약'!$B$4,'input'!B1449,'input'!C1449,'input'!D1449),""))</x:f>
      </x:c>
      <x:c r="C1449" s="7" t="str">
        <x:f>IF(AND(ISNUMBER(B1449),'요약'!$B$19),B1449-'요약'!$B$7,"")</x:f>
      </x:c>
      <x:c r="D1449" s="7" t="str">
        <x:f>IF(ISNUMBER(C1449),C1449^2,"")</x:f>
      </x:c>
      <x:c r="E1449" s="15" t="str">
        <x:f>IF(ISNUMBER(C1449),C1449^3,"")</x:f>
      </x:c>
      <x:c r="F1449" s="15" t="str">
        <x:f>IF(ISNUMBER(C1449),C1449^4,"")</x:f>
      </x:c>
      <x:c r="G1449" s="7" t="str">
        <x:f>IF(ISNUMBER(B1449),ABS(B1449),"")</x:f>
      </x:c>
      <x:c r="H1449" s="7" t="str">
        <x:f>IF(ISNUMBER(B1449),B1449^2,"")</x:f>
      </x:c>
      <x:c r="I1449" s="7" t="str">
        <x:f>IF(AND(ISNUMBER(G1449),'요약'!$B$19),G1449-'요약'!$B$14,"")</x:f>
      </x:c>
      <x:c r="J1449" s="7" t="str">
        <x:f>IF(AND(ISNUMBER(H1449),'요약'!$B$19),H1449-'요약'!$B$15,"")</x:f>
      </x:c>
      <x:c r="K1449" t="str">
        <x:f>IF(ISNUMBER(B1449),IF('Hill'!$B$4=1,IF(B1449&lt;0,-B1449,""),IF('Hill'!$B$4=2,IF(B1449&gt;0,B1449,""),IF('Hill'!$B$4=3,IF(B1449&lt;&gt;0,ABS(B1449),""),""))),"")</x:f>
      </x:c>
    </x:row>
    <x:row r="1450">
      <x:c r="A1450" t="n">
        <x:f>1449</x:f>
        <x:v>1449</x:v>
      </x:c>
      <x:c r="B1450" s="7" t="str">
        <x:f>IF('요약'!$B$4=4,IF(ISNUMBER('input'!A1450),'input'!A1450,""),IF(1449&lt;=1000,CHOOSE('요약'!$B$4,'input'!B1450,'input'!C1450,'input'!D1450),""))</x:f>
      </x:c>
      <x:c r="C1450" s="7" t="str">
        <x:f>IF(AND(ISNUMBER(B1450),'요약'!$B$19),B1450-'요약'!$B$7,"")</x:f>
      </x:c>
      <x:c r="D1450" s="7" t="str">
        <x:f>IF(ISNUMBER(C1450),C1450^2,"")</x:f>
      </x:c>
      <x:c r="E1450" s="15" t="str">
        <x:f>IF(ISNUMBER(C1450),C1450^3,"")</x:f>
      </x:c>
      <x:c r="F1450" s="15" t="str">
        <x:f>IF(ISNUMBER(C1450),C1450^4,"")</x:f>
      </x:c>
      <x:c r="G1450" s="7" t="str">
        <x:f>IF(ISNUMBER(B1450),ABS(B1450),"")</x:f>
      </x:c>
      <x:c r="H1450" s="7" t="str">
        <x:f>IF(ISNUMBER(B1450),B1450^2,"")</x:f>
      </x:c>
      <x:c r="I1450" s="7" t="str">
        <x:f>IF(AND(ISNUMBER(G1450),'요약'!$B$19),G1450-'요약'!$B$14,"")</x:f>
      </x:c>
      <x:c r="J1450" s="7" t="str">
        <x:f>IF(AND(ISNUMBER(H1450),'요약'!$B$19),H1450-'요약'!$B$15,"")</x:f>
      </x:c>
      <x:c r="K1450" t="str">
        <x:f>IF(ISNUMBER(B1450),IF('Hill'!$B$4=1,IF(B1450&lt;0,-B1450,""),IF('Hill'!$B$4=2,IF(B1450&gt;0,B1450,""),IF('Hill'!$B$4=3,IF(B1450&lt;&gt;0,ABS(B1450),""),""))),"")</x:f>
      </x:c>
    </x:row>
    <x:row r="1451">
      <x:c r="A1451" t="n">
        <x:f>1450</x:f>
        <x:v>1450</x:v>
      </x:c>
      <x:c r="B1451" s="7" t="str">
        <x:f>IF('요약'!$B$4=4,IF(ISNUMBER('input'!A1451),'input'!A1451,""),IF(1450&lt;=1000,CHOOSE('요약'!$B$4,'input'!B1451,'input'!C1451,'input'!D1451),""))</x:f>
      </x:c>
      <x:c r="C1451" s="7" t="str">
        <x:f>IF(AND(ISNUMBER(B1451),'요약'!$B$19),B1451-'요약'!$B$7,"")</x:f>
      </x:c>
      <x:c r="D1451" s="7" t="str">
        <x:f>IF(ISNUMBER(C1451),C1451^2,"")</x:f>
      </x:c>
      <x:c r="E1451" s="15" t="str">
        <x:f>IF(ISNUMBER(C1451),C1451^3,"")</x:f>
      </x:c>
      <x:c r="F1451" s="15" t="str">
        <x:f>IF(ISNUMBER(C1451),C1451^4,"")</x:f>
      </x:c>
      <x:c r="G1451" s="7" t="str">
        <x:f>IF(ISNUMBER(B1451),ABS(B1451),"")</x:f>
      </x:c>
      <x:c r="H1451" s="7" t="str">
        <x:f>IF(ISNUMBER(B1451),B1451^2,"")</x:f>
      </x:c>
      <x:c r="I1451" s="7" t="str">
        <x:f>IF(AND(ISNUMBER(G1451),'요약'!$B$19),G1451-'요약'!$B$14,"")</x:f>
      </x:c>
      <x:c r="J1451" s="7" t="str">
        <x:f>IF(AND(ISNUMBER(H1451),'요약'!$B$19),H1451-'요약'!$B$15,"")</x:f>
      </x:c>
      <x:c r="K1451" t="str">
        <x:f>IF(ISNUMBER(B1451),IF('Hill'!$B$4=1,IF(B1451&lt;0,-B1451,""),IF('Hill'!$B$4=2,IF(B1451&gt;0,B1451,""),IF('Hill'!$B$4=3,IF(B1451&lt;&gt;0,ABS(B1451),""),""))),"")</x:f>
      </x:c>
    </x:row>
    <x:row r="1452">
      <x:c r="A1452" t="n">
        <x:f>1451</x:f>
        <x:v>1451</x:v>
      </x:c>
      <x:c r="B1452" s="7" t="str">
        <x:f>IF('요약'!$B$4=4,IF(ISNUMBER('input'!A1452),'input'!A1452,""),IF(1451&lt;=1000,CHOOSE('요약'!$B$4,'input'!B1452,'input'!C1452,'input'!D1452),""))</x:f>
      </x:c>
      <x:c r="C1452" s="7" t="str">
        <x:f>IF(AND(ISNUMBER(B1452),'요약'!$B$19),B1452-'요약'!$B$7,"")</x:f>
      </x:c>
      <x:c r="D1452" s="7" t="str">
        <x:f>IF(ISNUMBER(C1452),C1452^2,"")</x:f>
      </x:c>
      <x:c r="E1452" s="15" t="str">
        <x:f>IF(ISNUMBER(C1452),C1452^3,"")</x:f>
      </x:c>
      <x:c r="F1452" s="15" t="str">
        <x:f>IF(ISNUMBER(C1452),C1452^4,"")</x:f>
      </x:c>
      <x:c r="G1452" s="7" t="str">
        <x:f>IF(ISNUMBER(B1452),ABS(B1452),"")</x:f>
      </x:c>
      <x:c r="H1452" s="7" t="str">
        <x:f>IF(ISNUMBER(B1452),B1452^2,"")</x:f>
      </x:c>
      <x:c r="I1452" s="7" t="str">
        <x:f>IF(AND(ISNUMBER(G1452),'요약'!$B$19),G1452-'요약'!$B$14,"")</x:f>
      </x:c>
      <x:c r="J1452" s="7" t="str">
        <x:f>IF(AND(ISNUMBER(H1452),'요약'!$B$19),H1452-'요약'!$B$15,"")</x:f>
      </x:c>
      <x:c r="K1452" t="str">
        <x:f>IF(ISNUMBER(B1452),IF('Hill'!$B$4=1,IF(B1452&lt;0,-B1452,""),IF('Hill'!$B$4=2,IF(B1452&gt;0,B1452,""),IF('Hill'!$B$4=3,IF(B1452&lt;&gt;0,ABS(B1452),""),""))),"")</x:f>
      </x:c>
    </x:row>
    <x:row r="1453">
      <x:c r="A1453" t="n">
        <x:f>1452</x:f>
        <x:v>1452</x:v>
      </x:c>
      <x:c r="B1453" s="7" t="str">
        <x:f>IF('요약'!$B$4=4,IF(ISNUMBER('input'!A1453),'input'!A1453,""),IF(1452&lt;=1000,CHOOSE('요약'!$B$4,'input'!B1453,'input'!C1453,'input'!D1453),""))</x:f>
      </x:c>
      <x:c r="C1453" s="7" t="str">
        <x:f>IF(AND(ISNUMBER(B1453),'요약'!$B$19),B1453-'요약'!$B$7,"")</x:f>
      </x:c>
      <x:c r="D1453" s="7" t="str">
        <x:f>IF(ISNUMBER(C1453),C1453^2,"")</x:f>
      </x:c>
      <x:c r="E1453" s="15" t="str">
        <x:f>IF(ISNUMBER(C1453),C1453^3,"")</x:f>
      </x:c>
      <x:c r="F1453" s="15" t="str">
        <x:f>IF(ISNUMBER(C1453),C1453^4,"")</x:f>
      </x:c>
      <x:c r="G1453" s="7" t="str">
        <x:f>IF(ISNUMBER(B1453),ABS(B1453),"")</x:f>
      </x:c>
      <x:c r="H1453" s="7" t="str">
        <x:f>IF(ISNUMBER(B1453),B1453^2,"")</x:f>
      </x:c>
      <x:c r="I1453" s="7" t="str">
        <x:f>IF(AND(ISNUMBER(G1453),'요약'!$B$19),G1453-'요약'!$B$14,"")</x:f>
      </x:c>
      <x:c r="J1453" s="7" t="str">
        <x:f>IF(AND(ISNUMBER(H1453),'요약'!$B$19),H1453-'요약'!$B$15,"")</x:f>
      </x:c>
      <x:c r="K1453" t="str">
        <x:f>IF(ISNUMBER(B1453),IF('Hill'!$B$4=1,IF(B1453&lt;0,-B1453,""),IF('Hill'!$B$4=2,IF(B1453&gt;0,B1453,""),IF('Hill'!$B$4=3,IF(B1453&lt;&gt;0,ABS(B1453),""),""))),"")</x:f>
      </x:c>
    </x:row>
    <x:row r="1454">
      <x:c r="A1454" t="n">
        <x:f>1453</x:f>
        <x:v>1453</x:v>
      </x:c>
      <x:c r="B1454" s="7" t="str">
        <x:f>IF('요약'!$B$4=4,IF(ISNUMBER('input'!A1454),'input'!A1454,""),IF(1453&lt;=1000,CHOOSE('요약'!$B$4,'input'!B1454,'input'!C1454,'input'!D1454),""))</x:f>
      </x:c>
      <x:c r="C1454" s="7" t="str">
        <x:f>IF(AND(ISNUMBER(B1454),'요약'!$B$19),B1454-'요약'!$B$7,"")</x:f>
      </x:c>
      <x:c r="D1454" s="7" t="str">
        <x:f>IF(ISNUMBER(C1454),C1454^2,"")</x:f>
      </x:c>
      <x:c r="E1454" s="15" t="str">
        <x:f>IF(ISNUMBER(C1454),C1454^3,"")</x:f>
      </x:c>
      <x:c r="F1454" s="15" t="str">
        <x:f>IF(ISNUMBER(C1454),C1454^4,"")</x:f>
      </x:c>
      <x:c r="G1454" s="7" t="str">
        <x:f>IF(ISNUMBER(B1454),ABS(B1454),"")</x:f>
      </x:c>
      <x:c r="H1454" s="7" t="str">
        <x:f>IF(ISNUMBER(B1454),B1454^2,"")</x:f>
      </x:c>
      <x:c r="I1454" s="7" t="str">
        <x:f>IF(AND(ISNUMBER(G1454),'요약'!$B$19),G1454-'요약'!$B$14,"")</x:f>
      </x:c>
      <x:c r="J1454" s="7" t="str">
        <x:f>IF(AND(ISNUMBER(H1454),'요약'!$B$19),H1454-'요약'!$B$15,"")</x:f>
      </x:c>
      <x:c r="K1454" t="str">
        <x:f>IF(ISNUMBER(B1454),IF('Hill'!$B$4=1,IF(B1454&lt;0,-B1454,""),IF('Hill'!$B$4=2,IF(B1454&gt;0,B1454,""),IF('Hill'!$B$4=3,IF(B1454&lt;&gt;0,ABS(B1454),""),""))),"")</x:f>
      </x:c>
    </x:row>
    <x:row r="1455">
      <x:c r="A1455" t="n">
        <x:f>1454</x:f>
        <x:v>1454</x:v>
      </x:c>
      <x:c r="B1455" s="7" t="str">
        <x:f>IF('요약'!$B$4=4,IF(ISNUMBER('input'!A1455),'input'!A1455,""),IF(1454&lt;=1000,CHOOSE('요약'!$B$4,'input'!B1455,'input'!C1455,'input'!D1455),""))</x:f>
      </x:c>
      <x:c r="C1455" s="7" t="str">
        <x:f>IF(AND(ISNUMBER(B1455),'요약'!$B$19),B1455-'요약'!$B$7,"")</x:f>
      </x:c>
      <x:c r="D1455" s="7" t="str">
        <x:f>IF(ISNUMBER(C1455),C1455^2,"")</x:f>
      </x:c>
      <x:c r="E1455" s="15" t="str">
        <x:f>IF(ISNUMBER(C1455),C1455^3,"")</x:f>
      </x:c>
      <x:c r="F1455" s="15" t="str">
        <x:f>IF(ISNUMBER(C1455),C1455^4,"")</x:f>
      </x:c>
      <x:c r="G1455" s="7" t="str">
        <x:f>IF(ISNUMBER(B1455),ABS(B1455),"")</x:f>
      </x:c>
      <x:c r="H1455" s="7" t="str">
        <x:f>IF(ISNUMBER(B1455),B1455^2,"")</x:f>
      </x:c>
      <x:c r="I1455" s="7" t="str">
        <x:f>IF(AND(ISNUMBER(G1455),'요약'!$B$19),G1455-'요약'!$B$14,"")</x:f>
      </x:c>
      <x:c r="J1455" s="7" t="str">
        <x:f>IF(AND(ISNUMBER(H1455),'요약'!$B$19),H1455-'요약'!$B$15,"")</x:f>
      </x:c>
      <x:c r="K1455" t="str">
        <x:f>IF(ISNUMBER(B1455),IF('Hill'!$B$4=1,IF(B1455&lt;0,-B1455,""),IF('Hill'!$B$4=2,IF(B1455&gt;0,B1455,""),IF('Hill'!$B$4=3,IF(B1455&lt;&gt;0,ABS(B1455),""),""))),"")</x:f>
      </x:c>
    </x:row>
    <x:row r="1456">
      <x:c r="A1456" t="n">
        <x:f>1455</x:f>
        <x:v>1455</x:v>
      </x:c>
      <x:c r="B1456" s="7" t="str">
        <x:f>IF('요약'!$B$4=4,IF(ISNUMBER('input'!A1456),'input'!A1456,""),IF(1455&lt;=1000,CHOOSE('요약'!$B$4,'input'!B1456,'input'!C1456,'input'!D1456),""))</x:f>
      </x:c>
      <x:c r="C1456" s="7" t="str">
        <x:f>IF(AND(ISNUMBER(B1456),'요약'!$B$19),B1456-'요약'!$B$7,"")</x:f>
      </x:c>
      <x:c r="D1456" s="7" t="str">
        <x:f>IF(ISNUMBER(C1456),C1456^2,"")</x:f>
      </x:c>
      <x:c r="E1456" s="15" t="str">
        <x:f>IF(ISNUMBER(C1456),C1456^3,"")</x:f>
      </x:c>
      <x:c r="F1456" s="15" t="str">
        <x:f>IF(ISNUMBER(C1456),C1456^4,"")</x:f>
      </x:c>
      <x:c r="G1456" s="7" t="str">
        <x:f>IF(ISNUMBER(B1456),ABS(B1456),"")</x:f>
      </x:c>
      <x:c r="H1456" s="7" t="str">
        <x:f>IF(ISNUMBER(B1456),B1456^2,"")</x:f>
      </x:c>
      <x:c r="I1456" s="7" t="str">
        <x:f>IF(AND(ISNUMBER(G1456),'요약'!$B$19),G1456-'요약'!$B$14,"")</x:f>
      </x:c>
      <x:c r="J1456" s="7" t="str">
        <x:f>IF(AND(ISNUMBER(H1456),'요약'!$B$19),H1456-'요약'!$B$15,"")</x:f>
      </x:c>
      <x:c r="K1456" t="str">
        <x:f>IF(ISNUMBER(B1456),IF('Hill'!$B$4=1,IF(B1456&lt;0,-B1456,""),IF('Hill'!$B$4=2,IF(B1456&gt;0,B1456,""),IF('Hill'!$B$4=3,IF(B1456&lt;&gt;0,ABS(B1456),""),""))),"")</x:f>
      </x:c>
    </x:row>
    <x:row r="1457">
      <x:c r="A1457" t="n">
        <x:f>1456</x:f>
        <x:v>1456</x:v>
      </x:c>
      <x:c r="B1457" s="7" t="str">
        <x:f>IF('요약'!$B$4=4,IF(ISNUMBER('input'!A1457),'input'!A1457,""),IF(1456&lt;=1000,CHOOSE('요약'!$B$4,'input'!B1457,'input'!C1457,'input'!D1457),""))</x:f>
      </x:c>
      <x:c r="C1457" s="7" t="str">
        <x:f>IF(AND(ISNUMBER(B1457),'요약'!$B$19),B1457-'요약'!$B$7,"")</x:f>
      </x:c>
      <x:c r="D1457" s="7" t="str">
        <x:f>IF(ISNUMBER(C1457),C1457^2,"")</x:f>
      </x:c>
      <x:c r="E1457" s="15" t="str">
        <x:f>IF(ISNUMBER(C1457),C1457^3,"")</x:f>
      </x:c>
      <x:c r="F1457" s="15" t="str">
        <x:f>IF(ISNUMBER(C1457),C1457^4,"")</x:f>
      </x:c>
      <x:c r="G1457" s="7" t="str">
        <x:f>IF(ISNUMBER(B1457),ABS(B1457),"")</x:f>
      </x:c>
      <x:c r="H1457" s="7" t="str">
        <x:f>IF(ISNUMBER(B1457),B1457^2,"")</x:f>
      </x:c>
      <x:c r="I1457" s="7" t="str">
        <x:f>IF(AND(ISNUMBER(G1457),'요약'!$B$19),G1457-'요약'!$B$14,"")</x:f>
      </x:c>
      <x:c r="J1457" s="7" t="str">
        <x:f>IF(AND(ISNUMBER(H1457),'요약'!$B$19),H1457-'요약'!$B$15,"")</x:f>
      </x:c>
      <x:c r="K1457" t="str">
        <x:f>IF(ISNUMBER(B1457),IF('Hill'!$B$4=1,IF(B1457&lt;0,-B1457,""),IF('Hill'!$B$4=2,IF(B1457&gt;0,B1457,""),IF('Hill'!$B$4=3,IF(B1457&lt;&gt;0,ABS(B1457),""),""))),"")</x:f>
      </x:c>
    </x:row>
    <x:row r="1458">
      <x:c r="A1458" t="n">
        <x:f>1457</x:f>
        <x:v>1457</x:v>
      </x:c>
      <x:c r="B1458" s="7" t="str">
        <x:f>IF('요약'!$B$4=4,IF(ISNUMBER('input'!A1458),'input'!A1458,""),IF(1457&lt;=1000,CHOOSE('요약'!$B$4,'input'!B1458,'input'!C1458,'input'!D1458),""))</x:f>
      </x:c>
      <x:c r="C1458" s="7" t="str">
        <x:f>IF(AND(ISNUMBER(B1458),'요약'!$B$19),B1458-'요약'!$B$7,"")</x:f>
      </x:c>
      <x:c r="D1458" s="7" t="str">
        <x:f>IF(ISNUMBER(C1458),C1458^2,"")</x:f>
      </x:c>
      <x:c r="E1458" s="15" t="str">
        <x:f>IF(ISNUMBER(C1458),C1458^3,"")</x:f>
      </x:c>
      <x:c r="F1458" s="15" t="str">
        <x:f>IF(ISNUMBER(C1458),C1458^4,"")</x:f>
      </x:c>
      <x:c r="G1458" s="7" t="str">
        <x:f>IF(ISNUMBER(B1458),ABS(B1458),"")</x:f>
      </x:c>
      <x:c r="H1458" s="7" t="str">
        <x:f>IF(ISNUMBER(B1458),B1458^2,"")</x:f>
      </x:c>
      <x:c r="I1458" s="7" t="str">
        <x:f>IF(AND(ISNUMBER(G1458),'요약'!$B$19),G1458-'요약'!$B$14,"")</x:f>
      </x:c>
      <x:c r="J1458" s="7" t="str">
        <x:f>IF(AND(ISNUMBER(H1458),'요약'!$B$19),H1458-'요약'!$B$15,"")</x:f>
      </x:c>
      <x:c r="K1458" t="str">
        <x:f>IF(ISNUMBER(B1458),IF('Hill'!$B$4=1,IF(B1458&lt;0,-B1458,""),IF('Hill'!$B$4=2,IF(B1458&gt;0,B1458,""),IF('Hill'!$B$4=3,IF(B1458&lt;&gt;0,ABS(B1458),""),""))),"")</x:f>
      </x:c>
    </x:row>
    <x:row r="1459">
      <x:c r="A1459" t="n">
        <x:f>1458</x:f>
        <x:v>1458</x:v>
      </x:c>
      <x:c r="B1459" s="7" t="str">
        <x:f>IF('요약'!$B$4=4,IF(ISNUMBER('input'!A1459),'input'!A1459,""),IF(1458&lt;=1000,CHOOSE('요약'!$B$4,'input'!B1459,'input'!C1459,'input'!D1459),""))</x:f>
      </x:c>
      <x:c r="C1459" s="7" t="str">
        <x:f>IF(AND(ISNUMBER(B1459),'요약'!$B$19),B1459-'요약'!$B$7,"")</x:f>
      </x:c>
      <x:c r="D1459" s="7" t="str">
        <x:f>IF(ISNUMBER(C1459),C1459^2,"")</x:f>
      </x:c>
      <x:c r="E1459" s="15" t="str">
        <x:f>IF(ISNUMBER(C1459),C1459^3,"")</x:f>
      </x:c>
      <x:c r="F1459" s="15" t="str">
        <x:f>IF(ISNUMBER(C1459),C1459^4,"")</x:f>
      </x:c>
      <x:c r="G1459" s="7" t="str">
        <x:f>IF(ISNUMBER(B1459),ABS(B1459),"")</x:f>
      </x:c>
      <x:c r="H1459" s="7" t="str">
        <x:f>IF(ISNUMBER(B1459),B1459^2,"")</x:f>
      </x:c>
      <x:c r="I1459" s="7" t="str">
        <x:f>IF(AND(ISNUMBER(G1459),'요약'!$B$19),G1459-'요약'!$B$14,"")</x:f>
      </x:c>
      <x:c r="J1459" s="7" t="str">
        <x:f>IF(AND(ISNUMBER(H1459),'요약'!$B$19),H1459-'요약'!$B$15,"")</x:f>
      </x:c>
      <x:c r="K1459" t="str">
        <x:f>IF(ISNUMBER(B1459),IF('Hill'!$B$4=1,IF(B1459&lt;0,-B1459,""),IF('Hill'!$B$4=2,IF(B1459&gt;0,B1459,""),IF('Hill'!$B$4=3,IF(B1459&lt;&gt;0,ABS(B1459),""),""))),"")</x:f>
      </x:c>
    </x:row>
    <x:row r="1460">
      <x:c r="A1460" t="n">
        <x:f>1459</x:f>
        <x:v>1459</x:v>
      </x:c>
      <x:c r="B1460" s="7" t="str">
        <x:f>IF('요약'!$B$4=4,IF(ISNUMBER('input'!A1460),'input'!A1460,""),IF(1459&lt;=1000,CHOOSE('요약'!$B$4,'input'!B1460,'input'!C1460,'input'!D1460),""))</x:f>
      </x:c>
      <x:c r="C1460" s="7" t="str">
        <x:f>IF(AND(ISNUMBER(B1460),'요약'!$B$19),B1460-'요약'!$B$7,"")</x:f>
      </x:c>
      <x:c r="D1460" s="7" t="str">
        <x:f>IF(ISNUMBER(C1460),C1460^2,"")</x:f>
      </x:c>
      <x:c r="E1460" s="15" t="str">
        <x:f>IF(ISNUMBER(C1460),C1460^3,"")</x:f>
      </x:c>
      <x:c r="F1460" s="15" t="str">
        <x:f>IF(ISNUMBER(C1460),C1460^4,"")</x:f>
      </x:c>
      <x:c r="G1460" s="7" t="str">
        <x:f>IF(ISNUMBER(B1460),ABS(B1460),"")</x:f>
      </x:c>
      <x:c r="H1460" s="7" t="str">
        <x:f>IF(ISNUMBER(B1460),B1460^2,"")</x:f>
      </x:c>
      <x:c r="I1460" s="7" t="str">
        <x:f>IF(AND(ISNUMBER(G1460),'요약'!$B$19),G1460-'요약'!$B$14,"")</x:f>
      </x:c>
      <x:c r="J1460" s="7" t="str">
        <x:f>IF(AND(ISNUMBER(H1460),'요약'!$B$19),H1460-'요약'!$B$15,"")</x:f>
      </x:c>
      <x:c r="K1460" t="str">
        <x:f>IF(ISNUMBER(B1460),IF('Hill'!$B$4=1,IF(B1460&lt;0,-B1460,""),IF('Hill'!$B$4=2,IF(B1460&gt;0,B1460,""),IF('Hill'!$B$4=3,IF(B1460&lt;&gt;0,ABS(B1460),""),""))),"")</x:f>
      </x:c>
    </x:row>
    <x:row r="1461">
      <x:c r="A1461" t="n">
        <x:f>1460</x:f>
        <x:v>1460</x:v>
      </x:c>
      <x:c r="B1461" s="7" t="str">
        <x:f>IF('요약'!$B$4=4,IF(ISNUMBER('input'!A1461),'input'!A1461,""),IF(1460&lt;=1000,CHOOSE('요약'!$B$4,'input'!B1461,'input'!C1461,'input'!D1461),""))</x:f>
      </x:c>
      <x:c r="C1461" s="7" t="str">
        <x:f>IF(AND(ISNUMBER(B1461),'요약'!$B$19),B1461-'요약'!$B$7,"")</x:f>
      </x:c>
      <x:c r="D1461" s="7" t="str">
        <x:f>IF(ISNUMBER(C1461),C1461^2,"")</x:f>
      </x:c>
      <x:c r="E1461" s="15" t="str">
        <x:f>IF(ISNUMBER(C1461),C1461^3,"")</x:f>
      </x:c>
      <x:c r="F1461" s="15" t="str">
        <x:f>IF(ISNUMBER(C1461),C1461^4,"")</x:f>
      </x:c>
      <x:c r="G1461" s="7" t="str">
        <x:f>IF(ISNUMBER(B1461),ABS(B1461),"")</x:f>
      </x:c>
      <x:c r="H1461" s="7" t="str">
        <x:f>IF(ISNUMBER(B1461),B1461^2,"")</x:f>
      </x:c>
      <x:c r="I1461" s="7" t="str">
        <x:f>IF(AND(ISNUMBER(G1461),'요약'!$B$19),G1461-'요약'!$B$14,"")</x:f>
      </x:c>
      <x:c r="J1461" s="7" t="str">
        <x:f>IF(AND(ISNUMBER(H1461),'요약'!$B$19),H1461-'요약'!$B$15,"")</x:f>
      </x:c>
      <x:c r="K1461" t="str">
        <x:f>IF(ISNUMBER(B1461),IF('Hill'!$B$4=1,IF(B1461&lt;0,-B1461,""),IF('Hill'!$B$4=2,IF(B1461&gt;0,B1461,""),IF('Hill'!$B$4=3,IF(B1461&lt;&gt;0,ABS(B1461),""),""))),"")</x:f>
      </x:c>
    </x:row>
    <x:row r="1462">
      <x:c r="A1462" t="n">
        <x:f>1461</x:f>
        <x:v>1461</x:v>
      </x:c>
      <x:c r="B1462" s="7" t="str">
        <x:f>IF('요약'!$B$4=4,IF(ISNUMBER('input'!A1462),'input'!A1462,""),IF(1461&lt;=1000,CHOOSE('요약'!$B$4,'input'!B1462,'input'!C1462,'input'!D1462),""))</x:f>
      </x:c>
      <x:c r="C1462" s="7" t="str">
        <x:f>IF(AND(ISNUMBER(B1462),'요약'!$B$19),B1462-'요약'!$B$7,"")</x:f>
      </x:c>
      <x:c r="D1462" s="7" t="str">
        <x:f>IF(ISNUMBER(C1462),C1462^2,"")</x:f>
      </x:c>
      <x:c r="E1462" s="15" t="str">
        <x:f>IF(ISNUMBER(C1462),C1462^3,"")</x:f>
      </x:c>
      <x:c r="F1462" s="15" t="str">
        <x:f>IF(ISNUMBER(C1462),C1462^4,"")</x:f>
      </x:c>
      <x:c r="G1462" s="7" t="str">
        <x:f>IF(ISNUMBER(B1462),ABS(B1462),"")</x:f>
      </x:c>
      <x:c r="H1462" s="7" t="str">
        <x:f>IF(ISNUMBER(B1462),B1462^2,"")</x:f>
      </x:c>
      <x:c r="I1462" s="7" t="str">
        <x:f>IF(AND(ISNUMBER(G1462),'요약'!$B$19),G1462-'요약'!$B$14,"")</x:f>
      </x:c>
      <x:c r="J1462" s="7" t="str">
        <x:f>IF(AND(ISNUMBER(H1462),'요약'!$B$19),H1462-'요약'!$B$15,"")</x:f>
      </x:c>
      <x:c r="K1462" t="str">
        <x:f>IF(ISNUMBER(B1462),IF('Hill'!$B$4=1,IF(B1462&lt;0,-B1462,""),IF('Hill'!$B$4=2,IF(B1462&gt;0,B1462,""),IF('Hill'!$B$4=3,IF(B1462&lt;&gt;0,ABS(B1462),""),""))),"")</x:f>
      </x:c>
    </x:row>
    <x:row r="1463">
      <x:c r="A1463" t="n">
        <x:f>1462</x:f>
        <x:v>1462</x:v>
      </x:c>
      <x:c r="B1463" s="7" t="str">
        <x:f>IF('요약'!$B$4=4,IF(ISNUMBER('input'!A1463),'input'!A1463,""),IF(1462&lt;=1000,CHOOSE('요약'!$B$4,'input'!B1463,'input'!C1463,'input'!D1463),""))</x:f>
      </x:c>
      <x:c r="C1463" s="7" t="str">
        <x:f>IF(AND(ISNUMBER(B1463),'요약'!$B$19),B1463-'요약'!$B$7,"")</x:f>
      </x:c>
      <x:c r="D1463" s="7" t="str">
        <x:f>IF(ISNUMBER(C1463),C1463^2,"")</x:f>
      </x:c>
      <x:c r="E1463" s="15" t="str">
        <x:f>IF(ISNUMBER(C1463),C1463^3,"")</x:f>
      </x:c>
      <x:c r="F1463" s="15" t="str">
        <x:f>IF(ISNUMBER(C1463),C1463^4,"")</x:f>
      </x:c>
      <x:c r="G1463" s="7" t="str">
        <x:f>IF(ISNUMBER(B1463),ABS(B1463),"")</x:f>
      </x:c>
      <x:c r="H1463" s="7" t="str">
        <x:f>IF(ISNUMBER(B1463),B1463^2,"")</x:f>
      </x:c>
      <x:c r="I1463" s="7" t="str">
        <x:f>IF(AND(ISNUMBER(G1463),'요약'!$B$19),G1463-'요약'!$B$14,"")</x:f>
      </x:c>
      <x:c r="J1463" s="7" t="str">
        <x:f>IF(AND(ISNUMBER(H1463),'요약'!$B$19),H1463-'요약'!$B$15,"")</x:f>
      </x:c>
      <x:c r="K1463" t="str">
        <x:f>IF(ISNUMBER(B1463),IF('Hill'!$B$4=1,IF(B1463&lt;0,-B1463,""),IF('Hill'!$B$4=2,IF(B1463&gt;0,B1463,""),IF('Hill'!$B$4=3,IF(B1463&lt;&gt;0,ABS(B1463),""),""))),"")</x:f>
      </x:c>
    </x:row>
    <x:row r="1464">
      <x:c r="A1464" t="n">
        <x:f>1463</x:f>
        <x:v>1463</x:v>
      </x:c>
      <x:c r="B1464" s="7" t="str">
        <x:f>IF('요약'!$B$4=4,IF(ISNUMBER('input'!A1464),'input'!A1464,""),IF(1463&lt;=1000,CHOOSE('요약'!$B$4,'input'!B1464,'input'!C1464,'input'!D1464),""))</x:f>
      </x:c>
      <x:c r="C1464" s="7" t="str">
        <x:f>IF(AND(ISNUMBER(B1464),'요약'!$B$19),B1464-'요약'!$B$7,"")</x:f>
      </x:c>
      <x:c r="D1464" s="7" t="str">
        <x:f>IF(ISNUMBER(C1464),C1464^2,"")</x:f>
      </x:c>
      <x:c r="E1464" s="15" t="str">
        <x:f>IF(ISNUMBER(C1464),C1464^3,"")</x:f>
      </x:c>
      <x:c r="F1464" s="15" t="str">
        <x:f>IF(ISNUMBER(C1464),C1464^4,"")</x:f>
      </x:c>
      <x:c r="G1464" s="7" t="str">
        <x:f>IF(ISNUMBER(B1464),ABS(B1464),"")</x:f>
      </x:c>
      <x:c r="H1464" s="7" t="str">
        <x:f>IF(ISNUMBER(B1464),B1464^2,"")</x:f>
      </x:c>
      <x:c r="I1464" s="7" t="str">
        <x:f>IF(AND(ISNUMBER(G1464),'요약'!$B$19),G1464-'요약'!$B$14,"")</x:f>
      </x:c>
      <x:c r="J1464" s="7" t="str">
        <x:f>IF(AND(ISNUMBER(H1464),'요약'!$B$19),H1464-'요약'!$B$15,"")</x:f>
      </x:c>
      <x:c r="K1464" t="str">
        <x:f>IF(ISNUMBER(B1464),IF('Hill'!$B$4=1,IF(B1464&lt;0,-B1464,""),IF('Hill'!$B$4=2,IF(B1464&gt;0,B1464,""),IF('Hill'!$B$4=3,IF(B1464&lt;&gt;0,ABS(B1464),""),""))),"")</x:f>
      </x:c>
    </x:row>
    <x:row r="1465">
      <x:c r="A1465" t="n">
        <x:f>1464</x:f>
        <x:v>1464</x:v>
      </x:c>
      <x:c r="B1465" s="7" t="str">
        <x:f>IF('요약'!$B$4=4,IF(ISNUMBER('input'!A1465),'input'!A1465,""),IF(1464&lt;=1000,CHOOSE('요약'!$B$4,'input'!B1465,'input'!C1465,'input'!D1465),""))</x:f>
      </x:c>
      <x:c r="C1465" s="7" t="str">
        <x:f>IF(AND(ISNUMBER(B1465),'요약'!$B$19),B1465-'요약'!$B$7,"")</x:f>
      </x:c>
      <x:c r="D1465" s="7" t="str">
        <x:f>IF(ISNUMBER(C1465),C1465^2,"")</x:f>
      </x:c>
      <x:c r="E1465" s="15" t="str">
        <x:f>IF(ISNUMBER(C1465),C1465^3,"")</x:f>
      </x:c>
      <x:c r="F1465" s="15" t="str">
        <x:f>IF(ISNUMBER(C1465),C1465^4,"")</x:f>
      </x:c>
      <x:c r="G1465" s="7" t="str">
        <x:f>IF(ISNUMBER(B1465),ABS(B1465),"")</x:f>
      </x:c>
      <x:c r="H1465" s="7" t="str">
        <x:f>IF(ISNUMBER(B1465),B1465^2,"")</x:f>
      </x:c>
      <x:c r="I1465" s="7" t="str">
        <x:f>IF(AND(ISNUMBER(G1465),'요약'!$B$19),G1465-'요약'!$B$14,"")</x:f>
      </x:c>
      <x:c r="J1465" s="7" t="str">
        <x:f>IF(AND(ISNUMBER(H1465),'요약'!$B$19),H1465-'요약'!$B$15,"")</x:f>
      </x:c>
      <x:c r="K1465" t="str">
        <x:f>IF(ISNUMBER(B1465),IF('Hill'!$B$4=1,IF(B1465&lt;0,-B1465,""),IF('Hill'!$B$4=2,IF(B1465&gt;0,B1465,""),IF('Hill'!$B$4=3,IF(B1465&lt;&gt;0,ABS(B1465),""),""))),"")</x:f>
      </x:c>
    </x:row>
    <x:row r="1466">
      <x:c r="A1466" t="n">
        <x:f>1465</x:f>
        <x:v>1465</x:v>
      </x:c>
      <x:c r="B1466" s="7" t="str">
        <x:f>IF('요약'!$B$4=4,IF(ISNUMBER('input'!A1466),'input'!A1466,""),IF(1465&lt;=1000,CHOOSE('요약'!$B$4,'input'!B1466,'input'!C1466,'input'!D1466),""))</x:f>
      </x:c>
      <x:c r="C1466" s="7" t="str">
        <x:f>IF(AND(ISNUMBER(B1466),'요약'!$B$19),B1466-'요약'!$B$7,"")</x:f>
      </x:c>
      <x:c r="D1466" s="7" t="str">
        <x:f>IF(ISNUMBER(C1466),C1466^2,"")</x:f>
      </x:c>
      <x:c r="E1466" s="15" t="str">
        <x:f>IF(ISNUMBER(C1466),C1466^3,"")</x:f>
      </x:c>
      <x:c r="F1466" s="15" t="str">
        <x:f>IF(ISNUMBER(C1466),C1466^4,"")</x:f>
      </x:c>
      <x:c r="G1466" s="7" t="str">
        <x:f>IF(ISNUMBER(B1466),ABS(B1466),"")</x:f>
      </x:c>
      <x:c r="H1466" s="7" t="str">
        <x:f>IF(ISNUMBER(B1466),B1466^2,"")</x:f>
      </x:c>
      <x:c r="I1466" s="7" t="str">
        <x:f>IF(AND(ISNUMBER(G1466),'요약'!$B$19),G1466-'요약'!$B$14,"")</x:f>
      </x:c>
      <x:c r="J1466" s="7" t="str">
        <x:f>IF(AND(ISNUMBER(H1466),'요약'!$B$19),H1466-'요약'!$B$15,"")</x:f>
      </x:c>
      <x:c r="K1466" t="str">
        <x:f>IF(ISNUMBER(B1466),IF('Hill'!$B$4=1,IF(B1466&lt;0,-B1466,""),IF('Hill'!$B$4=2,IF(B1466&gt;0,B1466,""),IF('Hill'!$B$4=3,IF(B1466&lt;&gt;0,ABS(B1466),""),""))),"")</x:f>
      </x:c>
    </x:row>
    <x:row r="1467">
      <x:c r="A1467" t="n">
        <x:f>1466</x:f>
        <x:v>1466</x:v>
      </x:c>
      <x:c r="B1467" s="7" t="str">
        <x:f>IF('요약'!$B$4=4,IF(ISNUMBER('input'!A1467),'input'!A1467,""),IF(1466&lt;=1000,CHOOSE('요약'!$B$4,'input'!B1467,'input'!C1467,'input'!D1467),""))</x:f>
      </x:c>
      <x:c r="C1467" s="7" t="str">
        <x:f>IF(AND(ISNUMBER(B1467),'요약'!$B$19),B1467-'요약'!$B$7,"")</x:f>
      </x:c>
      <x:c r="D1467" s="7" t="str">
        <x:f>IF(ISNUMBER(C1467),C1467^2,"")</x:f>
      </x:c>
      <x:c r="E1467" s="15" t="str">
        <x:f>IF(ISNUMBER(C1467),C1467^3,"")</x:f>
      </x:c>
      <x:c r="F1467" s="15" t="str">
        <x:f>IF(ISNUMBER(C1467),C1467^4,"")</x:f>
      </x:c>
      <x:c r="G1467" s="7" t="str">
        <x:f>IF(ISNUMBER(B1467),ABS(B1467),"")</x:f>
      </x:c>
      <x:c r="H1467" s="7" t="str">
        <x:f>IF(ISNUMBER(B1467),B1467^2,"")</x:f>
      </x:c>
      <x:c r="I1467" s="7" t="str">
        <x:f>IF(AND(ISNUMBER(G1467),'요약'!$B$19),G1467-'요약'!$B$14,"")</x:f>
      </x:c>
      <x:c r="J1467" s="7" t="str">
        <x:f>IF(AND(ISNUMBER(H1467),'요약'!$B$19),H1467-'요약'!$B$15,"")</x:f>
      </x:c>
      <x:c r="K1467" t="str">
        <x:f>IF(ISNUMBER(B1467),IF('Hill'!$B$4=1,IF(B1467&lt;0,-B1467,""),IF('Hill'!$B$4=2,IF(B1467&gt;0,B1467,""),IF('Hill'!$B$4=3,IF(B1467&lt;&gt;0,ABS(B1467),""),""))),"")</x:f>
      </x:c>
    </x:row>
    <x:row r="1468">
      <x:c r="A1468" t="n">
        <x:f>1467</x:f>
        <x:v>1467</x:v>
      </x:c>
      <x:c r="B1468" s="7" t="str">
        <x:f>IF('요약'!$B$4=4,IF(ISNUMBER('input'!A1468),'input'!A1468,""),IF(1467&lt;=1000,CHOOSE('요약'!$B$4,'input'!B1468,'input'!C1468,'input'!D1468),""))</x:f>
      </x:c>
      <x:c r="C1468" s="7" t="str">
        <x:f>IF(AND(ISNUMBER(B1468),'요약'!$B$19),B1468-'요약'!$B$7,"")</x:f>
      </x:c>
      <x:c r="D1468" s="7" t="str">
        <x:f>IF(ISNUMBER(C1468),C1468^2,"")</x:f>
      </x:c>
      <x:c r="E1468" s="15" t="str">
        <x:f>IF(ISNUMBER(C1468),C1468^3,"")</x:f>
      </x:c>
      <x:c r="F1468" s="15" t="str">
        <x:f>IF(ISNUMBER(C1468),C1468^4,"")</x:f>
      </x:c>
      <x:c r="G1468" s="7" t="str">
        <x:f>IF(ISNUMBER(B1468),ABS(B1468),"")</x:f>
      </x:c>
      <x:c r="H1468" s="7" t="str">
        <x:f>IF(ISNUMBER(B1468),B1468^2,"")</x:f>
      </x:c>
      <x:c r="I1468" s="7" t="str">
        <x:f>IF(AND(ISNUMBER(G1468),'요약'!$B$19),G1468-'요약'!$B$14,"")</x:f>
      </x:c>
      <x:c r="J1468" s="7" t="str">
        <x:f>IF(AND(ISNUMBER(H1468),'요약'!$B$19),H1468-'요약'!$B$15,"")</x:f>
      </x:c>
      <x:c r="K1468" t="str">
        <x:f>IF(ISNUMBER(B1468),IF('Hill'!$B$4=1,IF(B1468&lt;0,-B1468,""),IF('Hill'!$B$4=2,IF(B1468&gt;0,B1468,""),IF('Hill'!$B$4=3,IF(B1468&lt;&gt;0,ABS(B1468),""),""))),"")</x:f>
      </x:c>
    </x:row>
    <x:row r="1469">
      <x:c r="A1469" t="n">
        <x:f>1468</x:f>
        <x:v>1468</x:v>
      </x:c>
      <x:c r="B1469" s="7" t="str">
        <x:f>IF('요약'!$B$4=4,IF(ISNUMBER('input'!A1469),'input'!A1469,""),IF(1468&lt;=1000,CHOOSE('요약'!$B$4,'input'!B1469,'input'!C1469,'input'!D1469),""))</x:f>
      </x:c>
      <x:c r="C1469" s="7" t="str">
        <x:f>IF(AND(ISNUMBER(B1469),'요약'!$B$19),B1469-'요약'!$B$7,"")</x:f>
      </x:c>
      <x:c r="D1469" s="7" t="str">
        <x:f>IF(ISNUMBER(C1469),C1469^2,"")</x:f>
      </x:c>
      <x:c r="E1469" s="15" t="str">
        <x:f>IF(ISNUMBER(C1469),C1469^3,"")</x:f>
      </x:c>
      <x:c r="F1469" s="15" t="str">
        <x:f>IF(ISNUMBER(C1469),C1469^4,"")</x:f>
      </x:c>
      <x:c r="G1469" s="7" t="str">
        <x:f>IF(ISNUMBER(B1469),ABS(B1469),"")</x:f>
      </x:c>
      <x:c r="H1469" s="7" t="str">
        <x:f>IF(ISNUMBER(B1469),B1469^2,"")</x:f>
      </x:c>
      <x:c r="I1469" s="7" t="str">
        <x:f>IF(AND(ISNUMBER(G1469),'요약'!$B$19),G1469-'요약'!$B$14,"")</x:f>
      </x:c>
      <x:c r="J1469" s="7" t="str">
        <x:f>IF(AND(ISNUMBER(H1469),'요약'!$B$19),H1469-'요약'!$B$15,"")</x:f>
      </x:c>
      <x:c r="K1469" t="str">
        <x:f>IF(ISNUMBER(B1469),IF('Hill'!$B$4=1,IF(B1469&lt;0,-B1469,""),IF('Hill'!$B$4=2,IF(B1469&gt;0,B1469,""),IF('Hill'!$B$4=3,IF(B1469&lt;&gt;0,ABS(B1469),""),""))),"")</x:f>
      </x:c>
    </x:row>
    <x:row r="1470">
      <x:c r="A1470" t="n">
        <x:f>1469</x:f>
        <x:v>1469</x:v>
      </x:c>
      <x:c r="B1470" s="7" t="str">
        <x:f>IF('요약'!$B$4=4,IF(ISNUMBER('input'!A1470),'input'!A1470,""),IF(1469&lt;=1000,CHOOSE('요약'!$B$4,'input'!B1470,'input'!C1470,'input'!D1470),""))</x:f>
      </x:c>
      <x:c r="C1470" s="7" t="str">
        <x:f>IF(AND(ISNUMBER(B1470),'요약'!$B$19),B1470-'요약'!$B$7,"")</x:f>
      </x:c>
      <x:c r="D1470" s="7" t="str">
        <x:f>IF(ISNUMBER(C1470),C1470^2,"")</x:f>
      </x:c>
      <x:c r="E1470" s="15" t="str">
        <x:f>IF(ISNUMBER(C1470),C1470^3,"")</x:f>
      </x:c>
      <x:c r="F1470" s="15" t="str">
        <x:f>IF(ISNUMBER(C1470),C1470^4,"")</x:f>
      </x:c>
      <x:c r="G1470" s="7" t="str">
        <x:f>IF(ISNUMBER(B1470),ABS(B1470),"")</x:f>
      </x:c>
      <x:c r="H1470" s="7" t="str">
        <x:f>IF(ISNUMBER(B1470),B1470^2,"")</x:f>
      </x:c>
      <x:c r="I1470" s="7" t="str">
        <x:f>IF(AND(ISNUMBER(G1470),'요약'!$B$19),G1470-'요약'!$B$14,"")</x:f>
      </x:c>
      <x:c r="J1470" s="7" t="str">
        <x:f>IF(AND(ISNUMBER(H1470),'요약'!$B$19),H1470-'요약'!$B$15,"")</x:f>
      </x:c>
      <x:c r="K1470" t="str">
        <x:f>IF(ISNUMBER(B1470),IF('Hill'!$B$4=1,IF(B1470&lt;0,-B1470,""),IF('Hill'!$B$4=2,IF(B1470&gt;0,B1470,""),IF('Hill'!$B$4=3,IF(B1470&lt;&gt;0,ABS(B1470),""),""))),"")</x:f>
      </x:c>
    </x:row>
    <x:row r="1471">
      <x:c r="A1471" t="n">
        <x:f>1470</x:f>
        <x:v>1470</x:v>
      </x:c>
      <x:c r="B1471" s="7" t="str">
        <x:f>IF('요약'!$B$4=4,IF(ISNUMBER('input'!A1471),'input'!A1471,""),IF(1470&lt;=1000,CHOOSE('요약'!$B$4,'input'!B1471,'input'!C1471,'input'!D1471),""))</x:f>
      </x:c>
      <x:c r="C1471" s="7" t="str">
        <x:f>IF(AND(ISNUMBER(B1471),'요약'!$B$19),B1471-'요약'!$B$7,"")</x:f>
      </x:c>
      <x:c r="D1471" s="7" t="str">
        <x:f>IF(ISNUMBER(C1471),C1471^2,"")</x:f>
      </x:c>
      <x:c r="E1471" s="15" t="str">
        <x:f>IF(ISNUMBER(C1471),C1471^3,"")</x:f>
      </x:c>
      <x:c r="F1471" s="15" t="str">
        <x:f>IF(ISNUMBER(C1471),C1471^4,"")</x:f>
      </x:c>
      <x:c r="G1471" s="7" t="str">
        <x:f>IF(ISNUMBER(B1471),ABS(B1471),"")</x:f>
      </x:c>
      <x:c r="H1471" s="7" t="str">
        <x:f>IF(ISNUMBER(B1471),B1471^2,"")</x:f>
      </x:c>
      <x:c r="I1471" s="7" t="str">
        <x:f>IF(AND(ISNUMBER(G1471),'요약'!$B$19),G1471-'요약'!$B$14,"")</x:f>
      </x:c>
      <x:c r="J1471" s="7" t="str">
        <x:f>IF(AND(ISNUMBER(H1471),'요약'!$B$19),H1471-'요약'!$B$15,"")</x:f>
      </x:c>
      <x:c r="K1471" t="str">
        <x:f>IF(ISNUMBER(B1471),IF('Hill'!$B$4=1,IF(B1471&lt;0,-B1471,""),IF('Hill'!$B$4=2,IF(B1471&gt;0,B1471,""),IF('Hill'!$B$4=3,IF(B1471&lt;&gt;0,ABS(B1471),""),""))),"")</x:f>
      </x:c>
    </x:row>
    <x:row r="1472">
      <x:c r="A1472" t="n">
        <x:f>1471</x:f>
        <x:v>1471</x:v>
      </x:c>
      <x:c r="B1472" s="7" t="str">
        <x:f>IF('요약'!$B$4=4,IF(ISNUMBER('input'!A1472),'input'!A1472,""),IF(1471&lt;=1000,CHOOSE('요약'!$B$4,'input'!B1472,'input'!C1472,'input'!D1472),""))</x:f>
      </x:c>
      <x:c r="C1472" s="7" t="str">
        <x:f>IF(AND(ISNUMBER(B1472),'요약'!$B$19),B1472-'요약'!$B$7,"")</x:f>
      </x:c>
      <x:c r="D1472" s="7" t="str">
        <x:f>IF(ISNUMBER(C1472),C1472^2,"")</x:f>
      </x:c>
      <x:c r="E1472" s="15" t="str">
        <x:f>IF(ISNUMBER(C1472),C1472^3,"")</x:f>
      </x:c>
      <x:c r="F1472" s="15" t="str">
        <x:f>IF(ISNUMBER(C1472),C1472^4,"")</x:f>
      </x:c>
      <x:c r="G1472" s="7" t="str">
        <x:f>IF(ISNUMBER(B1472),ABS(B1472),"")</x:f>
      </x:c>
      <x:c r="H1472" s="7" t="str">
        <x:f>IF(ISNUMBER(B1472),B1472^2,"")</x:f>
      </x:c>
      <x:c r="I1472" s="7" t="str">
        <x:f>IF(AND(ISNUMBER(G1472),'요약'!$B$19),G1472-'요약'!$B$14,"")</x:f>
      </x:c>
      <x:c r="J1472" s="7" t="str">
        <x:f>IF(AND(ISNUMBER(H1472),'요약'!$B$19),H1472-'요약'!$B$15,"")</x:f>
      </x:c>
      <x:c r="K1472" t="str">
        <x:f>IF(ISNUMBER(B1472),IF('Hill'!$B$4=1,IF(B1472&lt;0,-B1472,""),IF('Hill'!$B$4=2,IF(B1472&gt;0,B1472,""),IF('Hill'!$B$4=3,IF(B1472&lt;&gt;0,ABS(B1472),""),""))),"")</x:f>
      </x:c>
    </x:row>
    <x:row r="1473">
      <x:c r="A1473" t="n">
        <x:f>1472</x:f>
        <x:v>1472</x:v>
      </x:c>
      <x:c r="B1473" s="7" t="str">
        <x:f>IF('요약'!$B$4=4,IF(ISNUMBER('input'!A1473),'input'!A1473,""),IF(1472&lt;=1000,CHOOSE('요약'!$B$4,'input'!B1473,'input'!C1473,'input'!D1473),""))</x:f>
      </x:c>
      <x:c r="C1473" s="7" t="str">
        <x:f>IF(AND(ISNUMBER(B1473),'요약'!$B$19),B1473-'요약'!$B$7,"")</x:f>
      </x:c>
      <x:c r="D1473" s="7" t="str">
        <x:f>IF(ISNUMBER(C1473),C1473^2,"")</x:f>
      </x:c>
      <x:c r="E1473" s="15" t="str">
        <x:f>IF(ISNUMBER(C1473),C1473^3,"")</x:f>
      </x:c>
      <x:c r="F1473" s="15" t="str">
        <x:f>IF(ISNUMBER(C1473),C1473^4,"")</x:f>
      </x:c>
      <x:c r="G1473" s="7" t="str">
        <x:f>IF(ISNUMBER(B1473),ABS(B1473),"")</x:f>
      </x:c>
      <x:c r="H1473" s="7" t="str">
        <x:f>IF(ISNUMBER(B1473),B1473^2,"")</x:f>
      </x:c>
      <x:c r="I1473" s="7" t="str">
        <x:f>IF(AND(ISNUMBER(G1473),'요약'!$B$19),G1473-'요약'!$B$14,"")</x:f>
      </x:c>
      <x:c r="J1473" s="7" t="str">
        <x:f>IF(AND(ISNUMBER(H1473),'요약'!$B$19),H1473-'요약'!$B$15,"")</x:f>
      </x:c>
      <x:c r="K1473" t="str">
        <x:f>IF(ISNUMBER(B1473),IF('Hill'!$B$4=1,IF(B1473&lt;0,-B1473,""),IF('Hill'!$B$4=2,IF(B1473&gt;0,B1473,""),IF('Hill'!$B$4=3,IF(B1473&lt;&gt;0,ABS(B1473),""),""))),"")</x:f>
      </x:c>
    </x:row>
    <x:row r="1474">
      <x:c r="A1474" t="n">
        <x:f>1473</x:f>
        <x:v>1473</x:v>
      </x:c>
      <x:c r="B1474" s="7" t="str">
        <x:f>IF('요약'!$B$4=4,IF(ISNUMBER('input'!A1474),'input'!A1474,""),IF(1473&lt;=1000,CHOOSE('요약'!$B$4,'input'!B1474,'input'!C1474,'input'!D1474),""))</x:f>
      </x:c>
      <x:c r="C1474" s="7" t="str">
        <x:f>IF(AND(ISNUMBER(B1474),'요약'!$B$19),B1474-'요약'!$B$7,"")</x:f>
      </x:c>
      <x:c r="D1474" s="7" t="str">
        <x:f>IF(ISNUMBER(C1474),C1474^2,"")</x:f>
      </x:c>
      <x:c r="E1474" s="15" t="str">
        <x:f>IF(ISNUMBER(C1474),C1474^3,"")</x:f>
      </x:c>
      <x:c r="F1474" s="15" t="str">
        <x:f>IF(ISNUMBER(C1474),C1474^4,"")</x:f>
      </x:c>
      <x:c r="G1474" s="7" t="str">
        <x:f>IF(ISNUMBER(B1474),ABS(B1474),"")</x:f>
      </x:c>
      <x:c r="H1474" s="7" t="str">
        <x:f>IF(ISNUMBER(B1474),B1474^2,"")</x:f>
      </x:c>
      <x:c r="I1474" s="7" t="str">
        <x:f>IF(AND(ISNUMBER(G1474),'요약'!$B$19),G1474-'요약'!$B$14,"")</x:f>
      </x:c>
      <x:c r="J1474" s="7" t="str">
        <x:f>IF(AND(ISNUMBER(H1474),'요약'!$B$19),H1474-'요약'!$B$15,"")</x:f>
      </x:c>
      <x:c r="K1474" t="str">
        <x:f>IF(ISNUMBER(B1474),IF('Hill'!$B$4=1,IF(B1474&lt;0,-B1474,""),IF('Hill'!$B$4=2,IF(B1474&gt;0,B1474,""),IF('Hill'!$B$4=3,IF(B1474&lt;&gt;0,ABS(B1474),""),""))),"")</x:f>
      </x:c>
    </x:row>
    <x:row r="1475">
      <x:c r="A1475" t="n">
        <x:f>1474</x:f>
        <x:v>1474</x:v>
      </x:c>
      <x:c r="B1475" s="7" t="str">
        <x:f>IF('요약'!$B$4=4,IF(ISNUMBER('input'!A1475),'input'!A1475,""),IF(1474&lt;=1000,CHOOSE('요약'!$B$4,'input'!B1475,'input'!C1475,'input'!D1475),""))</x:f>
      </x:c>
      <x:c r="C1475" s="7" t="str">
        <x:f>IF(AND(ISNUMBER(B1475),'요약'!$B$19),B1475-'요약'!$B$7,"")</x:f>
      </x:c>
      <x:c r="D1475" s="7" t="str">
        <x:f>IF(ISNUMBER(C1475),C1475^2,"")</x:f>
      </x:c>
      <x:c r="E1475" s="15" t="str">
        <x:f>IF(ISNUMBER(C1475),C1475^3,"")</x:f>
      </x:c>
      <x:c r="F1475" s="15" t="str">
        <x:f>IF(ISNUMBER(C1475),C1475^4,"")</x:f>
      </x:c>
      <x:c r="G1475" s="7" t="str">
        <x:f>IF(ISNUMBER(B1475),ABS(B1475),"")</x:f>
      </x:c>
      <x:c r="H1475" s="7" t="str">
        <x:f>IF(ISNUMBER(B1475),B1475^2,"")</x:f>
      </x:c>
      <x:c r="I1475" s="7" t="str">
        <x:f>IF(AND(ISNUMBER(G1475),'요약'!$B$19),G1475-'요약'!$B$14,"")</x:f>
      </x:c>
      <x:c r="J1475" s="7" t="str">
        <x:f>IF(AND(ISNUMBER(H1475),'요약'!$B$19),H1475-'요약'!$B$15,"")</x:f>
      </x:c>
      <x:c r="K1475" t="str">
        <x:f>IF(ISNUMBER(B1475),IF('Hill'!$B$4=1,IF(B1475&lt;0,-B1475,""),IF('Hill'!$B$4=2,IF(B1475&gt;0,B1475,""),IF('Hill'!$B$4=3,IF(B1475&lt;&gt;0,ABS(B1475),""),""))),"")</x:f>
      </x:c>
    </x:row>
    <x:row r="1476">
      <x:c r="A1476" t="n">
        <x:f>1475</x:f>
        <x:v>1475</x:v>
      </x:c>
      <x:c r="B1476" s="7" t="str">
        <x:f>IF('요약'!$B$4=4,IF(ISNUMBER('input'!A1476),'input'!A1476,""),IF(1475&lt;=1000,CHOOSE('요약'!$B$4,'input'!B1476,'input'!C1476,'input'!D1476),""))</x:f>
      </x:c>
      <x:c r="C1476" s="7" t="str">
        <x:f>IF(AND(ISNUMBER(B1476),'요약'!$B$19),B1476-'요약'!$B$7,"")</x:f>
      </x:c>
      <x:c r="D1476" s="7" t="str">
        <x:f>IF(ISNUMBER(C1476),C1476^2,"")</x:f>
      </x:c>
      <x:c r="E1476" s="15" t="str">
        <x:f>IF(ISNUMBER(C1476),C1476^3,"")</x:f>
      </x:c>
      <x:c r="F1476" s="15" t="str">
        <x:f>IF(ISNUMBER(C1476),C1476^4,"")</x:f>
      </x:c>
      <x:c r="G1476" s="7" t="str">
        <x:f>IF(ISNUMBER(B1476),ABS(B1476),"")</x:f>
      </x:c>
      <x:c r="H1476" s="7" t="str">
        <x:f>IF(ISNUMBER(B1476),B1476^2,"")</x:f>
      </x:c>
      <x:c r="I1476" s="7" t="str">
        <x:f>IF(AND(ISNUMBER(G1476),'요약'!$B$19),G1476-'요약'!$B$14,"")</x:f>
      </x:c>
      <x:c r="J1476" s="7" t="str">
        <x:f>IF(AND(ISNUMBER(H1476),'요약'!$B$19),H1476-'요약'!$B$15,"")</x:f>
      </x:c>
      <x:c r="K1476" t="str">
        <x:f>IF(ISNUMBER(B1476),IF('Hill'!$B$4=1,IF(B1476&lt;0,-B1476,""),IF('Hill'!$B$4=2,IF(B1476&gt;0,B1476,""),IF('Hill'!$B$4=3,IF(B1476&lt;&gt;0,ABS(B1476),""),""))),"")</x:f>
      </x:c>
    </x:row>
    <x:row r="1477">
      <x:c r="A1477" t="n">
        <x:f>1476</x:f>
        <x:v>1476</x:v>
      </x:c>
      <x:c r="B1477" s="7" t="str">
        <x:f>IF('요약'!$B$4=4,IF(ISNUMBER('input'!A1477),'input'!A1477,""),IF(1476&lt;=1000,CHOOSE('요약'!$B$4,'input'!B1477,'input'!C1477,'input'!D1477),""))</x:f>
      </x:c>
      <x:c r="C1477" s="7" t="str">
        <x:f>IF(AND(ISNUMBER(B1477),'요약'!$B$19),B1477-'요약'!$B$7,"")</x:f>
      </x:c>
      <x:c r="D1477" s="7" t="str">
        <x:f>IF(ISNUMBER(C1477),C1477^2,"")</x:f>
      </x:c>
      <x:c r="E1477" s="15" t="str">
        <x:f>IF(ISNUMBER(C1477),C1477^3,"")</x:f>
      </x:c>
      <x:c r="F1477" s="15" t="str">
        <x:f>IF(ISNUMBER(C1477),C1477^4,"")</x:f>
      </x:c>
      <x:c r="G1477" s="7" t="str">
        <x:f>IF(ISNUMBER(B1477),ABS(B1477),"")</x:f>
      </x:c>
      <x:c r="H1477" s="7" t="str">
        <x:f>IF(ISNUMBER(B1477),B1477^2,"")</x:f>
      </x:c>
      <x:c r="I1477" s="7" t="str">
        <x:f>IF(AND(ISNUMBER(G1477),'요약'!$B$19),G1477-'요약'!$B$14,"")</x:f>
      </x:c>
      <x:c r="J1477" s="7" t="str">
        <x:f>IF(AND(ISNUMBER(H1477),'요약'!$B$19),H1477-'요약'!$B$15,"")</x:f>
      </x:c>
      <x:c r="K1477" t="str">
        <x:f>IF(ISNUMBER(B1477),IF('Hill'!$B$4=1,IF(B1477&lt;0,-B1477,""),IF('Hill'!$B$4=2,IF(B1477&gt;0,B1477,""),IF('Hill'!$B$4=3,IF(B1477&lt;&gt;0,ABS(B1477),""),""))),"")</x:f>
      </x:c>
    </x:row>
    <x:row r="1478">
      <x:c r="A1478" t="n">
        <x:f>1477</x:f>
        <x:v>1477</x:v>
      </x:c>
      <x:c r="B1478" s="7" t="str">
        <x:f>IF('요약'!$B$4=4,IF(ISNUMBER('input'!A1478),'input'!A1478,""),IF(1477&lt;=1000,CHOOSE('요약'!$B$4,'input'!B1478,'input'!C1478,'input'!D1478),""))</x:f>
      </x:c>
      <x:c r="C1478" s="7" t="str">
        <x:f>IF(AND(ISNUMBER(B1478),'요약'!$B$19),B1478-'요약'!$B$7,"")</x:f>
      </x:c>
      <x:c r="D1478" s="7" t="str">
        <x:f>IF(ISNUMBER(C1478),C1478^2,"")</x:f>
      </x:c>
      <x:c r="E1478" s="15" t="str">
        <x:f>IF(ISNUMBER(C1478),C1478^3,"")</x:f>
      </x:c>
      <x:c r="F1478" s="15" t="str">
        <x:f>IF(ISNUMBER(C1478),C1478^4,"")</x:f>
      </x:c>
      <x:c r="G1478" s="7" t="str">
        <x:f>IF(ISNUMBER(B1478),ABS(B1478),"")</x:f>
      </x:c>
      <x:c r="H1478" s="7" t="str">
        <x:f>IF(ISNUMBER(B1478),B1478^2,"")</x:f>
      </x:c>
      <x:c r="I1478" s="7" t="str">
        <x:f>IF(AND(ISNUMBER(G1478),'요약'!$B$19),G1478-'요약'!$B$14,"")</x:f>
      </x:c>
      <x:c r="J1478" s="7" t="str">
        <x:f>IF(AND(ISNUMBER(H1478),'요약'!$B$19),H1478-'요약'!$B$15,"")</x:f>
      </x:c>
      <x:c r="K1478" t="str">
        <x:f>IF(ISNUMBER(B1478),IF('Hill'!$B$4=1,IF(B1478&lt;0,-B1478,""),IF('Hill'!$B$4=2,IF(B1478&gt;0,B1478,""),IF('Hill'!$B$4=3,IF(B1478&lt;&gt;0,ABS(B1478),""),""))),"")</x:f>
      </x:c>
    </x:row>
    <x:row r="1479">
      <x:c r="A1479" t="n">
        <x:f>1478</x:f>
        <x:v>1478</x:v>
      </x:c>
      <x:c r="B1479" s="7" t="str">
        <x:f>IF('요약'!$B$4=4,IF(ISNUMBER('input'!A1479),'input'!A1479,""),IF(1478&lt;=1000,CHOOSE('요약'!$B$4,'input'!B1479,'input'!C1479,'input'!D1479),""))</x:f>
      </x:c>
      <x:c r="C1479" s="7" t="str">
        <x:f>IF(AND(ISNUMBER(B1479),'요약'!$B$19),B1479-'요약'!$B$7,"")</x:f>
      </x:c>
      <x:c r="D1479" s="7" t="str">
        <x:f>IF(ISNUMBER(C1479),C1479^2,"")</x:f>
      </x:c>
      <x:c r="E1479" s="15" t="str">
        <x:f>IF(ISNUMBER(C1479),C1479^3,"")</x:f>
      </x:c>
      <x:c r="F1479" s="15" t="str">
        <x:f>IF(ISNUMBER(C1479),C1479^4,"")</x:f>
      </x:c>
      <x:c r="G1479" s="7" t="str">
        <x:f>IF(ISNUMBER(B1479),ABS(B1479),"")</x:f>
      </x:c>
      <x:c r="H1479" s="7" t="str">
        <x:f>IF(ISNUMBER(B1479),B1479^2,"")</x:f>
      </x:c>
      <x:c r="I1479" s="7" t="str">
        <x:f>IF(AND(ISNUMBER(G1479),'요약'!$B$19),G1479-'요약'!$B$14,"")</x:f>
      </x:c>
      <x:c r="J1479" s="7" t="str">
        <x:f>IF(AND(ISNUMBER(H1479),'요약'!$B$19),H1479-'요약'!$B$15,"")</x:f>
      </x:c>
      <x:c r="K1479" t="str">
        <x:f>IF(ISNUMBER(B1479),IF('Hill'!$B$4=1,IF(B1479&lt;0,-B1479,""),IF('Hill'!$B$4=2,IF(B1479&gt;0,B1479,""),IF('Hill'!$B$4=3,IF(B1479&lt;&gt;0,ABS(B1479),""),""))),"")</x:f>
      </x:c>
    </x:row>
    <x:row r="1480">
      <x:c r="A1480" t="n">
        <x:f>1479</x:f>
        <x:v>1479</x:v>
      </x:c>
      <x:c r="B1480" s="7" t="str">
        <x:f>IF('요약'!$B$4=4,IF(ISNUMBER('input'!A1480),'input'!A1480,""),IF(1479&lt;=1000,CHOOSE('요약'!$B$4,'input'!B1480,'input'!C1480,'input'!D1480),""))</x:f>
      </x:c>
      <x:c r="C1480" s="7" t="str">
        <x:f>IF(AND(ISNUMBER(B1480),'요약'!$B$19),B1480-'요약'!$B$7,"")</x:f>
      </x:c>
      <x:c r="D1480" s="7" t="str">
        <x:f>IF(ISNUMBER(C1480),C1480^2,"")</x:f>
      </x:c>
      <x:c r="E1480" s="15" t="str">
        <x:f>IF(ISNUMBER(C1480),C1480^3,"")</x:f>
      </x:c>
      <x:c r="F1480" s="15" t="str">
        <x:f>IF(ISNUMBER(C1480),C1480^4,"")</x:f>
      </x:c>
      <x:c r="G1480" s="7" t="str">
        <x:f>IF(ISNUMBER(B1480),ABS(B1480),"")</x:f>
      </x:c>
      <x:c r="H1480" s="7" t="str">
        <x:f>IF(ISNUMBER(B1480),B1480^2,"")</x:f>
      </x:c>
      <x:c r="I1480" s="7" t="str">
        <x:f>IF(AND(ISNUMBER(G1480),'요약'!$B$19),G1480-'요약'!$B$14,"")</x:f>
      </x:c>
      <x:c r="J1480" s="7" t="str">
        <x:f>IF(AND(ISNUMBER(H1480),'요약'!$B$19),H1480-'요약'!$B$15,"")</x:f>
      </x:c>
      <x:c r="K1480" t="str">
        <x:f>IF(ISNUMBER(B1480),IF('Hill'!$B$4=1,IF(B1480&lt;0,-B1480,""),IF('Hill'!$B$4=2,IF(B1480&gt;0,B1480,""),IF('Hill'!$B$4=3,IF(B1480&lt;&gt;0,ABS(B1480),""),""))),"")</x:f>
      </x:c>
    </x:row>
    <x:row r="1481">
      <x:c r="A1481" t="n">
        <x:f>1480</x:f>
        <x:v>1480</x:v>
      </x:c>
      <x:c r="B1481" s="7" t="str">
        <x:f>IF('요약'!$B$4=4,IF(ISNUMBER('input'!A1481),'input'!A1481,""),IF(1480&lt;=1000,CHOOSE('요약'!$B$4,'input'!B1481,'input'!C1481,'input'!D1481),""))</x:f>
      </x:c>
      <x:c r="C1481" s="7" t="str">
        <x:f>IF(AND(ISNUMBER(B1481),'요약'!$B$19),B1481-'요약'!$B$7,"")</x:f>
      </x:c>
      <x:c r="D1481" s="7" t="str">
        <x:f>IF(ISNUMBER(C1481),C1481^2,"")</x:f>
      </x:c>
      <x:c r="E1481" s="15" t="str">
        <x:f>IF(ISNUMBER(C1481),C1481^3,"")</x:f>
      </x:c>
      <x:c r="F1481" s="15" t="str">
        <x:f>IF(ISNUMBER(C1481),C1481^4,"")</x:f>
      </x:c>
      <x:c r="G1481" s="7" t="str">
        <x:f>IF(ISNUMBER(B1481),ABS(B1481),"")</x:f>
      </x:c>
      <x:c r="H1481" s="7" t="str">
        <x:f>IF(ISNUMBER(B1481),B1481^2,"")</x:f>
      </x:c>
      <x:c r="I1481" s="7" t="str">
        <x:f>IF(AND(ISNUMBER(G1481),'요약'!$B$19),G1481-'요약'!$B$14,"")</x:f>
      </x:c>
      <x:c r="J1481" s="7" t="str">
        <x:f>IF(AND(ISNUMBER(H1481),'요약'!$B$19),H1481-'요약'!$B$15,"")</x:f>
      </x:c>
      <x:c r="K1481" t="str">
        <x:f>IF(ISNUMBER(B1481),IF('Hill'!$B$4=1,IF(B1481&lt;0,-B1481,""),IF('Hill'!$B$4=2,IF(B1481&gt;0,B1481,""),IF('Hill'!$B$4=3,IF(B1481&lt;&gt;0,ABS(B1481),""),""))),"")</x:f>
      </x:c>
    </x:row>
    <x:row r="1482">
      <x:c r="A1482" t="n">
        <x:f>1481</x:f>
        <x:v>1481</x:v>
      </x:c>
      <x:c r="B1482" s="7" t="str">
        <x:f>IF('요약'!$B$4=4,IF(ISNUMBER('input'!A1482),'input'!A1482,""),IF(1481&lt;=1000,CHOOSE('요약'!$B$4,'input'!B1482,'input'!C1482,'input'!D1482),""))</x:f>
      </x:c>
      <x:c r="C1482" s="7" t="str">
        <x:f>IF(AND(ISNUMBER(B1482),'요약'!$B$19),B1482-'요약'!$B$7,"")</x:f>
      </x:c>
      <x:c r="D1482" s="7" t="str">
        <x:f>IF(ISNUMBER(C1482),C1482^2,"")</x:f>
      </x:c>
      <x:c r="E1482" s="15" t="str">
        <x:f>IF(ISNUMBER(C1482),C1482^3,"")</x:f>
      </x:c>
      <x:c r="F1482" s="15" t="str">
        <x:f>IF(ISNUMBER(C1482),C1482^4,"")</x:f>
      </x:c>
      <x:c r="G1482" s="7" t="str">
        <x:f>IF(ISNUMBER(B1482),ABS(B1482),"")</x:f>
      </x:c>
      <x:c r="H1482" s="7" t="str">
        <x:f>IF(ISNUMBER(B1482),B1482^2,"")</x:f>
      </x:c>
      <x:c r="I1482" s="7" t="str">
        <x:f>IF(AND(ISNUMBER(G1482),'요약'!$B$19),G1482-'요약'!$B$14,"")</x:f>
      </x:c>
      <x:c r="J1482" s="7" t="str">
        <x:f>IF(AND(ISNUMBER(H1482),'요약'!$B$19),H1482-'요약'!$B$15,"")</x:f>
      </x:c>
      <x:c r="K1482" t="str">
        <x:f>IF(ISNUMBER(B1482),IF('Hill'!$B$4=1,IF(B1482&lt;0,-B1482,""),IF('Hill'!$B$4=2,IF(B1482&gt;0,B1482,""),IF('Hill'!$B$4=3,IF(B1482&lt;&gt;0,ABS(B1482),""),""))),"")</x:f>
      </x:c>
    </x:row>
    <x:row r="1483">
      <x:c r="A1483" t="n">
        <x:f>1482</x:f>
        <x:v>1482</x:v>
      </x:c>
      <x:c r="B1483" s="7" t="str">
        <x:f>IF('요약'!$B$4=4,IF(ISNUMBER('input'!A1483),'input'!A1483,""),IF(1482&lt;=1000,CHOOSE('요약'!$B$4,'input'!B1483,'input'!C1483,'input'!D1483),""))</x:f>
      </x:c>
      <x:c r="C1483" s="7" t="str">
        <x:f>IF(AND(ISNUMBER(B1483),'요약'!$B$19),B1483-'요약'!$B$7,"")</x:f>
      </x:c>
      <x:c r="D1483" s="7" t="str">
        <x:f>IF(ISNUMBER(C1483),C1483^2,"")</x:f>
      </x:c>
      <x:c r="E1483" s="15" t="str">
        <x:f>IF(ISNUMBER(C1483),C1483^3,"")</x:f>
      </x:c>
      <x:c r="F1483" s="15" t="str">
        <x:f>IF(ISNUMBER(C1483),C1483^4,"")</x:f>
      </x:c>
      <x:c r="G1483" s="7" t="str">
        <x:f>IF(ISNUMBER(B1483),ABS(B1483),"")</x:f>
      </x:c>
      <x:c r="H1483" s="7" t="str">
        <x:f>IF(ISNUMBER(B1483),B1483^2,"")</x:f>
      </x:c>
      <x:c r="I1483" s="7" t="str">
        <x:f>IF(AND(ISNUMBER(G1483),'요약'!$B$19),G1483-'요약'!$B$14,"")</x:f>
      </x:c>
      <x:c r="J1483" s="7" t="str">
        <x:f>IF(AND(ISNUMBER(H1483),'요약'!$B$19),H1483-'요약'!$B$15,"")</x:f>
      </x:c>
      <x:c r="K1483" t="str">
        <x:f>IF(ISNUMBER(B1483),IF('Hill'!$B$4=1,IF(B1483&lt;0,-B1483,""),IF('Hill'!$B$4=2,IF(B1483&gt;0,B1483,""),IF('Hill'!$B$4=3,IF(B1483&lt;&gt;0,ABS(B1483),""),""))),"")</x:f>
      </x:c>
    </x:row>
    <x:row r="1484">
      <x:c r="A1484" t="n">
        <x:f>1483</x:f>
        <x:v>1483</x:v>
      </x:c>
      <x:c r="B1484" s="7" t="str">
        <x:f>IF('요약'!$B$4=4,IF(ISNUMBER('input'!A1484),'input'!A1484,""),IF(1483&lt;=1000,CHOOSE('요약'!$B$4,'input'!B1484,'input'!C1484,'input'!D1484),""))</x:f>
      </x:c>
      <x:c r="C1484" s="7" t="str">
        <x:f>IF(AND(ISNUMBER(B1484),'요약'!$B$19),B1484-'요약'!$B$7,"")</x:f>
      </x:c>
      <x:c r="D1484" s="7" t="str">
        <x:f>IF(ISNUMBER(C1484),C1484^2,"")</x:f>
      </x:c>
      <x:c r="E1484" s="15" t="str">
        <x:f>IF(ISNUMBER(C1484),C1484^3,"")</x:f>
      </x:c>
      <x:c r="F1484" s="15" t="str">
        <x:f>IF(ISNUMBER(C1484),C1484^4,"")</x:f>
      </x:c>
      <x:c r="G1484" s="7" t="str">
        <x:f>IF(ISNUMBER(B1484),ABS(B1484),"")</x:f>
      </x:c>
      <x:c r="H1484" s="7" t="str">
        <x:f>IF(ISNUMBER(B1484),B1484^2,"")</x:f>
      </x:c>
      <x:c r="I1484" s="7" t="str">
        <x:f>IF(AND(ISNUMBER(G1484),'요약'!$B$19),G1484-'요약'!$B$14,"")</x:f>
      </x:c>
      <x:c r="J1484" s="7" t="str">
        <x:f>IF(AND(ISNUMBER(H1484),'요약'!$B$19),H1484-'요약'!$B$15,"")</x:f>
      </x:c>
      <x:c r="K1484" t="str">
        <x:f>IF(ISNUMBER(B1484),IF('Hill'!$B$4=1,IF(B1484&lt;0,-B1484,""),IF('Hill'!$B$4=2,IF(B1484&gt;0,B1484,""),IF('Hill'!$B$4=3,IF(B1484&lt;&gt;0,ABS(B1484),""),""))),"")</x:f>
      </x:c>
    </x:row>
    <x:row r="1485">
      <x:c r="A1485" t="n">
        <x:f>1484</x:f>
        <x:v>1484</x:v>
      </x:c>
      <x:c r="B1485" s="7" t="str">
        <x:f>IF('요약'!$B$4=4,IF(ISNUMBER('input'!A1485),'input'!A1485,""),IF(1484&lt;=1000,CHOOSE('요약'!$B$4,'input'!B1485,'input'!C1485,'input'!D1485),""))</x:f>
      </x:c>
      <x:c r="C1485" s="7" t="str">
        <x:f>IF(AND(ISNUMBER(B1485),'요약'!$B$19),B1485-'요약'!$B$7,"")</x:f>
      </x:c>
      <x:c r="D1485" s="7" t="str">
        <x:f>IF(ISNUMBER(C1485),C1485^2,"")</x:f>
      </x:c>
      <x:c r="E1485" s="15" t="str">
        <x:f>IF(ISNUMBER(C1485),C1485^3,"")</x:f>
      </x:c>
      <x:c r="F1485" s="15" t="str">
        <x:f>IF(ISNUMBER(C1485),C1485^4,"")</x:f>
      </x:c>
      <x:c r="G1485" s="7" t="str">
        <x:f>IF(ISNUMBER(B1485),ABS(B1485),"")</x:f>
      </x:c>
      <x:c r="H1485" s="7" t="str">
        <x:f>IF(ISNUMBER(B1485),B1485^2,"")</x:f>
      </x:c>
      <x:c r="I1485" s="7" t="str">
        <x:f>IF(AND(ISNUMBER(G1485),'요약'!$B$19),G1485-'요약'!$B$14,"")</x:f>
      </x:c>
      <x:c r="J1485" s="7" t="str">
        <x:f>IF(AND(ISNUMBER(H1485),'요약'!$B$19),H1485-'요약'!$B$15,"")</x:f>
      </x:c>
      <x:c r="K1485" t="str">
        <x:f>IF(ISNUMBER(B1485),IF('Hill'!$B$4=1,IF(B1485&lt;0,-B1485,""),IF('Hill'!$B$4=2,IF(B1485&gt;0,B1485,""),IF('Hill'!$B$4=3,IF(B1485&lt;&gt;0,ABS(B1485),""),""))),"")</x:f>
      </x:c>
    </x:row>
    <x:row r="1486">
      <x:c r="A1486" t="n">
        <x:f>1485</x:f>
        <x:v>1485</x:v>
      </x:c>
      <x:c r="B1486" s="7" t="str">
        <x:f>IF('요약'!$B$4=4,IF(ISNUMBER('input'!A1486),'input'!A1486,""),IF(1485&lt;=1000,CHOOSE('요약'!$B$4,'input'!B1486,'input'!C1486,'input'!D1486),""))</x:f>
      </x:c>
      <x:c r="C1486" s="7" t="str">
        <x:f>IF(AND(ISNUMBER(B1486),'요약'!$B$19),B1486-'요약'!$B$7,"")</x:f>
      </x:c>
      <x:c r="D1486" s="7" t="str">
        <x:f>IF(ISNUMBER(C1486),C1486^2,"")</x:f>
      </x:c>
      <x:c r="E1486" s="15" t="str">
        <x:f>IF(ISNUMBER(C1486),C1486^3,"")</x:f>
      </x:c>
      <x:c r="F1486" s="15" t="str">
        <x:f>IF(ISNUMBER(C1486),C1486^4,"")</x:f>
      </x:c>
      <x:c r="G1486" s="7" t="str">
        <x:f>IF(ISNUMBER(B1486),ABS(B1486),"")</x:f>
      </x:c>
      <x:c r="H1486" s="7" t="str">
        <x:f>IF(ISNUMBER(B1486),B1486^2,"")</x:f>
      </x:c>
      <x:c r="I1486" s="7" t="str">
        <x:f>IF(AND(ISNUMBER(G1486),'요약'!$B$19),G1486-'요약'!$B$14,"")</x:f>
      </x:c>
      <x:c r="J1486" s="7" t="str">
        <x:f>IF(AND(ISNUMBER(H1486),'요약'!$B$19),H1486-'요약'!$B$15,"")</x:f>
      </x:c>
      <x:c r="K1486" t="str">
        <x:f>IF(ISNUMBER(B1486),IF('Hill'!$B$4=1,IF(B1486&lt;0,-B1486,""),IF('Hill'!$B$4=2,IF(B1486&gt;0,B1486,""),IF('Hill'!$B$4=3,IF(B1486&lt;&gt;0,ABS(B1486),""),""))),"")</x:f>
      </x:c>
    </x:row>
    <x:row r="1487">
      <x:c r="A1487" t="n">
        <x:f>1486</x:f>
        <x:v>1486</x:v>
      </x:c>
      <x:c r="B1487" s="7" t="str">
        <x:f>IF('요약'!$B$4=4,IF(ISNUMBER('input'!A1487),'input'!A1487,""),IF(1486&lt;=1000,CHOOSE('요약'!$B$4,'input'!B1487,'input'!C1487,'input'!D1487),""))</x:f>
      </x:c>
      <x:c r="C1487" s="7" t="str">
        <x:f>IF(AND(ISNUMBER(B1487),'요약'!$B$19),B1487-'요약'!$B$7,"")</x:f>
      </x:c>
      <x:c r="D1487" s="7" t="str">
        <x:f>IF(ISNUMBER(C1487),C1487^2,"")</x:f>
      </x:c>
      <x:c r="E1487" s="15" t="str">
        <x:f>IF(ISNUMBER(C1487),C1487^3,"")</x:f>
      </x:c>
      <x:c r="F1487" s="15" t="str">
        <x:f>IF(ISNUMBER(C1487),C1487^4,"")</x:f>
      </x:c>
      <x:c r="G1487" s="7" t="str">
        <x:f>IF(ISNUMBER(B1487),ABS(B1487),"")</x:f>
      </x:c>
      <x:c r="H1487" s="7" t="str">
        <x:f>IF(ISNUMBER(B1487),B1487^2,"")</x:f>
      </x:c>
      <x:c r="I1487" s="7" t="str">
        <x:f>IF(AND(ISNUMBER(G1487),'요약'!$B$19),G1487-'요약'!$B$14,"")</x:f>
      </x:c>
      <x:c r="J1487" s="7" t="str">
        <x:f>IF(AND(ISNUMBER(H1487),'요약'!$B$19),H1487-'요약'!$B$15,"")</x:f>
      </x:c>
      <x:c r="K1487" t="str">
        <x:f>IF(ISNUMBER(B1487),IF('Hill'!$B$4=1,IF(B1487&lt;0,-B1487,""),IF('Hill'!$B$4=2,IF(B1487&gt;0,B1487,""),IF('Hill'!$B$4=3,IF(B1487&lt;&gt;0,ABS(B1487),""),""))),"")</x:f>
      </x:c>
    </x:row>
    <x:row r="1488">
      <x:c r="A1488" t="n">
        <x:f>1487</x:f>
        <x:v>1487</x:v>
      </x:c>
      <x:c r="B1488" s="7" t="str">
        <x:f>IF('요약'!$B$4=4,IF(ISNUMBER('input'!A1488),'input'!A1488,""),IF(1487&lt;=1000,CHOOSE('요약'!$B$4,'input'!B1488,'input'!C1488,'input'!D1488),""))</x:f>
      </x:c>
      <x:c r="C1488" s="7" t="str">
        <x:f>IF(AND(ISNUMBER(B1488),'요약'!$B$19),B1488-'요약'!$B$7,"")</x:f>
      </x:c>
      <x:c r="D1488" s="7" t="str">
        <x:f>IF(ISNUMBER(C1488),C1488^2,"")</x:f>
      </x:c>
      <x:c r="E1488" s="15" t="str">
        <x:f>IF(ISNUMBER(C1488),C1488^3,"")</x:f>
      </x:c>
      <x:c r="F1488" s="15" t="str">
        <x:f>IF(ISNUMBER(C1488),C1488^4,"")</x:f>
      </x:c>
      <x:c r="G1488" s="7" t="str">
        <x:f>IF(ISNUMBER(B1488),ABS(B1488),"")</x:f>
      </x:c>
      <x:c r="H1488" s="7" t="str">
        <x:f>IF(ISNUMBER(B1488),B1488^2,"")</x:f>
      </x:c>
      <x:c r="I1488" s="7" t="str">
        <x:f>IF(AND(ISNUMBER(G1488),'요약'!$B$19),G1488-'요약'!$B$14,"")</x:f>
      </x:c>
      <x:c r="J1488" s="7" t="str">
        <x:f>IF(AND(ISNUMBER(H1488),'요약'!$B$19),H1488-'요약'!$B$15,"")</x:f>
      </x:c>
      <x:c r="K1488" t="str">
        <x:f>IF(ISNUMBER(B1488),IF('Hill'!$B$4=1,IF(B1488&lt;0,-B1488,""),IF('Hill'!$B$4=2,IF(B1488&gt;0,B1488,""),IF('Hill'!$B$4=3,IF(B1488&lt;&gt;0,ABS(B1488),""),""))),"")</x:f>
      </x:c>
    </x:row>
    <x:row r="1489">
      <x:c r="A1489" t="n">
        <x:f>1488</x:f>
        <x:v>1488</x:v>
      </x:c>
      <x:c r="B1489" s="7" t="str">
        <x:f>IF('요약'!$B$4=4,IF(ISNUMBER('input'!A1489),'input'!A1489,""),IF(1488&lt;=1000,CHOOSE('요약'!$B$4,'input'!B1489,'input'!C1489,'input'!D1489),""))</x:f>
      </x:c>
      <x:c r="C1489" s="7" t="str">
        <x:f>IF(AND(ISNUMBER(B1489),'요약'!$B$19),B1489-'요약'!$B$7,"")</x:f>
      </x:c>
      <x:c r="D1489" s="7" t="str">
        <x:f>IF(ISNUMBER(C1489),C1489^2,"")</x:f>
      </x:c>
      <x:c r="E1489" s="15" t="str">
        <x:f>IF(ISNUMBER(C1489),C1489^3,"")</x:f>
      </x:c>
      <x:c r="F1489" s="15" t="str">
        <x:f>IF(ISNUMBER(C1489),C1489^4,"")</x:f>
      </x:c>
      <x:c r="G1489" s="7" t="str">
        <x:f>IF(ISNUMBER(B1489),ABS(B1489),"")</x:f>
      </x:c>
      <x:c r="H1489" s="7" t="str">
        <x:f>IF(ISNUMBER(B1489),B1489^2,"")</x:f>
      </x:c>
      <x:c r="I1489" s="7" t="str">
        <x:f>IF(AND(ISNUMBER(G1489),'요약'!$B$19),G1489-'요약'!$B$14,"")</x:f>
      </x:c>
      <x:c r="J1489" s="7" t="str">
        <x:f>IF(AND(ISNUMBER(H1489),'요약'!$B$19),H1489-'요약'!$B$15,"")</x:f>
      </x:c>
      <x:c r="K1489" t="str">
        <x:f>IF(ISNUMBER(B1489),IF('Hill'!$B$4=1,IF(B1489&lt;0,-B1489,""),IF('Hill'!$B$4=2,IF(B1489&gt;0,B1489,""),IF('Hill'!$B$4=3,IF(B1489&lt;&gt;0,ABS(B1489),""),""))),"")</x:f>
      </x:c>
    </x:row>
    <x:row r="1490">
      <x:c r="A1490" t="n">
        <x:f>1489</x:f>
        <x:v>1489</x:v>
      </x:c>
      <x:c r="B1490" s="7" t="str">
        <x:f>IF('요약'!$B$4=4,IF(ISNUMBER('input'!A1490),'input'!A1490,""),IF(1489&lt;=1000,CHOOSE('요약'!$B$4,'input'!B1490,'input'!C1490,'input'!D1490),""))</x:f>
      </x:c>
      <x:c r="C1490" s="7" t="str">
        <x:f>IF(AND(ISNUMBER(B1490),'요약'!$B$19),B1490-'요약'!$B$7,"")</x:f>
      </x:c>
      <x:c r="D1490" s="7" t="str">
        <x:f>IF(ISNUMBER(C1490),C1490^2,"")</x:f>
      </x:c>
      <x:c r="E1490" s="15" t="str">
        <x:f>IF(ISNUMBER(C1490),C1490^3,"")</x:f>
      </x:c>
      <x:c r="F1490" s="15" t="str">
        <x:f>IF(ISNUMBER(C1490),C1490^4,"")</x:f>
      </x:c>
      <x:c r="G1490" s="7" t="str">
        <x:f>IF(ISNUMBER(B1490),ABS(B1490),"")</x:f>
      </x:c>
      <x:c r="H1490" s="7" t="str">
        <x:f>IF(ISNUMBER(B1490),B1490^2,"")</x:f>
      </x:c>
      <x:c r="I1490" s="7" t="str">
        <x:f>IF(AND(ISNUMBER(G1490),'요약'!$B$19),G1490-'요약'!$B$14,"")</x:f>
      </x:c>
      <x:c r="J1490" s="7" t="str">
        <x:f>IF(AND(ISNUMBER(H1490),'요약'!$B$19),H1490-'요약'!$B$15,"")</x:f>
      </x:c>
      <x:c r="K1490" t="str">
        <x:f>IF(ISNUMBER(B1490),IF('Hill'!$B$4=1,IF(B1490&lt;0,-B1490,""),IF('Hill'!$B$4=2,IF(B1490&gt;0,B1490,""),IF('Hill'!$B$4=3,IF(B1490&lt;&gt;0,ABS(B1490),""),""))),"")</x:f>
      </x:c>
    </x:row>
    <x:row r="1491">
      <x:c r="A1491" t="n">
        <x:f>1490</x:f>
        <x:v>1490</x:v>
      </x:c>
      <x:c r="B1491" s="7" t="str">
        <x:f>IF('요약'!$B$4=4,IF(ISNUMBER('input'!A1491),'input'!A1491,""),IF(1490&lt;=1000,CHOOSE('요약'!$B$4,'input'!B1491,'input'!C1491,'input'!D1491),""))</x:f>
      </x:c>
      <x:c r="C1491" s="7" t="str">
        <x:f>IF(AND(ISNUMBER(B1491),'요약'!$B$19),B1491-'요약'!$B$7,"")</x:f>
      </x:c>
      <x:c r="D1491" s="7" t="str">
        <x:f>IF(ISNUMBER(C1491),C1491^2,"")</x:f>
      </x:c>
      <x:c r="E1491" s="15" t="str">
        <x:f>IF(ISNUMBER(C1491),C1491^3,"")</x:f>
      </x:c>
      <x:c r="F1491" s="15" t="str">
        <x:f>IF(ISNUMBER(C1491),C1491^4,"")</x:f>
      </x:c>
      <x:c r="G1491" s="7" t="str">
        <x:f>IF(ISNUMBER(B1491),ABS(B1491),"")</x:f>
      </x:c>
      <x:c r="H1491" s="7" t="str">
        <x:f>IF(ISNUMBER(B1491),B1491^2,"")</x:f>
      </x:c>
      <x:c r="I1491" s="7" t="str">
        <x:f>IF(AND(ISNUMBER(G1491),'요약'!$B$19),G1491-'요약'!$B$14,"")</x:f>
      </x:c>
      <x:c r="J1491" s="7" t="str">
        <x:f>IF(AND(ISNUMBER(H1491),'요약'!$B$19),H1491-'요약'!$B$15,"")</x:f>
      </x:c>
      <x:c r="K1491" t="str">
        <x:f>IF(ISNUMBER(B1491),IF('Hill'!$B$4=1,IF(B1491&lt;0,-B1491,""),IF('Hill'!$B$4=2,IF(B1491&gt;0,B1491,""),IF('Hill'!$B$4=3,IF(B1491&lt;&gt;0,ABS(B1491),""),""))),"")</x:f>
      </x:c>
    </x:row>
    <x:row r="1492">
      <x:c r="A1492" t="n">
        <x:f>1491</x:f>
        <x:v>1491</x:v>
      </x:c>
      <x:c r="B1492" s="7" t="str">
        <x:f>IF('요약'!$B$4=4,IF(ISNUMBER('input'!A1492),'input'!A1492,""),IF(1491&lt;=1000,CHOOSE('요약'!$B$4,'input'!B1492,'input'!C1492,'input'!D1492),""))</x:f>
      </x:c>
      <x:c r="C1492" s="7" t="str">
        <x:f>IF(AND(ISNUMBER(B1492),'요약'!$B$19),B1492-'요약'!$B$7,"")</x:f>
      </x:c>
      <x:c r="D1492" s="7" t="str">
        <x:f>IF(ISNUMBER(C1492),C1492^2,"")</x:f>
      </x:c>
      <x:c r="E1492" s="15" t="str">
        <x:f>IF(ISNUMBER(C1492),C1492^3,"")</x:f>
      </x:c>
      <x:c r="F1492" s="15" t="str">
        <x:f>IF(ISNUMBER(C1492),C1492^4,"")</x:f>
      </x:c>
      <x:c r="G1492" s="7" t="str">
        <x:f>IF(ISNUMBER(B1492),ABS(B1492),"")</x:f>
      </x:c>
      <x:c r="H1492" s="7" t="str">
        <x:f>IF(ISNUMBER(B1492),B1492^2,"")</x:f>
      </x:c>
      <x:c r="I1492" s="7" t="str">
        <x:f>IF(AND(ISNUMBER(G1492),'요약'!$B$19),G1492-'요약'!$B$14,"")</x:f>
      </x:c>
      <x:c r="J1492" s="7" t="str">
        <x:f>IF(AND(ISNUMBER(H1492),'요약'!$B$19),H1492-'요약'!$B$15,"")</x:f>
      </x:c>
      <x:c r="K1492" t="str">
        <x:f>IF(ISNUMBER(B1492),IF('Hill'!$B$4=1,IF(B1492&lt;0,-B1492,""),IF('Hill'!$B$4=2,IF(B1492&gt;0,B1492,""),IF('Hill'!$B$4=3,IF(B1492&lt;&gt;0,ABS(B1492),""),""))),"")</x:f>
      </x:c>
    </x:row>
    <x:row r="1493">
      <x:c r="A1493" t="n">
        <x:f>1492</x:f>
        <x:v>1492</x:v>
      </x:c>
      <x:c r="B1493" s="7" t="str">
        <x:f>IF('요약'!$B$4=4,IF(ISNUMBER('input'!A1493),'input'!A1493,""),IF(1492&lt;=1000,CHOOSE('요약'!$B$4,'input'!B1493,'input'!C1493,'input'!D1493),""))</x:f>
      </x:c>
      <x:c r="C1493" s="7" t="str">
        <x:f>IF(AND(ISNUMBER(B1493),'요약'!$B$19),B1493-'요약'!$B$7,"")</x:f>
      </x:c>
      <x:c r="D1493" s="7" t="str">
        <x:f>IF(ISNUMBER(C1493),C1493^2,"")</x:f>
      </x:c>
      <x:c r="E1493" s="15" t="str">
        <x:f>IF(ISNUMBER(C1493),C1493^3,"")</x:f>
      </x:c>
      <x:c r="F1493" s="15" t="str">
        <x:f>IF(ISNUMBER(C1493),C1493^4,"")</x:f>
      </x:c>
      <x:c r="G1493" s="7" t="str">
        <x:f>IF(ISNUMBER(B1493),ABS(B1493),"")</x:f>
      </x:c>
      <x:c r="H1493" s="7" t="str">
        <x:f>IF(ISNUMBER(B1493),B1493^2,"")</x:f>
      </x:c>
      <x:c r="I1493" s="7" t="str">
        <x:f>IF(AND(ISNUMBER(G1493),'요약'!$B$19),G1493-'요약'!$B$14,"")</x:f>
      </x:c>
      <x:c r="J1493" s="7" t="str">
        <x:f>IF(AND(ISNUMBER(H1493),'요약'!$B$19),H1493-'요약'!$B$15,"")</x:f>
      </x:c>
      <x:c r="K1493" t="str">
        <x:f>IF(ISNUMBER(B1493),IF('Hill'!$B$4=1,IF(B1493&lt;0,-B1493,""),IF('Hill'!$B$4=2,IF(B1493&gt;0,B1493,""),IF('Hill'!$B$4=3,IF(B1493&lt;&gt;0,ABS(B1493),""),""))),"")</x:f>
      </x:c>
    </x:row>
    <x:row r="1494">
      <x:c r="A1494" t="n">
        <x:f>1493</x:f>
        <x:v>1493</x:v>
      </x:c>
      <x:c r="B1494" s="7" t="str">
        <x:f>IF('요약'!$B$4=4,IF(ISNUMBER('input'!A1494),'input'!A1494,""),IF(1493&lt;=1000,CHOOSE('요약'!$B$4,'input'!B1494,'input'!C1494,'input'!D1494),""))</x:f>
      </x:c>
      <x:c r="C1494" s="7" t="str">
        <x:f>IF(AND(ISNUMBER(B1494),'요약'!$B$19),B1494-'요약'!$B$7,"")</x:f>
      </x:c>
      <x:c r="D1494" s="7" t="str">
        <x:f>IF(ISNUMBER(C1494),C1494^2,"")</x:f>
      </x:c>
      <x:c r="E1494" s="15" t="str">
        <x:f>IF(ISNUMBER(C1494),C1494^3,"")</x:f>
      </x:c>
      <x:c r="F1494" s="15" t="str">
        <x:f>IF(ISNUMBER(C1494),C1494^4,"")</x:f>
      </x:c>
      <x:c r="G1494" s="7" t="str">
        <x:f>IF(ISNUMBER(B1494),ABS(B1494),"")</x:f>
      </x:c>
      <x:c r="H1494" s="7" t="str">
        <x:f>IF(ISNUMBER(B1494),B1494^2,"")</x:f>
      </x:c>
      <x:c r="I1494" s="7" t="str">
        <x:f>IF(AND(ISNUMBER(G1494),'요약'!$B$19),G1494-'요약'!$B$14,"")</x:f>
      </x:c>
      <x:c r="J1494" s="7" t="str">
        <x:f>IF(AND(ISNUMBER(H1494),'요약'!$B$19),H1494-'요약'!$B$15,"")</x:f>
      </x:c>
      <x:c r="K1494" t="str">
        <x:f>IF(ISNUMBER(B1494),IF('Hill'!$B$4=1,IF(B1494&lt;0,-B1494,""),IF('Hill'!$B$4=2,IF(B1494&gt;0,B1494,""),IF('Hill'!$B$4=3,IF(B1494&lt;&gt;0,ABS(B1494),""),""))),"")</x:f>
      </x:c>
    </x:row>
    <x:row r="1495">
      <x:c r="A1495" t="n">
        <x:f>1494</x:f>
        <x:v>1494</x:v>
      </x:c>
      <x:c r="B1495" s="7" t="str">
        <x:f>IF('요약'!$B$4=4,IF(ISNUMBER('input'!A1495),'input'!A1495,""),IF(1494&lt;=1000,CHOOSE('요약'!$B$4,'input'!B1495,'input'!C1495,'input'!D1495),""))</x:f>
      </x:c>
      <x:c r="C1495" s="7" t="str">
        <x:f>IF(AND(ISNUMBER(B1495),'요약'!$B$19),B1495-'요약'!$B$7,"")</x:f>
      </x:c>
      <x:c r="D1495" s="7" t="str">
        <x:f>IF(ISNUMBER(C1495),C1495^2,"")</x:f>
      </x:c>
      <x:c r="E1495" s="15" t="str">
        <x:f>IF(ISNUMBER(C1495),C1495^3,"")</x:f>
      </x:c>
      <x:c r="F1495" s="15" t="str">
        <x:f>IF(ISNUMBER(C1495),C1495^4,"")</x:f>
      </x:c>
      <x:c r="G1495" s="7" t="str">
        <x:f>IF(ISNUMBER(B1495),ABS(B1495),"")</x:f>
      </x:c>
      <x:c r="H1495" s="7" t="str">
        <x:f>IF(ISNUMBER(B1495),B1495^2,"")</x:f>
      </x:c>
      <x:c r="I1495" s="7" t="str">
        <x:f>IF(AND(ISNUMBER(G1495),'요약'!$B$19),G1495-'요약'!$B$14,"")</x:f>
      </x:c>
      <x:c r="J1495" s="7" t="str">
        <x:f>IF(AND(ISNUMBER(H1495),'요약'!$B$19),H1495-'요약'!$B$15,"")</x:f>
      </x:c>
      <x:c r="K1495" t="str">
        <x:f>IF(ISNUMBER(B1495),IF('Hill'!$B$4=1,IF(B1495&lt;0,-B1495,""),IF('Hill'!$B$4=2,IF(B1495&gt;0,B1495,""),IF('Hill'!$B$4=3,IF(B1495&lt;&gt;0,ABS(B1495),""),""))),"")</x:f>
      </x:c>
    </x:row>
    <x:row r="1496">
      <x:c r="A1496" t="n">
        <x:f>1495</x:f>
        <x:v>1495</x:v>
      </x:c>
      <x:c r="B1496" s="7" t="str">
        <x:f>IF('요약'!$B$4=4,IF(ISNUMBER('input'!A1496),'input'!A1496,""),IF(1495&lt;=1000,CHOOSE('요약'!$B$4,'input'!B1496,'input'!C1496,'input'!D1496),""))</x:f>
      </x:c>
      <x:c r="C1496" s="7" t="str">
        <x:f>IF(AND(ISNUMBER(B1496),'요약'!$B$19),B1496-'요약'!$B$7,"")</x:f>
      </x:c>
      <x:c r="D1496" s="7" t="str">
        <x:f>IF(ISNUMBER(C1496),C1496^2,"")</x:f>
      </x:c>
      <x:c r="E1496" s="15" t="str">
        <x:f>IF(ISNUMBER(C1496),C1496^3,"")</x:f>
      </x:c>
      <x:c r="F1496" s="15" t="str">
        <x:f>IF(ISNUMBER(C1496),C1496^4,"")</x:f>
      </x:c>
      <x:c r="G1496" s="7" t="str">
        <x:f>IF(ISNUMBER(B1496),ABS(B1496),"")</x:f>
      </x:c>
      <x:c r="H1496" s="7" t="str">
        <x:f>IF(ISNUMBER(B1496),B1496^2,"")</x:f>
      </x:c>
      <x:c r="I1496" s="7" t="str">
        <x:f>IF(AND(ISNUMBER(G1496),'요약'!$B$19),G1496-'요약'!$B$14,"")</x:f>
      </x:c>
      <x:c r="J1496" s="7" t="str">
        <x:f>IF(AND(ISNUMBER(H1496),'요약'!$B$19),H1496-'요약'!$B$15,"")</x:f>
      </x:c>
      <x:c r="K1496" t="str">
        <x:f>IF(ISNUMBER(B1496),IF('Hill'!$B$4=1,IF(B1496&lt;0,-B1496,""),IF('Hill'!$B$4=2,IF(B1496&gt;0,B1496,""),IF('Hill'!$B$4=3,IF(B1496&lt;&gt;0,ABS(B1496),""),""))),"")</x:f>
      </x:c>
    </x:row>
    <x:row r="1497">
      <x:c r="A1497" t="n">
        <x:f>1496</x:f>
        <x:v>1496</x:v>
      </x:c>
      <x:c r="B1497" s="7" t="str">
        <x:f>IF('요약'!$B$4=4,IF(ISNUMBER('input'!A1497),'input'!A1497,""),IF(1496&lt;=1000,CHOOSE('요약'!$B$4,'input'!B1497,'input'!C1497,'input'!D1497),""))</x:f>
      </x:c>
      <x:c r="C1497" s="7" t="str">
        <x:f>IF(AND(ISNUMBER(B1497),'요약'!$B$19),B1497-'요약'!$B$7,"")</x:f>
      </x:c>
      <x:c r="D1497" s="7" t="str">
        <x:f>IF(ISNUMBER(C1497),C1497^2,"")</x:f>
      </x:c>
      <x:c r="E1497" s="15" t="str">
        <x:f>IF(ISNUMBER(C1497),C1497^3,"")</x:f>
      </x:c>
      <x:c r="F1497" s="15" t="str">
        <x:f>IF(ISNUMBER(C1497),C1497^4,"")</x:f>
      </x:c>
      <x:c r="G1497" s="7" t="str">
        <x:f>IF(ISNUMBER(B1497),ABS(B1497),"")</x:f>
      </x:c>
      <x:c r="H1497" s="7" t="str">
        <x:f>IF(ISNUMBER(B1497),B1497^2,"")</x:f>
      </x:c>
      <x:c r="I1497" s="7" t="str">
        <x:f>IF(AND(ISNUMBER(G1497),'요약'!$B$19),G1497-'요약'!$B$14,"")</x:f>
      </x:c>
      <x:c r="J1497" s="7" t="str">
        <x:f>IF(AND(ISNUMBER(H1497),'요약'!$B$19),H1497-'요약'!$B$15,"")</x:f>
      </x:c>
      <x:c r="K1497" t="str">
        <x:f>IF(ISNUMBER(B1497),IF('Hill'!$B$4=1,IF(B1497&lt;0,-B1497,""),IF('Hill'!$B$4=2,IF(B1497&gt;0,B1497,""),IF('Hill'!$B$4=3,IF(B1497&lt;&gt;0,ABS(B1497),""),""))),"")</x:f>
      </x:c>
    </x:row>
    <x:row r="1498">
      <x:c r="A1498" t="n">
        <x:f>1497</x:f>
        <x:v>1497</x:v>
      </x:c>
      <x:c r="B1498" s="7" t="str">
        <x:f>IF('요약'!$B$4=4,IF(ISNUMBER('input'!A1498),'input'!A1498,""),IF(1497&lt;=1000,CHOOSE('요약'!$B$4,'input'!B1498,'input'!C1498,'input'!D1498),""))</x:f>
      </x:c>
      <x:c r="C1498" s="7" t="str">
        <x:f>IF(AND(ISNUMBER(B1498),'요약'!$B$19),B1498-'요약'!$B$7,"")</x:f>
      </x:c>
      <x:c r="D1498" s="7" t="str">
        <x:f>IF(ISNUMBER(C1498),C1498^2,"")</x:f>
      </x:c>
      <x:c r="E1498" s="15" t="str">
        <x:f>IF(ISNUMBER(C1498),C1498^3,"")</x:f>
      </x:c>
      <x:c r="F1498" s="15" t="str">
        <x:f>IF(ISNUMBER(C1498),C1498^4,"")</x:f>
      </x:c>
      <x:c r="G1498" s="7" t="str">
        <x:f>IF(ISNUMBER(B1498),ABS(B1498),"")</x:f>
      </x:c>
      <x:c r="H1498" s="7" t="str">
        <x:f>IF(ISNUMBER(B1498),B1498^2,"")</x:f>
      </x:c>
      <x:c r="I1498" s="7" t="str">
        <x:f>IF(AND(ISNUMBER(G1498),'요약'!$B$19),G1498-'요약'!$B$14,"")</x:f>
      </x:c>
      <x:c r="J1498" s="7" t="str">
        <x:f>IF(AND(ISNUMBER(H1498),'요약'!$B$19),H1498-'요약'!$B$15,"")</x:f>
      </x:c>
      <x:c r="K1498" t="str">
        <x:f>IF(ISNUMBER(B1498),IF('Hill'!$B$4=1,IF(B1498&lt;0,-B1498,""),IF('Hill'!$B$4=2,IF(B1498&gt;0,B1498,""),IF('Hill'!$B$4=3,IF(B1498&lt;&gt;0,ABS(B1498),""),""))),"")</x:f>
      </x:c>
    </x:row>
    <x:row r="1499">
      <x:c r="A1499" t="n">
        <x:f>1498</x:f>
        <x:v>1498</x:v>
      </x:c>
      <x:c r="B1499" s="7" t="str">
        <x:f>IF('요약'!$B$4=4,IF(ISNUMBER('input'!A1499),'input'!A1499,""),IF(1498&lt;=1000,CHOOSE('요약'!$B$4,'input'!B1499,'input'!C1499,'input'!D1499),""))</x:f>
      </x:c>
      <x:c r="C1499" s="7" t="str">
        <x:f>IF(AND(ISNUMBER(B1499),'요약'!$B$19),B1499-'요약'!$B$7,"")</x:f>
      </x:c>
      <x:c r="D1499" s="7" t="str">
        <x:f>IF(ISNUMBER(C1499),C1499^2,"")</x:f>
      </x:c>
      <x:c r="E1499" s="15" t="str">
        <x:f>IF(ISNUMBER(C1499),C1499^3,"")</x:f>
      </x:c>
      <x:c r="F1499" s="15" t="str">
        <x:f>IF(ISNUMBER(C1499),C1499^4,"")</x:f>
      </x:c>
      <x:c r="G1499" s="7" t="str">
        <x:f>IF(ISNUMBER(B1499),ABS(B1499),"")</x:f>
      </x:c>
      <x:c r="H1499" s="7" t="str">
        <x:f>IF(ISNUMBER(B1499),B1499^2,"")</x:f>
      </x:c>
      <x:c r="I1499" s="7" t="str">
        <x:f>IF(AND(ISNUMBER(G1499),'요약'!$B$19),G1499-'요약'!$B$14,"")</x:f>
      </x:c>
      <x:c r="J1499" s="7" t="str">
        <x:f>IF(AND(ISNUMBER(H1499),'요약'!$B$19),H1499-'요약'!$B$15,"")</x:f>
      </x:c>
      <x:c r="K1499" t="str">
        <x:f>IF(ISNUMBER(B1499),IF('Hill'!$B$4=1,IF(B1499&lt;0,-B1499,""),IF('Hill'!$B$4=2,IF(B1499&gt;0,B1499,""),IF('Hill'!$B$4=3,IF(B1499&lt;&gt;0,ABS(B1499),""),""))),"")</x:f>
      </x:c>
    </x:row>
    <x:row r="1500">
      <x:c r="A1500" t="n">
        <x:f>1499</x:f>
        <x:v>1499</x:v>
      </x:c>
      <x:c r="B1500" s="7" t="str">
        <x:f>IF('요약'!$B$4=4,IF(ISNUMBER('input'!A1500),'input'!A1500,""),IF(1499&lt;=1000,CHOOSE('요약'!$B$4,'input'!B1500,'input'!C1500,'input'!D1500),""))</x:f>
      </x:c>
      <x:c r="C1500" s="7" t="str">
        <x:f>IF(AND(ISNUMBER(B1500),'요약'!$B$19),B1500-'요약'!$B$7,"")</x:f>
      </x:c>
      <x:c r="D1500" s="7" t="str">
        <x:f>IF(ISNUMBER(C1500),C1500^2,"")</x:f>
      </x:c>
      <x:c r="E1500" s="15" t="str">
        <x:f>IF(ISNUMBER(C1500),C1500^3,"")</x:f>
      </x:c>
      <x:c r="F1500" s="15" t="str">
        <x:f>IF(ISNUMBER(C1500),C1500^4,"")</x:f>
      </x:c>
      <x:c r="G1500" s="7" t="str">
        <x:f>IF(ISNUMBER(B1500),ABS(B1500),"")</x:f>
      </x:c>
      <x:c r="H1500" s="7" t="str">
        <x:f>IF(ISNUMBER(B1500),B1500^2,"")</x:f>
      </x:c>
      <x:c r="I1500" s="7" t="str">
        <x:f>IF(AND(ISNUMBER(G1500),'요약'!$B$19),G1500-'요약'!$B$14,"")</x:f>
      </x:c>
      <x:c r="J1500" s="7" t="str">
        <x:f>IF(AND(ISNUMBER(H1500),'요약'!$B$19),H1500-'요약'!$B$15,"")</x:f>
      </x:c>
      <x:c r="K1500" t="str">
        <x:f>IF(ISNUMBER(B1500),IF('Hill'!$B$4=1,IF(B1500&lt;0,-B1500,""),IF('Hill'!$B$4=2,IF(B1500&gt;0,B1500,""),IF('Hill'!$B$4=3,IF(B1500&lt;&gt;0,ABS(B1500),""),""))),"")</x:f>
      </x:c>
    </x:row>
    <x:row r="1501">
      <x:c r="A1501" t="n">
        <x:f>1500</x:f>
        <x:v>1500</x:v>
      </x:c>
      <x:c r="B1501" s="7" t="str">
        <x:f>IF('요약'!$B$4=4,IF(ISNUMBER('input'!A1501),'input'!A1501,""),IF(1500&lt;=1000,CHOOSE('요약'!$B$4,'input'!B1501,'input'!C1501,'input'!D1501),""))</x:f>
      </x:c>
      <x:c r="C1501" s="7" t="str">
        <x:f>IF(AND(ISNUMBER(B1501),'요약'!$B$19),B1501-'요약'!$B$7,"")</x:f>
      </x:c>
      <x:c r="D1501" s="7" t="str">
        <x:f>IF(ISNUMBER(C1501),C1501^2,"")</x:f>
      </x:c>
      <x:c r="E1501" s="15" t="str">
        <x:f>IF(ISNUMBER(C1501),C1501^3,"")</x:f>
      </x:c>
      <x:c r="F1501" s="15" t="str">
        <x:f>IF(ISNUMBER(C1501),C1501^4,"")</x:f>
      </x:c>
      <x:c r="G1501" s="7" t="str">
        <x:f>IF(ISNUMBER(B1501),ABS(B1501),"")</x:f>
      </x:c>
      <x:c r="H1501" s="7" t="str">
        <x:f>IF(ISNUMBER(B1501),B1501^2,"")</x:f>
      </x:c>
      <x:c r="I1501" s="7" t="str">
        <x:f>IF(AND(ISNUMBER(G1501),'요약'!$B$19),G1501-'요약'!$B$14,"")</x:f>
      </x:c>
      <x:c r="J1501" s="7" t="str">
        <x:f>IF(AND(ISNUMBER(H1501),'요약'!$B$19),H1501-'요약'!$B$15,"")</x:f>
      </x:c>
      <x:c r="K1501" t="str">
        <x:f>IF(ISNUMBER(B1501),IF('Hill'!$B$4=1,IF(B1501&lt;0,-B1501,""),IF('Hill'!$B$4=2,IF(B1501&gt;0,B1501,""),IF('Hill'!$B$4=3,IF(B1501&lt;&gt;0,ABS(B1501),""),""))),"")</x:f>
      </x:c>
    </x:row>
    <x:row r="1502">
      <x:c r="A1502" t="n">
        <x:f>1501</x:f>
        <x:v>1501</x:v>
      </x:c>
      <x:c r="B1502" s="7" t="str">
        <x:f>IF('요약'!$B$4=4,IF(ISNUMBER('input'!A1502),'input'!A1502,""),IF(1501&lt;=1000,CHOOSE('요약'!$B$4,'input'!B1502,'input'!C1502,'input'!D1502),""))</x:f>
      </x:c>
      <x:c r="C1502" s="7" t="str">
        <x:f>IF(AND(ISNUMBER(B1502),'요약'!$B$19),B1502-'요약'!$B$7,"")</x:f>
      </x:c>
      <x:c r="D1502" s="7" t="str">
        <x:f>IF(ISNUMBER(C1502),C1502^2,"")</x:f>
      </x:c>
      <x:c r="E1502" s="15" t="str">
        <x:f>IF(ISNUMBER(C1502),C1502^3,"")</x:f>
      </x:c>
      <x:c r="F1502" s="15" t="str">
        <x:f>IF(ISNUMBER(C1502),C1502^4,"")</x:f>
      </x:c>
      <x:c r="G1502" s="7" t="str">
        <x:f>IF(ISNUMBER(B1502),ABS(B1502),"")</x:f>
      </x:c>
      <x:c r="H1502" s="7" t="str">
        <x:f>IF(ISNUMBER(B1502),B1502^2,"")</x:f>
      </x:c>
      <x:c r="I1502" s="7" t="str">
        <x:f>IF(AND(ISNUMBER(G1502),'요약'!$B$19),G1502-'요약'!$B$14,"")</x:f>
      </x:c>
      <x:c r="J1502" s="7" t="str">
        <x:f>IF(AND(ISNUMBER(H1502),'요약'!$B$19),H1502-'요약'!$B$15,"")</x:f>
      </x:c>
      <x:c r="K1502" t="str">
        <x:f>IF(ISNUMBER(B1502),IF('Hill'!$B$4=1,IF(B1502&lt;0,-B1502,""),IF('Hill'!$B$4=2,IF(B1502&gt;0,B1502,""),IF('Hill'!$B$4=3,IF(B1502&lt;&gt;0,ABS(B1502),""),""))),"")</x:f>
      </x:c>
    </x:row>
    <x:row r="1503">
      <x:c r="A1503" t="n">
        <x:f>1502</x:f>
        <x:v>1502</x:v>
      </x:c>
      <x:c r="B1503" s="7" t="str">
        <x:f>IF('요약'!$B$4=4,IF(ISNUMBER('input'!A1503),'input'!A1503,""),IF(1502&lt;=1000,CHOOSE('요약'!$B$4,'input'!B1503,'input'!C1503,'input'!D1503),""))</x:f>
      </x:c>
      <x:c r="C1503" s="7" t="str">
        <x:f>IF(AND(ISNUMBER(B1503),'요약'!$B$19),B1503-'요약'!$B$7,"")</x:f>
      </x:c>
      <x:c r="D1503" s="7" t="str">
        <x:f>IF(ISNUMBER(C1503),C1503^2,"")</x:f>
      </x:c>
      <x:c r="E1503" s="15" t="str">
        <x:f>IF(ISNUMBER(C1503),C1503^3,"")</x:f>
      </x:c>
      <x:c r="F1503" s="15" t="str">
        <x:f>IF(ISNUMBER(C1503),C1503^4,"")</x:f>
      </x:c>
      <x:c r="G1503" s="7" t="str">
        <x:f>IF(ISNUMBER(B1503),ABS(B1503),"")</x:f>
      </x:c>
      <x:c r="H1503" s="7" t="str">
        <x:f>IF(ISNUMBER(B1503),B1503^2,"")</x:f>
      </x:c>
      <x:c r="I1503" s="7" t="str">
        <x:f>IF(AND(ISNUMBER(G1503),'요약'!$B$19),G1503-'요약'!$B$14,"")</x:f>
      </x:c>
      <x:c r="J1503" s="7" t="str">
        <x:f>IF(AND(ISNUMBER(H1503),'요약'!$B$19),H1503-'요약'!$B$15,"")</x:f>
      </x:c>
      <x:c r="K1503" t="str">
        <x:f>IF(ISNUMBER(B1503),IF('Hill'!$B$4=1,IF(B1503&lt;0,-B1503,""),IF('Hill'!$B$4=2,IF(B1503&gt;0,B1503,""),IF('Hill'!$B$4=3,IF(B1503&lt;&gt;0,ABS(B1503),""),""))),"")</x:f>
      </x:c>
    </x:row>
    <x:row r="1504">
      <x:c r="A1504" t="n">
        <x:f>1503</x:f>
        <x:v>1503</x:v>
      </x:c>
      <x:c r="B1504" s="7" t="str">
        <x:f>IF('요약'!$B$4=4,IF(ISNUMBER('input'!A1504),'input'!A1504,""),IF(1503&lt;=1000,CHOOSE('요약'!$B$4,'input'!B1504,'input'!C1504,'input'!D1504),""))</x:f>
      </x:c>
      <x:c r="C1504" s="7" t="str">
        <x:f>IF(AND(ISNUMBER(B1504),'요약'!$B$19),B1504-'요약'!$B$7,"")</x:f>
      </x:c>
      <x:c r="D1504" s="7" t="str">
        <x:f>IF(ISNUMBER(C1504),C1504^2,"")</x:f>
      </x:c>
      <x:c r="E1504" s="15" t="str">
        <x:f>IF(ISNUMBER(C1504),C1504^3,"")</x:f>
      </x:c>
      <x:c r="F1504" s="15" t="str">
        <x:f>IF(ISNUMBER(C1504),C1504^4,"")</x:f>
      </x:c>
      <x:c r="G1504" s="7" t="str">
        <x:f>IF(ISNUMBER(B1504),ABS(B1504),"")</x:f>
      </x:c>
      <x:c r="H1504" s="7" t="str">
        <x:f>IF(ISNUMBER(B1504),B1504^2,"")</x:f>
      </x:c>
      <x:c r="I1504" s="7" t="str">
        <x:f>IF(AND(ISNUMBER(G1504),'요약'!$B$19),G1504-'요약'!$B$14,"")</x:f>
      </x:c>
      <x:c r="J1504" s="7" t="str">
        <x:f>IF(AND(ISNUMBER(H1504),'요약'!$B$19),H1504-'요약'!$B$15,"")</x:f>
      </x:c>
      <x:c r="K1504" t="str">
        <x:f>IF(ISNUMBER(B1504),IF('Hill'!$B$4=1,IF(B1504&lt;0,-B1504,""),IF('Hill'!$B$4=2,IF(B1504&gt;0,B1504,""),IF('Hill'!$B$4=3,IF(B1504&lt;&gt;0,ABS(B1504),""),""))),"")</x:f>
      </x:c>
    </x:row>
    <x:row r="1505">
      <x:c r="A1505" t="n">
        <x:f>1504</x:f>
        <x:v>1504</x:v>
      </x:c>
      <x:c r="B1505" s="7" t="str">
        <x:f>IF('요약'!$B$4=4,IF(ISNUMBER('input'!A1505),'input'!A1505,""),IF(1504&lt;=1000,CHOOSE('요약'!$B$4,'input'!B1505,'input'!C1505,'input'!D1505),""))</x:f>
      </x:c>
      <x:c r="C1505" s="7" t="str">
        <x:f>IF(AND(ISNUMBER(B1505),'요약'!$B$19),B1505-'요약'!$B$7,"")</x:f>
      </x:c>
      <x:c r="D1505" s="7" t="str">
        <x:f>IF(ISNUMBER(C1505),C1505^2,"")</x:f>
      </x:c>
      <x:c r="E1505" s="15" t="str">
        <x:f>IF(ISNUMBER(C1505),C1505^3,"")</x:f>
      </x:c>
      <x:c r="F1505" s="15" t="str">
        <x:f>IF(ISNUMBER(C1505),C1505^4,"")</x:f>
      </x:c>
      <x:c r="G1505" s="7" t="str">
        <x:f>IF(ISNUMBER(B1505),ABS(B1505),"")</x:f>
      </x:c>
      <x:c r="H1505" s="7" t="str">
        <x:f>IF(ISNUMBER(B1505),B1505^2,"")</x:f>
      </x:c>
      <x:c r="I1505" s="7" t="str">
        <x:f>IF(AND(ISNUMBER(G1505),'요약'!$B$19),G1505-'요약'!$B$14,"")</x:f>
      </x:c>
      <x:c r="J1505" s="7" t="str">
        <x:f>IF(AND(ISNUMBER(H1505),'요약'!$B$19),H1505-'요약'!$B$15,"")</x:f>
      </x:c>
      <x:c r="K1505" t="str">
        <x:f>IF(ISNUMBER(B1505),IF('Hill'!$B$4=1,IF(B1505&lt;0,-B1505,""),IF('Hill'!$B$4=2,IF(B1505&gt;0,B1505,""),IF('Hill'!$B$4=3,IF(B1505&lt;&gt;0,ABS(B1505),""),""))),"")</x:f>
      </x:c>
    </x:row>
    <x:row r="1506">
      <x:c r="A1506" t="n">
        <x:f>1505</x:f>
        <x:v>1505</x:v>
      </x:c>
      <x:c r="B1506" s="7" t="str">
        <x:f>IF('요약'!$B$4=4,IF(ISNUMBER('input'!A1506),'input'!A1506,""),IF(1505&lt;=1000,CHOOSE('요약'!$B$4,'input'!B1506,'input'!C1506,'input'!D1506),""))</x:f>
      </x:c>
      <x:c r="C1506" s="7" t="str">
        <x:f>IF(AND(ISNUMBER(B1506),'요약'!$B$19),B1506-'요약'!$B$7,"")</x:f>
      </x:c>
      <x:c r="D1506" s="7" t="str">
        <x:f>IF(ISNUMBER(C1506),C1506^2,"")</x:f>
      </x:c>
      <x:c r="E1506" s="15" t="str">
        <x:f>IF(ISNUMBER(C1506),C1506^3,"")</x:f>
      </x:c>
      <x:c r="F1506" s="15" t="str">
        <x:f>IF(ISNUMBER(C1506),C1506^4,"")</x:f>
      </x:c>
      <x:c r="G1506" s="7" t="str">
        <x:f>IF(ISNUMBER(B1506),ABS(B1506),"")</x:f>
      </x:c>
      <x:c r="H1506" s="7" t="str">
        <x:f>IF(ISNUMBER(B1506),B1506^2,"")</x:f>
      </x:c>
      <x:c r="I1506" s="7" t="str">
        <x:f>IF(AND(ISNUMBER(G1506),'요약'!$B$19),G1506-'요약'!$B$14,"")</x:f>
      </x:c>
      <x:c r="J1506" s="7" t="str">
        <x:f>IF(AND(ISNUMBER(H1506),'요약'!$B$19),H1506-'요약'!$B$15,"")</x:f>
      </x:c>
      <x:c r="K1506" t="str">
        <x:f>IF(ISNUMBER(B1506),IF('Hill'!$B$4=1,IF(B1506&lt;0,-B1506,""),IF('Hill'!$B$4=2,IF(B1506&gt;0,B1506,""),IF('Hill'!$B$4=3,IF(B1506&lt;&gt;0,ABS(B1506),""),""))),"")</x:f>
      </x:c>
    </x:row>
    <x:row r="1507">
      <x:c r="A1507" t="n">
        <x:f>1506</x:f>
        <x:v>1506</x:v>
      </x:c>
      <x:c r="B1507" s="7" t="str">
        <x:f>IF('요약'!$B$4=4,IF(ISNUMBER('input'!A1507),'input'!A1507,""),IF(1506&lt;=1000,CHOOSE('요약'!$B$4,'input'!B1507,'input'!C1507,'input'!D1507),""))</x:f>
      </x:c>
      <x:c r="C1507" s="7" t="str">
        <x:f>IF(AND(ISNUMBER(B1507),'요약'!$B$19),B1507-'요약'!$B$7,"")</x:f>
      </x:c>
      <x:c r="D1507" s="7" t="str">
        <x:f>IF(ISNUMBER(C1507),C1507^2,"")</x:f>
      </x:c>
      <x:c r="E1507" s="15" t="str">
        <x:f>IF(ISNUMBER(C1507),C1507^3,"")</x:f>
      </x:c>
      <x:c r="F1507" s="15" t="str">
        <x:f>IF(ISNUMBER(C1507),C1507^4,"")</x:f>
      </x:c>
      <x:c r="G1507" s="7" t="str">
        <x:f>IF(ISNUMBER(B1507),ABS(B1507),"")</x:f>
      </x:c>
      <x:c r="H1507" s="7" t="str">
        <x:f>IF(ISNUMBER(B1507),B1507^2,"")</x:f>
      </x:c>
      <x:c r="I1507" s="7" t="str">
        <x:f>IF(AND(ISNUMBER(G1507),'요약'!$B$19),G1507-'요약'!$B$14,"")</x:f>
      </x:c>
      <x:c r="J1507" s="7" t="str">
        <x:f>IF(AND(ISNUMBER(H1507),'요약'!$B$19),H1507-'요약'!$B$15,"")</x:f>
      </x:c>
      <x:c r="K1507" t="str">
        <x:f>IF(ISNUMBER(B1507),IF('Hill'!$B$4=1,IF(B1507&lt;0,-B1507,""),IF('Hill'!$B$4=2,IF(B1507&gt;0,B1507,""),IF('Hill'!$B$4=3,IF(B1507&lt;&gt;0,ABS(B1507),""),""))),"")</x:f>
      </x:c>
    </x:row>
    <x:row r="1508">
      <x:c r="A1508" t="n">
        <x:f>1507</x:f>
        <x:v>1507</x:v>
      </x:c>
      <x:c r="B1508" s="7" t="str">
        <x:f>IF('요약'!$B$4=4,IF(ISNUMBER('input'!A1508),'input'!A1508,""),IF(1507&lt;=1000,CHOOSE('요약'!$B$4,'input'!B1508,'input'!C1508,'input'!D1508),""))</x:f>
      </x:c>
      <x:c r="C1508" s="7" t="str">
        <x:f>IF(AND(ISNUMBER(B1508),'요약'!$B$19),B1508-'요약'!$B$7,"")</x:f>
      </x:c>
      <x:c r="D1508" s="7" t="str">
        <x:f>IF(ISNUMBER(C1508),C1508^2,"")</x:f>
      </x:c>
      <x:c r="E1508" s="15" t="str">
        <x:f>IF(ISNUMBER(C1508),C1508^3,"")</x:f>
      </x:c>
      <x:c r="F1508" s="15" t="str">
        <x:f>IF(ISNUMBER(C1508),C1508^4,"")</x:f>
      </x:c>
      <x:c r="G1508" s="7" t="str">
        <x:f>IF(ISNUMBER(B1508),ABS(B1508),"")</x:f>
      </x:c>
      <x:c r="H1508" s="7" t="str">
        <x:f>IF(ISNUMBER(B1508),B1508^2,"")</x:f>
      </x:c>
      <x:c r="I1508" s="7" t="str">
        <x:f>IF(AND(ISNUMBER(G1508),'요약'!$B$19),G1508-'요약'!$B$14,"")</x:f>
      </x:c>
      <x:c r="J1508" s="7" t="str">
        <x:f>IF(AND(ISNUMBER(H1508),'요약'!$B$19),H1508-'요약'!$B$15,"")</x:f>
      </x:c>
      <x:c r="K1508" t="str">
        <x:f>IF(ISNUMBER(B1508),IF('Hill'!$B$4=1,IF(B1508&lt;0,-B1508,""),IF('Hill'!$B$4=2,IF(B1508&gt;0,B1508,""),IF('Hill'!$B$4=3,IF(B1508&lt;&gt;0,ABS(B1508),""),""))),"")</x:f>
      </x:c>
    </x:row>
    <x:row r="1509">
      <x:c r="A1509" t="n">
        <x:f>1508</x:f>
        <x:v>1508</x:v>
      </x:c>
      <x:c r="B1509" s="7" t="str">
        <x:f>IF('요약'!$B$4=4,IF(ISNUMBER('input'!A1509),'input'!A1509,""),IF(1508&lt;=1000,CHOOSE('요약'!$B$4,'input'!B1509,'input'!C1509,'input'!D1509),""))</x:f>
      </x:c>
      <x:c r="C1509" s="7" t="str">
        <x:f>IF(AND(ISNUMBER(B1509),'요약'!$B$19),B1509-'요약'!$B$7,"")</x:f>
      </x:c>
      <x:c r="D1509" s="7" t="str">
        <x:f>IF(ISNUMBER(C1509),C1509^2,"")</x:f>
      </x:c>
      <x:c r="E1509" s="15" t="str">
        <x:f>IF(ISNUMBER(C1509),C1509^3,"")</x:f>
      </x:c>
      <x:c r="F1509" s="15" t="str">
        <x:f>IF(ISNUMBER(C1509),C1509^4,"")</x:f>
      </x:c>
      <x:c r="G1509" s="7" t="str">
        <x:f>IF(ISNUMBER(B1509),ABS(B1509),"")</x:f>
      </x:c>
      <x:c r="H1509" s="7" t="str">
        <x:f>IF(ISNUMBER(B1509),B1509^2,"")</x:f>
      </x:c>
      <x:c r="I1509" s="7" t="str">
        <x:f>IF(AND(ISNUMBER(G1509),'요약'!$B$19),G1509-'요약'!$B$14,"")</x:f>
      </x:c>
      <x:c r="J1509" s="7" t="str">
        <x:f>IF(AND(ISNUMBER(H1509),'요약'!$B$19),H1509-'요약'!$B$15,"")</x:f>
      </x:c>
      <x:c r="K1509" t="str">
        <x:f>IF(ISNUMBER(B1509),IF('Hill'!$B$4=1,IF(B1509&lt;0,-B1509,""),IF('Hill'!$B$4=2,IF(B1509&gt;0,B1509,""),IF('Hill'!$B$4=3,IF(B1509&lt;&gt;0,ABS(B1509),""),""))),"")</x:f>
      </x:c>
    </x:row>
    <x:row r="1510">
      <x:c r="A1510" t="n">
        <x:f>1509</x:f>
        <x:v>1509</x:v>
      </x:c>
      <x:c r="B1510" s="7" t="str">
        <x:f>IF('요약'!$B$4=4,IF(ISNUMBER('input'!A1510),'input'!A1510,""),IF(1509&lt;=1000,CHOOSE('요약'!$B$4,'input'!B1510,'input'!C1510,'input'!D1510),""))</x:f>
      </x:c>
      <x:c r="C1510" s="7" t="str">
        <x:f>IF(AND(ISNUMBER(B1510),'요약'!$B$19),B1510-'요약'!$B$7,"")</x:f>
      </x:c>
      <x:c r="D1510" s="7" t="str">
        <x:f>IF(ISNUMBER(C1510),C1510^2,"")</x:f>
      </x:c>
      <x:c r="E1510" s="15" t="str">
        <x:f>IF(ISNUMBER(C1510),C1510^3,"")</x:f>
      </x:c>
      <x:c r="F1510" s="15" t="str">
        <x:f>IF(ISNUMBER(C1510),C1510^4,"")</x:f>
      </x:c>
      <x:c r="G1510" s="7" t="str">
        <x:f>IF(ISNUMBER(B1510),ABS(B1510),"")</x:f>
      </x:c>
      <x:c r="H1510" s="7" t="str">
        <x:f>IF(ISNUMBER(B1510),B1510^2,"")</x:f>
      </x:c>
      <x:c r="I1510" s="7" t="str">
        <x:f>IF(AND(ISNUMBER(G1510),'요약'!$B$19),G1510-'요약'!$B$14,"")</x:f>
      </x:c>
      <x:c r="J1510" s="7" t="str">
        <x:f>IF(AND(ISNUMBER(H1510),'요약'!$B$19),H1510-'요약'!$B$15,"")</x:f>
      </x:c>
      <x:c r="K1510" t="str">
        <x:f>IF(ISNUMBER(B1510),IF('Hill'!$B$4=1,IF(B1510&lt;0,-B1510,""),IF('Hill'!$B$4=2,IF(B1510&gt;0,B1510,""),IF('Hill'!$B$4=3,IF(B1510&lt;&gt;0,ABS(B1510),""),""))),"")</x:f>
      </x:c>
    </x:row>
    <x:row r="1511">
      <x:c r="A1511" t="n">
        <x:f>1510</x:f>
        <x:v>1510</x:v>
      </x:c>
      <x:c r="B1511" s="7" t="str">
        <x:f>IF('요약'!$B$4=4,IF(ISNUMBER('input'!A1511),'input'!A1511,""),IF(1510&lt;=1000,CHOOSE('요약'!$B$4,'input'!B1511,'input'!C1511,'input'!D1511),""))</x:f>
      </x:c>
      <x:c r="C1511" s="7" t="str">
        <x:f>IF(AND(ISNUMBER(B1511),'요약'!$B$19),B1511-'요약'!$B$7,"")</x:f>
      </x:c>
      <x:c r="D1511" s="7" t="str">
        <x:f>IF(ISNUMBER(C1511),C1511^2,"")</x:f>
      </x:c>
      <x:c r="E1511" s="15" t="str">
        <x:f>IF(ISNUMBER(C1511),C1511^3,"")</x:f>
      </x:c>
      <x:c r="F1511" s="15" t="str">
        <x:f>IF(ISNUMBER(C1511),C1511^4,"")</x:f>
      </x:c>
      <x:c r="G1511" s="7" t="str">
        <x:f>IF(ISNUMBER(B1511),ABS(B1511),"")</x:f>
      </x:c>
      <x:c r="H1511" s="7" t="str">
        <x:f>IF(ISNUMBER(B1511),B1511^2,"")</x:f>
      </x:c>
      <x:c r="I1511" s="7" t="str">
        <x:f>IF(AND(ISNUMBER(G1511),'요약'!$B$19),G1511-'요약'!$B$14,"")</x:f>
      </x:c>
      <x:c r="J1511" s="7" t="str">
        <x:f>IF(AND(ISNUMBER(H1511),'요약'!$B$19),H1511-'요약'!$B$15,"")</x:f>
      </x:c>
      <x:c r="K1511" t="str">
        <x:f>IF(ISNUMBER(B1511),IF('Hill'!$B$4=1,IF(B1511&lt;0,-B1511,""),IF('Hill'!$B$4=2,IF(B1511&gt;0,B1511,""),IF('Hill'!$B$4=3,IF(B1511&lt;&gt;0,ABS(B1511),""),""))),"")</x:f>
      </x:c>
    </x:row>
    <x:row r="1512">
      <x:c r="A1512" t="n">
        <x:f>1511</x:f>
        <x:v>1511</x:v>
      </x:c>
      <x:c r="B1512" s="7" t="str">
        <x:f>IF('요약'!$B$4=4,IF(ISNUMBER('input'!A1512),'input'!A1512,""),IF(1511&lt;=1000,CHOOSE('요약'!$B$4,'input'!B1512,'input'!C1512,'input'!D1512),""))</x:f>
      </x:c>
      <x:c r="C1512" s="7" t="str">
        <x:f>IF(AND(ISNUMBER(B1512),'요약'!$B$19),B1512-'요약'!$B$7,"")</x:f>
      </x:c>
      <x:c r="D1512" s="7" t="str">
        <x:f>IF(ISNUMBER(C1512),C1512^2,"")</x:f>
      </x:c>
      <x:c r="E1512" s="15" t="str">
        <x:f>IF(ISNUMBER(C1512),C1512^3,"")</x:f>
      </x:c>
      <x:c r="F1512" s="15" t="str">
        <x:f>IF(ISNUMBER(C1512),C1512^4,"")</x:f>
      </x:c>
      <x:c r="G1512" s="7" t="str">
        <x:f>IF(ISNUMBER(B1512),ABS(B1512),"")</x:f>
      </x:c>
      <x:c r="H1512" s="7" t="str">
        <x:f>IF(ISNUMBER(B1512),B1512^2,"")</x:f>
      </x:c>
      <x:c r="I1512" s="7" t="str">
        <x:f>IF(AND(ISNUMBER(G1512),'요약'!$B$19),G1512-'요약'!$B$14,"")</x:f>
      </x:c>
      <x:c r="J1512" s="7" t="str">
        <x:f>IF(AND(ISNUMBER(H1512),'요약'!$B$19),H1512-'요약'!$B$15,"")</x:f>
      </x:c>
      <x:c r="K1512" t="str">
        <x:f>IF(ISNUMBER(B1512),IF('Hill'!$B$4=1,IF(B1512&lt;0,-B1512,""),IF('Hill'!$B$4=2,IF(B1512&gt;0,B1512,""),IF('Hill'!$B$4=3,IF(B1512&lt;&gt;0,ABS(B1512),""),""))),"")</x:f>
      </x:c>
    </x:row>
    <x:row r="1513">
      <x:c r="A1513" t="n">
        <x:f>1512</x:f>
        <x:v>1512</x:v>
      </x:c>
      <x:c r="B1513" s="7" t="str">
        <x:f>IF('요약'!$B$4=4,IF(ISNUMBER('input'!A1513),'input'!A1513,""),IF(1512&lt;=1000,CHOOSE('요약'!$B$4,'input'!B1513,'input'!C1513,'input'!D1513),""))</x:f>
      </x:c>
      <x:c r="C1513" s="7" t="str">
        <x:f>IF(AND(ISNUMBER(B1513),'요약'!$B$19),B1513-'요약'!$B$7,"")</x:f>
      </x:c>
      <x:c r="D1513" s="7" t="str">
        <x:f>IF(ISNUMBER(C1513),C1513^2,"")</x:f>
      </x:c>
      <x:c r="E1513" s="15" t="str">
        <x:f>IF(ISNUMBER(C1513),C1513^3,"")</x:f>
      </x:c>
      <x:c r="F1513" s="15" t="str">
        <x:f>IF(ISNUMBER(C1513),C1513^4,"")</x:f>
      </x:c>
      <x:c r="G1513" s="7" t="str">
        <x:f>IF(ISNUMBER(B1513),ABS(B1513),"")</x:f>
      </x:c>
      <x:c r="H1513" s="7" t="str">
        <x:f>IF(ISNUMBER(B1513),B1513^2,"")</x:f>
      </x:c>
      <x:c r="I1513" s="7" t="str">
        <x:f>IF(AND(ISNUMBER(G1513),'요약'!$B$19),G1513-'요약'!$B$14,"")</x:f>
      </x:c>
      <x:c r="J1513" s="7" t="str">
        <x:f>IF(AND(ISNUMBER(H1513),'요약'!$B$19),H1513-'요약'!$B$15,"")</x:f>
      </x:c>
      <x:c r="K1513" t="str">
        <x:f>IF(ISNUMBER(B1513),IF('Hill'!$B$4=1,IF(B1513&lt;0,-B1513,""),IF('Hill'!$B$4=2,IF(B1513&gt;0,B1513,""),IF('Hill'!$B$4=3,IF(B1513&lt;&gt;0,ABS(B1513),""),""))),"")</x:f>
      </x:c>
    </x:row>
    <x:row r="1514">
      <x:c r="A1514" t="n">
        <x:f>1513</x:f>
        <x:v>1513</x:v>
      </x:c>
      <x:c r="B1514" s="7" t="str">
        <x:f>IF('요약'!$B$4=4,IF(ISNUMBER('input'!A1514),'input'!A1514,""),IF(1513&lt;=1000,CHOOSE('요약'!$B$4,'input'!B1514,'input'!C1514,'input'!D1514),""))</x:f>
      </x:c>
      <x:c r="C1514" s="7" t="str">
        <x:f>IF(AND(ISNUMBER(B1514),'요약'!$B$19),B1514-'요약'!$B$7,"")</x:f>
      </x:c>
      <x:c r="D1514" s="7" t="str">
        <x:f>IF(ISNUMBER(C1514),C1514^2,"")</x:f>
      </x:c>
      <x:c r="E1514" s="15" t="str">
        <x:f>IF(ISNUMBER(C1514),C1514^3,"")</x:f>
      </x:c>
      <x:c r="F1514" s="15" t="str">
        <x:f>IF(ISNUMBER(C1514),C1514^4,"")</x:f>
      </x:c>
      <x:c r="G1514" s="7" t="str">
        <x:f>IF(ISNUMBER(B1514),ABS(B1514),"")</x:f>
      </x:c>
      <x:c r="H1514" s="7" t="str">
        <x:f>IF(ISNUMBER(B1514),B1514^2,"")</x:f>
      </x:c>
      <x:c r="I1514" s="7" t="str">
        <x:f>IF(AND(ISNUMBER(G1514),'요약'!$B$19),G1514-'요약'!$B$14,"")</x:f>
      </x:c>
      <x:c r="J1514" s="7" t="str">
        <x:f>IF(AND(ISNUMBER(H1514),'요약'!$B$19),H1514-'요약'!$B$15,"")</x:f>
      </x:c>
      <x:c r="K1514" t="str">
        <x:f>IF(ISNUMBER(B1514),IF('Hill'!$B$4=1,IF(B1514&lt;0,-B1514,""),IF('Hill'!$B$4=2,IF(B1514&gt;0,B1514,""),IF('Hill'!$B$4=3,IF(B1514&lt;&gt;0,ABS(B1514),""),""))),"")</x:f>
      </x:c>
    </x:row>
    <x:row r="1515">
      <x:c r="A1515" t="n">
        <x:f>1514</x:f>
        <x:v>1514</x:v>
      </x:c>
      <x:c r="B1515" s="7" t="str">
        <x:f>IF('요약'!$B$4=4,IF(ISNUMBER('input'!A1515),'input'!A1515,""),IF(1514&lt;=1000,CHOOSE('요약'!$B$4,'input'!B1515,'input'!C1515,'input'!D1515),""))</x:f>
      </x:c>
      <x:c r="C1515" s="7" t="str">
        <x:f>IF(AND(ISNUMBER(B1515),'요약'!$B$19),B1515-'요약'!$B$7,"")</x:f>
      </x:c>
      <x:c r="D1515" s="7" t="str">
        <x:f>IF(ISNUMBER(C1515),C1515^2,"")</x:f>
      </x:c>
      <x:c r="E1515" s="15" t="str">
        <x:f>IF(ISNUMBER(C1515),C1515^3,"")</x:f>
      </x:c>
      <x:c r="F1515" s="15" t="str">
        <x:f>IF(ISNUMBER(C1515),C1515^4,"")</x:f>
      </x:c>
      <x:c r="G1515" s="7" t="str">
        <x:f>IF(ISNUMBER(B1515),ABS(B1515),"")</x:f>
      </x:c>
      <x:c r="H1515" s="7" t="str">
        <x:f>IF(ISNUMBER(B1515),B1515^2,"")</x:f>
      </x:c>
      <x:c r="I1515" s="7" t="str">
        <x:f>IF(AND(ISNUMBER(G1515),'요약'!$B$19),G1515-'요약'!$B$14,"")</x:f>
      </x:c>
      <x:c r="J1515" s="7" t="str">
        <x:f>IF(AND(ISNUMBER(H1515),'요약'!$B$19),H1515-'요약'!$B$15,"")</x:f>
      </x:c>
      <x:c r="K1515" t="str">
        <x:f>IF(ISNUMBER(B1515),IF('Hill'!$B$4=1,IF(B1515&lt;0,-B1515,""),IF('Hill'!$B$4=2,IF(B1515&gt;0,B1515,""),IF('Hill'!$B$4=3,IF(B1515&lt;&gt;0,ABS(B1515),""),""))),"")</x:f>
      </x:c>
    </x:row>
    <x:row r="1516">
      <x:c r="A1516" t="n">
        <x:f>1515</x:f>
        <x:v>1515</x:v>
      </x:c>
      <x:c r="B1516" s="7" t="str">
        <x:f>IF('요약'!$B$4=4,IF(ISNUMBER('input'!A1516),'input'!A1516,""),IF(1515&lt;=1000,CHOOSE('요약'!$B$4,'input'!B1516,'input'!C1516,'input'!D1516),""))</x:f>
      </x:c>
      <x:c r="C1516" s="7" t="str">
        <x:f>IF(AND(ISNUMBER(B1516),'요약'!$B$19),B1516-'요약'!$B$7,"")</x:f>
      </x:c>
      <x:c r="D1516" s="7" t="str">
        <x:f>IF(ISNUMBER(C1516),C1516^2,"")</x:f>
      </x:c>
      <x:c r="E1516" s="15" t="str">
        <x:f>IF(ISNUMBER(C1516),C1516^3,"")</x:f>
      </x:c>
      <x:c r="F1516" s="15" t="str">
        <x:f>IF(ISNUMBER(C1516),C1516^4,"")</x:f>
      </x:c>
      <x:c r="G1516" s="7" t="str">
        <x:f>IF(ISNUMBER(B1516),ABS(B1516),"")</x:f>
      </x:c>
      <x:c r="H1516" s="7" t="str">
        <x:f>IF(ISNUMBER(B1516),B1516^2,"")</x:f>
      </x:c>
      <x:c r="I1516" s="7" t="str">
        <x:f>IF(AND(ISNUMBER(G1516),'요약'!$B$19),G1516-'요약'!$B$14,"")</x:f>
      </x:c>
      <x:c r="J1516" s="7" t="str">
        <x:f>IF(AND(ISNUMBER(H1516),'요약'!$B$19),H1516-'요약'!$B$15,"")</x:f>
      </x:c>
      <x:c r="K1516" t="str">
        <x:f>IF(ISNUMBER(B1516),IF('Hill'!$B$4=1,IF(B1516&lt;0,-B1516,""),IF('Hill'!$B$4=2,IF(B1516&gt;0,B1516,""),IF('Hill'!$B$4=3,IF(B1516&lt;&gt;0,ABS(B1516),""),""))),"")</x:f>
      </x:c>
    </x:row>
    <x:row r="1517">
      <x:c r="A1517" t="n">
        <x:f>1516</x:f>
        <x:v>1516</x:v>
      </x:c>
      <x:c r="B1517" s="7" t="str">
        <x:f>IF('요약'!$B$4=4,IF(ISNUMBER('input'!A1517),'input'!A1517,""),IF(1516&lt;=1000,CHOOSE('요약'!$B$4,'input'!B1517,'input'!C1517,'input'!D1517),""))</x:f>
      </x:c>
      <x:c r="C1517" s="7" t="str">
        <x:f>IF(AND(ISNUMBER(B1517),'요약'!$B$19),B1517-'요약'!$B$7,"")</x:f>
      </x:c>
      <x:c r="D1517" s="7" t="str">
        <x:f>IF(ISNUMBER(C1517),C1517^2,"")</x:f>
      </x:c>
      <x:c r="E1517" s="15" t="str">
        <x:f>IF(ISNUMBER(C1517),C1517^3,"")</x:f>
      </x:c>
      <x:c r="F1517" s="15" t="str">
        <x:f>IF(ISNUMBER(C1517),C1517^4,"")</x:f>
      </x:c>
      <x:c r="G1517" s="7" t="str">
        <x:f>IF(ISNUMBER(B1517),ABS(B1517),"")</x:f>
      </x:c>
      <x:c r="H1517" s="7" t="str">
        <x:f>IF(ISNUMBER(B1517),B1517^2,"")</x:f>
      </x:c>
      <x:c r="I1517" s="7" t="str">
        <x:f>IF(AND(ISNUMBER(G1517),'요약'!$B$19),G1517-'요약'!$B$14,"")</x:f>
      </x:c>
      <x:c r="J1517" s="7" t="str">
        <x:f>IF(AND(ISNUMBER(H1517),'요약'!$B$19),H1517-'요약'!$B$15,"")</x:f>
      </x:c>
      <x:c r="K1517" t="str">
        <x:f>IF(ISNUMBER(B1517),IF('Hill'!$B$4=1,IF(B1517&lt;0,-B1517,""),IF('Hill'!$B$4=2,IF(B1517&gt;0,B1517,""),IF('Hill'!$B$4=3,IF(B1517&lt;&gt;0,ABS(B1517),""),""))),"")</x:f>
      </x:c>
    </x:row>
    <x:row r="1518">
      <x:c r="A1518" t="n">
        <x:f>1517</x:f>
        <x:v>1517</x:v>
      </x:c>
      <x:c r="B1518" s="7" t="str">
        <x:f>IF('요약'!$B$4=4,IF(ISNUMBER('input'!A1518),'input'!A1518,""),IF(1517&lt;=1000,CHOOSE('요약'!$B$4,'input'!B1518,'input'!C1518,'input'!D1518),""))</x:f>
      </x:c>
      <x:c r="C1518" s="7" t="str">
        <x:f>IF(AND(ISNUMBER(B1518),'요약'!$B$19),B1518-'요약'!$B$7,"")</x:f>
      </x:c>
      <x:c r="D1518" s="7" t="str">
        <x:f>IF(ISNUMBER(C1518),C1518^2,"")</x:f>
      </x:c>
      <x:c r="E1518" s="15" t="str">
        <x:f>IF(ISNUMBER(C1518),C1518^3,"")</x:f>
      </x:c>
      <x:c r="F1518" s="15" t="str">
        <x:f>IF(ISNUMBER(C1518),C1518^4,"")</x:f>
      </x:c>
      <x:c r="G1518" s="7" t="str">
        <x:f>IF(ISNUMBER(B1518),ABS(B1518),"")</x:f>
      </x:c>
      <x:c r="H1518" s="7" t="str">
        <x:f>IF(ISNUMBER(B1518),B1518^2,"")</x:f>
      </x:c>
      <x:c r="I1518" s="7" t="str">
        <x:f>IF(AND(ISNUMBER(G1518),'요약'!$B$19),G1518-'요약'!$B$14,"")</x:f>
      </x:c>
      <x:c r="J1518" s="7" t="str">
        <x:f>IF(AND(ISNUMBER(H1518),'요약'!$B$19),H1518-'요약'!$B$15,"")</x:f>
      </x:c>
      <x:c r="K1518" t="str">
        <x:f>IF(ISNUMBER(B1518),IF('Hill'!$B$4=1,IF(B1518&lt;0,-B1518,""),IF('Hill'!$B$4=2,IF(B1518&gt;0,B1518,""),IF('Hill'!$B$4=3,IF(B1518&lt;&gt;0,ABS(B1518),""),""))),"")</x:f>
      </x:c>
    </x:row>
    <x:row r="1519">
      <x:c r="A1519" t="n">
        <x:f>1518</x:f>
        <x:v>1518</x:v>
      </x:c>
      <x:c r="B1519" s="7" t="str">
        <x:f>IF('요약'!$B$4=4,IF(ISNUMBER('input'!A1519),'input'!A1519,""),IF(1518&lt;=1000,CHOOSE('요약'!$B$4,'input'!B1519,'input'!C1519,'input'!D1519),""))</x:f>
      </x:c>
      <x:c r="C1519" s="7" t="str">
        <x:f>IF(AND(ISNUMBER(B1519),'요약'!$B$19),B1519-'요약'!$B$7,"")</x:f>
      </x:c>
      <x:c r="D1519" s="7" t="str">
        <x:f>IF(ISNUMBER(C1519),C1519^2,"")</x:f>
      </x:c>
      <x:c r="E1519" s="15" t="str">
        <x:f>IF(ISNUMBER(C1519),C1519^3,"")</x:f>
      </x:c>
      <x:c r="F1519" s="15" t="str">
        <x:f>IF(ISNUMBER(C1519),C1519^4,"")</x:f>
      </x:c>
      <x:c r="G1519" s="7" t="str">
        <x:f>IF(ISNUMBER(B1519),ABS(B1519),"")</x:f>
      </x:c>
      <x:c r="H1519" s="7" t="str">
        <x:f>IF(ISNUMBER(B1519),B1519^2,"")</x:f>
      </x:c>
      <x:c r="I1519" s="7" t="str">
        <x:f>IF(AND(ISNUMBER(G1519),'요약'!$B$19),G1519-'요약'!$B$14,"")</x:f>
      </x:c>
      <x:c r="J1519" s="7" t="str">
        <x:f>IF(AND(ISNUMBER(H1519),'요약'!$B$19),H1519-'요약'!$B$15,"")</x:f>
      </x:c>
      <x:c r="K1519" t="str">
        <x:f>IF(ISNUMBER(B1519),IF('Hill'!$B$4=1,IF(B1519&lt;0,-B1519,""),IF('Hill'!$B$4=2,IF(B1519&gt;0,B1519,""),IF('Hill'!$B$4=3,IF(B1519&lt;&gt;0,ABS(B1519),""),""))),"")</x:f>
      </x:c>
    </x:row>
    <x:row r="1520">
      <x:c r="A1520" t="n">
        <x:f>1519</x:f>
        <x:v>1519</x:v>
      </x:c>
      <x:c r="B1520" s="7" t="str">
        <x:f>IF('요약'!$B$4=4,IF(ISNUMBER('input'!A1520),'input'!A1520,""),IF(1519&lt;=1000,CHOOSE('요약'!$B$4,'input'!B1520,'input'!C1520,'input'!D1520),""))</x:f>
      </x:c>
      <x:c r="C1520" s="7" t="str">
        <x:f>IF(AND(ISNUMBER(B1520),'요약'!$B$19),B1520-'요약'!$B$7,"")</x:f>
      </x:c>
      <x:c r="D1520" s="7" t="str">
        <x:f>IF(ISNUMBER(C1520),C1520^2,"")</x:f>
      </x:c>
      <x:c r="E1520" s="15" t="str">
        <x:f>IF(ISNUMBER(C1520),C1520^3,"")</x:f>
      </x:c>
      <x:c r="F1520" s="15" t="str">
        <x:f>IF(ISNUMBER(C1520),C1520^4,"")</x:f>
      </x:c>
      <x:c r="G1520" s="7" t="str">
        <x:f>IF(ISNUMBER(B1520),ABS(B1520),"")</x:f>
      </x:c>
      <x:c r="H1520" s="7" t="str">
        <x:f>IF(ISNUMBER(B1520),B1520^2,"")</x:f>
      </x:c>
      <x:c r="I1520" s="7" t="str">
        <x:f>IF(AND(ISNUMBER(G1520),'요약'!$B$19),G1520-'요약'!$B$14,"")</x:f>
      </x:c>
      <x:c r="J1520" s="7" t="str">
        <x:f>IF(AND(ISNUMBER(H1520),'요약'!$B$19),H1520-'요약'!$B$15,"")</x:f>
      </x:c>
      <x:c r="K1520" t="str">
        <x:f>IF(ISNUMBER(B1520),IF('Hill'!$B$4=1,IF(B1520&lt;0,-B1520,""),IF('Hill'!$B$4=2,IF(B1520&gt;0,B1520,""),IF('Hill'!$B$4=3,IF(B1520&lt;&gt;0,ABS(B1520),""),""))),"")</x:f>
      </x:c>
    </x:row>
    <x:row r="1521">
      <x:c r="A1521" t="n">
        <x:f>1520</x:f>
        <x:v>1520</x:v>
      </x:c>
      <x:c r="B1521" s="7" t="str">
        <x:f>IF('요약'!$B$4=4,IF(ISNUMBER('input'!A1521),'input'!A1521,""),IF(1520&lt;=1000,CHOOSE('요약'!$B$4,'input'!B1521,'input'!C1521,'input'!D1521),""))</x:f>
      </x:c>
      <x:c r="C1521" s="7" t="str">
        <x:f>IF(AND(ISNUMBER(B1521),'요약'!$B$19),B1521-'요약'!$B$7,"")</x:f>
      </x:c>
      <x:c r="D1521" s="7" t="str">
        <x:f>IF(ISNUMBER(C1521),C1521^2,"")</x:f>
      </x:c>
      <x:c r="E1521" s="15" t="str">
        <x:f>IF(ISNUMBER(C1521),C1521^3,"")</x:f>
      </x:c>
      <x:c r="F1521" s="15" t="str">
        <x:f>IF(ISNUMBER(C1521),C1521^4,"")</x:f>
      </x:c>
      <x:c r="G1521" s="7" t="str">
        <x:f>IF(ISNUMBER(B1521),ABS(B1521),"")</x:f>
      </x:c>
      <x:c r="H1521" s="7" t="str">
        <x:f>IF(ISNUMBER(B1521),B1521^2,"")</x:f>
      </x:c>
      <x:c r="I1521" s="7" t="str">
        <x:f>IF(AND(ISNUMBER(G1521),'요약'!$B$19),G1521-'요약'!$B$14,"")</x:f>
      </x:c>
      <x:c r="J1521" s="7" t="str">
        <x:f>IF(AND(ISNUMBER(H1521),'요약'!$B$19),H1521-'요약'!$B$15,"")</x:f>
      </x:c>
      <x:c r="K1521" t="str">
        <x:f>IF(ISNUMBER(B1521),IF('Hill'!$B$4=1,IF(B1521&lt;0,-B1521,""),IF('Hill'!$B$4=2,IF(B1521&gt;0,B1521,""),IF('Hill'!$B$4=3,IF(B1521&lt;&gt;0,ABS(B1521),""),""))),"")</x:f>
      </x:c>
    </x:row>
    <x:row r="1522">
      <x:c r="A1522" t="n">
        <x:f>1521</x:f>
        <x:v>1521</x:v>
      </x:c>
      <x:c r="B1522" s="7" t="str">
        <x:f>IF('요약'!$B$4=4,IF(ISNUMBER('input'!A1522),'input'!A1522,""),IF(1521&lt;=1000,CHOOSE('요약'!$B$4,'input'!B1522,'input'!C1522,'input'!D1522),""))</x:f>
      </x:c>
      <x:c r="C1522" s="7" t="str">
        <x:f>IF(AND(ISNUMBER(B1522),'요약'!$B$19),B1522-'요약'!$B$7,"")</x:f>
      </x:c>
      <x:c r="D1522" s="7" t="str">
        <x:f>IF(ISNUMBER(C1522),C1522^2,"")</x:f>
      </x:c>
      <x:c r="E1522" s="15" t="str">
        <x:f>IF(ISNUMBER(C1522),C1522^3,"")</x:f>
      </x:c>
      <x:c r="F1522" s="15" t="str">
        <x:f>IF(ISNUMBER(C1522),C1522^4,"")</x:f>
      </x:c>
      <x:c r="G1522" s="7" t="str">
        <x:f>IF(ISNUMBER(B1522),ABS(B1522),"")</x:f>
      </x:c>
      <x:c r="H1522" s="7" t="str">
        <x:f>IF(ISNUMBER(B1522),B1522^2,"")</x:f>
      </x:c>
      <x:c r="I1522" s="7" t="str">
        <x:f>IF(AND(ISNUMBER(G1522),'요약'!$B$19),G1522-'요약'!$B$14,"")</x:f>
      </x:c>
      <x:c r="J1522" s="7" t="str">
        <x:f>IF(AND(ISNUMBER(H1522),'요약'!$B$19),H1522-'요약'!$B$15,"")</x:f>
      </x:c>
      <x:c r="K1522" t="str">
        <x:f>IF(ISNUMBER(B1522),IF('Hill'!$B$4=1,IF(B1522&lt;0,-B1522,""),IF('Hill'!$B$4=2,IF(B1522&gt;0,B1522,""),IF('Hill'!$B$4=3,IF(B1522&lt;&gt;0,ABS(B1522),""),""))),"")</x:f>
      </x:c>
    </x:row>
    <x:row r="1523">
      <x:c r="A1523" t="n">
        <x:f>1522</x:f>
        <x:v>1522</x:v>
      </x:c>
      <x:c r="B1523" s="7" t="str">
        <x:f>IF('요약'!$B$4=4,IF(ISNUMBER('input'!A1523),'input'!A1523,""),IF(1522&lt;=1000,CHOOSE('요약'!$B$4,'input'!B1523,'input'!C1523,'input'!D1523),""))</x:f>
      </x:c>
      <x:c r="C1523" s="7" t="str">
        <x:f>IF(AND(ISNUMBER(B1523),'요약'!$B$19),B1523-'요약'!$B$7,"")</x:f>
      </x:c>
      <x:c r="D1523" s="7" t="str">
        <x:f>IF(ISNUMBER(C1523),C1523^2,"")</x:f>
      </x:c>
      <x:c r="E1523" s="15" t="str">
        <x:f>IF(ISNUMBER(C1523),C1523^3,"")</x:f>
      </x:c>
      <x:c r="F1523" s="15" t="str">
        <x:f>IF(ISNUMBER(C1523),C1523^4,"")</x:f>
      </x:c>
      <x:c r="G1523" s="7" t="str">
        <x:f>IF(ISNUMBER(B1523),ABS(B1523),"")</x:f>
      </x:c>
      <x:c r="H1523" s="7" t="str">
        <x:f>IF(ISNUMBER(B1523),B1523^2,"")</x:f>
      </x:c>
      <x:c r="I1523" s="7" t="str">
        <x:f>IF(AND(ISNUMBER(G1523),'요약'!$B$19),G1523-'요약'!$B$14,"")</x:f>
      </x:c>
      <x:c r="J1523" s="7" t="str">
        <x:f>IF(AND(ISNUMBER(H1523),'요약'!$B$19),H1523-'요약'!$B$15,"")</x:f>
      </x:c>
      <x:c r="K1523" t="str">
        <x:f>IF(ISNUMBER(B1523),IF('Hill'!$B$4=1,IF(B1523&lt;0,-B1523,""),IF('Hill'!$B$4=2,IF(B1523&gt;0,B1523,""),IF('Hill'!$B$4=3,IF(B1523&lt;&gt;0,ABS(B1523),""),""))),"")</x:f>
      </x:c>
    </x:row>
    <x:row r="1524">
      <x:c r="A1524" t="n">
        <x:f>1523</x:f>
        <x:v>1523</x:v>
      </x:c>
      <x:c r="B1524" s="7" t="str">
        <x:f>IF('요약'!$B$4=4,IF(ISNUMBER('input'!A1524),'input'!A1524,""),IF(1523&lt;=1000,CHOOSE('요약'!$B$4,'input'!B1524,'input'!C1524,'input'!D1524),""))</x:f>
      </x:c>
      <x:c r="C1524" s="7" t="str">
        <x:f>IF(AND(ISNUMBER(B1524),'요약'!$B$19),B1524-'요약'!$B$7,"")</x:f>
      </x:c>
      <x:c r="D1524" s="7" t="str">
        <x:f>IF(ISNUMBER(C1524),C1524^2,"")</x:f>
      </x:c>
      <x:c r="E1524" s="15" t="str">
        <x:f>IF(ISNUMBER(C1524),C1524^3,"")</x:f>
      </x:c>
      <x:c r="F1524" s="15" t="str">
        <x:f>IF(ISNUMBER(C1524),C1524^4,"")</x:f>
      </x:c>
      <x:c r="G1524" s="7" t="str">
        <x:f>IF(ISNUMBER(B1524),ABS(B1524),"")</x:f>
      </x:c>
      <x:c r="H1524" s="7" t="str">
        <x:f>IF(ISNUMBER(B1524),B1524^2,"")</x:f>
      </x:c>
      <x:c r="I1524" s="7" t="str">
        <x:f>IF(AND(ISNUMBER(G1524),'요약'!$B$19),G1524-'요약'!$B$14,"")</x:f>
      </x:c>
      <x:c r="J1524" s="7" t="str">
        <x:f>IF(AND(ISNUMBER(H1524),'요약'!$B$19),H1524-'요약'!$B$15,"")</x:f>
      </x:c>
      <x:c r="K1524" t="str">
        <x:f>IF(ISNUMBER(B1524),IF('Hill'!$B$4=1,IF(B1524&lt;0,-B1524,""),IF('Hill'!$B$4=2,IF(B1524&gt;0,B1524,""),IF('Hill'!$B$4=3,IF(B1524&lt;&gt;0,ABS(B1524),""),""))),"")</x:f>
      </x:c>
    </x:row>
    <x:row r="1525">
      <x:c r="A1525" t="n">
        <x:f>1524</x:f>
        <x:v>1524</x:v>
      </x:c>
      <x:c r="B1525" s="7" t="str">
        <x:f>IF('요약'!$B$4=4,IF(ISNUMBER('input'!A1525),'input'!A1525,""),IF(1524&lt;=1000,CHOOSE('요약'!$B$4,'input'!B1525,'input'!C1525,'input'!D1525),""))</x:f>
      </x:c>
      <x:c r="C1525" s="7" t="str">
        <x:f>IF(AND(ISNUMBER(B1525),'요약'!$B$19),B1525-'요약'!$B$7,"")</x:f>
      </x:c>
      <x:c r="D1525" s="7" t="str">
        <x:f>IF(ISNUMBER(C1525),C1525^2,"")</x:f>
      </x:c>
      <x:c r="E1525" s="15" t="str">
        <x:f>IF(ISNUMBER(C1525),C1525^3,"")</x:f>
      </x:c>
      <x:c r="F1525" s="15" t="str">
        <x:f>IF(ISNUMBER(C1525),C1525^4,"")</x:f>
      </x:c>
      <x:c r="G1525" s="7" t="str">
        <x:f>IF(ISNUMBER(B1525),ABS(B1525),"")</x:f>
      </x:c>
      <x:c r="H1525" s="7" t="str">
        <x:f>IF(ISNUMBER(B1525),B1525^2,"")</x:f>
      </x:c>
      <x:c r="I1525" s="7" t="str">
        <x:f>IF(AND(ISNUMBER(G1525),'요약'!$B$19),G1525-'요약'!$B$14,"")</x:f>
      </x:c>
      <x:c r="J1525" s="7" t="str">
        <x:f>IF(AND(ISNUMBER(H1525),'요약'!$B$19),H1525-'요약'!$B$15,"")</x:f>
      </x:c>
      <x:c r="K1525" t="str">
        <x:f>IF(ISNUMBER(B1525),IF('Hill'!$B$4=1,IF(B1525&lt;0,-B1525,""),IF('Hill'!$B$4=2,IF(B1525&gt;0,B1525,""),IF('Hill'!$B$4=3,IF(B1525&lt;&gt;0,ABS(B1525),""),""))),"")</x:f>
      </x:c>
    </x:row>
    <x:row r="1526">
      <x:c r="A1526" t="n">
        <x:f>1525</x:f>
        <x:v>1525</x:v>
      </x:c>
      <x:c r="B1526" s="7" t="str">
        <x:f>IF('요약'!$B$4=4,IF(ISNUMBER('input'!A1526),'input'!A1526,""),IF(1525&lt;=1000,CHOOSE('요약'!$B$4,'input'!B1526,'input'!C1526,'input'!D1526),""))</x:f>
      </x:c>
      <x:c r="C1526" s="7" t="str">
        <x:f>IF(AND(ISNUMBER(B1526),'요약'!$B$19),B1526-'요약'!$B$7,"")</x:f>
      </x:c>
      <x:c r="D1526" s="7" t="str">
        <x:f>IF(ISNUMBER(C1526),C1526^2,"")</x:f>
      </x:c>
      <x:c r="E1526" s="15" t="str">
        <x:f>IF(ISNUMBER(C1526),C1526^3,"")</x:f>
      </x:c>
      <x:c r="F1526" s="15" t="str">
        <x:f>IF(ISNUMBER(C1526),C1526^4,"")</x:f>
      </x:c>
      <x:c r="G1526" s="7" t="str">
        <x:f>IF(ISNUMBER(B1526),ABS(B1526),"")</x:f>
      </x:c>
      <x:c r="H1526" s="7" t="str">
        <x:f>IF(ISNUMBER(B1526),B1526^2,"")</x:f>
      </x:c>
      <x:c r="I1526" s="7" t="str">
        <x:f>IF(AND(ISNUMBER(G1526),'요약'!$B$19),G1526-'요약'!$B$14,"")</x:f>
      </x:c>
      <x:c r="J1526" s="7" t="str">
        <x:f>IF(AND(ISNUMBER(H1526),'요약'!$B$19),H1526-'요약'!$B$15,"")</x:f>
      </x:c>
      <x:c r="K1526" t="str">
        <x:f>IF(ISNUMBER(B1526),IF('Hill'!$B$4=1,IF(B1526&lt;0,-B1526,""),IF('Hill'!$B$4=2,IF(B1526&gt;0,B1526,""),IF('Hill'!$B$4=3,IF(B1526&lt;&gt;0,ABS(B1526),""),""))),"")</x:f>
      </x:c>
    </x:row>
    <x:row r="1527">
      <x:c r="A1527" t="n">
        <x:f>1526</x:f>
        <x:v>1526</x:v>
      </x:c>
      <x:c r="B1527" s="7" t="str">
        <x:f>IF('요약'!$B$4=4,IF(ISNUMBER('input'!A1527),'input'!A1527,""),IF(1526&lt;=1000,CHOOSE('요약'!$B$4,'input'!B1527,'input'!C1527,'input'!D1527),""))</x:f>
      </x:c>
      <x:c r="C1527" s="7" t="str">
        <x:f>IF(AND(ISNUMBER(B1527),'요약'!$B$19),B1527-'요약'!$B$7,"")</x:f>
      </x:c>
      <x:c r="D1527" s="7" t="str">
        <x:f>IF(ISNUMBER(C1527),C1527^2,"")</x:f>
      </x:c>
      <x:c r="E1527" s="15" t="str">
        <x:f>IF(ISNUMBER(C1527),C1527^3,"")</x:f>
      </x:c>
      <x:c r="F1527" s="15" t="str">
        <x:f>IF(ISNUMBER(C1527),C1527^4,"")</x:f>
      </x:c>
      <x:c r="G1527" s="7" t="str">
        <x:f>IF(ISNUMBER(B1527),ABS(B1527),"")</x:f>
      </x:c>
      <x:c r="H1527" s="7" t="str">
        <x:f>IF(ISNUMBER(B1527),B1527^2,"")</x:f>
      </x:c>
      <x:c r="I1527" s="7" t="str">
        <x:f>IF(AND(ISNUMBER(G1527),'요약'!$B$19),G1527-'요약'!$B$14,"")</x:f>
      </x:c>
      <x:c r="J1527" s="7" t="str">
        <x:f>IF(AND(ISNUMBER(H1527),'요약'!$B$19),H1527-'요약'!$B$15,"")</x:f>
      </x:c>
      <x:c r="K1527" t="str">
        <x:f>IF(ISNUMBER(B1527),IF('Hill'!$B$4=1,IF(B1527&lt;0,-B1527,""),IF('Hill'!$B$4=2,IF(B1527&gt;0,B1527,""),IF('Hill'!$B$4=3,IF(B1527&lt;&gt;0,ABS(B1527),""),""))),"")</x:f>
      </x:c>
    </x:row>
    <x:row r="1528">
      <x:c r="A1528" t="n">
        <x:f>1527</x:f>
        <x:v>1527</x:v>
      </x:c>
      <x:c r="B1528" s="7" t="str">
        <x:f>IF('요약'!$B$4=4,IF(ISNUMBER('input'!A1528),'input'!A1528,""),IF(1527&lt;=1000,CHOOSE('요약'!$B$4,'input'!B1528,'input'!C1528,'input'!D1528),""))</x:f>
      </x:c>
      <x:c r="C1528" s="7" t="str">
        <x:f>IF(AND(ISNUMBER(B1528),'요약'!$B$19),B1528-'요약'!$B$7,"")</x:f>
      </x:c>
      <x:c r="D1528" s="7" t="str">
        <x:f>IF(ISNUMBER(C1528),C1528^2,"")</x:f>
      </x:c>
      <x:c r="E1528" s="15" t="str">
        <x:f>IF(ISNUMBER(C1528),C1528^3,"")</x:f>
      </x:c>
      <x:c r="F1528" s="15" t="str">
        <x:f>IF(ISNUMBER(C1528),C1528^4,"")</x:f>
      </x:c>
      <x:c r="G1528" s="7" t="str">
        <x:f>IF(ISNUMBER(B1528),ABS(B1528),"")</x:f>
      </x:c>
      <x:c r="H1528" s="7" t="str">
        <x:f>IF(ISNUMBER(B1528),B1528^2,"")</x:f>
      </x:c>
      <x:c r="I1528" s="7" t="str">
        <x:f>IF(AND(ISNUMBER(G1528),'요약'!$B$19),G1528-'요약'!$B$14,"")</x:f>
      </x:c>
      <x:c r="J1528" s="7" t="str">
        <x:f>IF(AND(ISNUMBER(H1528),'요약'!$B$19),H1528-'요약'!$B$15,"")</x:f>
      </x:c>
      <x:c r="K1528" t="str">
        <x:f>IF(ISNUMBER(B1528),IF('Hill'!$B$4=1,IF(B1528&lt;0,-B1528,""),IF('Hill'!$B$4=2,IF(B1528&gt;0,B1528,""),IF('Hill'!$B$4=3,IF(B1528&lt;&gt;0,ABS(B1528),""),""))),"")</x:f>
      </x:c>
    </x:row>
    <x:row r="1529">
      <x:c r="A1529" t="n">
        <x:f>1528</x:f>
        <x:v>1528</x:v>
      </x:c>
      <x:c r="B1529" s="7" t="str">
        <x:f>IF('요약'!$B$4=4,IF(ISNUMBER('input'!A1529),'input'!A1529,""),IF(1528&lt;=1000,CHOOSE('요약'!$B$4,'input'!B1529,'input'!C1529,'input'!D1529),""))</x:f>
      </x:c>
      <x:c r="C1529" s="7" t="str">
        <x:f>IF(AND(ISNUMBER(B1529),'요약'!$B$19),B1529-'요약'!$B$7,"")</x:f>
      </x:c>
      <x:c r="D1529" s="7" t="str">
        <x:f>IF(ISNUMBER(C1529),C1529^2,"")</x:f>
      </x:c>
      <x:c r="E1529" s="15" t="str">
        <x:f>IF(ISNUMBER(C1529),C1529^3,"")</x:f>
      </x:c>
      <x:c r="F1529" s="15" t="str">
        <x:f>IF(ISNUMBER(C1529),C1529^4,"")</x:f>
      </x:c>
      <x:c r="G1529" s="7" t="str">
        <x:f>IF(ISNUMBER(B1529),ABS(B1529),"")</x:f>
      </x:c>
      <x:c r="H1529" s="7" t="str">
        <x:f>IF(ISNUMBER(B1529),B1529^2,"")</x:f>
      </x:c>
      <x:c r="I1529" s="7" t="str">
        <x:f>IF(AND(ISNUMBER(G1529),'요약'!$B$19),G1529-'요약'!$B$14,"")</x:f>
      </x:c>
      <x:c r="J1529" s="7" t="str">
        <x:f>IF(AND(ISNUMBER(H1529),'요약'!$B$19),H1529-'요약'!$B$15,"")</x:f>
      </x:c>
      <x:c r="K1529" t="str">
        <x:f>IF(ISNUMBER(B1529),IF('Hill'!$B$4=1,IF(B1529&lt;0,-B1529,""),IF('Hill'!$B$4=2,IF(B1529&gt;0,B1529,""),IF('Hill'!$B$4=3,IF(B1529&lt;&gt;0,ABS(B1529),""),""))),"")</x:f>
      </x:c>
    </x:row>
    <x:row r="1530">
      <x:c r="A1530" t="n">
        <x:f>1529</x:f>
        <x:v>1529</x:v>
      </x:c>
      <x:c r="B1530" s="7" t="str">
        <x:f>IF('요약'!$B$4=4,IF(ISNUMBER('input'!A1530),'input'!A1530,""),IF(1529&lt;=1000,CHOOSE('요약'!$B$4,'input'!B1530,'input'!C1530,'input'!D1530),""))</x:f>
      </x:c>
      <x:c r="C1530" s="7" t="str">
        <x:f>IF(AND(ISNUMBER(B1530),'요약'!$B$19),B1530-'요약'!$B$7,"")</x:f>
      </x:c>
      <x:c r="D1530" s="7" t="str">
        <x:f>IF(ISNUMBER(C1530),C1530^2,"")</x:f>
      </x:c>
      <x:c r="E1530" s="15" t="str">
        <x:f>IF(ISNUMBER(C1530),C1530^3,"")</x:f>
      </x:c>
      <x:c r="F1530" s="15" t="str">
        <x:f>IF(ISNUMBER(C1530),C1530^4,"")</x:f>
      </x:c>
      <x:c r="G1530" s="7" t="str">
        <x:f>IF(ISNUMBER(B1530),ABS(B1530),"")</x:f>
      </x:c>
      <x:c r="H1530" s="7" t="str">
        <x:f>IF(ISNUMBER(B1530),B1530^2,"")</x:f>
      </x:c>
      <x:c r="I1530" s="7" t="str">
        <x:f>IF(AND(ISNUMBER(G1530),'요약'!$B$19),G1530-'요약'!$B$14,"")</x:f>
      </x:c>
      <x:c r="J1530" s="7" t="str">
        <x:f>IF(AND(ISNUMBER(H1530),'요약'!$B$19),H1530-'요약'!$B$15,"")</x:f>
      </x:c>
      <x:c r="K1530" t="str">
        <x:f>IF(ISNUMBER(B1530),IF('Hill'!$B$4=1,IF(B1530&lt;0,-B1530,""),IF('Hill'!$B$4=2,IF(B1530&gt;0,B1530,""),IF('Hill'!$B$4=3,IF(B1530&lt;&gt;0,ABS(B1530),""),""))),"")</x:f>
      </x:c>
    </x:row>
    <x:row r="1531">
      <x:c r="A1531" t="n">
        <x:f>1530</x:f>
        <x:v>1530</x:v>
      </x:c>
      <x:c r="B1531" s="7" t="str">
        <x:f>IF('요약'!$B$4=4,IF(ISNUMBER('input'!A1531),'input'!A1531,""),IF(1530&lt;=1000,CHOOSE('요약'!$B$4,'input'!B1531,'input'!C1531,'input'!D1531),""))</x:f>
      </x:c>
      <x:c r="C1531" s="7" t="str">
        <x:f>IF(AND(ISNUMBER(B1531),'요약'!$B$19),B1531-'요약'!$B$7,"")</x:f>
      </x:c>
      <x:c r="D1531" s="7" t="str">
        <x:f>IF(ISNUMBER(C1531),C1531^2,"")</x:f>
      </x:c>
      <x:c r="E1531" s="15" t="str">
        <x:f>IF(ISNUMBER(C1531),C1531^3,"")</x:f>
      </x:c>
      <x:c r="F1531" s="15" t="str">
        <x:f>IF(ISNUMBER(C1531),C1531^4,"")</x:f>
      </x:c>
      <x:c r="G1531" s="7" t="str">
        <x:f>IF(ISNUMBER(B1531),ABS(B1531),"")</x:f>
      </x:c>
      <x:c r="H1531" s="7" t="str">
        <x:f>IF(ISNUMBER(B1531),B1531^2,"")</x:f>
      </x:c>
      <x:c r="I1531" s="7" t="str">
        <x:f>IF(AND(ISNUMBER(G1531),'요약'!$B$19),G1531-'요약'!$B$14,"")</x:f>
      </x:c>
      <x:c r="J1531" s="7" t="str">
        <x:f>IF(AND(ISNUMBER(H1531),'요약'!$B$19),H1531-'요약'!$B$15,"")</x:f>
      </x:c>
      <x:c r="K1531" t="str">
        <x:f>IF(ISNUMBER(B1531),IF('Hill'!$B$4=1,IF(B1531&lt;0,-B1531,""),IF('Hill'!$B$4=2,IF(B1531&gt;0,B1531,""),IF('Hill'!$B$4=3,IF(B1531&lt;&gt;0,ABS(B1531),""),""))),"")</x:f>
      </x:c>
    </x:row>
    <x:row r="1532">
      <x:c r="A1532" t="n">
        <x:f>1531</x:f>
        <x:v>1531</x:v>
      </x:c>
      <x:c r="B1532" s="7" t="str">
        <x:f>IF('요약'!$B$4=4,IF(ISNUMBER('input'!A1532),'input'!A1532,""),IF(1531&lt;=1000,CHOOSE('요약'!$B$4,'input'!B1532,'input'!C1532,'input'!D1532),""))</x:f>
      </x:c>
      <x:c r="C1532" s="7" t="str">
        <x:f>IF(AND(ISNUMBER(B1532),'요약'!$B$19),B1532-'요약'!$B$7,"")</x:f>
      </x:c>
      <x:c r="D1532" s="7" t="str">
        <x:f>IF(ISNUMBER(C1532),C1532^2,"")</x:f>
      </x:c>
      <x:c r="E1532" s="15" t="str">
        <x:f>IF(ISNUMBER(C1532),C1532^3,"")</x:f>
      </x:c>
      <x:c r="F1532" s="15" t="str">
        <x:f>IF(ISNUMBER(C1532),C1532^4,"")</x:f>
      </x:c>
      <x:c r="G1532" s="7" t="str">
        <x:f>IF(ISNUMBER(B1532),ABS(B1532),"")</x:f>
      </x:c>
      <x:c r="H1532" s="7" t="str">
        <x:f>IF(ISNUMBER(B1532),B1532^2,"")</x:f>
      </x:c>
      <x:c r="I1532" s="7" t="str">
        <x:f>IF(AND(ISNUMBER(G1532),'요약'!$B$19),G1532-'요약'!$B$14,"")</x:f>
      </x:c>
      <x:c r="J1532" s="7" t="str">
        <x:f>IF(AND(ISNUMBER(H1532),'요약'!$B$19),H1532-'요약'!$B$15,"")</x:f>
      </x:c>
      <x:c r="K1532" t="str">
        <x:f>IF(ISNUMBER(B1532),IF('Hill'!$B$4=1,IF(B1532&lt;0,-B1532,""),IF('Hill'!$B$4=2,IF(B1532&gt;0,B1532,""),IF('Hill'!$B$4=3,IF(B1532&lt;&gt;0,ABS(B1532),""),""))),"")</x:f>
      </x:c>
    </x:row>
    <x:row r="1533">
      <x:c r="A1533" t="n">
        <x:f>1532</x:f>
        <x:v>1532</x:v>
      </x:c>
      <x:c r="B1533" s="7" t="str">
        <x:f>IF('요약'!$B$4=4,IF(ISNUMBER('input'!A1533),'input'!A1533,""),IF(1532&lt;=1000,CHOOSE('요약'!$B$4,'input'!B1533,'input'!C1533,'input'!D1533),""))</x:f>
      </x:c>
      <x:c r="C1533" s="7" t="str">
        <x:f>IF(AND(ISNUMBER(B1533),'요약'!$B$19),B1533-'요약'!$B$7,"")</x:f>
      </x:c>
      <x:c r="D1533" s="7" t="str">
        <x:f>IF(ISNUMBER(C1533),C1533^2,"")</x:f>
      </x:c>
      <x:c r="E1533" s="15" t="str">
        <x:f>IF(ISNUMBER(C1533),C1533^3,"")</x:f>
      </x:c>
      <x:c r="F1533" s="15" t="str">
        <x:f>IF(ISNUMBER(C1533),C1533^4,"")</x:f>
      </x:c>
      <x:c r="G1533" s="7" t="str">
        <x:f>IF(ISNUMBER(B1533),ABS(B1533),"")</x:f>
      </x:c>
      <x:c r="H1533" s="7" t="str">
        <x:f>IF(ISNUMBER(B1533),B1533^2,"")</x:f>
      </x:c>
      <x:c r="I1533" s="7" t="str">
        <x:f>IF(AND(ISNUMBER(G1533),'요약'!$B$19),G1533-'요약'!$B$14,"")</x:f>
      </x:c>
      <x:c r="J1533" s="7" t="str">
        <x:f>IF(AND(ISNUMBER(H1533),'요약'!$B$19),H1533-'요약'!$B$15,"")</x:f>
      </x:c>
      <x:c r="K1533" t="str">
        <x:f>IF(ISNUMBER(B1533),IF('Hill'!$B$4=1,IF(B1533&lt;0,-B1533,""),IF('Hill'!$B$4=2,IF(B1533&gt;0,B1533,""),IF('Hill'!$B$4=3,IF(B1533&lt;&gt;0,ABS(B1533),""),""))),"")</x:f>
      </x:c>
    </x:row>
    <x:row r="1534">
      <x:c r="A1534" t="n">
        <x:f>1533</x:f>
        <x:v>1533</x:v>
      </x:c>
      <x:c r="B1534" s="7" t="str">
        <x:f>IF('요약'!$B$4=4,IF(ISNUMBER('input'!A1534),'input'!A1534,""),IF(1533&lt;=1000,CHOOSE('요약'!$B$4,'input'!B1534,'input'!C1534,'input'!D1534),""))</x:f>
      </x:c>
      <x:c r="C1534" s="7" t="str">
        <x:f>IF(AND(ISNUMBER(B1534),'요약'!$B$19),B1534-'요약'!$B$7,"")</x:f>
      </x:c>
      <x:c r="D1534" s="7" t="str">
        <x:f>IF(ISNUMBER(C1534),C1534^2,"")</x:f>
      </x:c>
      <x:c r="E1534" s="15" t="str">
        <x:f>IF(ISNUMBER(C1534),C1534^3,"")</x:f>
      </x:c>
      <x:c r="F1534" s="15" t="str">
        <x:f>IF(ISNUMBER(C1534),C1534^4,"")</x:f>
      </x:c>
      <x:c r="G1534" s="7" t="str">
        <x:f>IF(ISNUMBER(B1534),ABS(B1534),"")</x:f>
      </x:c>
      <x:c r="H1534" s="7" t="str">
        <x:f>IF(ISNUMBER(B1534),B1534^2,"")</x:f>
      </x:c>
      <x:c r="I1534" s="7" t="str">
        <x:f>IF(AND(ISNUMBER(G1534),'요약'!$B$19),G1534-'요약'!$B$14,"")</x:f>
      </x:c>
      <x:c r="J1534" s="7" t="str">
        <x:f>IF(AND(ISNUMBER(H1534),'요약'!$B$19),H1534-'요약'!$B$15,"")</x:f>
      </x:c>
      <x:c r="K1534" t="str">
        <x:f>IF(ISNUMBER(B1534),IF('Hill'!$B$4=1,IF(B1534&lt;0,-B1534,""),IF('Hill'!$B$4=2,IF(B1534&gt;0,B1534,""),IF('Hill'!$B$4=3,IF(B1534&lt;&gt;0,ABS(B1534),""),""))),"")</x:f>
      </x:c>
    </x:row>
    <x:row r="1535">
      <x:c r="A1535" t="n">
        <x:f>1534</x:f>
        <x:v>1534</x:v>
      </x:c>
      <x:c r="B1535" s="7" t="str">
        <x:f>IF('요약'!$B$4=4,IF(ISNUMBER('input'!A1535),'input'!A1535,""),IF(1534&lt;=1000,CHOOSE('요약'!$B$4,'input'!B1535,'input'!C1535,'input'!D1535),""))</x:f>
      </x:c>
      <x:c r="C1535" s="7" t="str">
        <x:f>IF(AND(ISNUMBER(B1535),'요약'!$B$19),B1535-'요약'!$B$7,"")</x:f>
      </x:c>
      <x:c r="D1535" s="7" t="str">
        <x:f>IF(ISNUMBER(C1535),C1535^2,"")</x:f>
      </x:c>
      <x:c r="E1535" s="15" t="str">
        <x:f>IF(ISNUMBER(C1535),C1535^3,"")</x:f>
      </x:c>
      <x:c r="F1535" s="15" t="str">
        <x:f>IF(ISNUMBER(C1535),C1535^4,"")</x:f>
      </x:c>
      <x:c r="G1535" s="7" t="str">
        <x:f>IF(ISNUMBER(B1535),ABS(B1535),"")</x:f>
      </x:c>
      <x:c r="H1535" s="7" t="str">
        <x:f>IF(ISNUMBER(B1535),B1535^2,"")</x:f>
      </x:c>
      <x:c r="I1535" s="7" t="str">
        <x:f>IF(AND(ISNUMBER(G1535),'요약'!$B$19),G1535-'요약'!$B$14,"")</x:f>
      </x:c>
      <x:c r="J1535" s="7" t="str">
        <x:f>IF(AND(ISNUMBER(H1535),'요약'!$B$19),H1535-'요약'!$B$15,"")</x:f>
      </x:c>
      <x:c r="K1535" t="str">
        <x:f>IF(ISNUMBER(B1535),IF('Hill'!$B$4=1,IF(B1535&lt;0,-B1535,""),IF('Hill'!$B$4=2,IF(B1535&gt;0,B1535,""),IF('Hill'!$B$4=3,IF(B1535&lt;&gt;0,ABS(B1535),""),""))),"")</x:f>
      </x:c>
    </x:row>
    <x:row r="1536">
      <x:c r="A1536" t="n">
        <x:f>1535</x:f>
        <x:v>1535</x:v>
      </x:c>
      <x:c r="B1536" s="7" t="str">
        <x:f>IF('요약'!$B$4=4,IF(ISNUMBER('input'!A1536),'input'!A1536,""),IF(1535&lt;=1000,CHOOSE('요약'!$B$4,'input'!B1536,'input'!C1536,'input'!D1536),""))</x:f>
      </x:c>
      <x:c r="C1536" s="7" t="str">
        <x:f>IF(AND(ISNUMBER(B1536),'요약'!$B$19),B1536-'요약'!$B$7,"")</x:f>
      </x:c>
      <x:c r="D1536" s="7" t="str">
        <x:f>IF(ISNUMBER(C1536),C1536^2,"")</x:f>
      </x:c>
      <x:c r="E1536" s="15" t="str">
        <x:f>IF(ISNUMBER(C1536),C1536^3,"")</x:f>
      </x:c>
      <x:c r="F1536" s="15" t="str">
        <x:f>IF(ISNUMBER(C1536),C1536^4,"")</x:f>
      </x:c>
      <x:c r="G1536" s="7" t="str">
        <x:f>IF(ISNUMBER(B1536),ABS(B1536),"")</x:f>
      </x:c>
      <x:c r="H1536" s="7" t="str">
        <x:f>IF(ISNUMBER(B1536),B1536^2,"")</x:f>
      </x:c>
      <x:c r="I1536" s="7" t="str">
        <x:f>IF(AND(ISNUMBER(G1536),'요약'!$B$19),G1536-'요약'!$B$14,"")</x:f>
      </x:c>
      <x:c r="J1536" s="7" t="str">
        <x:f>IF(AND(ISNUMBER(H1536),'요약'!$B$19),H1536-'요약'!$B$15,"")</x:f>
      </x:c>
      <x:c r="K1536" t="str">
        <x:f>IF(ISNUMBER(B1536),IF('Hill'!$B$4=1,IF(B1536&lt;0,-B1536,""),IF('Hill'!$B$4=2,IF(B1536&gt;0,B1536,""),IF('Hill'!$B$4=3,IF(B1536&lt;&gt;0,ABS(B1536),""),""))),"")</x:f>
      </x:c>
    </x:row>
    <x:row r="1537">
      <x:c r="A1537" t="n">
        <x:f>1536</x:f>
        <x:v>1536</x:v>
      </x:c>
      <x:c r="B1537" s="7" t="str">
        <x:f>IF('요약'!$B$4=4,IF(ISNUMBER('input'!A1537),'input'!A1537,""),IF(1536&lt;=1000,CHOOSE('요약'!$B$4,'input'!B1537,'input'!C1537,'input'!D1537),""))</x:f>
      </x:c>
      <x:c r="C1537" s="7" t="str">
        <x:f>IF(AND(ISNUMBER(B1537),'요약'!$B$19),B1537-'요약'!$B$7,"")</x:f>
      </x:c>
      <x:c r="D1537" s="7" t="str">
        <x:f>IF(ISNUMBER(C1537),C1537^2,"")</x:f>
      </x:c>
      <x:c r="E1537" s="15" t="str">
        <x:f>IF(ISNUMBER(C1537),C1537^3,"")</x:f>
      </x:c>
      <x:c r="F1537" s="15" t="str">
        <x:f>IF(ISNUMBER(C1537),C1537^4,"")</x:f>
      </x:c>
      <x:c r="G1537" s="7" t="str">
        <x:f>IF(ISNUMBER(B1537),ABS(B1537),"")</x:f>
      </x:c>
      <x:c r="H1537" s="7" t="str">
        <x:f>IF(ISNUMBER(B1537),B1537^2,"")</x:f>
      </x:c>
      <x:c r="I1537" s="7" t="str">
        <x:f>IF(AND(ISNUMBER(G1537),'요약'!$B$19),G1537-'요약'!$B$14,"")</x:f>
      </x:c>
      <x:c r="J1537" s="7" t="str">
        <x:f>IF(AND(ISNUMBER(H1537),'요약'!$B$19),H1537-'요약'!$B$15,"")</x:f>
      </x:c>
      <x:c r="K1537" t="str">
        <x:f>IF(ISNUMBER(B1537),IF('Hill'!$B$4=1,IF(B1537&lt;0,-B1537,""),IF('Hill'!$B$4=2,IF(B1537&gt;0,B1537,""),IF('Hill'!$B$4=3,IF(B1537&lt;&gt;0,ABS(B1537),""),""))),"")</x:f>
      </x:c>
    </x:row>
    <x:row r="1538">
      <x:c r="A1538" t="n">
        <x:f>1537</x:f>
        <x:v>1537</x:v>
      </x:c>
      <x:c r="B1538" s="7" t="str">
        <x:f>IF('요약'!$B$4=4,IF(ISNUMBER('input'!A1538),'input'!A1538,""),IF(1537&lt;=1000,CHOOSE('요약'!$B$4,'input'!B1538,'input'!C1538,'input'!D1538),""))</x:f>
      </x:c>
      <x:c r="C1538" s="7" t="str">
        <x:f>IF(AND(ISNUMBER(B1538),'요약'!$B$19),B1538-'요약'!$B$7,"")</x:f>
      </x:c>
      <x:c r="D1538" s="7" t="str">
        <x:f>IF(ISNUMBER(C1538),C1538^2,"")</x:f>
      </x:c>
      <x:c r="E1538" s="15" t="str">
        <x:f>IF(ISNUMBER(C1538),C1538^3,"")</x:f>
      </x:c>
      <x:c r="F1538" s="15" t="str">
        <x:f>IF(ISNUMBER(C1538),C1538^4,"")</x:f>
      </x:c>
      <x:c r="G1538" s="7" t="str">
        <x:f>IF(ISNUMBER(B1538),ABS(B1538),"")</x:f>
      </x:c>
      <x:c r="H1538" s="7" t="str">
        <x:f>IF(ISNUMBER(B1538),B1538^2,"")</x:f>
      </x:c>
      <x:c r="I1538" s="7" t="str">
        <x:f>IF(AND(ISNUMBER(G1538),'요약'!$B$19),G1538-'요약'!$B$14,"")</x:f>
      </x:c>
      <x:c r="J1538" s="7" t="str">
        <x:f>IF(AND(ISNUMBER(H1538),'요약'!$B$19),H1538-'요약'!$B$15,"")</x:f>
      </x:c>
      <x:c r="K1538" t="str">
        <x:f>IF(ISNUMBER(B1538),IF('Hill'!$B$4=1,IF(B1538&lt;0,-B1538,""),IF('Hill'!$B$4=2,IF(B1538&gt;0,B1538,""),IF('Hill'!$B$4=3,IF(B1538&lt;&gt;0,ABS(B1538),""),""))),"")</x:f>
      </x:c>
    </x:row>
    <x:row r="1539">
      <x:c r="A1539" t="n">
        <x:f>1538</x:f>
        <x:v>1538</x:v>
      </x:c>
      <x:c r="B1539" s="7" t="str">
        <x:f>IF('요약'!$B$4=4,IF(ISNUMBER('input'!A1539),'input'!A1539,""),IF(1538&lt;=1000,CHOOSE('요약'!$B$4,'input'!B1539,'input'!C1539,'input'!D1539),""))</x:f>
      </x:c>
      <x:c r="C1539" s="7" t="str">
        <x:f>IF(AND(ISNUMBER(B1539),'요약'!$B$19),B1539-'요약'!$B$7,"")</x:f>
      </x:c>
      <x:c r="D1539" s="7" t="str">
        <x:f>IF(ISNUMBER(C1539),C1539^2,"")</x:f>
      </x:c>
      <x:c r="E1539" s="15" t="str">
        <x:f>IF(ISNUMBER(C1539),C1539^3,"")</x:f>
      </x:c>
      <x:c r="F1539" s="15" t="str">
        <x:f>IF(ISNUMBER(C1539),C1539^4,"")</x:f>
      </x:c>
      <x:c r="G1539" s="7" t="str">
        <x:f>IF(ISNUMBER(B1539),ABS(B1539),"")</x:f>
      </x:c>
      <x:c r="H1539" s="7" t="str">
        <x:f>IF(ISNUMBER(B1539),B1539^2,"")</x:f>
      </x:c>
      <x:c r="I1539" s="7" t="str">
        <x:f>IF(AND(ISNUMBER(G1539),'요약'!$B$19),G1539-'요약'!$B$14,"")</x:f>
      </x:c>
      <x:c r="J1539" s="7" t="str">
        <x:f>IF(AND(ISNUMBER(H1539),'요약'!$B$19),H1539-'요약'!$B$15,"")</x:f>
      </x:c>
      <x:c r="K1539" t="str">
        <x:f>IF(ISNUMBER(B1539),IF('Hill'!$B$4=1,IF(B1539&lt;0,-B1539,""),IF('Hill'!$B$4=2,IF(B1539&gt;0,B1539,""),IF('Hill'!$B$4=3,IF(B1539&lt;&gt;0,ABS(B1539),""),""))),"")</x:f>
      </x:c>
    </x:row>
    <x:row r="1540">
      <x:c r="A1540" t="n">
        <x:f>1539</x:f>
        <x:v>1539</x:v>
      </x:c>
      <x:c r="B1540" s="7" t="str">
        <x:f>IF('요약'!$B$4=4,IF(ISNUMBER('input'!A1540),'input'!A1540,""),IF(1539&lt;=1000,CHOOSE('요약'!$B$4,'input'!B1540,'input'!C1540,'input'!D1540),""))</x:f>
      </x:c>
      <x:c r="C1540" s="7" t="str">
        <x:f>IF(AND(ISNUMBER(B1540),'요약'!$B$19),B1540-'요약'!$B$7,"")</x:f>
      </x:c>
      <x:c r="D1540" s="7" t="str">
        <x:f>IF(ISNUMBER(C1540),C1540^2,"")</x:f>
      </x:c>
      <x:c r="E1540" s="15" t="str">
        <x:f>IF(ISNUMBER(C1540),C1540^3,"")</x:f>
      </x:c>
      <x:c r="F1540" s="15" t="str">
        <x:f>IF(ISNUMBER(C1540),C1540^4,"")</x:f>
      </x:c>
      <x:c r="G1540" s="7" t="str">
        <x:f>IF(ISNUMBER(B1540),ABS(B1540),"")</x:f>
      </x:c>
      <x:c r="H1540" s="7" t="str">
        <x:f>IF(ISNUMBER(B1540),B1540^2,"")</x:f>
      </x:c>
      <x:c r="I1540" s="7" t="str">
        <x:f>IF(AND(ISNUMBER(G1540),'요약'!$B$19),G1540-'요약'!$B$14,"")</x:f>
      </x:c>
      <x:c r="J1540" s="7" t="str">
        <x:f>IF(AND(ISNUMBER(H1540),'요약'!$B$19),H1540-'요약'!$B$15,"")</x:f>
      </x:c>
      <x:c r="K1540" t="str">
        <x:f>IF(ISNUMBER(B1540),IF('Hill'!$B$4=1,IF(B1540&lt;0,-B1540,""),IF('Hill'!$B$4=2,IF(B1540&gt;0,B1540,""),IF('Hill'!$B$4=3,IF(B1540&lt;&gt;0,ABS(B1540),""),""))),"")</x:f>
      </x:c>
    </x:row>
    <x:row r="1541">
      <x:c r="A1541" t="n">
        <x:f>1540</x:f>
        <x:v>1540</x:v>
      </x:c>
      <x:c r="B1541" s="7" t="str">
        <x:f>IF('요약'!$B$4=4,IF(ISNUMBER('input'!A1541),'input'!A1541,""),IF(1540&lt;=1000,CHOOSE('요약'!$B$4,'input'!B1541,'input'!C1541,'input'!D1541),""))</x:f>
      </x:c>
      <x:c r="C1541" s="7" t="str">
        <x:f>IF(AND(ISNUMBER(B1541),'요약'!$B$19),B1541-'요약'!$B$7,"")</x:f>
      </x:c>
      <x:c r="D1541" s="7" t="str">
        <x:f>IF(ISNUMBER(C1541),C1541^2,"")</x:f>
      </x:c>
      <x:c r="E1541" s="15" t="str">
        <x:f>IF(ISNUMBER(C1541),C1541^3,"")</x:f>
      </x:c>
      <x:c r="F1541" s="15" t="str">
        <x:f>IF(ISNUMBER(C1541),C1541^4,"")</x:f>
      </x:c>
      <x:c r="G1541" s="7" t="str">
        <x:f>IF(ISNUMBER(B1541),ABS(B1541),"")</x:f>
      </x:c>
      <x:c r="H1541" s="7" t="str">
        <x:f>IF(ISNUMBER(B1541),B1541^2,"")</x:f>
      </x:c>
      <x:c r="I1541" s="7" t="str">
        <x:f>IF(AND(ISNUMBER(G1541),'요약'!$B$19),G1541-'요약'!$B$14,"")</x:f>
      </x:c>
      <x:c r="J1541" s="7" t="str">
        <x:f>IF(AND(ISNUMBER(H1541),'요약'!$B$19),H1541-'요약'!$B$15,"")</x:f>
      </x:c>
      <x:c r="K1541" t="str">
        <x:f>IF(ISNUMBER(B1541),IF('Hill'!$B$4=1,IF(B1541&lt;0,-B1541,""),IF('Hill'!$B$4=2,IF(B1541&gt;0,B1541,""),IF('Hill'!$B$4=3,IF(B1541&lt;&gt;0,ABS(B1541),""),""))),"")</x:f>
      </x:c>
    </x:row>
    <x:row r="1542">
      <x:c r="A1542" t="n">
        <x:f>1541</x:f>
        <x:v>1541</x:v>
      </x:c>
      <x:c r="B1542" s="7" t="str">
        <x:f>IF('요약'!$B$4=4,IF(ISNUMBER('input'!A1542),'input'!A1542,""),IF(1541&lt;=1000,CHOOSE('요약'!$B$4,'input'!B1542,'input'!C1542,'input'!D1542),""))</x:f>
      </x:c>
      <x:c r="C1542" s="7" t="str">
        <x:f>IF(AND(ISNUMBER(B1542),'요약'!$B$19),B1542-'요약'!$B$7,"")</x:f>
      </x:c>
      <x:c r="D1542" s="7" t="str">
        <x:f>IF(ISNUMBER(C1542),C1542^2,"")</x:f>
      </x:c>
      <x:c r="E1542" s="15" t="str">
        <x:f>IF(ISNUMBER(C1542),C1542^3,"")</x:f>
      </x:c>
      <x:c r="F1542" s="15" t="str">
        <x:f>IF(ISNUMBER(C1542),C1542^4,"")</x:f>
      </x:c>
      <x:c r="G1542" s="7" t="str">
        <x:f>IF(ISNUMBER(B1542),ABS(B1542),"")</x:f>
      </x:c>
      <x:c r="H1542" s="7" t="str">
        <x:f>IF(ISNUMBER(B1542),B1542^2,"")</x:f>
      </x:c>
      <x:c r="I1542" s="7" t="str">
        <x:f>IF(AND(ISNUMBER(G1542),'요약'!$B$19),G1542-'요약'!$B$14,"")</x:f>
      </x:c>
      <x:c r="J1542" s="7" t="str">
        <x:f>IF(AND(ISNUMBER(H1542),'요약'!$B$19),H1542-'요약'!$B$15,"")</x:f>
      </x:c>
      <x:c r="K1542" t="str">
        <x:f>IF(ISNUMBER(B1542),IF('Hill'!$B$4=1,IF(B1542&lt;0,-B1542,""),IF('Hill'!$B$4=2,IF(B1542&gt;0,B1542,""),IF('Hill'!$B$4=3,IF(B1542&lt;&gt;0,ABS(B1542),""),""))),"")</x:f>
      </x:c>
    </x:row>
    <x:row r="1543">
      <x:c r="A1543" t="n">
        <x:f>1542</x:f>
        <x:v>1542</x:v>
      </x:c>
      <x:c r="B1543" s="7" t="str">
        <x:f>IF('요약'!$B$4=4,IF(ISNUMBER('input'!A1543),'input'!A1543,""),IF(1542&lt;=1000,CHOOSE('요약'!$B$4,'input'!B1543,'input'!C1543,'input'!D1543),""))</x:f>
      </x:c>
      <x:c r="C1543" s="7" t="str">
        <x:f>IF(AND(ISNUMBER(B1543),'요약'!$B$19),B1543-'요약'!$B$7,"")</x:f>
      </x:c>
      <x:c r="D1543" s="7" t="str">
        <x:f>IF(ISNUMBER(C1543),C1543^2,"")</x:f>
      </x:c>
      <x:c r="E1543" s="15" t="str">
        <x:f>IF(ISNUMBER(C1543),C1543^3,"")</x:f>
      </x:c>
      <x:c r="F1543" s="15" t="str">
        <x:f>IF(ISNUMBER(C1543),C1543^4,"")</x:f>
      </x:c>
      <x:c r="G1543" s="7" t="str">
        <x:f>IF(ISNUMBER(B1543),ABS(B1543),"")</x:f>
      </x:c>
      <x:c r="H1543" s="7" t="str">
        <x:f>IF(ISNUMBER(B1543),B1543^2,"")</x:f>
      </x:c>
      <x:c r="I1543" s="7" t="str">
        <x:f>IF(AND(ISNUMBER(G1543),'요약'!$B$19),G1543-'요약'!$B$14,"")</x:f>
      </x:c>
      <x:c r="J1543" s="7" t="str">
        <x:f>IF(AND(ISNUMBER(H1543),'요약'!$B$19),H1543-'요약'!$B$15,"")</x:f>
      </x:c>
      <x:c r="K1543" t="str">
        <x:f>IF(ISNUMBER(B1543),IF('Hill'!$B$4=1,IF(B1543&lt;0,-B1543,""),IF('Hill'!$B$4=2,IF(B1543&gt;0,B1543,""),IF('Hill'!$B$4=3,IF(B1543&lt;&gt;0,ABS(B1543),""),""))),"")</x:f>
      </x:c>
    </x:row>
    <x:row r="1544">
      <x:c r="A1544" t="n">
        <x:f>1543</x:f>
        <x:v>1543</x:v>
      </x:c>
      <x:c r="B1544" s="7" t="str">
        <x:f>IF('요약'!$B$4=4,IF(ISNUMBER('input'!A1544),'input'!A1544,""),IF(1543&lt;=1000,CHOOSE('요약'!$B$4,'input'!B1544,'input'!C1544,'input'!D1544),""))</x:f>
      </x:c>
      <x:c r="C1544" s="7" t="str">
        <x:f>IF(AND(ISNUMBER(B1544),'요약'!$B$19),B1544-'요약'!$B$7,"")</x:f>
      </x:c>
      <x:c r="D1544" s="7" t="str">
        <x:f>IF(ISNUMBER(C1544),C1544^2,"")</x:f>
      </x:c>
      <x:c r="E1544" s="15" t="str">
        <x:f>IF(ISNUMBER(C1544),C1544^3,"")</x:f>
      </x:c>
      <x:c r="F1544" s="15" t="str">
        <x:f>IF(ISNUMBER(C1544),C1544^4,"")</x:f>
      </x:c>
      <x:c r="G1544" s="7" t="str">
        <x:f>IF(ISNUMBER(B1544),ABS(B1544),"")</x:f>
      </x:c>
      <x:c r="H1544" s="7" t="str">
        <x:f>IF(ISNUMBER(B1544),B1544^2,"")</x:f>
      </x:c>
      <x:c r="I1544" s="7" t="str">
        <x:f>IF(AND(ISNUMBER(G1544),'요약'!$B$19),G1544-'요약'!$B$14,"")</x:f>
      </x:c>
      <x:c r="J1544" s="7" t="str">
        <x:f>IF(AND(ISNUMBER(H1544),'요약'!$B$19),H1544-'요약'!$B$15,"")</x:f>
      </x:c>
      <x:c r="K1544" t="str">
        <x:f>IF(ISNUMBER(B1544),IF('Hill'!$B$4=1,IF(B1544&lt;0,-B1544,""),IF('Hill'!$B$4=2,IF(B1544&gt;0,B1544,""),IF('Hill'!$B$4=3,IF(B1544&lt;&gt;0,ABS(B1544),""),""))),"")</x:f>
      </x:c>
    </x:row>
    <x:row r="1545">
      <x:c r="A1545" t="n">
        <x:f>1544</x:f>
        <x:v>1544</x:v>
      </x:c>
      <x:c r="B1545" s="7" t="str">
        <x:f>IF('요약'!$B$4=4,IF(ISNUMBER('input'!A1545),'input'!A1545,""),IF(1544&lt;=1000,CHOOSE('요약'!$B$4,'input'!B1545,'input'!C1545,'input'!D1545),""))</x:f>
      </x:c>
      <x:c r="C1545" s="7" t="str">
        <x:f>IF(AND(ISNUMBER(B1545),'요약'!$B$19),B1545-'요약'!$B$7,"")</x:f>
      </x:c>
      <x:c r="D1545" s="7" t="str">
        <x:f>IF(ISNUMBER(C1545),C1545^2,"")</x:f>
      </x:c>
      <x:c r="E1545" s="15" t="str">
        <x:f>IF(ISNUMBER(C1545),C1545^3,"")</x:f>
      </x:c>
      <x:c r="F1545" s="15" t="str">
        <x:f>IF(ISNUMBER(C1545),C1545^4,"")</x:f>
      </x:c>
      <x:c r="G1545" s="7" t="str">
        <x:f>IF(ISNUMBER(B1545),ABS(B1545),"")</x:f>
      </x:c>
      <x:c r="H1545" s="7" t="str">
        <x:f>IF(ISNUMBER(B1545),B1545^2,"")</x:f>
      </x:c>
      <x:c r="I1545" s="7" t="str">
        <x:f>IF(AND(ISNUMBER(G1545),'요약'!$B$19),G1545-'요약'!$B$14,"")</x:f>
      </x:c>
      <x:c r="J1545" s="7" t="str">
        <x:f>IF(AND(ISNUMBER(H1545),'요약'!$B$19),H1545-'요약'!$B$15,"")</x:f>
      </x:c>
      <x:c r="K1545" t="str">
        <x:f>IF(ISNUMBER(B1545),IF('Hill'!$B$4=1,IF(B1545&lt;0,-B1545,""),IF('Hill'!$B$4=2,IF(B1545&gt;0,B1545,""),IF('Hill'!$B$4=3,IF(B1545&lt;&gt;0,ABS(B1545),""),""))),"")</x:f>
      </x:c>
    </x:row>
    <x:row r="1546">
      <x:c r="A1546" t="n">
        <x:f>1545</x:f>
        <x:v>1545</x:v>
      </x:c>
      <x:c r="B1546" s="7" t="str">
        <x:f>IF('요약'!$B$4=4,IF(ISNUMBER('input'!A1546),'input'!A1546,""),IF(1545&lt;=1000,CHOOSE('요약'!$B$4,'input'!B1546,'input'!C1546,'input'!D1546),""))</x:f>
      </x:c>
      <x:c r="C1546" s="7" t="str">
        <x:f>IF(AND(ISNUMBER(B1546),'요약'!$B$19),B1546-'요약'!$B$7,"")</x:f>
      </x:c>
      <x:c r="D1546" s="7" t="str">
        <x:f>IF(ISNUMBER(C1546),C1546^2,"")</x:f>
      </x:c>
      <x:c r="E1546" s="15" t="str">
        <x:f>IF(ISNUMBER(C1546),C1546^3,"")</x:f>
      </x:c>
      <x:c r="F1546" s="15" t="str">
        <x:f>IF(ISNUMBER(C1546),C1546^4,"")</x:f>
      </x:c>
      <x:c r="G1546" s="7" t="str">
        <x:f>IF(ISNUMBER(B1546),ABS(B1546),"")</x:f>
      </x:c>
      <x:c r="H1546" s="7" t="str">
        <x:f>IF(ISNUMBER(B1546),B1546^2,"")</x:f>
      </x:c>
      <x:c r="I1546" s="7" t="str">
        <x:f>IF(AND(ISNUMBER(G1546),'요약'!$B$19),G1546-'요약'!$B$14,"")</x:f>
      </x:c>
      <x:c r="J1546" s="7" t="str">
        <x:f>IF(AND(ISNUMBER(H1546),'요약'!$B$19),H1546-'요약'!$B$15,"")</x:f>
      </x:c>
      <x:c r="K1546" t="str">
        <x:f>IF(ISNUMBER(B1546),IF('Hill'!$B$4=1,IF(B1546&lt;0,-B1546,""),IF('Hill'!$B$4=2,IF(B1546&gt;0,B1546,""),IF('Hill'!$B$4=3,IF(B1546&lt;&gt;0,ABS(B1546),""),""))),"")</x:f>
      </x:c>
    </x:row>
    <x:row r="1547">
      <x:c r="A1547" t="n">
        <x:f>1546</x:f>
        <x:v>1546</x:v>
      </x:c>
      <x:c r="B1547" s="7" t="str">
        <x:f>IF('요약'!$B$4=4,IF(ISNUMBER('input'!A1547),'input'!A1547,""),IF(1546&lt;=1000,CHOOSE('요약'!$B$4,'input'!B1547,'input'!C1547,'input'!D1547),""))</x:f>
      </x:c>
      <x:c r="C1547" s="7" t="str">
        <x:f>IF(AND(ISNUMBER(B1547),'요약'!$B$19),B1547-'요약'!$B$7,"")</x:f>
      </x:c>
      <x:c r="D1547" s="7" t="str">
        <x:f>IF(ISNUMBER(C1547),C1547^2,"")</x:f>
      </x:c>
      <x:c r="E1547" s="15" t="str">
        <x:f>IF(ISNUMBER(C1547),C1547^3,"")</x:f>
      </x:c>
      <x:c r="F1547" s="15" t="str">
        <x:f>IF(ISNUMBER(C1547),C1547^4,"")</x:f>
      </x:c>
      <x:c r="G1547" s="7" t="str">
        <x:f>IF(ISNUMBER(B1547),ABS(B1547),"")</x:f>
      </x:c>
      <x:c r="H1547" s="7" t="str">
        <x:f>IF(ISNUMBER(B1547),B1547^2,"")</x:f>
      </x:c>
      <x:c r="I1547" s="7" t="str">
        <x:f>IF(AND(ISNUMBER(G1547),'요약'!$B$19),G1547-'요약'!$B$14,"")</x:f>
      </x:c>
      <x:c r="J1547" s="7" t="str">
        <x:f>IF(AND(ISNUMBER(H1547),'요약'!$B$19),H1547-'요약'!$B$15,"")</x:f>
      </x:c>
      <x:c r="K1547" t="str">
        <x:f>IF(ISNUMBER(B1547),IF('Hill'!$B$4=1,IF(B1547&lt;0,-B1547,""),IF('Hill'!$B$4=2,IF(B1547&gt;0,B1547,""),IF('Hill'!$B$4=3,IF(B1547&lt;&gt;0,ABS(B1547),""),""))),"")</x:f>
      </x:c>
    </x:row>
    <x:row r="1548">
      <x:c r="A1548" t="n">
        <x:f>1547</x:f>
        <x:v>1547</x:v>
      </x:c>
      <x:c r="B1548" s="7" t="str">
        <x:f>IF('요약'!$B$4=4,IF(ISNUMBER('input'!A1548),'input'!A1548,""),IF(1547&lt;=1000,CHOOSE('요약'!$B$4,'input'!B1548,'input'!C1548,'input'!D1548),""))</x:f>
      </x:c>
      <x:c r="C1548" s="7" t="str">
        <x:f>IF(AND(ISNUMBER(B1548),'요약'!$B$19),B1548-'요약'!$B$7,"")</x:f>
      </x:c>
      <x:c r="D1548" s="7" t="str">
        <x:f>IF(ISNUMBER(C1548),C1548^2,"")</x:f>
      </x:c>
      <x:c r="E1548" s="15" t="str">
        <x:f>IF(ISNUMBER(C1548),C1548^3,"")</x:f>
      </x:c>
      <x:c r="F1548" s="15" t="str">
        <x:f>IF(ISNUMBER(C1548),C1548^4,"")</x:f>
      </x:c>
      <x:c r="G1548" s="7" t="str">
        <x:f>IF(ISNUMBER(B1548),ABS(B1548),"")</x:f>
      </x:c>
      <x:c r="H1548" s="7" t="str">
        <x:f>IF(ISNUMBER(B1548),B1548^2,"")</x:f>
      </x:c>
      <x:c r="I1548" s="7" t="str">
        <x:f>IF(AND(ISNUMBER(G1548),'요약'!$B$19),G1548-'요약'!$B$14,"")</x:f>
      </x:c>
      <x:c r="J1548" s="7" t="str">
        <x:f>IF(AND(ISNUMBER(H1548),'요약'!$B$19),H1548-'요약'!$B$15,"")</x:f>
      </x:c>
      <x:c r="K1548" t="str">
        <x:f>IF(ISNUMBER(B1548),IF('Hill'!$B$4=1,IF(B1548&lt;0,-B1548,""),IF('Hill'!$B$4=2,IF(B1548&gt;0,B1548,""),IF('Hill'!$B$4=3,IF(B1548&lt;&gt;0,ABS(B1548),""),""))),"")</x:f>
      </x:c>
    </x:row>
    <x:row r="1549">
      <x:c r="A1549" t="n">
        <x:f>1548</x:f>
        <x:v>1548</x:v>
      </x:c>
      <x:c r="B1549" s="7" t="str">
        <x:f>IF('요약'!$B$4=4,IF(ISNUMBER('input'!A1549),'input'!A1549,""),IF(1548&lt;=1000,CHOOSE('요약'!$B$4,'input'!B1549,'input'!C1549,'input'!D1549),""))</x:f>
      </x:c>
      <x:c r="C1549" s="7" t="str">
        <x:f>IF(AND(ISNUMBER(B1549),'요약'!$B$19),B1549-'요약'!$B$7,"")</x:f>
      </x:c>
      <x:c r="D1549" s="7" t="str">
        <x:f>IF(ISNUMBER(C1549),C1549^2,"")</x:f>
      </x:c>
      <x:c r="E1549" s="15" t="str">
        <x:f>IF(ISNUMBER(C1549),C1549^3,"")</x:f>
      </x:c>
      <x:c r="F1549" s="15" t="str">
        <x:f>IF(ISNUMBER(C1549),C1549^4,"")</x:f>
      </x:c>
      <x:c r="G1549" s="7" t="str">
        <x:f>IF(ISNUMBER(B1549),ABS(B1549),"")</x:f>
      </x:c>
      <x:c r="H1549" s="7" t="str">
        <x:f>IF(ISNUMBER(B1549),B1549^2,"")</x:f>
      </x:c>
      <x:c r="I1549" s="7" t="str">
        <x:f>IF(AND(ISNUMBER(G1549),'요약'!$B$19),G1549-'요약'!$B$14,"")</x:f>
      </x:c>
      <x:c r="J1549" s="7" t="str">
        <x:f>IF(AND(ISNUMBER(H1549),'요약'!$B$19),H1549-'요약'!$B$15,"")</x:f>
      </x:c>
      <x:c r="K1549" t="str">
        <x:f>IF(ISNUMBER(B1549),IF('Hill'!$B$4=1,IF(B1549&lt;0,-B1549,""),IF('Hill'!$B$4=2,IF(B1549&gt;0,B1549,""),IF('Hill'!$B$4=3,IF(B1549&lt;&gt;0,ABS(B1549),""),""))),"")</x:f>
      </x:c>
    </x:row>
    <x:row r="1550">
      <x:c r="A1550" t="n">
        <x:f>1549</x:f>
        <x:v>1549</x:v>
      </x:c>
      <x:c r="B1550" s="7" t="str">
        <x:f>IF('요약'!$B$4=4,IF(ISNUMBER('input'!A1550),'input'!A1550,""),IF(1549&lt;=1000,CHOOSE('요약'!$B$4,'input'!B1550,'input'!C1550,'input'!D1550),""))</x:f>
      </x:c>
      <x:c r="C1550" s="7" t="str">
        <x:f>IF(AND(ISNUMBER(B1550),'요약'!$B$19),B1550-'요약'!$B$7,"")</x:f>
      </x:c>
      <x:c r="D1550" s="7" t="str">
        <x:f>IF(ISNUMBER(C1550),C1550^2,"")</x:f>
      </x:c>
      <x:c r="E1550" s="15" t="str">
        <x:f>IF(ISNUMBER(C1550),C1550^3,"")</x:f>
      </x:c>
      <x:c r="F1550" s="15" t="str">
        <x:f>IF(ISNUMBER(C1550),C1550^4,"")</x:f>
      </x:c>
      <x:c r="G1550" s="7" t="str">
        <x:f>IF(ISNUMBER(B1550),ABS(B1550),"")</x:f>
      </x:c>
      <x:c r="H1550" s="7" t="str">
        <x:f>IF(ISNUMBER(B1550),B1550^2,"")</x:f>
      </x:c>
      <x:c r="I1550" s="7" t="str">
        <x:f>IF(AND(ISNUMBER(G1550),'요약'!$B$19),G1550-'요약'!$B$14,"")</x:f>
      </x:c>
      <x:c r="J1550" s="7" t="str">
        <x:f>IF(AND(ISNUMBER(H1550),'요약'!$B$19),H1550-'요약'!$B$15,"")</x:f>
      </x:c>
      <x:c r="K1550" t="str">
        <x:f>IF(ISNUMBER(B1550),IF('Hill'!$B$4=1,IF(B1550&lt;0,-B1550,""),IF('Hill'!$B$4=2,IF(B1550&gt;0,B1550,""),IF('Hill'!$B$4=3,IF(B1550&lt;&gt;0,ABS(B1550),""),""))),"")</x:f>
      </x:c>
    </x:row>
    <x:row r="1551">
      <x:c r="A1551" t="n">
        <x:f>1550</x:f>
        <x:v>1550</x:v>
      </x:c>
      <x:c r="B1551" s="7" t="str">
        <x:f>IF('요약'!$B$4=4,IF(ISNUMBER('input'!A1551),'input'!A1551,""),IF(1550&lt;=1000,CHOOSE('요약'!$B$4,'input'!B1551,'input'!C1551,'input'!D1551),""))</x:f>
      </x:c>
      <x:c r="C1551" s="7" t="str">
        <x:f>IF(AND(ISNUMBER(B1551),'요약'!$B$19),B1551-'요약'!$B$7,"")</x:f>
      </x:c>
      <x:c r="D1551" s="7" t="str">
        <x:f>IF(ISNUMBER(C1551),C1551^2,"")</x:f>
      </x:c>
      <x:c r="E1551" s="15" t="str">
        <x:f>IF(ISNUMBER(C1551),C1551^3,"")</x:f>
      </x:c>
      <x:c r="F1551" s="15" t="str">
        <x:f>IF(ISNUMBER(C1551),C1551^4,"")</x:f>
      </x:c>
      <x:c r="G1551" s="7" t="str">
        <x:f>IF(ISNUMBER(B1551),ABS(B1551),"")</x:f>
      </x:c>
      <x:c r="H1551" s="7" t="str">
        <x:f>IF(ISNUMBER(B1551),B1551^2,"")</x:f>
      </x:c>
      <x:c r="I1551" s="7" t="str">
        <x:f>IF(AND(ISNUMBER(G1551),'요약'!$B$19),G1551-'요약'!$B$14,"")</x:f>
      </x:c>
      <x:c r="J1551" s="7" t="str">
        <x:f>IF(AND(ISNUMBER(H1551),'요약'!$B$19),H1551-'요약'!$B$15,"")</x:f>
      </x:c>
      <x:c r="K1551" t="str">
        <x:f>IF(ISNUMBER(B1551),IF('Hill'!$B$4=1,IF(B1551&lt;0,-B1551,""),IF('Hill'!$B$4=2,IF(B1551&gt;0,B1551,""),IF('Hill'!$B$4=3,IF(B1551&lt;&gt;0,ABS(B1551),""),""))),"")</x:f>
      </x:c>
    </x:row>
    <x:row r="1552">
      <x:c r="A1552" t="n">
        <x:f>1551</x:f>
        <x:v>1551</x:v>
      </x:c>
      <x:c r="B1552" s="7" t="str">
        <x:f>IF('요약'!$B$4=4,IF(ISNUMBER('input'!A1552),'input'!A1552,""),IF(1551&lt;=1000,CHOOSE('요약'!$B$4,'input'!B1552,'input'!C1552,'input'!D1552),""))</x:f>
      </x:c>
      <x:c r="C1552" s="7" t="str">
        <x:f>IF(AND(ISNUMBER(B1552),'요약'!$B$19),B1552-'요약'!$B$7,"")</x:f>
      </x:c>
      <x:c r="D1552" s="7" t="str">
        <x:f>IF(ISNUMBER(C1552),C1552^2,"")</x:f>
      </x:c>
      <x:c r="E1552" s="15" t="str">
        <x:f>IF(ISNUMBER(C1552),C1552^3,"")</x:f>
      </x:c>
      <x:c r="F1552" s="15" t="str">
        <x:f>IF(ISNUMBER(C1552),C1552^4,"")</x:f>
      </x:c>
      <x:c r="G1552" s="7" t="str">
        <x:f>IF(ISNUMBER(B1552),ABS(B1552),"")</x:f>
      </x:c>
      <x:c r="H1552" s="7" t="str">
        <x:f>IF(ISNUMBER(B1552),B1552^2,"")</x:f>
      </x:c>
      <x:c r="I1552" s="7" t="str">
        <x:f>IF(AND(ISNUMBER(G1552),'요약'!$B$19),G1552-'요약'!$B$14,"")</x:f>
      </x:c>
      <x:c r="J1552" s="7" t="str">
        <x:f>IF(AND(ISNUMBER(H1552),'요약'!$B$19),H1552-'요약'!$B$15,"")</x:f>
      </x:c>
      <x:c r="K1552" t="str">
        <x:f>IF(ISNUMBER(B1552),IF('Hill'!$B$4=1,IF(B1552&lt;0,-B1552,""),IF('Hill'!$B$4=2,IF(B1552&gt;0,B1552,""),IF('Hill'!$B$4=3,IF(B1552&lt;&gt;0,ABS(B1552),""),""))),"")</x:f>
      </x:c>
    </x:row>
    <x:row r="1553">
      <x:c r="A1553" t="n">
        <x:f>1552</x:f>
        <x:v>1552</x:v>
      </x:c>
      <x:c r="B1553" s="7" t="str">
        <x:f>IF('요약'!$B$4=4,IF(ISNUMBER('input'!A1553),'input'!A1553,""),IF(1552&lt;=1000,CHOOSE('요약'!$B$4,'input'!B1553,'input'!C1553,'input'!D1553),""))</x:f>
      </x:c>
      <x:c r="C1553" s="7" t="str">
        <x:f>IF(AND(ISNUMBER(B1553),'요약'!$B$19),B1553-'요약'!$B$7,"")</x:f>
      </x:c>
      <x:c r="D1553" s="7" t="str">
        <x:f>IF(ISNUMBER(C1553),C1553^2,"")</x:f>
      </x:c>
      <x:c r="E1553" s="15" t="str">
        <x:f>IF(ISNUMBER(C1553),C1553^3,"")</x:f>
      </x:c>
      <x:c r="F1553" s="15" t="str">
        <x:f>IF(ISNUMBER(C1553),C1553^4,"")</x:f>
      </x:c>
      <x:c r="G1553" s="7" t="str">
        <x:f>IF(ISNUMBER(B1553),ABS(B1553),"")</x:f>
      </x:c>
      <x:c r="H1553" s="7" t="str">
        <x:f>IF(ISNUMBER(B1553),B1553^2,"")</x:f>
      </x:c>
      <x:c r="I1553" s="7" t="str">
        <x:f>IF(AND(ISNUMBER(G1553),'요약'!$B$19),G1553-'요약'!$B$14,"")</x:f>
      </x:c>
      <x:c r="J1553" s="7" t="str">
        <x:f>IF(AND(ISNUMBER(H1553),'요약'!$B$19),H1553-'요약'!$B$15,"")</x:f>
      </x:c>
      <x:c r="K1553" t="str">
        <x:f>IF(ISNUMBER(B1553),IF('Hill'!$B$4=1,IF(B1553&lt;0,-B1553,""),IF('Hill'!$B$4=2,IF(B1553&gt;0,B1553,""),IF('Hill'!$B$4=3,IF(B1553&lt;&gt;0,ABS(B1553),""),""))),"")</x:f>
      </x:c>
    </x:row>
    <x:row r="1554">
      <x:c r="A1554" t="n">
        <x:f>1553</x:f>
        <x:v>1553</x:v>
      </x:c>
      <x:c r="B1554" s="7" t="str">
        <x:f>IF('요약'!$B$4=4,IF(ISNUMBER('input'!A1554),'input'!A1554,""),IF(1553&lt;=1000,CHOOSE('요약'!$B$4,'input'!B1554,'input'!C1554,'input'!D1554),""))</x:f>
      </x:c>
      <x:c r="C1554" s="7" t="str">
        <x:f>IF(AND(ISNUMBER(B1554),'요약'!$B$19),B1554-'요약'!$B$7,"")</x:f>
      </x:c>
      <x:c r="D1554" s="7" t="str">
        <x:f>IF(ISNUMBER(C1554),C1554^2,"")</x:f>
      </x:c>
      <x:c r="E1554" s="15" t="str">
        <x:f>IF(ISNUMBER(C1554),C1554^3,"")</x:f>
      </x:c>
      <x:c r="F1554" s="15" t="str">
        <x:f>IF(ISNUMBER(C1554),C1554^4,"")</x:f>
      </x:c>
      <x:c r="G1554" s="7" t="str">
        <x:f>IF(ISNUMBER(B1554),ABS(B1554),"")</x:f>
      </x:c>
      <x:c r="H1554" s="7" t="str">
        <x:f>IF(ISNUMBER(B1554),B1554^2,"")</x:f>
      </x:c>
      <x:c r="I1554" s="7" t="str">
        <x:f>IF(AND(ISNUMBER(G1554),'요약'!$B$19),G1554-'요약'!$B$14,"")</x:f>
      </x:c>
      <x:c r="J1554" s="7" t="str">
        <x:f>IF(AND(ISNUMBER(H1554),'요약'!$B$19),H1554-'요약'!$B$15,"")</x:f>
      </x:c>
      <x:c r="K1554" t="str">
        <x:f>IF(ISNUMBER(B1554),IF('Hill'!$B$4=1,IF(B1554&lt;0,-B1554,""),IF('Hill'!$B$4=2,IF(B1554&gt;0,B1554,""),IF('Hill'!$B$4=3,IF(B1554&lt;&gt;0,ABS(B1554),""),""))),"")</x:f>
      </x:c>
    </x:row>
    <x:row r="1555">
      <x:c r="A1555" t="n">
        <x:f>1554</x:f>
        <x:v>1554</x:v>
      </x:c>
      <x:c r="B1555" s="7" t="str">
        <x:f>IF('요약'!$B$4=4,IF(ISNUMBER('input'!A1555),'input'!A1555,""),IF(1554&lt;=1000,CHOOSE('요약'!$B$4,'input'!B1555,'input'!C1555,'input'!D1555),""))</x:f>
      </x:c>
      <x:c r="C1555" s="7" t="str">
        <x:f>IF(AND(ISNUMBER(B1555),'요약'!$B$19),B1555-'요약'!$B$7,"")</x:f>
      </x:c>
      <x:c r="D1555" s="7" t="str">
        <x:f>IF(ISNUMBER(C1555),C1555^2,"")</x:f>
      </x:c>
      <x:c r="E1555" s="15" t="str">
        <x:f>IF(ISNUMBER(C1555),C1555^3,"")</x:f>
      </x:c>
      <x:c r="F1555" s="15" t="str">
        <x:f>IF(ISNUMBER(C1555),C1555^4,"")</x:f>
      </x:c>
      <x:c r="G1555" s="7" t="str">
        <x:f>IF(ISNUMBER(B1555),ABS(B1555),"")</x:f>
      </x:c>
      <x:c r="H1555" s="7" t="str">
        <x:f>IF(ISNUMBER(B1555),B1555^2,"")</x:f>
      </x:c>
      <x:c r="I1555" s="7" t="str">
        <x:f>IF(AND(ISNUMBER(G1555),'요약'!$B$19),G1555-'요약'!$B$14,"")</x:f>
      </x:c>
      <x:c r="J1555" s="7" t="str">
        <x:f>IF(AND(ISNUMBER(H1555),'요약'!$B$19),H1555-'요약'!$B$15,"")</x:f>
      </x:c>
      <x:c r="K1555" t="str">
        <x:f>IF(ISNUMBER(B1555),IF('Hill'!$B$4=1,IF(B1555&lt;0,-B1555,""),IF('Hill'!$B$4=2,IF(B1555&gt;0,B1555,""),IF('Hill'!$B$4=3,IF(B1555&lt;&gt;0,ABS(B1555),""),""))),"")</x:f>
      </x:c>
    </x:row>
    <x:row r="1556">
      <x:c r="A1556" t="n">
        <x:f>1555</x:f>
        <x:v>1555</x:v>
      </x:c>
      <x:c r="B1556" s="7" t="str">
        <x:f>IF('요약'!$B$4=4,IF(ISNUMBER('input'!A1556),'input'!A1556,""),IF(1555&lt;=1000,CHOOSE('요약'!$B$4,'input'!B1556,'input'!C1556,'input'!D1556),""))</x:f>
      </x:c>
      <x:c r="C1556" s="7" t="str">
        <x:f>IF(AND(ISNUMBER(B1556),'요약'!$B$19),B1556-'요약'!$B$7,"")</x:f>
      </x:c>
      <x:c r="D1556" s="7" t="str">
        <x:f>IF(ISNUMBER(C1556),C1556^2,"")</x:f>
      </x:c>
      <x:c r="E1556" s="15" t="str">
        <x:f>IF(ISNUMBER(C1556),C1556^3,"")</x:f>
      </x:c>
      <x:c r="F1556" s="15" t="str">
        <x:f>IF(ISNUMBER(C1556),C1556^4,"")</x:f>
      </x:c>
      <x:c r="G1556" s="7" t="str">
        <x:f>IF(ISNUMBER(B1556),ABS(B1556),"")</x:f>
      </x:c>
      <x:c r="H1556" s="7" t="str">
        <x:f>IF(ISNUMBER(B1556),B1556^2,"")</x:f>
      </x:c>
      <x:c r="I1556" s="7" t="str">
        <x:f>IF(AND(ISNUMBER(G1556),'요약'!$B$19),G1556-'요약'!$B$14,"")</x:f>
      </x:c>
      <x:c r="J1556" s="7" t="str">
        <x:f>IF(AND(ISNUMBER(H1556),'요약'!$B$19),H1556-'요약'!$B$15,"")</x:f>
      </x:c>
      <x:c r="K1556" t="str">
        <x:f>IF(ISNUMBER(B1556),IF('Hill'!$B$4=1,IF(B1556&lt;0,-B1556,""),IF('Hill'!$B$4=2,IF(B1556&gt;0,B1556,""),IF('Hill'!$B$4=3,IF(B1556&lt;&gt;0,ABS(B1556),""),""))),"")</x:f>
      </x:c>
    </x:row>
    <x:row r="1557">
      <x:c r="A1557" t="n">
        <x:f>1556</x:f>
        <x:v>1556</x:v>
      </x:c>
      <x:c r="B1557" s="7" t="str">
        <x:f>IF('요약'!$B$4=4,IF(ISNUMBER('input'!A1557),'input'!A1557,""),IF(1556&lt;=1000,CHOOSE('요약'!$B$4,'input'!B1557,'input'!C1557,'input'!D1557),""))</x:f>
      </x:c>
      <x:c r="C1557" s="7" t="str">
        <x:f>IF(AND(ISNUMBER(B1557),'요약'!$B$19),B1557-'요약'!$B$7,"")</x:f>
      </x:c>
      <x:c r="D1557" s="7" t="str">
        <x:f>IF(ISNUMBER(C1557),C1557^2,"")</x:f>
      </x:c>
      <x:c r="E1557" s="15" t="str">
        <x:f>IF(ISNUMBER(C1557),C1557^3,"")</x:f>
      </x:c>
      <x:c r="F1557" s="15" t="str">
        <x:f>IF(ISNUMBER(C1557),C1557^4,"")</x:f>
      </x:c>
      <x:c r="G1557" s="7" t="str">
        <x:f>IF(ISNUMBER(B1557),ABS(B1557),"")</x:f>
      </x:c>
      <x:c r="H1557" s="7" t="str">
        <x:f>IF(ISNUMBER(B1557),B1557^2,"")</x:f>
      </x:c>
      <x:c r="I1557" s="7" t="str">
        <x:f>IF(AND(ISNUMBER(G1557),'요약'!$B$19),G1557-'요약'!$B$14,"")</x:f>
      </x:c>
      <x:c r="J1557" s="7" t="str">
        <x:f>IF(AND(ISNUMBER(H1557),'요약'!$B$19),H1557-'요약'!$B$15,"")</x:f>
      </x:c>
      <x:c r="K1557" t="str">
        <x:f>IF(ISNUMBER(B1557),IF('Hill'!$B$4=1,IF(B1557&lt;0,-B1557,""),IF('Hill'!$B$4=2,IF(B1557&gt;0,B1557,""),IF('Hill'!$B$4=3,IF(B1557&lt;&gt;0,ABS(B1557),""),""))),"")</x:f>
      </x:c>
    </x:row>
    <x:row r="1558">
      <x:c r="A1558" t="n">
        <x:f>1557</x:f>
        <x:v>1557</x:v>
      </x:c>
      <x:c r="B1558" s="7" t="str">
        <x:f>IF('요약'!$B$4=4,IF(ISNUMBER('input'!A1558),'input'!A1558,""),IF(1557&lt;=1000,CHOOSE('요약'!$B$4,'input'!B1558,'input'!C1558,'input'!D1558),""))</x:f>
      </x:c>
      <x:c r="C1558" s="7" t="str">
        <x:f>IF(AND(ISNUMBER(B1558),'요약'!$B$19),B1558-'요약'!$B$7,"")</x:f>
      </x:c>
      <x:c r="D1558" s="7" t="str">
        <x:f>IF(ISNUMBER(C1558),C1558^2,"")</x:f>
      </x:c>
      <x:c r="E1558" s="15" t="str">
        <x:f>IF(ISNUMBER(C1558),C1558^3,"")</x:f>
      </x:c>
      <x:c r="F1558" s="15" t="str">
        <x:f>IF(ISNUMBER(C1558),C1558^4,"")</x:f>
      </x:c>
      <x:c r="G1558" s="7" t="str">
        <x:f>IF(ISNUMBER(B1558),ABS(B1558),"")</x:f>
      </x:c>
      <x:c r="H1558" s="7" t="str">
        <x:f>IF(ISNUMBER(B1558),B1558^2,"")</x:f>
      </x:c>
      <x:c r="I1558" s="7" t="str">
        <x:f>IF(AND(ISNUMBER(G1558),'요약'!$B$19),G1558-'요약'!$B$14,"")</x:f>
      </x:c>
      <x:c r="J1558" s="7" t="str">
        <x:f>IF(AND(ISNUMBER(H1558),'요약'!$B$19),H1558-'요약'!$B$15,"")</x:f>
      </x:c>
      <x:c r="K1558" t="str">
        <x:f>IF(ISNUMBER(B1558),IF('Hill'!$B$4=1,IF(B1558&lt;0,-B1558,""),IF('Hill'!$B$4=2,IF(B1558&gt;0,B1558,""),IF('Hill'!$B$4=3,IF(B1558&lt;&gt;0,ABS(B1558),""),""))),"")</x:f>
      </x:c>
    </x:row>
    <x:row r="1559">
      <x:c r="A1559" t="n">
        <x:f>1558</x:f>
        <x:v>1558</x:v>
      </x:c>
      <x:c r="B1559" s="7" t="str">
        <x:f>IF('요약'!$B$4=4,IF(ISNUMBER('input'!A1559),'input'!A1559,""),IF(1558&lt;=1000,CHOOSE('요약'!$B$4,'input'!B1559,'input'!C1559,'input'!D1559),""))</x:f>
      </x:c>
      <x:c r="C1559" s="7" t="str">
        <x:f>IF(AND(ISNUMBER(B1559),'요약'!$B$19),B1559-'요약'!$B$7,"")</x:f>
      </x:c>
      <x:c r="D1559" s="7" t="str">
        <x:f>IF(ISNUMBER(C1559),C1559^2,"")</x:f>
      </x:c>
      <x:c r="E1559" s="15" t="str">
        <x:f>IF(ISNUMBER(C1559),C1559^3,"")</x:f>
      </x:c>
      <x:c r="F1559" s="15" t="str">
        <x:f>IF(ISNUMBER(C1559),C1559^4,"")</x:f>
      </x:c>
      <x:c r="G1559" s="7" t="str">
        <x:f>IF(ISNUMBER(B1559),ABS(B1559),"")</x:f>
      </x:c>
      <x:c r="H1559" s="7" t="str">
        <x:f>IF(ISNUMBER(B1559),B1559^2,"")</x:f>
      </x:c>
      <x:c r="I1559" s="7" t="str">
        <x:f>IF(AND(ISNUMBER(G1559),'요약'!$B$19),G1559-'요약'!$B$14,"")</x:f>
      </x:c>
      <x:c r="J1559" s="7" t="str">
        <x:f>IF(AND(ISNUMBER(H1559),'요약'!$B$19),H1559-'요약'!$B$15,"")</x:f>
      </x:c>
      <x:c r="K1559" t="str">
        <x:f>IF(ISNUMBER(B1559),IF('Hill'!$B$4=1,IF(B1559&lt;0,-B1559,""),IF('Hill'!$B$4=2,IF(B1559&gt;0,B1559,""),IF('Hill'!$B$4=3,IF(B1559&lt;&gt;0,ABS(B1559),""),""))),"")</x:f>
      </x:c>
    </x:row>
    <x:row r="1560">
      <x:c r="A1560" t="n">
        <x:f>1559</x:f>
        <x:v>1559</x:v>
      </x:c>
      <x:c r="B1560" s="7" t="str">
        <x:f>IF('요약'!$B$4=4,IF(ISNUMBER('input'!A1560),'input'!A1560,""),IF(1559&lt;=1000,CHOOSE('요약'!$B$4,'input'!B1560,'input'!C1560,'input'!D1560),""))</x:f>
      </x:c>
      <x:c r="C1560" s="7" t="str">
        <x:f>IF(AND(ISNUMBER(B1560),'요약'!$B$19),B1560-'요약'!$B$7,"")</x:f>
      </x:c>
      <x:c r="D1560" s="7" t="str">
        <x:f>IF(ISNUMBER(C1560),C1560^2,"")</x:f>
      </x:c>
      <x:c r="E1560" s="15" t="str">
        <x:f>IF(ISNUMBER(C1560),C1560^3,"")</x:f>
      </x:c>
      <x:c r="F1560" s="15" t="str">
        <x:f>IF(ISNUMBER(C1560),C1560^4,"")</x:f>
      </x:c>
      <x:c r="G1560" s="7" t="str">
        <x:f>IF(ISNUMBER(B1560),ABS(B1560),"")</x:f>
      </x:c>
      <x:c r="H1560" s="7" t="str">
        <x:f>IF(ISNUMBER(B1560),B1560^2,"")</x:f>
      </x:c>
      <x:c r="I1560" s="7" t="str">
        <x:f>IF(AND(ISNUMBER(G1560),'요약'!$B$19),G1560-'요약'!$B$14,"")</x:f>
      </x:c>
      <x:c r="J1560" s="7" t="str">
        <x:f>IF(AND(ISNUMBER(H1560),'요약'!$B$19),H1560-'요약'!$B$15,"")</x:f>
      </x:c>
      <x:c r="K1560" t="str">
        <x:f>IF(ISNUMBER(B1560),IF('Hill'!$B$4=1,IF(B1560&lt;0,-B1560,""),IF('Hill'!$B$4=2,IF(B1560&gt;0,B1560,""),IF('Hill'!$B$4=3,IF(B1560&lt;&gt;0,ABS(B1560),""),""))),"")</x:f>
      </x:c>
    </x:row>
    <x:row r="1561">
      <x:c r="A1561" t="n">
        <x:f>1560</x:f>
        <x:v>1560</x:v>
      </x:c>
      <x:c r="B1561" s="7" t="str">
        <x:f>IF('요약'!$B$4=4,IF(ISNUMBER('input'!A1561),'input'!A1561,""),IF(1560&lt;=1000,CHOOSE('요약'!$B$4,'input'!B1561,'input'!C1561,'input'!D1561),""))</x:f>
      </x:c>
      <x:c r="C1561" s="7" t="str">
        <x:f>IF(AND(ISNUMBER(B1561),'요약'!$B$19),B1561-'요약'!$B$7,"")</x:f>
      </x:c>
      <x:c r="D1561" s="7" t="str">
        <x:f>IF(ISNUMBER(C1561),C1561^2,"")</x:f>
      </x:c>
      <x:c r="E1561" s="15" t="str">
        <x:f>IF(ISNUMBER(C1561),C1561^3,"")</x:f>
      </x:c>
      <x:c r="F1561" s="15" t="str">
        <x:f>IF(ISNUMBER(C1561),C1561^4,"")</x:f>
      </x:c>
      <x:c r="G1561" s="7" t="str">
        <x:f>IF(ISNUMBER(B1561),ABS(B1561),"")</x:f>
      </x:c>
      <x:c r="H1561" s="7" t="str">
        <x:f>IF(ISNUMBER(B1561),B1561^2,"")</x:f>
      </x:c>
      <x:c r="I1561" s="7" t="str">
        <x:f>IF(AND(ISNUMBER(G1561),'요약'!$B$19),G1561-'요약'!$B$14,"")</x:f>
      </x:c>
      <x:c r="J1561" s="7" t="str">
        <x:f>IF(AND(ISNUMBER(H1561),'요약'!$B$19),H1561-'요약'!$B$15,"")</x:f>
      </x:c>
      <x:c r="K1561" t="str">
        <x:f>IF(ISNUMBER(B1561),IF('Hill'!$B$4=1,IF(B1561&lt;0,-B1561,""),IF('Hill'!$B$4=2,IF(B1561&gt;0,B1561,""),IF('Hill'!$B$4=3,IF(B1561&lt;&gt;0,ABS(B1561),""),""))),"")</x:f>
      </x:c>
    </x:row>
    <x:row r="1562">
      <x:c r="A1562" t="n">
        <x:f>1561</x:f>
        <x:v>1561</x:v>
      </x:c>
      <x:c r="B1562" s="7" t="str">
        <x:f>IF('요약'!$B$4=4,IF(ISNUMBER('input'!A1562),'input'!A1562,""),IF(1561&lt;=1000,CHOOSE('요약'!$B$4,'input'!B1562,'input'!C1562,'input'!D1562),""))</x:f>
      </x:c>
      <x:c r="C1562" s="7" t="str">
        <x:f>IF(AND(ISNUMBER(B1562),'요약'!$B$19),B1562-'요약'!$B$7,"")</x:f>
      </x:c>
      <x:c r="D1562" s="7" t="str">
        <x:f>IF(ISNUMBER(C1562),C1562^2,"")</x:f>
      </x:c>
      <x:c r="E1562" s="15" t="str">
        <x:f>IF(ISNUMBER(C1562),C1562^3,"")</x:f>
      </x:c>
      <x:c r="F1562" s="15" t="str">
        <x:f>IF(ISNUMBER(C1562),C1562^4,"")</x:f>
      </x:c>
      <x:c r="G1562" s="7" t="str">
        <x:f>IF(ISNUMBER(B1562),ABS(B1562),"")</x:f>
      </x:c>
      <x:c r="H1562" s="7" t="str">
        <x:f>IF(ISNUMBER(B1562),B1562^2,"")</x:f>
      </x:c>
      <x:c r="I1562" s="7" t="str">
        <x:f>IF(AND(ISNUMBER(G1562),'요약'!$B$19),G1562-'요약'!$B$14,"")</x:f>
      </x:c>
      <x:c r="J1562" s="7" t="str">
        <x:f>IF(AND(ISNUMBER(H1562),'요약'!$B$19),H1562-'요약'!$B$15,"")</x:f>
      </x:c>
      <x:c r="K1562" t="str">
        <x:f>IF(ISNUMBER(B1562),IF('Hill'!$B$4=1,IF(B1562&lt;0,-B1562,""),IF('Hill'!$B$4=2,IF(B1562&gt;0,B1562,""),IF('Hill'!$B$4=3,IF(B1562&lt;&gt;0,ABS(B1562),""),""))),"")</x:f>
      </x:c>
    </x:row>
    <x:row r="1563">
      <x:c r="A1563" t="n">
        <x:f>1562</x:f>
        <x:v>1562</x:v>
      </x:c>
      <x:c r="B1563" s="7" t="str">
        <x:f>IF('요약'!$B$4=4,IF(ISNUMBER('input'!A1563),'input'!A1563,""),IF(1562&lt;=1000,CHOOSE('요약'!$B$4,'input'!B1563,'input'!C1563,'input'!D1563),""))</x:f>
      </x:c>
      <x:c r="C1563" s="7" t="str">
        <x:f>IF(AND(ISNUMBER(B1563),'요약'!$B$19),B1563-'요약'!$B$7,"")</x:f>
      </x:c>
      <x:c r="D1563" s="7" t="str">
        <x:f>IF(ISNUMBER(C1563),C1563^2,"")</x:f>
      </x:c>
      <x:c r="E1563" s="15" t="str">
        <x:f>IF(ISNUMBER(C1563),C1563^3,"")</x:f>
      </x:c>
      <x:c r="F1563" s="15" t="str">
        <x:f>IF(ISNUMBER(C1563),C1563^4,"")</x:f>
      </x:c>
      <x:c r="G1563" s="7" t="str">
        <x:f>IF(ISNUMBER(B1563),ABS(B1563),"")</x:f>
      </x:c>
      <x:c r="H1563" s="7" t="str">
        <x:f>IF(ISNUMBER(B1563),B1563^2,"")</x:f>
      </x:c>
      <x:c r="I1563" s="7" t="str">
        <x:f>IF(AND(ISNUMBER(G1563),'요약'!$B$19),G1563-'요약'!$B$14,"")</x:f>
      </x:c>
      <x:c r="J1563" s="7" t="str">
        <x:f>IF(AND(ISNUMBER(H1563),'요약'!$B$19),H1563-'요약'!$B$15,"")</x:f>
      </x:c>
      <x:c r="K1563" t="str">
        <x:f>IF(ISNUMBER(B1563),IF('Hill'!$B$4=1,IF(B1563&lt;0,-B1563,""),IF('Hill'!$B$4=2,IF(B1563&gt;0,B1563,""),IF('Hill'!$B$4=3,IF(B1563&lt;&gt;0,ABS(B1563),""),""))),"")</x:f>
      </x:c>
    </x:row>
    <x:row r="1564">
      <x:c r="A1564" t="n">
        <x:f>1563</x:f>
        <x:v>1563</x:v>
      </x:c>
      <x:c r="B1564" s="7" t="str">
        <x:f>IF('요약'!$B$4=4,IF(ISNUMBER('input'!A1564),'input'!A1564,""),IF(1563&lt;=1000,CHOOSE('요약'!$B$4,'input'!B1564,'input'!C1564,'input'!D1564),""))</x:f>
      </x:c>
      <x:c r="C1564" s="7" t="str">
        <x:f>IF(AND(ISNUMBER(B1564),'요약'!$B$19),B1564-'요약'!$B$7,"")</x:f>
      </x:c>
      <x:c r="D1564" s="7" t="str">
        <x:f>IF(ISNUMBER(C1564),C1564^2,"")</x:f>
      </x:c>
      <x:c r="E1564" s="15" t="str">
        <x:f>IF(ISNUMBER(C1564),C1564^3,"")</x:f>
      </x:c>
      <x:c r="F1564" s="15" t="str">
        <x:f>IF(ISNUMBER(C1564),C1564^4,"")</x:f>
      </x:c>
      <x:c r="G1564" s="7" t="str">
        <x:f>IF(ISNUMBER(B1564),ABS(B1564),"")</x:f>
      </x:c>
      <x:c r="H1564" s="7" t="str">
        <x:f>IF(ISNUMBER(B1564),B1564^2,"")</x:f>
      </x:c>
      <x:c r="I1564" s="7" t="str">
        <x:f>IF(AND(ISNUMBER(G1564),'요약'!$B$19),G1564-'요약'!$B$14,"")</x:f>
      </x:c>
      <x:c r="J1564" s="7" t="str">
        <x:f>IF(AND(ISNUMBER(H1564),'요약'!$B$19),H1564-'요약'!$B$15,"")</x:f>
      </x:c>
      <x:c r="K1564" t="str">
        <x:f>IF(ISNUMBER(B1564),IF('Hill'!$B$4=1,IF(B1564&lt;0,-B1564,""),IF('Hill'!$B$4=2,IF(B1564&gt;0,B1564,""),IF('Hill'!$B$4=3,IF(B1564&lt;&gt;0,ABS(B1564),""),""))),"")</x:f>
      </x:c>
    </x:row>
    <x:row r="1565">
      <x:c r="A1565" t="n">
        <x:f>1564</x:f>
        <x:v>1564</x:v>
      </x:c>
      <x:c r="B1565" s="7" t="str">
        <x:f>IF('요약'!$B$4=4,IF(ISNUMBER('input'!A1565),'input'!A1565,""),IF(1564&lt;=1000,CHOOSE('요약'!$B$4,'input'!B1565,'input'!C1565,'input'!D1565),""))</x:f>
      </x:c>
      <x:c r="C1565" s="7" t="str">
        <x:f>IF(AND(ISNUMBER(B1565),'요약'!$B$19),B1565-'요약'!$B$7,"")</x:f>
      </x:c>
      <x:c r="D1565" s="7" t="str">
        <x:f>IF(ISNUMBER(C1565),C1565^2,"")</x:f>
      </x:c>
      <x:c r="E1565" s="15" t="str">
        <x:f>IF(ISNUMBER(C1565),C1565^3,"")</x:f>
      </x:c>
      <x:c r="F1565" s="15" t="str">
        <x:f>IF(ISNUMBER(C1565),C1565^4,"")</x:f>
      </x:c>
      <x:c r="G1565" s="7" t="str">
        <x:f>IF(ISNUMBER(B1565),ABS(B1565),"")</x:f>
      </x:c>
      <x:c r="H1565" s="7" t="str">
        <x:f>IF(ISNUMBER(B1565),B1565^2,"")</x:f>
      </x:c>
      <x:c r="I1565" s="7" t="str">
        <x:f>IF(AND(ISNUMBER(G1565),'요약'!$B$19),G1565-'요약'!$B$14,"")</x:f>
      </x:c>
      <x:c r="J1565" s="7" t="str">
        <x:f>IF(AND(ISNUMBER(H1565),'요약'!$B$19),H1565-'요약'!$B$15,"")</x:f>
      </x:c>
      <x:c r="K1565" t="str">
        <x:f>IF(ISNUMBER(B1565),IF('Hill'!$B$4=1,IF(B1565&lt;0,-B1565,""),IF('Hill'!$B$4=2,IF(B1565&gt;0,B1565,""),IF('Hill'!$B$4=3,IF(B1565&lt;&gt;0,ABS(B1565),""),""))),"")</x:f>
      </x:c>
    </x:row>
    <x:row r="1566">
      <x:c r="A1566" t="n">
        <x:f>1565</x:f>
        <x:v>1565</x:v>
      </x:c>
      <x:c r="B1566" s="7" t="str">
        <x:f>IF('요약'!$B$4=4,IF(ISNUMBER('input'!A1566),'input'!A1566,""),IF(1565&lt;=1000,CHOOSE('요약'!$B$4,'input'!B1566,'input'!C1566,'input'!D1566),""))</x:f>
      </x:c>
      <x:c r="C1566" s="7" t="str">
        <x:f>IF(AND(ISNUMBER(B1566),'요약'!$B$19),B1566-'요약'!$B$7,"")</x:f>
      </x:c>
      <x:c r="D1566" s="7" t="str">
        <x:f>IF(ISNUMBER(C1566),C1566^2,"")</x:f>
      </x:c>
      <x:c r="E1566" s="15" t="str">
        <x:f>IF(ISNUMBER(C1566),C1566^3,"")</x:f>
      </x:c>
      <x:c r="F1566" s="15" t="str">
        <x:f>IF(ISNUMBER(C1566),C1566^4,"")</x:f>
      </x:c>
      <x:c r="G1566" s="7" t="str">
        <x:f>IF(ISNUMBER(B1566),ABS(B1566),"")</x:f>
      </x:c>
      <x:c r="H1566" s="7" t="str">
        <x:f>IF(ISNUMBER(B1566),B1566^2,"")</x:f>
      </x:c>
      <x:c r="I1566" s="7" t="str">
        <x:f>IF(AND(ISNUMBER(G1566),'요약'!$B$19),G1566-'요약'!$B$14,"")</x:f>
      </x:c>
      <x:c r="J1566" s="7" t="str">
        <x:f>IF(AND(ISNUMBER(H1566),'요약'!$B$19),H1566-'요약'!$B$15,"")</x:f>
      </x:c>
      <x:c r="K1566" t="str">
        <x:f>IF(ISNUMBER(B1566),IF('Hill'!$B$4=1,IF(B1566&lt;0,-B1566,""),IF('Hill'!$B$4=2,IF(B1566&gt;0,B1566,""),IF('Hill'!$B$4=3,IF(B1566&lt;&gt;0,ABS(B1566),""),""))),"")</x:f>
      </x:c>
    </x:row>
    <x:row r="1567">
      <x:c r="A1567" t="n">
        <x:f>1566</x:f>
        <x:v>1566</x:v>
      </x:c>
      <x:c r="B1567" s="7" t="str">
        <x:f>IF('요약'!$B$4=4,IF(ISNUMBER('input'!A1567),'input'!A1567,""),IF(1566&lt;=1000,CHOOSE('요약'!$B$4,'input'!B1567,'input'!C1567,'input'!D1567),""))</x:f>
      </x:c>
      <x:c r="C1567" s="7" t="str">
        <x:f>IF(AND(ISNUMBER(B1567),'요약'!$B$19),B1567-'요약'!$B$7,"")</x:f>
      </x:c>
      <x:c r="D1567" s="7" t="str">
        <x:f>IF(ISNUMBER(C1567),C1567^2,"")</x:f>
      </x:c>
      <x:c r="E1567" s="15" t="str">
        <x:f>IF(ISNUMBER(C1567),C1567^3,"")</x:f>
      </x:c>
      <x:c r="F1567" s="15" t="str">
        <x:f>IF(ISNUMBER(C1567),C1567^4,"")</x:f>
      </x:c>
      <x:c r="G1567" s="7" t="str">
        <x:f>IF(ISNUMBER(B1567),ABS(B1567),"")</x:f>
      </x:c>
      <x:c r="H1567" s="7" t="str">
        <x:f>IF(ISNUMBER(B1567),B1567^2,"")</x:f>
      </x:c>
      <x:c r="I1567" s="7" t="str">
        <x:f>IF(AND(ISNUMBER(G1567),'요약'!$B$19),G1567-'요약'!$B$14,"")</x:f>
      </x:c>
      <x:c r="J1567" s="7" t="str">
        <x:f>IF(AND(ISNUMBER(H1567),'요약'!$B$19),H1567-'요약'!$B$15,"")</x:f>
      </x:c>
      <x:c r="K1567" t="str">
        <x:f>IF(ISNUMBER(B1567),IF('Hill'!$B$4=1,IF(B1567&lt;0,-B1567,""),IF('Hill'!$B$4=2,IF(B1567&gt;0,B1567,""),IF('Hill'!$B$4=3,IF(B1567&lt;&gt;0,ABS(B1567),""),""))),"")</x:f>
      </x:c>
    </x:row>
    <x:row r="1568">
      <x:c r="A1568" t="n">
        <x:f>1567</x:f>
        <x:v>1567</x:v>
      </x:c>
      <x:c r="B1568" s="7" t="str">
        <x:f>IF('요약'!$B$4=4,IF(ISNUMBER('input'!A1568),'input'!A1568,""),IF(1567&lt;=1000,CHOOSE('요약'!$B$4,'input'!B1568,'input'!C1568,'input'!D1568),""))</x:f>
      </x:c>
      <x:c r="C1568" s="7" t="str">
        <x:f>IF(AND(ISNUMBER(B1568),'요약'!$B$19),B1568-'요약'!$B$7,"")</x:f>
      </x:c>
      <x:c r="D1568" s="7" t="str">
        <x:f>IF(ISNUMBER(C1568),C1568^2,"")</x:f>
      </x:c>
      <x:c r="E1568" s="15" t="str">
        <x:f>IF(ISNUMBER(C1568),C1568^3,"")</x:f>
      </x:c>
      <x:c r="F1568" s="15" t="str">
        <x:f>IF(ISNUMBER(C1568),C1568^4,"")</x:f>
      </x:c>
      <x:c r="G1568" s="7" t="str">
        <x:f>IF(ISNUMBER(B1568),ABS(B1568),"")</x:f>
      </x:c>
      <x:c r="H1568" s="7" t="str">
        <x:f>IF(ISNUMBER(B1568),B1568^2,"")</x:f>
      </x:c>
      <x:c r="I1568" s="7" t="str">
        <x:f>IF(AND(ISNUMBER(G1568),'요약'!$B$19),G1568-'요약'!$B$14,"")</x:f>
      </x:c>
      <x:c r="J1568" s="7" t="str">
        <x:f>IF(AND(ISNUMBER(H1568),'요약'!$B$19),H1568-'요약'!$B$15,"")</x:f>
      </x:c>
      <x:c r="K1568" t="str">
        <x:f>IF(ISNUMBER(B1568),IF('Hill'!$B$4=1,IF(B1568&lt;0,-B1568,""),IF('Hill'!$B$4=2,IF(B1568&gt;0,B1568,""),IF('Hill'!$B$4=3,IF(B1568&lt;&gt;0,ABS(B1568),""),""))),"")</x:f>
      </x:c>
    </x:row>
    <x:row r="1569">
      <x:c r="A1569" t="n">
        <x:f>1568</x:f>
        <x:v>1568</x:v>
      </x:c>
      <x:c r="B1569" s="7" t="str">
        <x:f>IF('요약'!$B$4=4,IF(ISNUMBER('input'!A1569),'input'!A1569,""),IF(1568&lt;=1000,CHOOSE('요약'!$B$4,'input'!B1569,'input'!C1569,'input'!D1569),""))</x:f>
      </x:c>
      <x:c r="C1569" s="7" t="str">
        <x:f>IF(AND(ISNUMBER(B1569),'요약'!$B$19),B1569-'요약'!$B$7,"")</x:f>
      </x:c>
      <x:c r="D1569" s="7" t="str">
        <x:f>IF(ISNUMBER(C1569),C1569^2,"")</x:f>
      </x:c>
      <x:c r="E1569" s="15" t="str">
        <x:f>IF(ISNUMBER(C1569),C1569^3,"")</x:f>
      </x:c>
      <x:c r="F1569" s="15" t="str">
        <x:f>IF(ISNUMBER(C1569),C1569^4,"")</x:f>
      </x:c>
      <x:c r="G1569" s="7" t="str">
        <x:f>IF(ISNUMBER(B1569),ABS(B1569),"")</x:f>
      </x:c>
      <x:c r="H1569" s="7" t="str">
        <x:f>IF(ISNUMBER(B1569),B1569^2,"")</x:f>
      </x:c>
      <x:c r="I1569" s="7" t="str">
        <x:f>IF(AND(ISNUMBER(G1569),'요약'!$B$19),G1569-'요약'!$B$14,"")</x:f>
      </x:c>
      <x:c r="J1569" s="7" t="str">
        <x:f>IF(AND(ISNUMBER(H1569),'요약'!$B$19),H1569-'요약'!$B$15,"")</x:f>
      </x:c>
      <x:c r="K1569" t="str">
        <x:f>IF(ISNUMBER(B1569),IF('Hill'!$B$4=1,IF(B1569&lt;0,-B1569,""),IF('Hill'!$B$4=2,IF(B1569&gt;0,B1569,""),IF('Hill'!$B$4=3,IF(B1569&lt;&gt;0,ABS(B1569),""),""))),"")</x:f>
      </x:c>
    </x:row>
    <x:row r="1570">
      <x:c r="A1570" t="n">
        <x:f>1569</x:f>
        <x:v>1569</x:v>
      </x:c>
      <x:c r="B1570" s="7" t="str">
        <x:f>IF('요약'!$B$4=4,IF(ISNUMBER('input'!A1570),'input'!A1570,""),IF(1569&lt;=1000,CHOOSE('요약'!$B$4,'input'!B1570,'input'!C1570,'input'!D1570),""))</x:f>
      </x:c>
      <x:c r="C1570" s="7" t="str">
        <x:f>IF(AND(ISNUMBER(B1570),'요약'!$B$19),B1570-'요약'!$B$7,"")</x:f>
      </x:c>
      <x:c r="D1570" s="7" t="str">
        <x:f>IF(ISNUMBER(C1570),C1570^2,"")</x:f>
      </x:c>
      <x:c r="E1570" s="15" t="str">
        <x:f>IF(ISNUMBER(C1570),C1570^3,"")</x:f>
      </x:c>
      <x:c r="F1570" s="15" t="str">
        <x:f>IF(ISNUMBER(C1570),C1570^4,"")</x:f>
      </x:c>
      <x:c r="G1570" s="7" t="str">
        <x:f>IF(ISNUMBER(B1570),ABS(B1570),"")</x:f>
      </x:c>
      <x:c r="H1570" s="7" t="str">
        <x:f>IF(ISNUMBER(B1570),B1570^2,"")</x:f>
      </x:c>
      <x:c r="I1570" s="7" t="str">
        <x:f>IF(AND(ISNUMBER(G1570),'요약'!$B$19),G1570-'요약'!$B$14,"")</x:f>
      </x:c>
      <x:c r="J1570" s="7" t="str">
        <x:f>IF(AND(ISNUMBER(H1570),'요약'!$B$19),H1570-'요약'!$B$15,"")</x:f>
      </x:c>
      <x:c r="K1570" t="str">
        <x:f>IF(ISNUMBER(B1570),IF('Hill'!$B$4=1,IF(B1570&lt;0,-B1570,""),IF('Hill'!$B$4=2,IF(B1570&gt;0,B1570,""),IF('Hill'!$B$4=3,IF(B1570&lt;&gt;0,ABS(B1570),""),""))),"")</x:f>
      </x:c>
    </x:row>
    <x:row r="1571">
      <x:c r="A1571" t="n">
        <x:f>1570</x:f>
        <x:v>1570</x:v>
      </x:c>
      <x:c r="B1571" s="7" t="str">
        <x:f>IF('요약'!$B$4=4,IF(ISNUMBER('input'!A1571),'input'!A1571,""),IF(1570&lt;=1000,CHOOSE('요약'!$B$4,'input'!B1571,'input'!C1571,'input'!D1571),""))</x:f>
      </x:c>
      <x:c r="C1571" s="7" t="str">
        <x:f>IF(AND(ISNUMBER(B1571),'요약'!$B$19),B1571-'요약'!$B$7,"")</x:f>
      </x:c>
      <x:c r="D1571" s="7" t="str">
        <x:f>IF(ISNUMBER(C1571),C1571^2,"")</x:f>
      </x:c>
      <x:c r="E1571" s="15" t="str">
        <x:f>IF(ISNUMBER(C1571),C1571^3,"")</x:f>
      </x:c>
      <x:c r="F1571" s="15" t="str">
        <x:f>IF(ISNUMBER(C1571),C1571^4,"")</x:f>
      </x:c>
      <x:c r="G1571" s="7" t="str">
        <x:f>IF(ISNUMBER(B1571),ABS(B1571),"")</x:f>
      </x:c>
      <x:c r="H1571" s="7" t="str">
        <x:f>IF(ISNUMBER(B1571),B1571^2,"")</x:f>
      </x:c>
      <x:c r="I1571" s="7" t="str">
        <x:f>IF(AND(ISNUMBER(G1571),'요약'!$B$19),G1571-'요약'!$B$14,"")</x:f>
      </x:c>
      <x:c r="J1571" s="7" t="str">
        <x:f>IF(AND(ISNUMBER(H1571),'요약'!$B$19),H1571-'요약'!$B$15,"")</x:f>
      </x:c>
      <x:c r="K1571" t="str">
        <x:f>IF(ISNUMBER(B1571),IF('Hill'!$B$4=1,IF(B1571&lt;0,-B1571,""),IF('Hill'!$B$4=2,IF(B1571&gt;0,B1571,""),IF('Hill'!$B$4=3,IF(B1571&lt;&gt;0,ABS(B1571),""),""))),"")</x:f>
      </x:c>
    </x:row>
    <x:row r="1572">
      <x:c r="A1572" t="n">
        <x:f>1571</x:f>
        <x:v>1571</x:v>
      </x:c>
      <x:c r="B1572" s="7" t="str">
        <x:f>IF('요약'!$B$4=4,IF(ISNUMBER('input'!A1572),'input'!A1572,""),IF(1571&lt;=1000,CHOOSE('요약'!$B$4,'input'!B1572,'input'!C1572,'input'!D1572),""))</x:f>
      </x:c>
      <x:c r="C1572" s="7" t="str">
        <x:f>IF(AND(ISNUMBER(B1572),'요약'!$B$19),B1572-'요약'!$B$7,"")</x:f>
      </x:c>
      <x:c r="D1572" s="7" t="str">
        <x:f>IF(ISNUMBER(C1572),C1572^2,"")</x:f>
      </x:c>
      <x:c r="E1572" s="15" t="str">
        <x:f>IF(ISNUMBER(C1572),C1572^3,"")</x:f>
      </x:c>
      <x:c r="F1572" s="15" t="str">
        <x:f>IF(ISNUMBER(C1572),C1572^4,"")</x:f>
      </x:c>
      <x:c r="G1572" s="7" t="str">
        <x:f>IF(ISNUMBER(B1572),ABS(B1572),"")</x:f>
      </x:c>
      <x:c r="H1572" s="7" t="str">
        <x:f>IF(ISNUMBER(B1572),B1572^2,"")</x:f>
      </x:c>
      <x:c r="I1572" s="7" t="str">
        <x:f>IF(AND(ISNUMBER(G1572),'요약'!$B$19),G1572-'요약'!$B$14,"")</x:f>
      </x:c>
      <x:c r="J1572" s="7" t="str">
        <x:f>IF(AND(ISNUMBER(H1572),'요약'!$B$19),H1572-'요약'!$B$15,"")</x:f>
      </x:c>
      <x:c r="K1572" t="str">
        <x:f>IF(ISNUMBER(B1572),IF('Hill'!$B$4=1,IF(B1572&lt;0,-B1572,""),IF('Hill'!$B$4=2,IF(B1572&gt;0,B1572,""),IF('Hill'!$B$4=3,IF(B1572&lt;&gt;0,ABS(B1572),""),""))),"")</x:f>
      </x:c>
    </x:row>
    <x:row r="1573">
      <x:c r="A1573" t="n">
        <x:f>1572</x:f>
        <x:v>1572</x:v>
      </x:c>
      <x:c r="B1573" s="7" t="str">
        <x:f>IF('요약'!$B$4=4,IF(ISNUMBER('input'!A1573),'input'!A1573,""),IF(1572&lt;=1000,CHOOSE('요약'!$B$4,'input'!B1573,'input'!C1573,'input'!D1573),""))</x:f>
      </x:c>
      <x:c r="C1573" s="7" t="str">
        <x:f>IF(AND(ISNUMBER(B1573),'요약'!$B$19),B1573-'요약'!$B$7,"")</x:f>
      </x:c>
      <x:c r="D1573" s="7" t="str">
        <x:f>IF(ISNUMBER(C1573),C1573^2,"")</x:f>
      </x:c>
      <x:c r="E1573" s="15" t="str">
        <x:f>IF(ISNUMBER(C1573),C1573^3,"")</x:f>
      </x:c>
      <x:c r="F1573" s="15" t="str">
        <x:f>IF(ISNUMBER(C1573),C1573^4,"")</x:f>
      </x:c>
      <x:c r="G1573" s="7" t="str">
        <x:f>IF(ISNUMBER(B1573),ABS(B1573),"")</x:f>
      </x:c>
      <x:c r="H1573" s="7" t="str">
        <x:f>IF(ISNUMBER(B1573),B1573^2,"")</x:f>
      </x:c>
      <x:c r="I1573" s="7" t="str">
        <x:f>IF(AND(ISNUMBER(G1573),'요약'!$B$19),G1573-'요약'!$B$14,"")</x:f>
      </x:c>
      <x:c r="J1573" s="7" t="str">
        <x:f>IF(AND(ISNUMBER(H1573),'요약'!$B$19),H1573-'요약'!$B$15,"")</x:f>
      </x:c>
      <x:c r="K1573" t="str">
        <x:f>IF(ISNUMBER(B1573),IF('Hill'!$B$4=1,IF(B1573&lt;0,-B1573,""),IF('Hill'!$B$4=2,IF(B1573&gt;0,B1573,""),IF('Hill'!$B$4=3,IF(B1573&lt;&gt;0,ABS(B1573),""),""))),"")</x:f>
      </x:c>
    </x:row>
    <x:row r="1574">
      <x:c r="A1574" t="n">
        <x:f>1573</x:f>
        <x:v>1573</x:v>
      </x:c>
      <x:c r="B1574" s="7" t="str">
        <x:f>IF('요약'!$B$4=4,IF(ISNUMBER('input'!A1574),'input'!A1574,""),IF(1573&lt;=1000,CHOOSE('요약'!$B$4,'input'!B1574,'input'!C1574,'input'!D1574),""))</x:f>
      </x:c>
      <x:c r="C1574" s="7" t="str">
        <x:f>IF(AND(ISNUMBER(B1574),'요약'!$B$19),B1574-'요약'!$B$7,"")</x:f>
      </x:c>
      <x:c r="D1574" s="7" t="str">
        <x:f>IF(ISNUMBER(C1574),C1574^2,"")</x:f>
      </x:c>
      <x:c r="E1574" s="15" t="str">
        <x:f>IF(ISNUMBER(C1574),C1574^3,"")</x:f>
      </x:c>
      <x:c r="F1574" s="15" t="str">
        <x:f>IF(ISNUMBER(C1574),C1574^4,"")</x:f>
      </x:c>
      <x:c r="G1574" s="7" t="str">
        <x:f>IF(ISNUMBER(B1574),ABS(B1574),"")</x:f>
      </x:c>
      <x:c r="H1574" s="7" t="str">
        <x:f>IF(ISNUMBER(B1574),B1574^2,"")</x:f>
      </x:c>
      <x:c r="I1574" s="7" t="str">
        <x:f>IF(AND(ISNUMBER(G1574),'요약'!$B$19),G1574-'요약'!$B$14,"")</x:f>
      </x:c>
      <x:c r="J1574" s="7" t="str">
        <x:f>IF(AND(ISNUMBER(H1574),'요약'!$B$19),H1574-'요약'!$B$15,"")</x:f>
      </x:c>
      <x:c r="K1574" t="str">
        <x:f>IF(ISNUMBER(B1574),IF('Hill'!$B$4=1,IF(B1574&lt;0,-B1574,""),IF('Hill'!$B$4=2,IF(B1574&gt;0,B1574,""),IF('Hill'!$B$4=3,IF(B1574&lt;&gt;0,ABS(B1574),""),""))),"")</x:f>
      </x:c>
    </x:row>
    <x:row r="1575">
      <x:c r="A1575" t="n">
        <x:f>1574</x:f>
        <x:v>1574</x:v>
      </x:c>
      <x:c r="B1575" s="7" t="str">
        <x:f>IF('요약'!$B$4=4,IF(ISNUMBER('input'!A1575),'input'!A1575,""),IF(1574&lt;=1000,CHOOSE('요약'!$B$4,'input'!B1575,'input'!C1575,'input'!D1575),""))</x:f>
      </x:c>
      <x:c r="C1575" s="7" t="str">
        <x:f>IF(AND(ISNUMBER(B1575),'요약'!$B$19),B1575-'요약'!$B$7,"")</x:f>
      </x:c>
      <x:c r="D1575" s="7" t="str">
        <x:f>IF(ISNUMBER(C1575),C1575^2,"")</x:f>
      </x:c>
      <x:c r="E1575" s="15" t="str">
        <x:f>IF(ISNUMBER(C1575),C1575^3,"")</x:f>
      </x:c>
      <x:c r="F1575" s="15" t="str">
        <x:f>IF(ISNUMBER(C1575),C1575^4,"")</x:f>
      </x:c>
      <x:c r="G1575" s="7" t="str">
        <x:f>IF(ISNUMBER(B1575),ABS(B1575),"")</x:f>
      </x:c>
      <x:c r="H1575" s="7" t="str">
        <x:f>IF(ISNUMBER(B1575),B1575^2,"")</x:f>
      </x:c>
      <x:c r="I1575" s="7" t="str">
        <x:f>IF(AND(ISNUMBER(G1575),'요약'!$B$19),G1575-'요약'!$B$14,"")</x:f>
      </x:c>
      <x:c r="J1575" s="7" t="str">
        <x:f>IF(AND(ISNUMBER(H1575),'요약'!$B$19),H1575-'요약'!$B$15,"")</x:f>
      </x:c>
      <x:c r="K1575" t="str">
        <x:f>IF(ISNUMBER(B1575),IF('Hill'!$B$4=1,IF(B1575&lt;0,-B1575,""),IF('Hill'!$B$4=2,IF(B1575&gt;0,B1575,""),IF('Hill'!$B$4=3,IF(B1575&lt;&gt;0,ABS(B1575),""),""))),"")</x:f>
      </x:c>
    </x:row>
    <x:row r="1576">
      <x:c r="A1576" t="n">
        <x:f>1575</x:f>
        <x:v>1575</x:v>
      </x:c>
      <x:c r="B1576" s="7" t="str">
        <x:f>IF('요약'!$B$4=4,IF(ISNUMBER('input'!A1576),'input'!A1576,""),IF(1575&lt;=1000,CHOOSE('요약'!$B$4,'input'!B1576,'input'!C1576,'input'!D1576),""))</x:f>
      </x:c>
      <x:c r="C1576" s="7" t="str">
        <x:f>IF(AND(ISNUMBER(B1576),'요약'!$B$19),B1576-'요약'!$B$7,"")</x:f>
      </x:c>
      <x:c r="D1576" s="7" t="str">
        <x:f>IF(ISNUMBER(C1576),C1576^2,"")</x:f>
      </x:c>
      <x:c r="E1576" s="15" t="str">
        <x:f>IF(ISNUMBER(C1576),C1576^3,"")</x:f>
      </x:c>
      <x:c r="F1576" s="15" t="str">
        <x:f>IF(ISNUMBER(C1576),C1576^4,"")</x:f>
      </x:c>
      <x:c r="G1576" s="7" t="str">
        <x:f>IF(ISNUMBER(B1576),ABS(B1576),"")</x:f>
      </x:c>
      <x:c r="H1576" s="7" t="str">
        <x:f>IF(ISNUMBER(B1576),B1576^2,"")</x:f>
      </x:c>
      <x:c r="I1576" s="7" t="str">
        <x:f>IF(AND(ISNUMBER(G1576),'요약'!$B$19),G1576-'요약'!$B$14,"")</x:f>
      </x:c>
      <x:c r="J1576" s="7" t="str">
        <x:f>IF(AND(ISNUMBER(H1576),'요약'!$B$19),H1576-'요약'!$B$15,"")</x:f>
      </x:c>
      <x:c r="K1576" t="str">
        <x:f>IF(ISNUMBER(B1576),IF('Hill'!$B$4=1,IF(B1576&lt;0,-B1576,""),IF('Hill'!$B$4=2,IF(B1576&gt;0,B1576,""),IF('Hill'!$B$4=3,IF(B1576&lt;&gt;0,ABS(B1576),""),""))),"")</x:f>
      </x:c>
    </x:row>
    <x:row r="1577">
      <x:c r="A1577" t="n">
        <x:f>1576</x:f>
        <x:v>1576</x:v>
      </x:c>
      <x:c r="B1577" s="7" t="str">
        <x:f>IF('요약'!$B$4=4,IF(ISNUMBER('input'!A1577),'input'!A1577,""),IF(1576&lt;=1000,CHOOSE('요약'!$B$4,'input'!B1577,'input'!C1577,'input'!D1577),""))</x:f>
      </x:c>
      <x:c r="C1577" s="7" t="str">
        <x:f>IF(AND(ISNUMBER(B1577),'요약'!$B$19),B1577-'요약'!$B$7,"")</x:f>
      </x:c>
      <x:c r="D1577" s="7" t="str">
        <x:f>IF(ISNUMBER(C1577),C1577^2,"")</x:f>
      </x:c>
      <x:c r="E1577" s="15" t="str">
        <x:f>IF(ISNUMBER(C1577),C1577^3,"")</x:f>
      </x:c>
      <x:c r="F1577" s="15" t="str">
        <x:f>IF(ISNUMBER(C1577),C1577^4,"")</x:f>
      </x:c>
      <x:c r="G1577" s="7" t="str">
        <x:f>IF(ISNUMBER(B1577),ABS(B1577),"")</x:f>
      </x:c>
      <x:c r="H1577" s="7" t="str">
        <x:f>IF(ISNUMBER(B1577),B1577^2,"")</x:f>
      </x:c>
      <x:c r="I1577" s="7" t="str">
        <x:f>IF(AND(ISNUMBER(G1577),'요약'!$B$19),G1577-'요약'!$B$14,"")</x:f>
      </x:c>
      <x:c r="J1577" s="7" t="str">
        <x:f>IF(AND(ISNUMBER(H1577),'요약'!$B$19),H1577-'요약'!$B$15,"")</x:f>
      </x:c>
      <x:c r="K1577" t="str">
        <x:f>IF(ISNUMBER(B1577),IF('Hill'!$B$4=1,IF(B1577&lt;0,-B1577,""),IF('Hill'!$B$4=2,IF(B1577&gt;0,B1577,""),IF('Hill'!$B$4=3,IF(B1577&lt;&gt;0,ABS(B1577),""),""))),"")</x:f>
      </x:c>
    </x:row>
    <x:row r="1578">
      <x:c r="A1578" t="n">
        <x:f>1577</x:f>
        <x:v>1577</x:v>
      </x:c>
      <x:c r="B1578" s="7" t="str">
        <x:f>IF('요약'!$B$4=4,IF(ISNUMBER('input'!A1578),'input'!A1578,""),IF(1577&lt;=1000,CHOOSE('요약'!$B$4,'input'!B1578,'input'!C1578,'input'!D1578),""))</x:f>
      </x:c>
      <x:c r="C1578" s="7" t="str">
        <x:f>IF(AND(ISNUMBER(B1578),'요약'!$B$19),B1578-'요약'!$B$7,"")</x:f>
      </x:c>
      <x:c r="D1578" s="7" t="str">
        <x:f>IF(ISNUMBER(C1578),C1578^2,"")</x:f>
      </x:c>
      <x:c r="E1578" s="15" t="str">
        <x:f>IF(ISNUMBER(C1578),C1578^3,"")</x:f>
      </x:c>
      <x:c r="F1578" s="15" t="str">
        <x:f>IF(ISNUMBER(C1578),C1578^4,"")</x:f>
      </x:c>
      <x:c r="G1578" s="7" t="str">
        <x:f>IF(ISNUMBER(B1578),ABS(B1578),"")</x:f>
      </x:c>
      <x:c r="H1578" s="7" t="str">
        <x:f>IF(ISNUMBER(B1578),B1578^2,"")</x:f>
      </x:c>
      <x:c r="I1578" s="7" t="str">
        <x:f>IF(AND(ISNUMBER(G1578),'요약'!$B$19),G1578-'요약'!$B$14,"")</x:f>
      </x:c>
      <x:c r="J1578" s="7" t="str">
        <x:f>IF(AND(ISNUMBER(H1578),'요약'!$B$19),H1578-'요약'!$B$15,"")</x:f>
      </x:c>
      <x:c r="K1578" t="str">
        <x:f>IF(ISNUMBER(B1578),IF('Hill'!$B$4=1,IF(B1578&lt;0,-B1578,""),IF('Hill'!$B$4=2,IF(B1578&gt;0,B1578,""),IF('Hill'!$B$4=3,IF(B1578&lt;&gt;0,ABS(B1578),""),""))),"")</x:f>
      </x:c>
    </x:row>
    <x:row r="1579">
      <x:c r="A1579" t="n">
        <x:f>1578</x:f>
        <x:v>1578</x:v>
      </x:c>
      <x:c r="B1579" s="7" t="str">
        <x:f>IF('요약'!$B$4=4,IF(ISNUMBER('input'!A1579),'input'!A1579,""),IF(1578&lt;=1000,CHOOSE('요약'!$B$4,'input'!B1579,'input'!C1579,'input'!D1579),""))</x:f>
      </x:c>
      <x:c r="C1579" s="7" t="str">
        <x:f>IF(AND(ISNUMBER(B1579),'요약'!$B$19),B1579-'요약'!$B$7,"")</x:f>
      </x:c>
      <x:c r="D1579" s="7" t="str">
        <x:f>IF(ISNUMBER(C1579),C1579^2,"")</x:f>
      </x:c>
      <x:c r="E1579" s="15" t="str">
        <x:f>IF(ISNUMBER(C1579),C1579^3,"")</x:f>
      </x:c>
      <x:c r="F1579" s="15" t="str">
        <x:f>IF(ISNUMBER(C1579),C1579^4,"")</x:f>
      </x:c>
      <x:c r="G1579" s="7" t="str">
        <x:f>IF(ISNUMBER(B1579),ABS(B1579),"")</x:f>
      </x:c>
      <x:c r="H1579" s="7" t="str">
        <x:f>IF(ISNUMBER(B1579),B1579^2,"")</x:f>
      </x:c>
      <x:c r="I1579" s="7" t="str">
        <x:f>IF(AND(ISNUMBER(G1579),'요약'!$B$19),G1579-'요약'!$B$14,"")</x:f>
      </x:c>
      <x:c r="J1579" s="7" t="str">
        <x:f>IF(AND(ISNUMBER(H1579),'요약'!$B$19),H1579-'요약'!$B$15,"")</x:f>
      </x:c>
      <x:c r="K1579" t="str">
        <x:f>IF(ISNUMBER(B1579),IF('Hill'!$B$4=1,IF(B1579&lt;0,-B1579,""),IF('Hill'!$B$4=2,IF(B1579&gt;0,B1579,""),IF('Hill'!$B$4=3,IF(B1579&lt;&gt;0,ABS(B1579),""),""))),"")</x:f>
      </x:c>
    </x:row>
    <x:row r="1580">
      <x:c r="A1580" t="n">
        <x:f>1579</x:f>
        <x:v>1579</x:v>
      </x:c>
      <x:c r="B1580" s="7" t="str">
        <x:f>IF('요약'!$B$4=4,IF(ISNUMBER('input'!A1580),'input'!A1580,""),IF(1579&lt;=1000,CHOOSE('요약'!$B$4,'input'!B1580,'input'!C1580,'input'!D1580),""))</x:f>
      </x:c>
      <x:c r="C1580" s="7" t="str">
        <x:f>IF(AND(ISNUMBER(B1580),'요약'!$B$19),B1580-'요약'!$B$7,"")</x:f>
      </x:c>
      <x:c r="D1580" s="7" t="str">
        <x:f>IF(ISNUMBER(C1580),C1580^2,"")</x:f>
      </x:c>
      <x:c r="E1580" s="15" t="str">
        <x:f>IF(ISNUMBER(C1580),C1580^3,"")</x:f>
      </x:c>
      <x:c r="F1580" s="15" t="str">
        <x:f>IF(ISNUMBER(C1580),C1580^4,"")</x:f>
      </x:c>
      <x:c r="G1580" s="7" t="str">
        <x:f>IF(ISNUMBER(B1580),ABS(B1580),"")</x:f>
      </x:c>
      <x:c r="H1580" s="7" t="str">
        <x:f>IF(ISNUMBER(B1580),B1580^2,"")</x:f>
      </x:c>
      <x:c r="I1580" s="7" t="str">
        <x:f>IF(AND(ISNUMBER(G1580),'요약'!$B$19),G1580-'요약'!$B$14,"")</x:f>
      </x:c>
      <x:c r="J1580" s="7" t="str">
        <x:f>IF(AND(ISNUMBER(H1580),'요약'!$B$19),H1580-'요약'!$B$15,"")</x:f>
      </x:c>
      <x:c r="K1580" t="str">
        <x:f>IF(ISNUMBER(B1580),IF('Hill'!$B$4=1,IF(B1580&lt;0,-B1580,""),IF('Hill'!$B$4=2,IF(B1580&gt;0,B1580,""),IF('Hill'!$B$4=3,IF(B1580&lt;&gt;0,ABS(B1580),""),""))),"")</x:f>
      </x:c>
    </x:row>
    <x:row r="1581">
      <x:c r="A1581" t="n">
        <x:f>1580</x:f>
        <x:v>1580</x:v>
      </x:c>
      <x:c r="B1581" s="7" t="str">
        <x:f>IF('요약'!$B$4=4,IF(ISNUMBER('input'!A1581),'input'!A1581,""),IF(1580&lt;=1000,CHOOSE('요약'!$B$4,'input'!B1581,'input'!C1581,'input'!D1581),""))</x:f>
      </x:c>
      <x:c r="C1581" s="7" t="str">
        <x:f>IF(AND(ISNUMBER(B1581),'요약'!$B$19),B1581-'요약'!$B$7,"")</x:f>
      </x:c>
      <x:c r="D1581" s="7" t="str">
        <x:f>IF(ISNUMBER(C1581),C1581^2,"")</x:f>
      </x:c>
      <x:c r="E1581" s="15" t="str">
        <x:f>IF(ISNUMBER(C1581),C1581^3,"")</x:f>
      </x:c>
      <x:c r="F1581" s="15" t="str">
        <x:f>IF(ISNUMBER(C1581),C1581^4,"")</x:f>
      </x:c>
      <x:c r="G1581" s="7" t="str">
        <x:f>IF(ISNUMBER(B1581),ABS(B1581),"")</x:f>
      </x:c>
      <x:c r="H1581" s="7" t="str">
        <x:f>IF(ISNUMBER(B1581),B1581^2,"")</x:f>
      </x:c>
      <x:c r="I1581" s="7" t="str">
        <x:f>IF(AND(ISNUMBER(G1581),'요약'!$B$19),G1581-'요약'!$B$14,"")</x:f>
      </x:c>
      <x:c r="J1581" s="7" t="str">
        <x:f>IF(AND(ISNUMBER(H1581),'요약'!$B$19),H1581-'요약'!$B$15,"")</x:f>
      </x:c>
      <x:c r="K1581" t="str">
        <x:f>IF(ISNUMBER(B1581),IF('Hill'!$B$4=1,IF(B1581&lt;0,-B1581,""),IF('Hill'!$B$4=2,IF(B1581&gt;0,B1581,""),IF('Hill'!$B$4=3,IF(B1581&lt;&gt;0,ABS(B1581),""),""))),"")</x:f>
      </x:c>
    </x:row>
    <x:row r="1582">
      <x:c r="A1582" t="n">
        <x:f>1581</x:f>
        <x:v>1581</x:v>
      </x:c>
      <x:c r="B1582" s="7" t="str">
        <x:f>IF('요약'!$B$4=4,IF(ISNUMBER('input'!A1582),'input'!A1582,""),IF(1581&lt;=1000,CHOOSE('요약'!$B$4,'input'!B1582,'input'!C1582,'input'!D1582),""))</x:f>
      </x:c>
      <x:c r="C1582" s="7" t="str">
        <x:f>IF(AND(ISNUMBER(B1582),'요약'!$B$19),B1582-'요약'!$B$7,"")</x:f>
      </x:c>
      <x:c r="D1582" s="7" t="str">
        <x:f>IF(ISNUMBER(C1582),C1582^2,"")</x:f>
      </x:c>
      <x:c r="E1582" s="15" t="str">
        <x:f>IF(ISNUMBER(C1582),C1582^3,"")</x:f>
      </x:c>
      <x:c r="F1582" s="15" t="str">
        <x:f>IF(ISNUMBER(C1582),C1582^4,"")</x:f>
      </x:c>
      <x:c r="G1582" s="7" t="str">
        <x:f>IF(ISNUMBER(B1582),ABS(B1582),"")</x:f>
      </x:c>
      <x:c r="H1582" s="7" t="str">
        <x:f>IF(ISNUMBER(B1582),B1582^2,"")</x:f>
      </x:c>
      <x:c r="I1582" s="7" t="str">
        <x:f>IF(AND(ISNUMBER(G1582),'요약'!$B$19),G1582-'요약'!$B$14,"")</x:f>
      </x:c>
      <x:c r="J1582" s="7" t="str">
        <x:f>IF(AND(ISNUMBER(H1582),'요약'!$B$19),H1582-'요약'!$B$15,"")</x:f>
      </x:c>
      <x:c r="K1582" t="str">
        <x:f>IF(ISNUMBER(B1582),IF('Hill'!$B$4=1,IF(B1582&lt;0,-B1582,""),IF('Hill'!$B$4=2,IF(B1582&gt;0,B1582,""),IF('Hill'!$B$4=3,IF(B1582&lt;&gt;0,ABS(B1582),""),""))),"")</x:f>
      </x:c>
    </x:row>
    <x:row r="1583">
      <x:c r="A1583" t="n">
        <x:f>1582</x:f>
        <x:v>1582</x:v>
      </x:c>
      <x:c r="B1583" s="7" t="str">
        <x:f>IF('요약'!$B$4=4,IF(ISNUMBER('input'!A1583),'input'!A1583,""),IF(1582&lt;=1000,CHOOSE('요약'!$B$4,'input'!B1583,'input'!C1583,'input'!D1583),""))</x:f>
      </x:c>
      <x:c r="C1583" s="7" t="str">
        <x:f>IF(AND(ISNUMBER(B1583),'요약'!$B$19),B1583-'요약'!$B$7,"")</x:f>
      </x:c>
      <x:c r="D1583" s="7" t="str">
        <x:f>IF(ISNUMBER(C1583),C1583^2,"")</x:f>
      </x:c>
      <x:c r="E1583" s="15" t="str">
        <x:f>IF(ISNUMBER(C1583),C1583^3,"")</x:f>
      </x:c>
      <x:c r="F1583" s="15" t="str">
        <x:f>IF(ISNUMBER(C1583),C1583^4,"")</x:f>
      </x:c>
      <x:c r="G1583" s="7" t="str">
        <x:f>IF(ISNUMBER(B1583),ABS(B1583),"")</x:f>
      </x:c>
      <x:c r="H1583" s="7" t="str">
        <x:f>IF(ISNUMBER(B1583),B1583^2,"")</x:f>
      </x:c>
      <x:c r="I1583" s="7" t="str">
        <x:f>IF(AND(ISNUMBER(G1583),'요약'!$B$19),G1583-'요약'!$B$14,"")</x:f>
      </x:c>
      <x:c r="J1583" s="7" t="str">
        <x:f>IF(AND(ISNUMBER(H1583),'요약'!$B$19),H1583-'요약'!$B$15,"")</x:f>
      </x:c>
      <x:c r="K1583" t="str">
        <x:f>IF(ISNUMBER(B1583),IF('Hill'!$B$4=1,IF(B1583&lt;0,-B1583,""),IF('Hill'!$B$4=2,IF(B1583&gt;0,B1583,""),IF('Hill'!$B$4=3,IF(B1583&lt;&gt;0,ABS(B1583),""),""))),"")</x:f>
      </x:c>
    </x:row>
    <x:row r="1584">
      <x:c r="A1584" t="n">
        <x:f>1583</x:f>
        <x:v>1583</x:v>
      </x:c>
      <x:c r="B1584" s="7" t="str">
        <x:f>IF('요약'!$B$4=4,IF(ISNUMBER('input'!A1584),'input'!A1584,""),IF(1583&lt;=1000,CHOOSE('요약'!$B$4,'input'!B1584,'input'!C1584,'input'!D1584),""))</x:f>
      </x:c>
      <x:c r="C1584" s="7" t="str">
        <x:f>IF(AND(ISNUMBER(B1584),'요약'!$B$19),B1584-'요약'!$B$7,"")</x:f>
      </x:c>
      <x:c r="D1584" s="7" t="str">
        <x:f>IF(ISNUMBER(C1584),C1584^2,"")</x:f>
      </x:c>
      <x:c r="E1584" s="15" t="str">
        <x:f>IF(ISNUMBER(C1584),C1584^3,"")</x:f>
      </x:c>
      <x:c r="F1584" s="15" t="str">
        <x:f>IF(ISNUMBER(C1584),C1584^4,"")</x:f>
      </x:c>
      <x:c r="G1584" s="7" t="str">
        <x:f>IF(ISNUMBER(B1584),ABS(B1584),"")</x:f>
      </x:c>
      <x:c r="H1584" s="7" t="str">
        <x:f>IF(ISNUMBER(B1584),B1584^2,"")</x:f>
      </x:c>
      <x:c r="I1584" s="7" t="str">
        <x:f>IF(AND(ISNUMBER(G1584),'요약'!$B$19),G1584-'요약'!$B$14,"")</x:f>
      </x:c>
      <x:c r="J1584" s="7" t="str">
        <x:f>IF(AND(ISNUMBER(H1584),'요약'!$B$19),H1584-'요약'!$B$15,"")</x:f>
      </x:c>
      <x:c r="K1584" t="str">
        <x:f>IF(ISNUMBER(B1584),IF('Hill'!$B$4=1,IF(B1584&lt;0,-B1584,""),IF('Hill'!$B$4=2,IF(B1584&gt;0,B1584,""),IF('Hill'!$B$4=3,IF(B1584&lt;&gt;0,ABS(B1584),""),""))),"")</x:f>
      </x:c>
    </x:row>
    <x:row r="1585">
      <x:c r="A1585" t="n">
        <x:f>1584</x:f>
        <x:v>1584</x:v>
      </x:c>
      <x:c r="B1585" s="7" t="str">
        <x:f>IF('요약'!$B$4=4,IF(ISNUMBER('input'!A1585),'input'!A1585,""),IF(1584&lt;=1000,CHOOSE('요약'!$B$4,'input'!B1585,'input'!C1585,'input'!D1585),""))</x:f>
      </x:c>
      <x:c r="C1585" s="7" t="str">
        <x:f>IF(AND(ISNUMBER(B1585),'요약'!$B$19),B1585-'요약'!$B$7,"")</x:f>
      </x:c>
      <x:c r="D1585" s="7" t="str">
        <x:f>IF(ISNUMBER(C1585),C1585^2,"")</x:f>
      </x:c>
      <x:c r="E1585" s="15" t="str">
        <x:f>IF(ISNUMBER(C1585),C1585^3,"")</x:f>
      </x:c>
      <x:c r="F1585" s="15" t="str">
        <x:f>IF(ISNUMBER(C1585),C1585^4,"")</x:f>
      </x:c>
      <x:c r="G1585" s="7" t="str">
        <x:f>IF(ISNUMBER(B1585),ABS(B1585),"")</x:f>
      </x:c>
      <x:c r="H1585" s="7" t="str">
        <x:f>IF(ISNUMBER(B1585),B1585^2,"")</x:f>
      </x:c>
      <x:c r="I1585" s="7" t="str">
        <x:f>IF(AND(ISNUMBER(G1585),'요약'!$B$19),G1585-'요약'!$B$14,"")</x:f>
      </x:c>
      <x:c r="J1585" s="7" t="str">
        <x:f>IF(AND(ISNUMBER(H1585),'요약'!$B$19),H1585-'요약'!$B$15,"")</x:f>
      </x:c>
      <x:c r="K1585" t="str">
        <x:f>IF(ISNUMBER(B1585),IF('Hill'!$B$4=1,IF(B1585&lt;0,-B1585,""),IF('Hill'!$B$4=2,IF(B1585&gt;0,B1585,""),IF('Hill'!$B$4=3,IF(B1585&lt;&gt;0,ABS(B1585),""),""))),"")</x:f>
      </x:c>
    </x:row>
    <x:row r="1586">
      <x:c r="A1586" t="n">
        <x:f>1585</x:f>
        <x:v>1585</x:v>
      </x:c>
      <x:c r="B1586" s="7" t="str">
        <x:f>IF('요약'!$B$4=4,IF(ISNUMBER('input'!A1586),'input'!A1586,""),IF(1585&lt;=1000,CHOOSE('요약'!$B$4,'input'!B1586,'input'!C1586,'input'!D1586),""))</x:f>
      </x:c>
      <x:c r="C1586" s="7" t="str">
        <x:f>IF(AND(ISNUMBER(B1586),'요약'!$B$19),B1586-'요약'!$B$7,"")</x:f>
      </x:c>
      <x:c r="D1586" s="7" t="str">
        <x:f>IF(ISNUMBER(C1586),C1586^2,"")</x:f>
      </x:c>
      <x:c r="E1586" s="15" t="str">
        <x:f>IF(ISNUMBER(C1586),C1586^3,"")</x:f>
      </x:c>
      <x:c r="F1586" s="15" t="str">
        <x:f>IF(ISNUMBER(C1586),C1586^4,"")</x:f>
      </x:c>
      <x:c r="G1586" s="7" t="str">
        <x:f>IF(ISNUMBER(B1586),ABS(B1586),"")</x:f>
      </x:c>
      <x:c r="H1586" s="7" t="str">
        <x:f>IF(ISNUMBER(B1586),B1586^2,"")</x:f>
      </x:c>
      <x:c r="I1586" s="7" t="str">
        <x:f>IF(AND(ISNUMBER(G1586),'요약'!$B$19),G1586-'요약'!$B$14,"")</x:f>
      </x:c>
      <x:c r="J1586" s="7" t="str">
        <x:f>IF(AND(ISNUMBER(H1586),'요약'!$B$19),H1586-'요약'!$B$15,"")</x:f>
      </x:c>
      <x:c r="K1586" t="str">
        <x:f>IF(ISNUMBER(B1586),IF('Hill'!$B$4=1,IF(B1586&lt;0,-B1586,""),IF('Hill'!$B$4=2,IF(B1586&gt;0,B1586,""),IF('Hill'!$B$4=3,IF(B1586&lt;&gt;0,ABS(B1586),""),""))),"")</x:f>
      </x:c>
    </x:row>
    <x:row r="1587">
      <x:c r="A1587" t="n">
        <x:f>1586</x:f>
        <x:v>1586</x:v>
      </x:c>
      <x:c r="B1587" s="7" t="str">
        <x:f>IF('요약'!$B$4=4,IF(ISNUMBER('input'!A1587),'input'!A1587,""),IF(1586&lt;=1000,CHOOSE('요약'!$B$4,'input'!B1587,'input'!C1587,'input'!D1587),""))</x:f>
      </x:c>
      <x:c r="C1587" s="7" t="str">
        <x:f>IF(AND(ISNUMBER(B1587),'요약'!$B$19),B1587-'요약'!$B$7,"")</x:f>
      </x:c>
      <x:c r="D1587" s="7" t="str">
        <x:f>IF(ISNUMBER(C1587),C1587^2,"")</x:f>
      </x:c>
      <x:c r="E1587" s="15" t="str">
        <x:f>IF(ISNUMBER(C1587),C1587^3,"")</x:f>
      </x:c>
      <x:c r="F1587" s="15" t="str">
        <x:f>IF(ISNUMBER(C1587),C1587^4,"")</x:f>
      </x:c>
      <x:c r="G1587" s="7" t="str">
        <x:f>IF(ISNUMBER(B1587),ABS(B1587),"")</x:f>
      </x:c>
      <x:c r="H1587" s="7" t="str">
        <x:f>IF(ISNUMBER(B1587),B1587^2,"")</x:f>
      </x:c>
      <x:c r="I1587" s="7" t="str">
        <x:f>IF(AND(ISNUMBER(G1587),'요약'!$B$19),G1587-'요약'!$B$14,"")</x:f>
      </x:c>
      <x:c r="J1587" s="7" t="str">
        <x:f>IF(AND(ISNUMBER(H1587),'요약'!$B$19),H1587-'요약'!$B$15,"")</x:f>
      </x:c>
      <x:c r="K1587" t="str">
        <x:f>IF(ISNUMBER(B1587),IF('Hill'!$B$4=1,IF(B1587&lt;0,-B1587,""),IF('Hill'!$B$4=2,IF(B1587&gt;0,B1587,""),IF('Hill'!$B$4=3,IF(B1587&lt;&gt;0,ABS(B1587),""),""))),"")</x:f>
      </x:c>
    </x:row>
    <x:row r="1588">
      <x:c r="A1588" t="n">
        <x:f>1587</x:f>
        <x:v>1587</x:v>
      </x:c>
      <x:c r="B1588" s="7" t="str">
        <x:f>IF('요약'!$B$4=4,IF(ISNUMBER('input'!A1588),'input'!A1588,""),IF(1587&lt;=1000,CHOOSE('요약'!$B$4,'input'!B1588,'input'!C1588,'input'!D1588),""))</x:f>
      </x:c>
      <x:c r="C1588" s="7" t="str">
        <x:f>IF(AND(ISNUMBER(B1588),'요약'!$B$19),B1588-'요약'!$B$7,"")</x:f>
      </x:c>
      <x:c r="D1588" s="7" t="str">
        <x:f>IF(ISNUMBER(C1588),C1588^2,"")</x:f>
      </x:c>
      <x:c r="E1588" s="15" t="str">
        <x:f>IF(ISNUMBER(C1588),C1588^3,"")</x:f>
      </x:c>
      <x:c r="F1588" s="15" t="str">
        <x:f>IF(ISNUMBER(C1588),C1588^4,"")</x:f>
      </x:c>
      <x:c r="G1588" s="7" t="str">
        <x:f>IF(ISNUMBER(B1588),ABS(B1588),"")</x:f>
      </x:c>
      <x:c r="H1588" s="7" t="str">
        <x:f>IF(ISNUMBER(B1588),B1588^2,"")</x:f>
      </x:c>
      <x:c r="I1588" s="7" t="str">
        <x:f>IF(AND(ISNUMBER(G1588),'요약'!$B$19),G1588-'요약'!$B$14,"")</x:f>
      </x:c>
      <x:c r="J1588" s="7" t="str">
        <x:f>IF(AND(ISNUMBER(H1588),'요약'!$B$19),H1588-'요약'!$B$15,"")</x:f>
      </x:c>
      <x:c r="K1588" t="str">
        <x:f>IF(ISNUMBER(B1588),IF('Hill'!$B$4=1,IF(B1588&lt;0,-B1588,""),IF('Hill'!$B$4=2,IF(B1588&gt;0,B1588,""),IF('Hill'!$B$4=3,IF(B1588&lt;&gt;0,ABS(B1588),""),""))),"")</x:f>
      </x:c>
    </x:row>
    <x:row r="1589">
      <x:c r="A1589" t="n">
        <x:f>1588</x:f>
        <x:v>1588</x:v>
      </x:c>
      <x:c r="B1589" s="7" t="str">
        <x:f>IF('요약'!$B$4=4,IF(ISNUMBER('input'!A1589),'input'!A1589,""),IF(1588&lt;=1000,CHOOSE('요약'!$B$4,'input'!B1589,'input'!C1589,'input'!D1589),""))</x:f>
      </x:c>
      <x:c r="C1589" s="7" t="str">
        <x:f>IF(AND(ISNUMBER(B1589),'요약'!$B$19),B1589-'요약'!$B$7,"")</x:f>
      </x:c>
      <x:c r="D1589" s="7" t="str">
        <x:f>IF(ISNUMBER(C1589),C1589^2,"")</x:f>
      </x:c>
      <x:c r="E1589" s="15" t="str">
        <x:f>IF(ISNUMBER(C1589),C1589^3,"")</x:f>
      </x:c>
      <x:c r="F1589" s="15" t="str">
        <x:f>IF(ISNUMBER(C1589),C1589^4,"")</x:f>
      </x:c>
      <x:c r="G1589" s="7" t="str">
        <x:f>IF(ISNUMBER(B1589),ABS(B1589),"")</x:f>
      </x:c>
      <x:c r="H1589" s="7" t="str">
        <x:f>IF(ISNUMBER(B1589),B1589^2,"")</x:f>
      </x:c>
      <x:c r="I1589" s="7" t="str">
        <x:f>IF(AND(ISNUMBER(G1589),'요약'!$B$19),G1589-'요약'!$B$14,"")</x:f>
      </x:c>
      <x:c r="J1589" s="7" t="str">
        <x:f>IF(AND(ISNUMBER(H1589),'요약'!$B$19),H1589-'요약'!$B$15,"")</x:f>
      </x:c>
      <x:c r="K1589" t="str">
        <x:f>IF(ISNUMBER(B1589),IF('Hill'!$B$4=1,IF(B1589&lt;0,-B1589,""),IF('Hill'!$B$4=2,IF(B1589&gt;0,B1589,""),IF('Hill'!$B$4=3,IF(B1589&lt;&gt;0,ABS(B1589),""),""))),"")</x:f>
      </x:c>
    </x:row>
    <x:row r="1590">
      <x:c r="A1590" t="n">
        <x:f>1589</x:f>
        <x:v>1589</x:v>
      </x:c>
      <x:c r="B1590" s="7" t="str">
        <x:f>IF('요약'!$B$4=4,IF(ISNUMBER('input'!A1590),'input'!A1590,""),IF(1589&lt;=1000,CHOOSE('요약'!$B$4,'input'!B1590,'input'!C1590,'input'!D1590),""))</x:f>
      </x:c>
      <x:c r="C1590" s="7" t="str">
        <x:f>IF(AND(ISNUMBER(B1590),'요약'!$B$19),B1590-'요약'!$B$7,"")</x:f>
      </x:c>
      <x:c r="D1590" s="7" t="str">
        <x:f>IF(ISNUMBER(C1590),C1590^2,"")</x:f>
      </x:c>
      <x:c r="E1590" s="15" t="str">
        <x:f>IF(ISNUMBER(C1590),C1590^3,"")</x:f>
      </x:c>
      <x:c r="F1590" s="15" t="str">
        <x:f>IF(ISNUMBER(C1590),C1590^4,"")</x:f>
      </x:c>
      <x:c r="G1590" s="7" t="str">
        <x:f>IF(ISNUMBER(B1590),ABS(B1590),"")</x:f>
      </x:c>
      <x:c r="H1590" s="7" t="str">
        <x:f>IF(ISNUMBER(B1590),B1590^2,"")</x:f>
      </x:c>
      <x:c r="I1590" s="7" t="str">
        <x:f>IF(AND(ISNUMBER(G1590),'요약'!$B$19),G1590-'요약'!$B$14,"")</x:f>
      </x:c>
      <x:c r="J1590" s="7" t="str">
        <x:f>IF(AND(ISNUMBER(H1590),'요약'!$B$19),H1590-'요약'!$B$15,"")</x:f>
      </x:c>
      <x:c r="K1590" t="str">
        <x:f>IF(ISNUMBER(B1590),IF('Hill'!$B$4=1,IF(B1590&lt;0,-B1590,""),IF('Hill'!$B$4=2,IF(B1590&gt;0,B1590,""),IF('Hill'!$B$4=3,IF(B1590&lt;&gt;0,ABS(B1590),""),""))),"")</x:f>
      </x:c>
    </x:row>
    <x:row r="1591">
      <x:c r="A1591" t="n">
        <x:f>1590</x:f>
        <x:v>1590</x:v>
      </x:c>
      <x:c r="B1591" s="7" t="str">
        <x:f>IF('요약'!$B$4=4,IF(ISNUMBER('input'!A1591),'input'!A1591,""),IF(1590&lt;=1000,CHOOSE('요약'!$B$4,'input'!B1591,'input'!C1591,'input'!D1591),""))</x:f>
      </x:c>
      <x:c r="C1591" s="7" t="str">
        <x:f>IF(AND(ISNUMBER(B1591),'요약'!$B$19),B1591-'요약'!$B$7,"")</x:f>
      </x:c>
      <x:c r="D1591" s="7" t="str">
        <x:f>IF(ISNUMBER(C1591),C1591^2,"")</x:f>
      </x:c>
      <x:c r="E1591" s="15" t="str">
        <x:f>IF(ISNUMBER(C1591),C1591^3,"")</x:f>
      </x:c>
      <x:c r="F1591" s="15" t="str">
        <x:f>IF(ISNUMBER(C1591),C1591^4,"")</x:f>
      </x:c>
      <x:c r="G1591" s="7" t="str">
        <x:f>IF(ISNUMBER(B1591),ABS(B1591),"")</x:f>
      </x:c>
      <x:c r="H1591" s="7" t="str">
        <x:f>IF(ISNUMBER(B1591),B1591^2,"")</x:f>
      </x:c>
      <x:c r="I1591" s="7" t="str">
        <x:f>IF(AND(ISNUMBER(G1591),'요약'!$B$19),G1591-'요약'!$B$14,"")</x:f>
      </x:c>
      <x:c r="J1591" s="7" t="str">
        <x:f>IF(AND(ISNUMBER(H1591),'요약'!$B$19),H1591-'요약'!$B$15,"")</x:f>
      </x:c>
      <x:c r="K1591" t="str">
        <x:f>IF(ISNUMBER(B1591),IF('Hill'!$B$4=1,IF(B1591&lt;0,-B1591,""),IF('Hill'!$B$4=2,IF(B1591&gt;0,B1591,""),IF('Hill'!$B$4=3,IF(B1591&lt;&gt;0,ABS(B1591),""),""))),"")</x:f>
      </x:c>
    </x:row>
    <x:row r="1592">
      <x:c r="A1592" t="n">
        <x:f>1591</x:f>
        <x:v>1591</x:v>
      </x:c>
      <x:c r="B1592" s="7" t="str">
        <x:f>IF('요약'!$B$4=4,IF(ISNUMBER('input'!A1592),'input'!A1592,""),IF(1591&lt;=1000,CHOOSE('요약'!$B$4,'input'!B1592,'input'!C1592,'input'!D1592),""))</x:f>
      </x:c>
      <x:c r="C1592" s="7" t="str">
        <x:f>IF(AND(ISNUMBER(B1592),'요약'!$B$19),B1592-'요약'!$B$7,"")</x:f>
      </x:c>
      <x:c r="D1592" s="7" t="str">
        <x:f>IF(ISNUMBER(C1592),C1592^2,"")</x:f>
      </x:c>
      <x:c r="E1592" s="15" t="str">
        <x:f>IF(ISNUMBER(C1592),C1592^3,"")</x:f>
      </x:c>
      <x:c r="F1592" s="15" t="str">
        <x:f>IF(ISNUMBER(C1592),C1592^4,"")</x:f>
      </x:c>
      <x:c r="G1592" s="7" t="str">
        <x:f>IF(ISNUMBER(B1592),ABS(B1592),"")</x:f>
      </x:c>
      <x:c r="H1592" s="7" t="str">
        <x:f>IF(ISNUMBER(B1592),B1592^2,"")</x:f>
      </x:c>
      <x:c r="I1592" s="7" t="str">
        <x:f>IF(AND(ISNUMBER(G1592),'요약'!$B$19),G1592-'요약'!$B$14,"")</x:f>
      </x:c>
      <x:c r="J1592" s="7" t="str">
        <x:f>IF(AND(ISNUMBER(H1592),'요약'!$B$19),H1592-'요약'!$B$15,"")</x:f>
      </x:c>
      <x:c r="K1592" t="str">
        <x:f>IF(ISNUMBER(B1592),IF('Hill'!$B$4=1,IF(B1592&lt;0,-B1592,""),IF('Hill'!$B$4=2,IF(B1592&gt;0,B1592,""),IF('Hill'!$B$4=3,IF(B1592&lt;&gt;0,ABS(B1592),""),""))),"")</x:f>
      </x:c>
    </x:row>
    <x:row r="1593">
      <x:c r="A1593" t="n">
        <x:f>1592</x:f>
        <x:v>1592</x:v>
      </x:c>
      <x:c r="B1593" s="7" t="str">
        <x:f>IF('요약'!$B$4=4,IF(ISNUMBER('input'!A1593),'input'!A1593,""),IF(1592&lt;=1000,CHOOSE('요약'!$B$4,'input'!B1593,'input'!C1593,'input'!D1593),""))</x:f>
      </x:c>
      <x:c r="C1593" s="7" t="str">
        <x:f>IF(AND(ISNUMBER(B1593),'요약'!$B$19),B1593-'요약'!$B$7,"")</x:f>
      </x:c>
      <x:c r="D1593" s="7" t="str">
        <x:f>IF(ISNUMBER(C1593),C1593^2,"")</x:f>
      </x:c>
      <x:c r="E1593" s="15" t="str">
        <x:f>IF(ISNUMBER(C1593),C1593^3,"")</x:f>
      </x:c>
      <x:c r="F1593" s="15" t="str">
        <x:f>IF(ISNUMBER(C1593),C1593^4,"")</x:f>
      </x:c>
      <x:c r="G1593" s="7" t="str">
        <x:f>IF(ISNUMBER(B1593),ABS(B1593),"")</x:f>
      </x:c>
      <x:c r="H1593" s="7" t="str">
        <x:f>IF(ISNUMBER(B1593),B1593^2,"")</x:f>
      </x:c>
      <x:c r="I1593" s="7" t="str">
        <x:f>IF(AND(ISNUMBER(G1593),'요약'!$B$19),G1593-'요약'!$B$14,"")</x:f>
      </x:c>
      <x:c r="J1593" s="7" t="str">
        <x:f>IF(AND(ISNUMBER(H1593),'요약'!$B$19),H1593-'요약'!$B$15,"")</x:f>
      </x:c>
      <x:c r="K1593" t="str">
        <x:f>IF(ISNUMBER(B1593),IF('Hill'!$B$4=1,IF(B1593&lt;0,-B1593,""),IF('Hill'!$B$4=2,IF(B1593&gt;0,B1593,""),IF('Hill'!$B$4=3,IF(B1593&lt;&gt;0,ABS(B1593),""),""))),"")</x:f>
      </x:c>
    </x:row>
    <x:row r="1594">
      <x:c r="A1594" t="n">
        <x:f>1593</x:f>
        <x:v>1593</x:v>
      </x:c>
      <x:c r="B1594" s="7" t="str">
        <x:f>IF('요약'!$B$4=4,IF(ISNUMBER('input'!A1594),'input'!A1594,""),IF(1593&lt;=1000,CHOOSE('요약'!$B$4,'input'!B1594,'input'!C1594,'input'!D1594),""))</x:f>
      </x:c>
      <x:c r="C1594" s="7" t="str">
        <x:f>IF(AND(ISNUMBER(B1594),'요약'!$B$19),B1594-'요약'!$B$7,"")</x:f>
      </x:c>
      <x:c r="D1594" s="7" t="str">
        <x:f>IF(ISNUMBER(C1594),C1594^2,"")</x:f>
      </x:c>
      <x:c r="E1594" s="15" t="str">
        <x:f>IF(ISNUMBER(C1594),C1594^3,"")</x:f>
      </x:c>
      <x:c r="F1594" s="15" t="str">
        <x:f>IF(ISNUMBER(C1594),C1594^4,"")</x:f>
      </x:c>
      <x:c r="G1594" s="7" t="str">
        <x:f>IF(ISNUMBER(B1594),ABS(B1594),"")</x:f>
      </x:c>
      <x:c r="H1594" s="7" t="str">
        <x:f>IF(ISNUMBER(B1594),B1594^2,"")</x:f>
      </x:c>
      <x:c r="I1594" s="7" t="str">
        <x:f>IF(AND(ISNUMBER(G1594),'요약'!$B$19),G1594-'요약'!$B$14,"")</x:f>
      </x:c>
      <x:c r="J1594" s="7" t="str">
        <x:f>IF(AND(ISNUMBER(H1594),'요약'!$B$19),H1594-'요약'!$B$15,"")</x:f>
      </x:c>
      <x:c r="K1594" t="str">
        <x:f>IF(ISNUMBER(B1594),IF('Hill'!$B$4=1,IF(B1594&lt;0,-B1594,""),IF('Hill'!$B$4=2,IF(B1594&gt;0,B1594,""),IF('Hill'!$B$4=3,IF(B1594&lt;&gt;0,ABS(B1594),""),""))),"")</x:f>
      </x:c>
    </x:row>
    <x:row r="1595">
      <x:c r="A1595" t="n">
        <x:f>1594</x:f>
        <x:v>1594</x:v>
      </x:c>
      <x:c r="B1595" s="7" t="str">
        <x:f>IF('요약'!$B$4=4,IF(ISNUMBER('input'!A1595),'input'!A1595,""),IF(1594&lt;=1000,CHOOSE('요약'!$B$4,'input'!B1595,'input'!C1595,'input'!D1595),""))</x:f>
      </x:c>
      <x:c r="C1595" s="7" t="str">
        <x:f>IF(AND(ISNUMBER(B1595),'요약'!$B$19),B1595-'요약'!$B$7,"")</x:f>
      </x:c>
      <x:c r="D1595" s="7" t="str">
        <x:f>IF(ISNUMBER(C1595),C1595^2,"")</x:f>
      </x:c>
      <x:c r="E1595" s="15" t="str">
        <x:f>IF(ISNUMBER(C1595),C1595^3,"")</x:f>
      </x:c>
      <x:c r="F1595" s="15" t="str">
        <x:f>IF(ISNUMBER(C1595),C1595^4,"")</x:f>
      </x:c>
      <x:c r="G1595" s="7" t="str">
        <x:f>IF(ISNUMBER(B1595),ABS(B1595),"")</x:f>
      </x:c>
      <x:c r="H1595" s="7" t="str">
        <x:f>IF(ISNUMBER(B1595),B1595^2,"")</x:f>
      </x:c>
      <x:c r="I1595" s="7" t="str">
        <x:f>IF(AND(ISNUMBER(G1595),'요약'!$B$19),G1595-'요약'!$B$14,"")</x:f>
      </x:c>
      <x:c r="J1595" s="7" t="str">
        <x:f>IF(AND(ISNUMBER(H1595),'요약'!$B$19),H1595-'요약'!$B$15,"")</x:f>
      </x:c>
      <x:c r="K1595" t="str">
        <x:f>IF(ISNUMBER(B1595),IF('Hill'!$B$4=1,IF(B1595&lt;0,-B1595,""),IF('Hill'!$B$4=2,IF(B1595&gt;0,B1595,""),IF('Hill'!$B$4=3,IF(B1595&lt;&gt;0,ABS(B1595),""),""))),"")</x:f>
      </x:c>
    </x:row>
    <x:row r="1596">
      <x:c r="A1596" t="n">
        <x:f>1595</x:f>
        <x:v>1595</x:v>
      </x:c>
      <x:c r="B1596" s="7" t="str">
        <x:f>IF('요약'!$B$4=4,IF(ISNUMBER('input'!A1596),'input'!A1596,""),IF(1595&lt;=1000,CHOOSE('요약'!$B$4,'input'!B1596,'input'!C1596,'input'!D1596),""))</x:f>
      </x:c>
      <x:c r="C1596" s="7" t="str">
        <x:f>IF(AND(ISNUMBER(B1596),'요약'!$B$19),B1596-'요약'!$B$7,"")</x:f>
      </x:c>
      <x:c r="D1596" s="7" t="str">
        <x:f>IF(ISNUMBER(C1596),C1596^2,"")</x:f>
      </x:c>
      <x:c r="E1596" s="15" t="str">
        <x:f>IF(ISNUMBER(C1596),C1596^3,"")</x:f>
      </x:c>
      <x:c r="F1596" s="15" t="str">
        <x:f>IF(ISNUMBER(C1596),C1596^4,"")</x:f>
      </x:c>
      <x:c r="G1596" s="7" t="str">
        <x:f>IF(ISNUMBER(B1596),ABS(B1596),"")</x:f>
      </x:c>
      <x:c r="H1596" s="7" t="str">
        <x:f>IF(ISNUMBER(B1596),B1596^2,"")</x:f>
      </x:c>
      <x:c r="I1596" s="7" t="str">
        <x:f>IF(AND(ISNUMBER(G1596),'요약'!$B$19),G1596-'요약'!$B$14,"")</x:f>
      </x:c>
      <x:c r="J1596" s="7" t="str">
        <x:f>IF(AND(ISNUMBER(H1596),'요약'!$B$19),H1596-'요약'!$B$15,"")</x:f>
      </x:c>
      <x:c r="K1596" t="str">
        <x:f>IF(ISNUMBER(B1596),IF('Hill'!$B$4=1,IF(B1596&lt;0,-B1596,""),IF('Hill'!$B$4=2,IF(B1596&gt;0,B1596,""),IF('Hill'!$B$4=3,IF(B1596&lt;&gt;0,ABS(B1596),""),""))),"")</x:f>
      </x:c>
    </x:row>
    <x:row r="1597">
      <x:c r="A1597" t="n">
        <x:f>1596</x:f>
        <x:v>1596</x:v>
      </x:c>
      <x:c r="B1597" s="7" t="str">
        <x:f>IF('요약'!$B$4=4,IF(ISNUMBER('input'!A1597),'input'!A1597,""),IF(1596&lt;=1000,CHOOSE('요약'!$B$4,'input'!B1597,'input'!C1597,'input'!D1597),""))</x:f>
      </x:c>
      <x:c r="C1597" s="7" t="str">
        <x:f>IF(AND(ISNUMBER(B1597),'요약'!$B$19),B1597-'요약'!$B$7,"")</x:f>
      </x:c>
      <x:c r="D1597" s="7" t="str">
        <x:f>IF(ISNUMBER(C1597),C1597^2,"")</x:f>
      </x:c>
      <x:c r="E1597" s="15" t="str">
        <x:f>IF(ISNUMBER(C1597),C1597^3,"")</x:f>
      </x:c>
      <x:c r="F1597" s="15" t="str">
        <x:f>IF(ISNUMBER(C1597),C1597^4,"")</x:f>
      </x:c>
      <x:c r="G1597" s="7" t="str">
        <x:f>IF(ISNUMBER(B1597),ABS(B1597),"")</x:f>
      </x:c>
      <x:c r="H1597" s="7" t="str">
        <x:f>IF(ISNUMBER(B1597),B1597^2,"")</x:f>
      </x:c>
      <x:c r="I1597" s="7" t="str">
        <x:f>IF(AND(ISNUMBER(G1597),'요약'!$B$19),G1597-'요약'!$B$14,"")</x:f>
      </x:c>
      <x:c r="J1597" s="7" t="str">
        <x:f>IF(AND(ISNUMBER(H1597),'요약'!$B$19),H1597-'요약'!$B$15,"")</x:f>
      </x:c>
      <x:c r="K1597" t="str">
        <x:f>IF(ISNUMBER(B1597),IF('Hill'!$B$4=1,IF(B1597&lt;0,-B1597,""),IF('Hill'!$B$4=2,IF(B1597&gt;0,B1597,""),IF('Hill'!$B$4=3,IF(B1597&lt;&gt;0,ABS(B1597),""),""))),"")</x:f>
      </x:c>
    </x:row>
    <x:row r="1598">
      <x:c r="A1598" t="n">
        <x:f>1597</x:f>
        <x:v>1597</x:v>
      </x:c>
      <x:c r="B1598" s="7" t="str">
        <x:f>IF('요약'!$B$4=4,IF(ISNUMBER('input'!A1598),'input'!A1598,""),IF(1597&lt;=1000,CHOOSE('요약'!$B$4,'input'!B1598,'input'!C1598,'input'!D1598),""))</x:f>
      </x:c>
      <x:c r="C1598" s="7" t="str">
        <x:f>IF(AND(ISNUMBER(B1598),'요약'!$B$19),B1598-'요약'!$B$7,"")</x:f>
      </x:c>
      <x:c r="D1598" s="7" t="str">
        <x:f>IF(ISNUMBER(C1598),C1598^2,"")</x:f>
      </x:c>
      <x:c r="E1598" s="15" t="str">
        <x:f>IF(ISNUMBER(C1598),C1598^3,"")</x:f>
      </x:c>
      <x:c r="F1598" s="15" t="str">
        <x:f>IF(ISNUMBER(C1598),C1598^4,"")</x:f>
      </x:c>
      <x:c r="G1598" s="7" t="str">
        <x:f>IF(ISNUMBER(B1598),ABS(B1598),"")</x:f>
      </x:c>
      <x:c r="H1598" s="7" t="str">
        <x:f>IF(ISNUMBER(B1598),B1598^2,"")</x:f>
      </x:c>
      <x:c r="I1598" s="7" t="str">
        <x:f>IF(AND(ISNUMBER(G1598),'요약'!$B$19),G1598-'요약'!$B$14,"")</x:f>
      </x:c>
      <x:c r="J1598" s="7" t="str">
        <x:f>IF(AND(ISNUMBER(H1598),'요약'!$B$19),H1598-'요약'!$B$15,"")</x:f>
      </x:c>
      <x:c r="K1598" t="str">
        <x:f>IF(ISNUMBER(B1598),IF('Hill'!$B$4=1,IF(B1598&lt;0,-B1598,""),IF('Hill'!$B$4=2,IF(B1598&gt;0,B1598,""),IF('Hill'!$B$4=3,IF(B1598&lt;&gt;0,ABS(B1598),""),""))),"")</x:f>
      </x:c>
    </x:row>
    <x:row r="1599">
      <x:c r="A1599" t="n">
        <x:f>1598</x:f>
        <x:v>1598</x:v>
      </x:c>
      <x:c r="B1599" s="7" t="str">
        <x:f>IF('요약'!$B$4=4,IF(ISNUMBER('input'!A1599),'input'!A1599,""),IF(1598&lt;=1000,CHOOSE('요약'!$B$4,'input'!B1599,'input'!C1599,'input'!D1599),""))</x:f>
      </x:c>
      <x:c r="C1599" s="7" t="str">
        <x:f>IF(AND(ISNUMBER(B1599),'요약'!$B$19),B1599-'요약'!$B$7,"")</x:f>
      </x:c>
      <x:c r="D1599" s="7" t="str">
        <x:f>IF(ISNUMBER(C1599),C1599^2,"")</x:f>
      </x:c>
      <x:c r="E1599" s="15" t="str">
        <x:f>IF(ISNUMBER(C1599),C1599^3,"")</x:f>
      </x:c>
      <x:c r="F1599" s="15" t="str">
        <x:f>IF(ISNUMBER(C1599),C1599^4,"")</x:f>
      </x:c>
      <x:c r="G1599" s="7" t="str">
        <x:f>IF(ISNUMBER(B1599),ABS(B1599),"")</x:f>
      </x:c>
      <x:c r="H1599" s="7" t="str">
        <x:f>IF(ISNUMBER(B1599),B1599^2,"")</x:f>
      </x:c>
      <x:c r="I1599" s="7" t="str">
        <x:f>IF(AND(ISNUMBER(G1599),'요약'!$B$19),G1599-'요약'!$B$14,"")</x:f>
      </x:c>
      <x:c r="J1599" s="7" t="str">
        <x:f>IF(AND(ISNUMBER(H1599),'요약'!$B$19),H1599-'요약'!$B$15,"")</x:f>
      </x:c>
      <x:c r="K1599" t="str">
        <x:f>IF(ISNUMBER(B1599),IF('Hill'!$B$4=1,IF(B1599&lt;0,-B1599,""),IF('Hill'!$B$4=2,IF(B1599&gt;0,B1599,""),IF('Hill'!$B$4=3,IF(B1599&lt;&gt;0,ABS(B1599),""),""))),"")</x:f>
      </x:c>
    </x:row>
    <x:row r="1600">
      <x:c r="A1600" t="n">
        <x:f>1599</x:f>
        <x:v>1599</x:v>
      </x:c>
      <x:c r="B1600" s="7" t="str">
        <x:f>IF('요약'!$B$4=4,IF(ISNUMBER('input'!A1600),'input'!A1600,""),IF(1599&lt;=1000,CHOOSE('요약'!$B$4,'input'!B1600,'input'!C1600,'input'!D1600),""))</x:f>
      </x:c>
      <x:c r="C1600" s="7" t="str">
        <x:f>IF(AND(ISNUMBER(B1600),'요약'!$B$19),B1600-'요약'!$B$7,"")</x:f>
      </x:c>
      <x:c r="D1600" s="7" t="str">
        <x:f>IF(ISNUMBER(C1600),C1600^2,"")</x:f>
      </x:c>
      <x:c r="E1600" s="15" t="str">
        <x:f>IF(ISNUMBER(C1600),C1600^3,"")</x:f>
      </x:c>
      <x:c r="F1600" s="15" t="str">
        <x:f>IF(ISNUMBER(C1600),C1600^4,"")</x:f>
      </x:c>
      <x:c r="G1600" s="7" t="str">
        <x:f>IF(ISNUMBER(B1600),ABS(B1600),"")</x:f>
      </x:c>
      <x:c r="H1600" s="7" t="str">
        <x:f>IF(ISNUMBER(B1600),B1600^2,"")</x:f>
      </x:c>
      <x:c r="I1600" s="7" t="str">
        <x:f>IF(AND(ISNUMBER(G1600),'요약'!$B$19),G1600-'요약'!$B$14,"")</x:f>
      </x:c>
      <x:c r="J1600" s="7" t="str">
        <x:f>IF(AND(ISNUMBER(H1600),'요약'!$B$19),H1600-'요약'!$B$15,"")</x:f>
      </x:c>
      <x:c r="K1600" t="str">
        <x:f>IF(ISNUMBER(B1600),IF('Hill'!$B$4=1,IF(B1600&lt;0,-B1600,""),IF('Hill'!$B$4=2,IF(B1600&gt;0,B1600,""),IF('Hill'!$B$4=3,IF(B1600&lt;&gt;0,ABS(B1600),""),""))),"")</x:f>
      </x:c>
    </x:row>
    <x:row r="1601">
      <x:c r="A1601" t="n">
        <x:f>1600</x:f>
        <x:v>1600</x:v>
      </x:c>
      <x:c r="B1601" s="7" t="str">
        <x:f>IF('요약'!$B$4=4,IF(ISNUMBER('input'!A1601),'input'!A1601,""),IF(1600&lt;=1000,CHOOSE('요약'!$B$4,'input'!B1601,'input'!C1601,'input'!D1601),""))</x:f>
      </x:c>
      <x:c r="C1601" s="7" t="str">
        <x:f>IF(AND(ISNUMBER(B1601),'요약'!$B$19),B1601-'요약'!$B$7,"")</x:f>
      </x:c>
      <x:c r="D1601" s="7" t="str">
        <x:f>IF(ISNUMBER(C1601),C1601^2,"")</x:f>
      </x:c>
      <x:c r="E1601" s="15" t="str">
        <x:f>IF(ISNUMBER(C1601),C1601^3,"")</x:f>
      </x:c>
      <x:c r="F1601" s="15" t="str">
        <x:f>IF(ISNUMBER(C1601),C1601^4,"")</x:f>
      </x:c>
      <x:c r="G1601" s="7" t="str">
        <x:f>IF(ISNUMBER(B1601),ABS(B1601),"")</x:f>
      </x:c>
      <x:c r="H1601" s="7" t="str">
        <x:f>IF(ISNUMBER(B1601),B1601^2,"")</x:f>
      </x:c>
      <x:c r="I1601" s="7" t="str">
        <x:f>IF(AND(ISNUMBER(G1601),'요약'!$B$19),G1601-'요약'!$B$14,"")</x:f>
      </x:c>
      <x:c r="J1601" s="7" t="str">
        <x:f>IF(AND(ISNUMBER(H1601),'요약'!$B$19),H1601-'요약'!$B$15,"")</x:f>
      </x:c>
      <x:c r="K1601" t="str">
        <x:f>IF(ISNUMBER(B1601),IF('Hill'!$B$4=1,IF(B1601&lt;0,-B1601,""),IF('Hill'!$B$4=2,IF(B1601&gt;0,B1601,""),IF('Hill'!$B$4=3,IF(B1601&lt;&gt;0,ABS(B1601),""),""))),"")</x:f>
      </x:c>
    </x:row>
    <x:row r="1602">
      <x:c r="A1602" t="n">
        <x:f>1601</x:f>
        <x:v>1601</x:v>
      </x:c>
      <x:c r="B1602" s="7" t="str">
        <x:f>IF('요약'!$B$4=4,IF(ISNUMBER('input'!A1602),'input'!A1602,""),IF(1601&lt;=1000,CHOOSE('요약'!$B$4,'input'!B1602,'input'!C1602,'input'!D1602),""))</x:f>
      </x:c>
      <x:c r="C1602" s="7" t="str">
        <x:f>IF(AND(ISNUMBER(B1602),'요약'!$B$19),B1602-'요약'!$B$7,"")</x:f>
      </x:c>
      <x:c r="D1602" s="7" t="str">
        <x:f>IF(ISNUMBER(C1602),C1602^2,"")</x:f>
      </x:c>
      <x:c r="E1602" s="15" t="str">
        <x:f>IF(ISNUMBER(C1602),C1602^3,"")</x:f>
      </x:c>
      <x:c r="F1602" s="15" t="str">
        <x:f>IF(ISNUMBER(C1602),C1602^4,"")</x:f>
      </x:c>
      <x:c r="G1602" s="7" t="str">
        <x:f>IF(ISNUMBER(B1602),ABS(B1602),"")</x:f>
      </x:c>
      <x:c r="H1602" s="7" t="str">
        <x:f>IF(ISNUMBER(B1602),B1602^2,"")</x:f>
      </x:c>
      <x:c r="I1602" s="7" t="str">
        <x:f>IF(AND(ISNUMBER(G1602),'요약'!$B$19),G1602-'요약'!$B$14,"")</x:f>
      </x:c>
      <x:c r="J1602" s="7" t="str">
        <x:f>IF(AND(ISNUMBER(H1602),'요약'!$B$19),H1602-'요약'!$B$15,"")</x:f>
      </x:c>
      <x:c r="K1602" t="str">
        <x:f>IF(ISNUMBER(B1602),IF('Hill'!$B$4=1,IF(B1602&lt;0,-B1602,""),IF('Hill'!$B$4=2,IF(B1602&gt;0,B1602,""),IF('Hill'!$B$4=3,IF(B1602&lt;&gt;0,ABS(B1602),""),""))),"")</x:f>
      </x:c>
    </x:row>
    <x:row r="1603">
      <x:c r="A1603" t="n">
        <x:f>1602</x:f>
        <x:v>1602</x:v>
      </x:c>
      <x:c r="B1603" s="7" t="str">
        <x:f>IF('요약'!$B$4=4,IF(ISNUMBER('input'!A1603),'input'!A1603,""),IF(1602&lt;=1000,CHOOSE('요약'!$B$4,'input'!B1603,'input'!C1603,'input'!D1603),""))</x:f>
      </x:c>
      <x:c r="C1603" s="7" t="str">
        <x:f>IF(AND(ISNUMBER(B1603),'요약'!$B$19),B1603-'요약'!$B$7,"")</x:f>
      </x:c>
      <x:c r="D1603" s="7" t="str">
        <x:f>IF(ISNUMBER(C1603),C1603^2,"")</x:f>
      </x:c>
      <x:c r="E1603" s="15" t="str">
        <x:f>IF(ISNUMBER(C1603),C1603^3,"")</x:f>
      </x:c>
      <x:c r="F1603" s="15" t="str">
        <x:f>IF(ISNUMBER(C1603),C1603^4,"")</x:f>
      </x:c>
      <x:c r="G1603" s="7" t="str">
        <x:f>IF(ISNUMBER(B1603),ABS(B1603),"")</x:f>
      </x:c>
      <x:c r="H1603" s="7" t="str">
        <x:f>IF(ISNUMBER(B1603),B1603^2,"")</x:f>
      </x:c>
      <x:c r="I1603" s="7" t="str">
        <x:f>IF(AND(ISNUMBER(G1603),'요약'!$B$19),G1603-'요약'!$B$14,"")</x:f>
      </x:c>
      <x:c r="J1603" s="7" t="str">
        <x:f>IF(AND(ISNUMBER(H1603),'요약'!$B$19),H1603-'요약'!$B$15,"")</x:f>
      </x:c>
      <x:c r="K1603" t="str">
        <x:f>IF(ISNUMBER(B1603),IF('Hill'!$B$4=1,IF(B1603&lt;0,-B1603,""),IF('Hill'!$B$4=2,IF(B1603&gt;0,B1603,""),IF('Hill'!$B$4=3,IF(B1603&lt;&gt;0,ABS(B1603),""),""))),"")</x:f>
      </x:c>
    </x:row>
    <x:row r="1604">
      <x:c r="A1604" t="n">
        <x:f>1603</x:f>
        <x:v>1603</x:v>
      </x:c>
      <x:c r="B1604" s="7" t="str">
        <x:f>IF('요약'!$B$4=4,IF(ISNUMBER('input'!A1604),'input'!A1604,""),IF(1603&lt;=1000,CHOOSE('요약'!$B$4,'input'!B1604,'input'!C1604,'input'!D1604),""))</x:f>
      </x:c>
      <x:c r="C1604" s="7" t="str">
        <x:f>IF(AND(ISNUMBER(B1604),'요약'!$B$19),B1604-'요약'!$B$7,"")</x:f>
      </x:c>
      <x:c r="D1604" s="7" t="str">
        <x:f>IF(ISNUMBER(C1604),C1604^2,"")</x:f>
      </x:c>
      <x:c r="E1604" s="15" t="str">
        <x:f>IF(ISNUMBER(C1604),C1604^3,"")</x:f>
      </x:c>
      <x:c r="F1604" s="15" t="str">
        <x:f>IF(ISNUMBER(C1604),C1604^4,"")</x:f>
      </x:c>
      <x:c r="G1604" s="7" t="str">
        <x:f>IF(ISNUMBER(B1604),ABS(B1604),"")</x:f>
      </x:c>
      <x:c r="H1604" s="7" t="str">
        <x:f>IF(ISNUMBER(B1604),B1604^2,"")</x:f>
      </x:c>
      <x:c r="I1604" s="7" t="str">
        <x:f>IF(AND(ISNUMBER(G1604),'요약'!$B$19),G1604-'요약'!$B$14,"")</x:f>
      </x:c>
      <x:c r="J1604" s="7" t="str">
        <x:f>IF(AND(ISNUMBER(H1604),'요약'!$B$19),H1604-'요약'!$B$15,"")</x:f>
      </x:c>
      <x:c r="K1604" t="str">
        <x:f>IF(ISNUMBER(B1604),IF('Hill'!$B$4=1,IF(B1604&lt;0,-B1604,""),IF('Hill'!$B$4=2,IF(B1604&gt;0,B1604,""),IF('Hill'!$B$4=3,IF(B1604&lt;&gt;0,ABS(B1604),""),""))),"")</x:f>
      </x:c>
    </x:row>
    <x:row r="1605">
      <x:c r="A1605" t="n">
        <x:f>1604</x:f>
        <x:v>1604</x:v>
      </x:c>
      <x:c r="B1605" s="7" t="str">
        <x:f>IF('요약'!$B$4=4,IF(ISNUMBER('input'!A1605),'input'!A1605,""),IF(1604&lt;=1000,CHOOSE('요약'!$B$4,'input'!B1605,'input'!C1605,'input'!D1605),""))</x:f>
      </x:c>
      <x:c r="C1605" s="7" t="str">
        <x:f>IF(AND(ISNUMBER(B1605),'요약'!$B$19),B1605-'요약'!$B$7,"")</x:f>
      </x:c>
      <x:c r="D1605" s="7" t="str">
        <x:f>IF(ISNUMBER(C1605),C1605^2,"")</x:f>
      </x:c>
      <x:c r="E1605" s="15" t="str">
        <x:f>IF(ISNUMBER(C1605),C1605^3,"")</x:f>
      </x:c>
      <x:c r="F1605" s="15" t="str">
        <x:f>IF(ISNUMBER(C1605),C1605^4,"")</x:f>
      </x:c>
      <x:c r="G1605" s="7" t="str">
        <x:f>IF(ISNUMBER(B1605),ABS(B1605),"")</x:f>
      </x:c>
      <x:c r="H1605" s="7" t="str">
        <x:f>IF(ISNUMBER(B1605),B1605^2,"")</x:f>
      </x:c>
      <x:c r="I1605" s="7" t="str">
        <x:f>IF(AND(ISNUMBER(G1605),'요약'!$B$19),G1605-'요약'!$B$14,"")</x:f>
      </x:c>
      <x:c r="J1605" s="7" t="str">
        <x:f>IF(AND(ISNUMBER(H1605),'요약'!$B$19),H1605-'요약'!$B$15,"")</x:f>
      </x:c>
      <x:c r="K1605" t="str">
        <x:f>IF(ISNUMBER(B1605),IF('Hill'!$B$4=1,IF(B1605&lt;0,-B1605,""),IF('Hill'!$B$4=2,IF(B1605&gt;0,B1605,""),IF('Hill'!$B$4=3,IF(B1605&lt;&gt;0,ABS(B1605),""),""))),"")</x:f>
      </x:c>
    </x:row>
    <x:row r="1606">
      <x:c r="A1606" t="n">
        <x:f>1605</x:f>
        <x:v>1605</x:v>
      </x:c>
      <x:c r="B1606" s="7" t="str">
        <x:f>IF('요약'!$B$4=4,IF(ISNUMBER('input'!A1606),'input'!A1606,""),IF(1605&lt;=1000,CHOOSE('요약'!$B$4,'input'!B1606,'input'!C1606,'input'!D1606),""))</x:f>
      </x:c>
      <x:c r="C1606" s="7" t="str">
        <x:f>IF(AND(ISNUMBER(B1606),'요약'!$B$19),B1606-'요약'!$B$7,"")</x:f>
      </x:c>
      <x:c r="D1606" s="7" t="str">
        <x:f>IF(ISNUMBER(C1606),C1606^2,"")</x:f>
      </x:c>
      <x:c r="E1606" s="15" t="str">
        <x:f>IF(ISNUMBER(C1606),C1606^3,"")</x:f>
      </x:c>
      <x:c r="F1606" s="15" t="str">
        <x:f>IF(ISNUMBER(C1606),C1606^4,"")</x:f>
      </x:c>
      <x:c r="G1606" s="7" t="str">
        <x:f>IF(ISNUMBER(B1606),ABS(B1606),"")</x:f>
      </x:c>
      <x:c r="H1606" s="7" t="str">
        <x:f>IF(ISNUMBER(B1606),B1606^2,"")</x:f>
      </x:c>
      <x:c r="I1606" s="7" t="str">
        <x:f>IF(AND(ISNUMBER(G1606),'요약'!$B$19),G1606-'요약'!$B$14,"")</x:f>
      </x:c>
      <x:c r="J1606" s="7" t="str">
        <x:f>IF(AND(ISNUMBER(H1606),'요약'!$B$19),H1606-'요약'!$B$15,"")</x:f>
      </x:c>
      <x:c r="K1606" t="str">
        <x:f>IF(ISNUMBER(B1606),IF('Hill'!$B$4=1,IF(B1606&lt;0,-B1606,""),IF('Hill'!$B$4=2,IF(B1606&gt;0,B1606,""),IF('Hill'!$B$4=3,IF(B1606&lt;&gt;0,ABS(B1606),""),""))),"")</x:f>
      </x:c>
    </x:row>
    <x:row r="1607">
      <x:c r="A1607" t="n">
        <x:f>1606</x:f>
        <x:v>1606</x:v>
      </x:c>
      <x:c r="B1607" s="7" t="str">
        <x:f>IF('요약'!$B$4=4,IF(ISNUMBER('input'!A1607),'input'!A1607,""),IF(1606&lt;=1000,CHOOSE('요약'!$B$4,'input'!B1607,'input'!C1607,'input'!D1607),""))</x:f>
      </x:c>
      <x:c r="C1607" s="7" t="str">
        <x:f>IF(AND(ISNUMBER(B1607),'요약'!$B$19),B1607-'요약'!$B$7,"")</x:f>
      </x:c>
      <x:c r="D1607" s="7" t="str">
        <x:f>IF(ISNUMBER(C1607),C1607^2,"")</x:f>
      </x:c>
      <x:c r="E1607" s="15" t="str">
        <x:f>IF(ISNUMBER(C1607),C1607^3,"")</x:f>
      </x:c>
      <x:c r="F1607" s="15" t="str">
        <x:f>IF(ISNUMBER(C1607),C1607^4,"")</x:f>
      </x:c>
      <x:c r="G1607" s="7" t="str">
        <x:f>IF(ISNUMBER(B1607),ABS(B1607),"")</x:f>
      </x:c>
      <x:c r="H1607" s="7" t="str">
        <x:f>IF(ISNUMBER(B1607),B1607^2,"")</x:f>
      </x:c>
      <x:c r="I1607" s="7" t="str">
        <x:f>IF(AND(ISNUMBER(G1607),'요약'!$B$19),G1607-'요약'!$B$14,"")</x:f>
      </x:c>
      <x:c r="J1607" s="7" t="str">
        <x:f>IF(AND(ISNUMBER(H1607),'요약'!$B$19),H1607-'요약'!$B$15,"")</x:f>
      </x:c>
      <x:c r="K1607" t="str">
        <x:f>IF(ISNUMBER(B1607),IF('Hill'!$B$4=1,IF(B1607&lt;0,-B1607,""),IF('Hill'!$B$4=2,IF(B1607&gt;0,B1607,""),IF('Hill'!$B$4=3,IF(B1607&lt;&gt;0,ABS(B1607),""),""))),"")</x:f>
      </x:c>
    </x:row>
    <x:row r="1608">
      <x:c r="A1608" t="n">
        <x:f>1607</x:f>
        <x:v>1607</x:v>
      </x:c>
      <x:c r="B1608" s="7" t="str">
        <x:f>IF('요약'!$B$4=4,IF(ISNUMBER('input'!A1608),'input'!A1608,""),IF(1607&lt;=1000,CHOOSE('요약'!$B$4,'input'!B1608,'input'!C1608,'input'!D1608),""))</x:f>
      </x:c>
      <x:c r="C1608" s="7" t="str">
        <x:f>IF(AND(ISNUMBER(B1608),'요약'!$B$19),B1608-'요약'!$B$7,"")</x:f>
      </x:c>
      <x:c r="D1608" s="7" t="str">
        <x:f>IF(ISNUMBER(C1608),C1608^2,"")</x:f>
      </x:c>
      <x:c r="E1608" s="15" t="str">
        <x:f>IF(ISNUMBER(C1608),C1608^3,"")</x:f>
      </x:c>
      <x:c r="F1608" s="15" t="str">
        <x:f>IF(ISNUMBER(C1608),C1608^4,"")</x:f>
      </x:c>
      <x:c r="G1608" s="7" t="str">
        <x:f>IF(ISNUMBER(B1608),ABS(B1608),"")</x:f>
      </x:c>
      <x:c r="H1608" s="7" t="str">
        <x:f>IF(ISNUMBER(B1608),B1608^2,"")</x:f>
      </x:c>
      <x:c r="I1608" s="7" t="str">
        <x:f>IF(AND(ISNUMBER(G1608),'요약'!$B$19),G1608-'요약'!$B$14,"")</x:f>
      </x:c>
      <x:c r="J1608" s="7" t="str">
        <x:f>IF(AND(ISNUMBER(H1608),'요약'!$B$19),H1608-'요약'!$B$15,"")</x:f>
      </x:c>
      <x:c r="K1608" t="str">
        <x:f>IF(ISNUMBER(B1608),IF('Hill'!$B$4=1,IF(B1608&lt;0,-B1608,""),IF('Hill'!$B$4=2,IF(B1608&gt;0,B1608,""),IF('Hill'!$B$4=3,IF(B1608&lt;&gt;0,ABS(B1608),""),""))),"")</x:f>
      </x:c>
    </x:row>
    <x:row r="1609">
      <x:c r="A1609" t="n">
        <x:f>1608</x:f>
        <x:v>1608</x:v>
      </x:c>
      <x:c r="B1609" s="7" t="str">
        <x:f>IF('요약'!$B$4=4,IF(ISNUMBER('input'!A1609),'input'!A1609,""),IF(1608&lt;=1000,CHOOSE('요약'!$B$4,'input'!B1609,'input'!C1609,'input'!D1609),""))</x:f>
      </x:c>
      <x:c r="C1609" s="7" t="str">
        <x:f>IF(AND(ISNUMBER(B1609),'요약'!$B$19),B1609-'요약'!$B$7,"")</x:f>
      </x:c>
      <x:c r="D1609" s="7" t="str">
        <x:f>IF(ISNUMBER(C1609),C1609^2,"")</x:f>
      </x:c>
      <x:c r="E1609" s="15" t="str">
        <x:f>IF(ISNUMBER(C1609),C1609^3,"")</x:f>
      </x:c>
      <x:c r="F1609" s="15" t="str">
        <x:f>IF(ISNUMBER(C1609),C1609^4,"")</x:f>
      </x:c>
      <x:c r="G1609" s="7" t="str">
        <x:f>IF(ISNUMBER(B1609),ABS(B1609),"")</x:f>
      </x:c>
      <x:c r="H1609" s="7" t="str">
        <x:f>IF(ISNUMBER(B1609),B1609^2,"")</x:f>
      </x:c>
      <x:c r="I1609" s="7" t="str">
        <x:f>IF(AND(ISNUMBER(G1609),'요약'!$B$19),G1609-'요약'!$B$14,"")</x:f>
      </x:c>
      <x:c r="J1609" s="7" t="str">
        <x:f>IF(AND(ISNUMBER(H1609),'요약'!$B$19),H1609-'요약'!$B$15,"")</x:f>
      </x:c>
      <x:c r="K1609" t="str">
        <x:f>IF(ISNUMBER(B1609),IF('Hill'!$B$4=1,IF(B1609&lt;0,-B1609,""),IF('Hill'!$B$4=2,IF(B1609&gt;0,B1609,""),IF('Hill'!$B$4=3,IF(B1609&lt;&gt;0,ABS(B1609),""),""))),"")</x:f>
      </x:c>
    </x:row>
    <x:row r="1610">
      <x:c r="A1610" t="n">
        <x:f>1609</x:f>
        <x:v>1609</x:v>
      </x:c>
      <x:c r="B1610" s="7" t="str">
        <x:f>IF('요약'!$B$4=4,IF(ISNUMBER('input'!A1610),'input'!A1610,""),IF(1609&lt;=1000,CHOOSE('요약'!$B$4,'input'!B1610,'input'!C1610,'input'!D1610),""))</x:f>
      </x:c>
      <x:c r="C1610" s="7" t="str">
        <x:f>IF(AND(ISNUMBER(B1610),'요약'!$B$19),B1610-'요약'!$B$7,"")</x:f>
      </x:c>
      <x:c r="D1610" s="7" t="str">
        <x:f>IF(ISNUMBER(C1610),C1610^2,"")</x:f>
      </x:c>
      <x:c r="E1610" s="15" t="str">
        <x:f>IF(ISNUMBER(C1610),C1610^3,"")</x:f>
      </x:c>
      <x:c r="F1610" s="15" t="str">
        <x:f>IF(ISNUMBER(C1610),C1610^4,"")</x:f>
      </x:c>
      <x:c r="G1610" s="7" t="str">
        <x:f>IF(ISNUMBER(B1610),ABS(B1610),"")</x:f>
      </x:c>
      <x:c r="H1610" s="7" t="str">
        <x:f>IF(ISNUMBER(B1610),B1610^2,"")</x:f>
      </x:c>
      <x:c r="I1610" s="7" t="str">
        <x:f>IF(AND(ISNUMBER(G1610),'요약'!$B$19),G1610-'요약'!$B$14,"")</x:f>
      </x:c>
      <x:c r="J1610" s="7" t="str">
        <x:f>IF(AND(ISNUMBER(H1610),'요약'!$B$19),H1610-'요약'!$B$15,"")</x:f>
      </x:c>
      <x:c r="K1610" t="str">
        <x:f>IF(ISNUMBER(B1610),IF('Hill'!$B$4=1,IF(B1610&lt;0,-B1610,""),IF('Hill'!$B$4=2,IF(B1610&gt;0,B1610,""),IF('Hill'!$B$4=3,IF(B1610&lt;&gt;0,ABS(B1610),""),""))),"")</x:f>
      </x:c>
    </x:row>
    <x:row r="1611">
      <x:c r="A1611" t="n">
        <x:f>1610</x:f>
        <x:v>1610</x:v>
      </x:c>
      <x:c r="B1611" s="7" t="str">
        <x:f>IF('요약'!$B$4=4,IF(ISNUMBER('input'!A1611),'input'!A1611,""),IF(1610&lt;=1000,CHOOSE('요약'!$B$4,'input'!B1611,'input'!C1611,'input'!D1611),""))</x:f>
      </x:c>
      <x:c r="C1611" s="7" t="str">
        <x:f>IF(AND(ISNUMBER(B1611),'요약'!$B$19),B1611-'요약'!$B$7,"")</x:f>
      </x:c>
      <x:c r="D1611" s="7" t="str">
        <x:f>IF(ISNUMBER(C1611),C1611^2,"")</x:f>
      </x:c>
      <x:c r="E1611" s="15" t="str">
        <x:f>IF(ISNUMBER(C1611),C1611^3,"")</x:f>
      </x:c>
      <x:c r="F1611" s="15" t="str">
        <x:f>IF(ISNUMBER(C1611),C1611^4,"")</x:f>
      </x:c>
      <x:c r="G1611" s="7" t="str">
        <x:f>IF(ISNUMBER(B1611),ABS(B1611),"")</x:f>
      </x:c>
      <x:c r="H1611" s="7" t="str">
        <x:f>IF(ISNUMBER(B1611),B1611^2,"")</x:f>
      </x:c>
      <x:c r="I1611" s="7" t="str">
        <x:f>IF(AND(ISNUMBER(G1611),'요약'!$B$19),G1611-'요약'!$B$14,"")</x:f>
      </x:c>
      <x:c r="J1611" s="7" t="str">
        <x:f>IF(AND(ISNUMBER(H1611),'요약'!$B$19),H1611-'요약'!$B$15,"")</x:f>
      </x:c>
      <x:c r="K1611" t="str">
        <x:f>IF(ISNUMBER(B1611),IF('Hill'!$B$4=1,IF(B1611&lt;0,-B1611,""),IF('Hill'!$B$4=2,IF(B1611&gt;0,B1611,""),IF('Hill'!$B$4=3,IF(B1611&lt;&gt;0,ABS(B1611),""),""))),"")</x:f>
      </x:c>
    </x:row>
    <x:row r="1612">
      <x:c r="A1612" t="n">
        <x:f>1611</x:f>
        <x:v>1611</x:v>
      </x:c>
      <x:c r="B1612" s="7" t="str">
        <x:f>IF('요약'!$B$4=4,IF(ISNUMBER('input'!A1612),'input'!A1612,""),IF(1611&lt;=1000,CHOOSE('요약'!$B$4,'input'!B1612,'input'!C1612,'input'!D1612),""))</x:f>
      </x:c>
      <x:c r="C1612" s="7" t="str">
        <x:f>IF(AND(ISNUMBER(B1612),'요약'!$B$19),B1612-'요약'!$B$7,"")</x:f>
      </x:c>
      <x:c r="D1612" s="7" t="str">
        <x:f>IF(ISNUMBER(C1612),C1612^2,"")</x:f>
      </x:c>
      <x:c r="E1612" s="15" t="str">
        <x:f>IF(ISNUMBER(C1612),C1612^3,"")</x:f>
      </x:c>
      <x:c r="F1612" s="15" t="str">
        <x:f>IF(ISNUMBER(C1612),C1612^4,"")</x:f>
      </x:c>
      <x:c r="G1612" s="7" t="str">
        <x:f>IF(ISNUMBER(B1612),ABS(B1612),"")</x:f>
      </x:c>
      <x:c r="H1612" s="7" t="str">
        <x:f>IF(ISNUMBER(B1612),B1612^2,"")</x:f>
      </x:c>
      <x:c r="I1612" s="7" t="str">
        <x:f>IF(AND(ISNUMBER(G1612),'요약'!$B$19),G1612-'요약'!$B$14,"")</x:f>
      </x:c>
      <x:c r="J1612" s="7" t="str">
        <x:f>IF(AND(ISNUMBER(H1612),'요약'!$B$19),H1612-'요약'!$B$15,"")</x:f>
      </x:c>
      <x:c r="K1612" t="str">
        <x:f>IF(ISNUMBER(B1612),IF('Hill'!$B$4=1,IF(B1612&lt;0,-B1612,""),IF('Hill'!$B$4=2,IF(B1612&gt;0,B1612,""),IF('Hill'!$B$4=3,IF(B1612&lt;&gt;0,ABS(B1612),""),""))),"")</x:f>
      </x:c>
    </x:row>
    <x:row r="1613">
      <x:c r="A1613" t="n">
        <x:f>1612</x:f>
        <x:v>1612</x:v>
      </x:c>
      <x:c r="B1613" s="7" t="str">
        <x:f>IF('요약'!$B$4=4,IF(ISNUMBER('input'!A1613),'input'!A1613,""),IF(1612&lt;=1000,CHOOSE('요약'!$B$4,'input'!B1613,'input'!C1613,'input'!D1613),""))</x:f>
      </x:c>
      <x:c r="C1613" s="7" t="str">
        <x:f>IF(AND(ISNUMBER(B1613),'요약'!$B$19),B1613-'요약'!$B$7,"")</x:f>
      </x:c>
      <x:c r="D1613" s="7" t="str">
        <x:f>IF(ISNUMBER(C1613),C1613^2,"")</x:f>
      </x:c>
      <x:c r="E1613" s="15" t="str">
        <x:f>IF(ISNUMBER(C1613),C1613^3,"")</x:f>
      </x:c>
      <x:c r="F1613" s="15" t="str">
        <x:f>IF(ISNUMBER(C1613),C1613^4,"")</x:f>
      </x:c>
      <x:c r="G1613" s="7" t="str">
        <x:f>IF(ISNUMBER(B1613),ABS(B1613),"")</x:f>
      </x:c>
      <x:c r="H1613" s="7" t="str">
        <x:f>IF(ISNUMBER(B1613),B1613^2,"")</x:f>
      </x:c>
      <x:c r="I1613" s="7" t="str">
        <x:f>IF(AND(ISNUMBER(G1613),'요약'!$B$19),G1613-'요약'!$B$14,"")</x:f>
      </x:c>
      <x:c r="J1613" s="7" t="str">
        <x:f>IF(AND(ISNUMBER(H1613),'요약'!$B$19),H1613-'요약'!$B$15,"")</x:f>
      </x:c>
      <x:c r="K1613" t="str">
        <x:f>IF(ISNUMBER(B1613),IF('Hill'!$B$4=1,IF(B1613&lt;0,-B1613,""),IF('Hill'!$B$4=2,IF(B1613&gt;0,B1613,""),IF('Hill'!$B$4=3,IF(B1613&lt;&gt;0,ABS(B1613),""),""))),"")</x:f>
      </x:c>
    </x:row>
    <x:row r="1614">
      <x:c r="A1614" t="n">
        <x:f>1613</x:f>
        <x:v>1613</x:v>
      </x:c>
      <x:c r="B1614" s="7" t="str">
        <x:f>IF('요약'!$B$4=4,IF(ISNUMBER('input'!A1614),'input'!A1614,""),IF(1613&lt;=1000,CHOOSE('요약'!$B$4,'input'!B1614,'input'!C1614,'input'!D1614),""))</x:f>
      </x:c>
      <x:c r="C1614" s="7" t="str">
        <x:f>IF(AND(ISNUMBER(B1614),'요약'!$B$19),B1614-'요약'!$B$7,"")</x:f>
      </x:c>
      <x:c r="D1614" s="7" t="str">
        <x:f>IF(ISNUMBER(C1614),C1614^2,"")</x:f>
      </x:c>
      <x:c r="E1614" s="15" t="str">
        <x:f>IF(ISNUMBER(C1614),C1614^3,"")</x:f>
      </x:c>
      <x:c r="F1614" s="15" t="str">
        <x:f>IF(ISNUMBER(C1614),C1614^4,"")</x:f>
      </x:c>
      <x:c r="G1614" s="7" t="str">
        <x:f>IF(ISNUMBER(B1614),ABS(B1614),"")</x:f>
      </x:c>
      <x:c r="H1614" s="7" t="str">
        <x:f>IF(ISNUMBER(B1614),B1614^2,"")</x:f>
      </x:c>
      <x:c r="I1614" s="7" t="str">
        <x:f>IF(AND(ISNUMBER(G1614),'요약'!$B$19),G1614-'요약'!$B$14,"")</x:f>
      </x:c>
      <x:c r="J1614" s="7" t="str">
        <x:f>IF(AND(ISNUMBER(H1614),'요약'!$B$19),H1614-'요약'!$B$15,"")</x:f>
      </x:c>
      <x:c r="K1614" t="str">
        <x:f>IF(ISNUMBER(B1614),IF('Hill'!$B$4=1,IF(B1614&lt;0,-B1614,""),IF('Hill'!$B$4=2,IF(B1614&gt;0,B1614,""),IF('Hill'!$B$4=3,IF(B1614&lt;&gt;0,ABS(B1614),""),""))),"")</x:f>
      </x:c>
    </x:row>
    <x:row r="1615">
      <x:c r="A1615" t="n">
        <x:f>1614</x:f>
        <x:v>1614</x:v>
      </x:c>
      <x:c r="B1615" s="7" t="str">
        <x:f>IF('요약'!$B$4=4,IF(ISNUMBER('input'!A1615),'input'!A1615,""),IF(1614&lt;=1000,CHOOSE('요약'!$B$4,'input'!B1615,'input'!C1615,'input'!D1615),""))</x:f>
      </x:c>
      <x:c r="C1615" s="7" t="str">
        <x:f>IF(AND(ISNUMBER(B1615),'요약'!$B$19),B1615-'요약'!$B$7,"")</x:f>
      </x:c>
      <x:c r="D1615" s="7" t="str">
        <x:f>IF(ISNUMBER(C1615),C1615^2,"")</x:f>
      </x:c>
      <x:c r="E1615" s="15" t="str">
        <x:f>IF(ISNUMBER(C1615),C1615^3,"")</x:f>
      </x:c>
      <x:c r="F1615" s="15" t="str">
        <x:f>IF(ISNUMBER(C1615),C1615^4,"")</x:f>
      </x:c>
      <x:c r="G1615" s="7" t="str">
        <x:f>IF(ISNUMBER(B1615),ABS(B1615),"")</x:f>
      </x:c>
      <x:c r="H1615" s="7" t="str">
        <x:f>IF(ISNUMBER(B1615),B1615^2,"")</x:f>
      </x:c>
      <x:c r="I1615" s="7" t="str">
        <x:f>IF(AND(ISNUMBER(G1615),'요약'!$B$19),G1615-'요약'!$B$14,"")</x:f>
      </x:c>
      <x:c r="J1615" s="7" t="str">
        <x:f>IF(AND(ISNUMBER(H1615),'요약'!$B$19),H1615-'요약'!$B$15,"")</x:f>
      </x:c>
      <x:c r="K1615" t="str">
        <x:f>IF(ISNUMBER(B1615),IF('Hill'!$B$4=1,IF(B1615&lt;0,-B1615,""),IF('Hill'!$B$4=2,IF(B1615&gt;0,B1615,""),IF('Hill'!$B$4=3,IF(B1615&lt;&gt;0,ABS(B1615),""),""))),"")</x:f>
      </x:c>
    </x:row>
    <x:row r="1616">
      <x:c r="A1616" t="n">
        <x:f>1615</x:f>
        <x:v>1615</x:v>
      </x:c>
      <x:c r="B1616" s="7" t="str">
        <x:f>IF('요약'!$B$4=4,IF(ISNUMBER('input'!A1616),'input'!A1616,""),IF(1615&lt;=1000,CHOOSE('요약'!$B$4,'input'!B1616,'input'!C1616,'input'!D1616),""))</x:f>
      </x:c>
      <x:c r="C1616" s="7" t="str">
        <x:f>IF(AND(ISNUMBER(B1616),'요약'!$B$19),B1616-'요약'!$B$7,"")</x:f>
      </x:c>
      <x:c r="D1616" s="7" t="str">
        <x:f>IF(ISNUMBER(C1616),C1616^2,"")</x:f>
      </x:c>
      <x:c r="E1616" s="15" t="str">
        <x:f>IF(ISNUMBER(C1616),C1616^3,"")</x:f>
      </x:c>
      <x:c r="F1616" s="15" t="str">
        <x:f>IF(ISNUMBER(C1616),C1616^4,"")</x:f>
      </x:c>
      <x:c r="G1616" s="7" t="str">
        <x:f>IF(ISNUMBER(B1616),ABS(B1616),"")</x:f>
      </x:c>
      <x:c r="H1616" s="7" t="str">
        <x:f>IF(ISNUMBER(B1616),B1616^2,"")</x:f>
      </x:c>
      <x:c r="I1616" s="7" t="str">
        <x:f>IF(AND(ISNUMBER(G1616),'요약'!$B$19),G1616-'요약'!$B$14,"")</x:f>
      </x:c>
      <x:c r="J1616" s="7" t="str">
        <x:f>IF(AND(ISNUMBER(H1616),'요약'!$B$19),H1616-'요약'!$B$15,"")</x:f>
      </x:c>
      <x:c r="K1616" t="str">
        <x:f>IF(ISNUMBER(B1616),IF('Hill'!$B$4=1,IF(B1616&lt;0,-B1616,""),IF('Hill'!$B$4=2,IF(B1616&gt;0,B1616,""),IF('Hill'!$B$4=3,IF(B1616&lt;&gt;0,ABS(B1616),""),""))),"")</x:f>
      </x:c>
    </x:row>
    <x:row r="1617">
      <x:c r="A1617" t="n">
        <x:f>1616</x:f>
        <x:v>1616</x:v>
      </x:c>
      <x:c r="B1617" s="7" t="str">
        <x:f>IF('요약'!$B$4=4,IF(ISNUMBER('input'!A1617),'input'!A1617,""),IF(1616&lt;=1000,CHOOSE('요약'!$B$4,'input'!B1617,'input'!C1617,'input'!D1617),""))</x:f>
      </x:c>
      <x:c r="C1617" s="7" t="str">
        <x:f>IF(AND(ISNUMBER(B1617),'요약'!$B$19),B1617-'요약'!$B$7,"")</x:f>
      </x:c>
      <x:c r="D1617" s="7" t="str">
        <x:f>IF(ISNUMBER(C1617),C1617^2,"")</x:f>
      </x:c>
      <x:c r="E1617" s="15" t="str">
        <x:f>IF(ISNUMBER(C1617),C1617^3,"")</x:f>
      </x:c>
      <x:c r="F1617" s="15" t="str">
        <x:f>IF(ISNUMBER(C1617),C1617^4,"")</x:f>
      </x:c>
      <x:c r="G1617" s="7" t="str">
        <x:f>IF(ISNUMBER(B1617),ABS(B1617),"")</x:f>
      </x:c>
      <x:c r="H1617" s="7" t="str">
        <x:f>IF(ISNUMBER(B1617),B1617^2,"")</x:f>
      </x:c>
      <x:c r="I1617" s="7" t="str">
        <x:f>IF(AND(ISNUMBER(G1617),'요약'!$B$19),G1617-'요약'!$B$14,"")</x:f>
      </x:c>
      <x:c r="J1617" s="7" t="str">
        <x:f>IF(AND(ISNUMBER(H1617),'요약'!$B$19),H1617-'요약'!$B$15,"")</x:f>
      </x:c>
      <x:c r="K1617" t="str">
        <x:f>IF(ISNUMBER(B1617),IF('Hill'!$B$4=1,IF(B1617&lt;0,-B1617,""),IF('Hill'!$B$4=2,IF(B1617&gt;0,B1617,""),IF('Hill'!$B$4=3,IF(B1617&lt;&gt;0,ABS(B1617),""),""))),"")</x:f>
      </x:c>
    </x:row>
    <x:row r="1618">
      <x:c r="A1618" t="n">
        <x:f>1617</x:f>
        <x:v>1617</x:v>
      </x:c>
      <x:c r="B1618" s="7" t="str">
        <x:f>IF('요약'!$B$4=4,IF(ISNUMBER('input'!A1618),'input'!A1618,""),IF(1617&lt;=1000,CHOOSE('요약'!$B$4,'input'!B1618,'input'!C1618,'input'!D1618),""))</x:f>
      </x:c>
      <x:c r="C1618" s="7" t="str">
        <x:f>IF(AND(ISNUMBER(B1618),'요약'!$B$19),B1618-'요약'!$B$7,"")</x:f>
      </x:c>
      <x:c r="D1618" s="7" t="str">
        <x:f>IF(ISNUMBER(C1618),C1618^2,"")</x:f>
      </x:c>
      <x:c r="E1618" s="15" t="str">
        <x:f>IF(ISNUMBER(C1618),C1618^3,"")</x:f>
      </x:c>
      <x:c r="F1618" s="15" t="str">
        <x:f>IF(ISNUMBER(C1618),C1618^4,"")</x:f>
      </x:c>
      <x:c r="G1618" s="7" t="str">
        <x:f>IF(ISNUMBER(B1618),ABS(B1618),"")</x:f>
      </x:c>
      <x:c r="H1618" s="7" t="str">
        <x:f>IF(ISNUMBER(B1618),B1618^2,"")</x:f>
      </x:c>
      <x:c r="I1618" s="7" t="str">
        <x:f>IF(AND(ISNUMBER(G1618),'요약'!$B$19),G1618-'요약'!$B$14,"")</x:f>
      </x:c>
      <x:c r="J1618" s="7" t="str">
        <x:f>IF(AND(ISNUMBER(H1618),'요약'!$B$19),H1618-'요약'!$B$15,"")</x:f>
      </x:c>
      <x:c r="K1618" t="str">
        <x:f>IF(ISNUMBER(B1618),IF('Hill'!$B$4=1,IF(B1618&lt;0,-B1618,""),IF('Hill'!$B$4=2,IF(B1618&gt;0,B1618,""),IF('Hill'!$B$4=3,IF(B1618&lt;&gt;0,ABS(B1618),""),""))),"")</x:f>
      </x:c>
    </x:row>
    <x:row r="1619">
      <x:c r="A1619" t="n">
        <x:f>1618</x:f>
        <x:v>1618</x:v>
      </x:c>
      <x:c r="B1619" s="7" t="str">
        <x:f>IF('요약'!$B$4=4,IF(ISNUMBER('input'!A1619),'input'!A1619,""),IF(1618&lt;=1000,CHOOSE('요약'!$B$4,'input'!B1619,'input'!C1619,'input'!D1619),""))</x:f>
      </x:c>
      <x:c r="C1619" s="7" t="str">
        <x:f>IF(AND(ISNUMBER(B1619),'요약'!$B$19),B1619-'요약'!$B$7,"")</x:f>
      </x:c>
      <x:c r="D1619" s="7" t="str">
        <x:f>IF(ISNUMBER(C1619),C1619^2,"")</x:f>
      </x:c>
      <x:c r="E1619" s="15" t="str">
        <x:f>IF(ISNUMBER(C1619),C1619^3,"")</x:f>
      </x:c>
      <x:c r="F1619" s="15" t="str">
        <x:f>IF(ISNUMBER(C1619),C1619^4,"")</x:f>
      </x:c>
      <x:c r="G1619" s="7" t="str">
        <x:f>IF(ISNUMBER(B1619),ABS(B1619),"")</x:f>
      </x:c>
      <x:c r="H1619" s="7" t="str">
        <x:f>IF(ISNUMBER(B1619),B1619^2,"")</x:f>
      </x:c>
      <x:c r="I1619" s="7" t="str">
        <x:f>IF(AND(ISNUMBER(G1619),'요약'!$B$19),G1619-'요약'!$B$14,"")</x:f>
      </x:c>
      <x:c r="J1619" s="7" t="str">
        <x:f>IF(AND(ISNUMBER(H1619),'요약'!$B$19),H1619-'요약'!$B$15,"")</x:f>
      </x:c>
      <x:c r="K1619" t="str">
        <x:f>IF(ISNUMBER(B1619),IF('Hill'!$B$4=1,IF(B1619&lt;0,-B1619,""),IF('Hill'!$B$4=2,IF(B1619&gt;0,B1619,""),IF('Hill'!$B$4=3,IF(B1619&lt;&gt;0,ABS(B1619),""),""))),"")</x:f>
      </x:c>
    </x:row>
    <x:row r="1620">
      <x:c r="A1620" t="n">
        <x:f>1619</x:f>
        <x:v>1619</x:v>
      </x:c>
      <x:c r="B1620" s="7" t="str">
        <x:f>IF('요약'!$B$4=4,IF(ISNUMBER('input'!A1620),'input'!A1620,""),IF(1619&lt;=1000,CHOOSE('요약'!$B$4,'input'!B1620,'input'!C1620,'input'!D1620),""))</x:f>
      </x:c>
      <x:c r="C1620" s="7" t="str">
        <x:f>IF(AND(ISNUMBER(B1620),'요약'!$B$19),B1620-'요약'!$B$7,"")</x:f>
      </x:c>
      <x:c r="D1620" s="7" t="str">
        <x:f>IF(ISNUMBER(C1620),C1620^2,"")</x:f>
      </x:c>
      <x:c r="E1620" s="15" t="str">
        <x:f>IF(ISNUMBER(C1620),C1620^3,"")</x:f>
      </x:c>
      <x:c r="F1620" s="15" t="str">
        <x:f>IF(ISNUMBER(C1620),C1620^4,"")</x:f>
      </x:c>
      <x:c r="G1620" s="7" t="str">
        <x:f>IF(ISNUMBER(B1620),ABS(B1620),"")</x:f>
      </x:c>
      <x:c r="H1620" s="7" t="str">
        <x:f>IF(ISNUMBER(B1620),B1620^2,"")</x:f>
      </x:c>
      <x:c r="I1620" s="7" t="str">
        <x:f>IF(AND(ISNUMBER(G1620),'요약'!$B$19),G1620-'요약'!$B$14,"")</x:f>
      </x:c>
      <x:c r="J1620" s="7" t="str">
        <x:f>IF(AND(ISNUMBER(H1620),'요약'!$B$19),H1620-'요약'!$B$15,"")</x:f>
      </x:c>
      <x:c r="K1620" t="str">
        <x:f>IF(ISNUMBER(B1620),IF('Hill'!$B$4=1,IF(B1620&lt;0,-B1620,""),IF('Hill'!$B$4=2,IF(B1620&gt;0,B1620,""),IF('Hill'!$B$4=3,IF(B1620&lt;&gt;0,ABS(B1620),""),""))),"")</x:f>
      </x:c>
    </x:row>
    <x:row r="1621">
      <x:c r="A1621" t="n">
        <x:f>1620</x:f>
        <x:v>1620</x:v>
      </x:c>
      <x:c r="B1621" s="7" t="str">
        <x:f>IF('요약'!$B$4=4,IF(ISNUMBER('input'!A1621),'input'!A1621,""),IF(1620&lt;=1000,CHOOSE('요약'!$B$4,'input'!B1621,'input'!C1621,'input'!D1621),""))</x:f>
      </x:c>
      <x:c r="C1621" s="7" t="str">
        <x:f>IF(AND(ISNUMBER(B1621),'요약'!$B$19),B1621-'요약'!$B$7,"")</x:f>
      </x:c>
      <x:c r="D1621" s="7" t="str">
        <x:f>IF(ISNUMBER(C1621),C1621^2,"")</x:f>
      </x:c>
      <x:c r="E1621" s="15" t="str">
        <x:f>IF(ISNUMBER(C1621),C1621^3,"")</x:f>
      </x:c>
      <x:c r="F1621" s="15" t="str">
        <x:f>IF(ISNUMBER(C1621),C1621^4,"")</x:f>
      </x:c>
      <x:c r="G1621" s="7" t="str">
        <x:f>IF(ISNUMBER(B1621),ABS(B1621),"")</x:f>
      </x:c>
      <x:c r="H1621" s="7" t="str">
        <x:f>IF(ISNUMBER(B1621),B1621^2,"")</x:f>
      </x:c>
      <x:c r="I1621" s="7" t="str">
        <x:f>IF(AND(ISNUMBER(G1621),'요약'!$B$19),G1621-'요약'!$B$14,"")</x:f>
      </x:c>
      <x:c r="J1621" s="7" t="str">
        <x:f>IF(AND(ISNUMBER(H1621),'요약'!$B$19),H1621-'요약'!$B$15,"")</x:f>
      </x:c>
      <x:c r="K1621" t="str">
        <x:f>IF(ISNUMBER(B1621),IF('Hill'!$B$4=1,IF(B1621&lt;0,-B1621,""),IF('Hill'!$B$4=2,IF(B1621&gt;0,B1621,""),IF('Hill'!$B$4=3,IF(B1621&lt;&gt;0,ABS(B1621),""),""))),"")</x:f>
      </x:c>
    </x:row>
    <x:row r="1622">
      <x:c r="A1622" t="n">
        <x:f>1621</x:f>
        <x:v>1621</x:v>
      </x:c>
      <x:c r="B1622" s="7" t="str">
        <x:f>IF('요약'!$B$4=4,IF(ISNUMBER('input'!A1622),'input'!A1622,""),IF(1621&lt;=1000,CHOOSE('요약'!$B$4,'input'!B1622,'input'!C1622,'input'!D1622),""))</x:f>
      </x:c>
      <x:c r="C1622" s="7" t="str">
        <x:f>IF(AND(ISNUMBER(B1622),'요약'!$B$19),B1622-'요약'!$B$7,"")</x:f>
      </x:c>
      <x:c r="D1622" s="7" t="str">
        <x:f>IF(ISNUMBER(C1622),C1622^2,"")</x:f>
      </x:c>
      <x:c r="E1622" s="15" t="str">
        <x:f>IF(ISNUMBER(C1622),C1622^3,"")</x:f>
      </x:c>
      <x:c r="F1622" s="15" t="str">
        <x:f>IF(ISNUMBER(C1622),C1622^4,"")</x:f>
      </x:c>
      <x:c r="G1622" s="7" t="str">
        <x:f>IF(ISNUMBER(B1622),ABS(B1622),"")</x:f>
      </x:c>
      <x:c r="H1622" s="7" t="str">
        <x:f>IF(ISNUMBER(B1622),B1622^2,"")</x:f>
      </x:c>
      <x:c r="I1622" s="7" t="str">
        <x:f>IF(AND(ISNUMBER(G1622),'요약'!$B$19),G1622-'요약'!$B$14,"")</x:f>
      </x:c>
      <x:c r="J1622" s="7" t="str">
        <x:f>IF(AND(ISNUMBER(H1622),'요약'!$B$19),H1622-'요약'!$B$15,"")</x:f>
      </x:c>
      <x:c r="K1622" t="str">
        <x:f>IF(ISNUMBER(B1622),IF('Hill'!$B$4=1,IF(B1622&lt;0,-B1622,""),IF('Hill'!$B$4=2,IF(B1622&gt;0,B1622,""),IF('Hill'!$B$4=3,IF(B1622&lt;&gt;0,ABS(B1622),""),""))),"")</x:f>
      </x:c>
    </x:row>
    <x:row r="1623">
      <x:c r="A1623" t="n">
        <x:f>1622</x:f>
        <x:v>1622</x:v>
      </x:c>
      <x:c r="B1623" s="7" t="str">
        <x:f>IF('요약'!$B$4=4,IF(ISNUMBER('input'!A1623),'input'!A1623,""),IF(1622&lt;=1000,CHOOSE('요약'!$B$4,'input'!B1623,'input'!C1623,'input'!D1623),""))</x:f>
      </x:c>
      <x:c r="C1623" s="7" t="str">
        <x:f>IF(AND(ISNUMBER(B1623),'요약'!$B$19),B1623-'요약'!$B$7,"")</x:f>
      </x:c>
      <x:c r="D1623" s="7" t="str">
        <x:f>IF(ISNUMBER(C1623),C1623^2,"")</x:f>
      </x:c>
      <x:c r="E1623" s="15" t="str">
        <x:f>IF(ISNUMBER(C1623),C1623^3,"")</x:f>
      </x:c>
      <x:c r="F1623" s="15" t="str">
        <x:f>IF(ISNUMBER(C1623),C1623^4,"")</x:f>
      </x:c>
      <x:c r="G1623" s="7" t="str">
        <x:f>IF(ISNUMBER(B1623),ABS(B1623),"")</x:f>
      </x:c>
      <x:c r="H1623" s="7" t="str">
        <x:f>IF(ISNUMBER(B1623),B1623^2,"")</x:f>
      </x:c>
      <x:c r="I1623" s="7" t="str">
        <x:f>IF(AND(ISNUMBER(G1623),'요약'!$B$19),G1623-'요약'!$B$14,"")</x:f>
      </x:c>
      <x:c r="J1623" s="7" t="str">
        <x:f>IF(AND(ISNUMBER(H1623),'요약'!$B$19),H1623-'요약'!$B$15,"")</x:f>
      </x:c>
      <x:c r="K1623" t="str">
        <x:f>IF(ISNUMBER(B1623),IF('Hill'!$B$4=1,IF(B1623&lt;0,-B1623,""),IF('Hill'!$B$4=2,IF(B1623&gt;0,B1623,""),IF('Hill'!$B$4=3,IF(B1623&lt;&gt;0,ABS(B1623),""),""))),"")</x:f>
      </x:c>
    </x:row>
    <x:row r="1624">
      <x:c r="A1624" t="n">
        <x:f>1623</x:f>
        <x:v>1623</x:v>
      </x:c>
      <x:c r="B1624" s="7" t="str">
        <x:f>IF('요약'!$B$4=4,IF(ISNUMBER('input'!A1624),'input'!A1624,""),IF(1623&lt;=1000,CHOOSE('요약'!$B$4,'input'!B1624,'input'!C1624,'input'!D1624),""))</x:f>
      </x:c>
      <x:c r="C1624" s="7" t="str">
        <x:f>IF(AND(ISNUMBER(B1624),'요약'!$B$19),B1624-'요약'!$B$7,"")</x:f>
      </x:c>
      <x:c r="D1624" s="7" t="str">
        <x:f>IF(ISNUMBER(C1624),C1624^2,"")</x:f>
      </x:c>
      <x:c r="E1624" s="15" t="str">
        <x:f>IF(ISNUMBER(C1624),C1624^3,"")</x:f>
      </x:c>
      <x:c r="F1624" s="15" t="str">
        <x:f>IF(ISNUMBER(C1624),C1624^4,"")</x:f>
      </x:c>
      <x:c r="G1624" s="7" t="str">
        <x:f>IF(ISNUMBER(B1624),ABS(B1624),"")</x:f>
      </x:c>
      <x:c r="H1624" s="7" t="str">
        <x:f>IF(ISNUMBER(B1624),B1624^2,"")</x:f>
      </x:c>
      <x:c r="I1624" s="7" t="str">
        <x:f>IF(AND(ISNUMBER(G1624),'요약'!$B$19),G1624-'요약'!$B$14,"")</x:f>
      </x:c>
      <x:c r="J1624" s="7" t="str">
        <x:f>IF(AND(ISNUMBER(H1624),'요약'!$B$19),H1624-'요약'!$B$15,"")</x:f>
      </x:c>
      <x:c r="K1624" t="str">
        <x:f>IF(ISNUMBER(B1624),IF('Hill'!$B$4=1,IF(B1624&lt;0,-B1624,""),IF('Hill'!$B$4=2,IF(B1624&gt;0,B1624,""),IF('Hill'!$B$4=3,IF(B1624&lt;&gt;0,ABS(B1624),""),""))),"")</x:f>
      </x:c>
    </x:row>
    <x:row r="1625">
      <x:c r="A1625" t="n">
        <x:f>1624</x:f>
        <x:v>1624</x:v>
      </x:c>
      <x:c r="B1625" s="7" t="str">
        <x:f>IF('요약'!$B$4=4,IF(ISNUMBER('input'!A1625),'input'!A1625,""),IF(1624&lt;=1000,CHOOSE('요약'!$B$4,'input'!B1625,'input'!C1625,'input'!D1625),""))</x:f>
      </x:c>
      <x:c r="C1625" s="7" t="str">
        <x:f>IF(AND(ISNUMBER(B1625),'요약'!$B$19),B1625-'요약'!$B$7,"")</x:f>
      </x:c>
      <x:c r="D1625" s="7" t="str">
        <x:f>IF(ISNUMBER(C1625),C1625^2,"")</x:f>
      </x:c>
      <x:c r="E1625" s="15" t="str">
        <x:f>IF(ISNUMBER(C1625),C1625^3,"")</x:f>
      </x:c>
      <x:c r="F1625" s="15" t="str">
        <x:f>IF(ISNUMBER(C1625),C1625^4,"")</x:f>
      </x:c>
      <x:c r="G1625" s="7" t="str">
        <x:f>IF(ISNUMBER(B1625),ABS(B1625),"")</x:f>
      </x:c>
      <x:c r="H1625" s="7" t="str">
        <x:f>IF(ISNUMBER(B1625),B1625^2,"")</x:f>
      </x:c>
      <x:c r="I1625" s="7" t="str">
        <x:f>IF(AND(ISNUMBER(G1625),'요약'!$B$19),G1625-'요약'!$B$14,"")</x:f>
      </x:c>
      <x:c r="J1625" s="7" t="str">
        <x:f>IF(AND(ISNUMBER(H1625),'요약'!$B$19),H1625-'요약'!$B$15,"")</x:f>
      </x:c>
      <x:c r="K1625" t="str">
        <x:f>IF(ISNUMBER(B1625),IF('Hill'!$B$4=1,IF(B1625&lt;0,-B1625,""),IF('Hill'!$B$4=2,IF(B1625&gt;0,B1625,""),IF('Hill'!$B$4=3,IF(B1625&lt;&gt;0,ABS(B1625),""),""))),"")</x:f>
      </x:c>
    </x:row>
    <x:row r="1626">
      <x:c r="A1626" t="n">
        <x:f>1625</x:f>
        <x:v>1625</x:v>
      </x:c>
      <x:c r="B1626" s="7" t="str">
        <x:f>IF('요약'!$B$4=4,IF(ISNUMBER('input'!A1626),'input'!A1626,""),IF(1625&lt;=1000,CHOOSE('요약'!$B$4,'input'!B1626,'input'!C1626,'input'!D1626),""))</x:f>
      </x:c>
      <x:c r="C1626" s="7" t="str">
        <x:f>IF(AND(ISNUMBER(B1626),'요약'!$B$19),B1626-'요약'!$B$7,"")</x:f>
      </x:c>
      <x:c r="D1626" s="7" t="str">
        <x:f>IF(ISNUMBER(C1626),C1626^2,"")</x:f>
      </x:c>
      <x:c r="E1626" s="15" t="str">
        <x:f>IF(ISNUMBER(C1626),C1626^3,"")</x:f>
      </x:c>
      <x:c r="F1626" s="15" t="str">
        <x:f>IF(ISNUMBER(C1626),C1626^4,"")</x:f>
      </x:c>
      <x:c r="G1626" s="7" t="str">
        <x:f>IF(ISNUMBER(B1626),ABS(B1626),"")</x:f>
      </x:c>
      <x:c r="H1626" s="7" t="str">
        <x:f>IF(ISNUMBER(B1626),B1626^2,"")</x:f>
      </x:c>
      <x:c r="I1626" s="7" t="str">
        <x:f>IF(AND(ISNUMBER(G1626),'요약'!$B$19),G1626-'요약'!$B$14,"")</x:f>
      </x:c>
      <x:c r="J1626" s="7" t="str">
        <x:f>IF(AND(ISNUMBER(H1626),'요약'!$B$19),H1626-'요약'!$B$15,"")</x:f>
      </x:c>
      <x:c r="K1626" t="str">
        <x:f>IF(ISNUMBER(B1626),IF('Hill'!$B$4=1,IF(B1626&lt;0,-B1626,""),IF('Hill'!$B$4=2,IF(B1626&gt;0,B1626,""),IF('Hill'!$B$4=3,IF(B1626&lt;&gt;0,ABS(B1626),""),""))),"")</x:f>
      </x:c>
    </x:row>
    <x:row r="1627">
      <x:c r="A1627" t="n">
        <x:f>1626</x:f>
        <x:v>1626</x:v>
      </x:c>
      <x:c r="B1627" s="7" t="str">
        <x:f>IF('요약'!$B$4=4,IF(ISNUMBER('input'!A1627),'input'!A1627,""),IF(1626&lt;=1000,CHOOSE('요약'!$B$4,'input'!B1627,'input'!C1627,'input'!D1627),""))</x:f>
      </x:c>
      <x:c r="C1627" s="7" t="str">
        <x:f>IF(AND(ISNUMBER(B1627),'요약'!$B$19),B1627-'요약'!$B$7,"")</x:f>
      </x:c>
      <x:c r="D1627" s="7" t="str">
        <x:f>IF(ISNUMBER(C1627),C1627^2,"")</x:f>
      </x:c>
      <x:c r="E1627" s="15" t="str">
        <x:f>IF(ISNUMBER(C1627),C1627^3,"")</x:f>
      </x:c>
      <x:c r="F1627" s="15" t="str">
        <x:f>IF(ISNUMBER(C1627),C1627^4,"")</x:f>
      </x:c>
      <x:c r="G1627" s="7" t="str">
        <x:f>IF(ISNUMBER(B1627),ABS(B1627),"")</x:f>
      </x:c>
      <x:c r="H1627" s="7" t="str">
        <x:f>IF(ISNUMBER(B1627),B1627^2,"")</x:f>
      </x:c>
      <x:c r="I1627" s="7" t="str">
        <x:f>IF(AND(ISNUMBER(G1627),'요약'!$B$19),G1627-'요약'!$B$14,"")</x:f>
      </x:c>
      <x:c r="J1627" s="7" t="str">
        <x:f>IF(AND(ISNUMBER(H1627),'요약'!$B$19),H1627-'요약'!$B$15,"")</x:f>
      </x:c>
      <x:c r="K1627" t="str">
        <x:f>IF(ISNUMBER(B1627),IF('Hill'!$B$4=1,IF(B1627&lt;0,-B1627,""),IF('Hill'!$B$4=2,IF(B1627&gt;0,B1627,""),IF('Hill'!$B$4=3,IF(B1627&lt;&gt;0,ABS(B1627),""),""))),"")</x:f>
      </x:c>
    </x:row>
    <x:row r="1628">
      <x:c r="A1628" t="n">
        <x:f>1627</x:f>
        <x:v>1627</x:v>
      </x:c>
      <x:c r="B1628" s="7" t="str">
        <x:f>IF('요약'!$B$4=4,IF(ISNUMBER('input'!A1628),'input'!A1628,""),IF(1627&lt;=1000,CHOOSE('요약'!$B$4,'input'!B1628,'input'!C1628,'input'!D1628),""))</x:f>
      </x:c>
      <x:c r="C1628" s="7" t="str">
        <x:f>IF(AND(ISNUMBER(B1628),'요약'!$B$19),B1628-'요약'!$B$7,"")</x:f>
      </x:c>
      <x:c r="D1628" s="7" t="str">
        <x:f>IF(ISNUMBER(C1628),C1628^2,"")</x:f>
      </x:c>
      <x:c r="E1628" s="15" t="str">
        <x:f>IF(ISNUMBER(C1628),C1628^3,"")</x:f>
      </x:c>
      <x:c r="F1628" s="15" t="str">
        <x:f>IF(ISNUMBER(C1628),C1628^4,"")</x:f>
      </x:c>
      <x:c r="G1628" s="7" t="str">
        <x:f>IF(ISNUMBER(B1628),ABS(B1628),"")</x:f>
      </x:c>
      <x:c r="H1628" s="7" t="str">
        <x:f>IF(ISNUMBER(B1628),B1628^2,"")</x:f>
      </x:c>
      <x:c r="I1628" s="7" t="str">
        <x:f>IF(AND(ISNUMBER(G1628),'요약'!$B$19),G1628-'요약'!$B$14,"")</x:f>
      </x:c>
      <x:c r="J1628" s="7" t="str">
        <x:f>IF(AND(ISNUMBER(H1628),'요약'!$B$19),H1628-'요약'!$B$15,"")</x:f>
      </x:c>
      <x:c r="K1628" t="str">
        <x:f>IF(ISNUMBER(B1628),IF('Hill'!$B$4=1,IF(B1628&lt;0,-B1628,""),IF('Hill'!$B$4=2,IF(B1628&gt;0,B1628,""),IF('Hill'!$B$4=3,IF(B1628&lt;&gt;0,ABS(B1628),""),""))),"")</x:f>
      </x:c>
    </x:row>
    <x:row r="1629">
      <x:c r="A1629" t="n">
        <x:f>1628</x:f>
        <x:v>1628</x:v>
      </x:c>
      <x:c r="B1629" s="7" t="str">
        <x:f>IF('요약'!$B$4=4,IF(ISNUMBER('input'!A1629),'input'!A1629,""),IF(1628&lt;=1000,CHOOSE('요약'!$B$4,'input'!B1629,'input'!C1629,'input'!D1629),""))</x:f>
      </x:c>
      <x:c r="C1629" s="7" t="str">
        <x:f>IF(AND(ISNUMBER(B1629),'요약'!$B$19),B1629-'요약'!$B$7,"")</x:f>
      </x:c>
      <x:c r="D1629" s="7" t="str">
        <x:f>IF(ISNUMBER(C1629),C1629^2,"")</x:f>
      </x:c>
      <x:c r="E1629" s="15" t="str">
        <x:f>IF(ISNUMBER(C1629),C1629^3,"")</x:f>
      </x:c>
      <x:c r="F1629" s="15" t="str">
        <x:f>IF(ISNUMBER(C1629),C1629^4,"")</x:f>
      </x:c>
      <x:c r="G1629" s="7" t="str">
        <x:f>IF(ISNUMBER(B1629),ABS(B1629),"")</x:f>
      </x:c>
      <x:c r="H1629" s="7" t="str">
        <x:f>IF(ISNUMBER(B1629),B1629^2,"")</x:f>
      </x:c>
      <x:c r="I1629" s="7" t="str">
        <x:f>IF(AND(ISNUMBER(G1629),'요약'!$B$19),G1629-'요약'!$B$14,"")</x:f>
      </x:c>
      <x:c r="J1629" s="7" t="str">
        <x:f>IF(AND(ISNUMBER(H1629),'요약'!$B$19),H1629-'요약'!$B$15,"")</x:f>
      </x:c>
      <x:c r="K1629" t="str">
        <x:f>IF(ISNUMBER(B1629),IF('Hill'!$B$4=1,IF(B1629&lt;0,-B1629,""),IF('Hill'!$B$4=2,IF(B1629&gt;0,B1629,""),IF('Hill'!$B$4=3,IF(B1629&lt;&gt;0,ABS(B1629),""),""))),"")</x:f>
      </x:c>
    </x:row>
    <x:row r="1630">
      <x:c r="A1630" t="n">
        <x:f>1629</x:f>
        <x:v>1629</x:v>
      </x:c>
      <x:c r="B1630" s="7" t="str">
        <x:f>IF('요약'!$B$4=4,IF(ISNUMBER('input'!A1630),'input'!A1630,""),IF(1629&lt;=1000,CHOOSE('요약'!$B$4,'input'!B1630,'input'!C1630,'input'!D1630),""))</x:f>
      </x:c>
      <x:c r="C1630" s="7" t="str">
        <x:f>IF(AND(ISNUMBER(B1630),'요약'!$B$19),B1630-'요약'!$B$7,"")</x:f>
      </x:c>
      <x:c r="D1630" s="7" t="str">
        <x:f>IF(ISNUMBER(C1630),C1630^2,"")</x:f>
      </x:c>
      <x:c r="E1630" s="15" t="str">
        <x:f>IF(ISNUMBER(C1630),C1630^3,"")</x:f>
      </x:c>
      <x:c r="F1630" s="15" t="str">
        <x:f>IF(ISNUMBER(C1630),C1630^4,"")</x:f>
      </x:c>
      <x:c r="G1630" s="7" t="str">
        <x:f>IF(ISNUMBER(B1630),ABS(B1630),"")</x:f>
      </x:c>
      <x:c r="H1630" s="7" t="str">
        <x:f>IF(ISNUMBER(B1630),B1630^2,"")</x:f>
      </x:c>
      <x:c r="I1630" s="7" t="str">
        <x:f>IF(AND(ISNUMBER(G1630),'요약'!$B$19),G1630-'요약'!$B$14,"")</x:f>
      </x:c>
      <x:c r="J1630" s="7" t="str">
        <x:f>IF(AND(ISNUMBER(H1630),'요약'!$B$19),H1630-'요약'!$B$15,"")</x:f>
      </x:c>
      <x:c r="K1630" t="str">
        <x:f>IF(ISNUMBER(B1630),IF('Hill'!$B$4=1,IF(B1630&lt;0,-B1630,""),IF('Hill'!$B$4=2,IF(B1630&gt;0,B1630,""),IF('Hill'!$B$4=3,IF(B1630&lt;&gt;0,ABS(B1630),""),""))),"")</x:f>
      </x:c>
    </x:row>
    <x:row r="1631">
      <x:c r="A1631" t="n">
        <x:f>1630</x:f>
        <x:v>1630</x:v>
      </x:c>
      <x:c r="B1631" s="7" t="str">
        <x:f>IF('요약'!$B$4=4,IF(ISNUMBER('input'!A1631),'input'!A1631,""),IF(1630&lt;=1000,CHOOSE('요약'!$B$4,'input'!B1631,'input'!C1631,'input'!D1631),""))</x:f>
      </x:c>
      <x:c r="C1631" s="7" t="str">
        <x:f>IF(AND(ISNUMBER(B1631),'요약'!$B$19),B1631-'요약'!$B$7,"")</x:f>
      </x:c>
      <x:c r="D1631" s="7" t="str">
        <x:f>IF(ISNUMBER(C1631),C1631^2,"")</x:f>
      </x:c>
      <x:c r="E1631" s="15" t="str">
        <x:f>IF(ISNUMBER(C1631),C1631^3,"")</x:f>
      </x:c>
      <x:c r="F1631" s="15" t="str">
        <x:f>IF(ISNUMBER(C1631),C1631^4,"")</x:f>
      </x:c>
      <x:c r="G1631" s="7" t="str">
        <x:f>IF(ISNUMBER(B1631),ABS(B1631),"")</x:f>
      </x:c>
      <x:c r="H1631" s="7" t="str">
        <x:f>IF(ISNUMBER(B1631),B1631^2,"")</x:f>
      </x:c>
      <x:c r="I1631" s="7" t="str">
        <x:f>IF(AND(ISNUMBER(G1631),'요약'!$B$19),G1631-'요약'!$B$14,"")</x:f>
      </x:c>
      <x:c r="J1631" s="7" t="str">
        <x:f>IF(AND(ISNUMBER(H1631),'요약'!$B$19),H1631-'요약'!$B$15,"")</x:f>
      </x:c>
      <x:c r="K1631" t="str">
        <x:f>IF(ISNUMBER(B1631),IF('Hill'!$B$4=1,IF(B1631&lt;0,-B1631,""),IF('Hill'!$B$4=2,IF(B1631&gt;0,B1631,""),IF('Hill'!$B$4=3,IF(B1631&lt;&gt;0,ABS(B1631),""),""))),"")</x:f>
      </x:c>
    </x:row>
    <x:row r="1632">
      <x:c r="A1632" t="n">
        <x:f>1631</x:f>
        <x:v>1631</x:v>
      </x:c>
      <x:c r="B1632" s="7" t="str">
        <x:f>IF('요약'!$B$4=4,IF(ISNUMBER('input'!A1632),'input'!A1632,""),IF(1631&lt;=1000,CHOOSE('요약'!$B$4,'input'!B1632,'input'!C1632,'input'!D1632),""))</x:f>
      </x:c>
      <x:c r="C1632" s="7" t="str">
        <x:f>IF(AND(ISNUMBER(B1632),'요약'!$B$19),B1632-'요약'!$B$7,"")</x:f>
      </x:c>
      <x:c r="D1632" s="7" t="str">
        <x:f>IF(ISNUMBER(C1632),C1632^2,"")</x:f>
      </x:c>
      <x:c r="E1632" s="15" t="str">
        <x:f>IF(ISNUMBER(C1632),C1632^3,"")</x:f>
      </x:c>
      <x:c r="F1632" s="15" t="str">
        <x:f>IF(ISNUMBER(C1632),C1632^4,"")</x:f>
      </x:c>
      <x:c r="G1632" s="7" t="str">
        <x:f>IF(ISNUMBER(B1632),ABS(B1632),"")</x:f>
      </x:c>
      <x:c r="H1632" s="7" t="str">
        <x:f>IF(ISNUMBER(B1632),B1632^2,"")</x:f>
      </x:c>
      <x:c r="I1632" s="7" t="str">
        <x:f>IF(AND(ISNUMBER(G1632),'요약'!$B$19),G1632-'요약'!$B$14,"")</x:f>
      </x:c>
      <x:c r="J1632" s="7" t="str">
        <x:f>IF(AND(ISNUMBER(H1632),'요약'!$B$19),H1632-'요약'!$B$15,"")</x:f>
      </x:c>
      <x:c r="K1632" t="str">
        <x:f>IF(ISNUMBER(B1632),IF('Hill'!$B$4=1,IF(B1632&lt;0,-B1632,""),IF('Hill'!$B$4=2,IF(B1632&gt;0,B1632,""),IF('Hill'!$B$4=3,IF(B1632&lt;&gt;0,ABS(B1632),""),""))),"")</x:f>
      </x:c>
    </x:row>
    <x:row r="1633">
      <x:c r="A1633" t="n">
        <x:f>1632</x:f>
        <x:v>1632</x:v>
      </x:c>
      <x:c r="B1633" s="7" t="str">
        <x:f>IF('요약'!$B$4=4,IF(ISNUMBER('input'!A1633),'input'!A1633,""),IF(1632&lt;=1000,CHOOSE('요약'!$B$4,'input'!B1633,'input'!C1633,'input'!D1633),""))</x:f>
      </x:c>
      <x:c r="C1633" s="7" t="str">
        <x:f>IF(AND(ISNUMBER(B1633),'요약'!$B$19),B1633-'요약'!$B$7,"")</x:f>
      </x:c>
      <x:c r="D1633" s="7" t="str">
        <x:f>IF(ISNUMBER(C1633),C1633^2,"")</x:f>
      </x:c>
      <x:c r="E1633" s="15" t="str">
        <x:f>IF(ISNUMBER(C1633),C1633^3,"")</x:f>
      </x:c>
      <x:c r="F1633" s="15" t="str">
        <x:f>IF(ISNUMBER(C1633),C1633^4,"")</x:f>
      </x:c>
      <x:c r="G1633" s="7" t="str">
        <x:f>IF(ISNUMBER(B1633),ABS(B1633),"")</x:f>
      </x:c>
      <x:c r="H1633" s="7" t="str">
        <x:f>IF(ISNUMBER(B1633),B1633^2,"")</x:f>
      </x:c>
      <x:c r="I1633" s="7" t="str">
        <x:f>IF(AND(ISNUMBER(G1633),'요약'!$B$19),G1633-'요약'!$B$14,"")</x:f>
      </x:c>
      <x:c r="J1633" s="7" t="str">
        <x:f>IF(AND(ISNUMBER(H1633),'요약'!$B$19),H1633-'요약'!$B$15,"")</x:f>
      </x:c>
      <x:c r="K1633" t="str">
        <x:f>IF(ISNUMBER(B1633),IF('Hill'!$B$4=1,IF(B1633&lt;0,-B1633,""),IF('Hill'!$B$4=2,IF(B1633&gt;0,B1633,""),IF('Hill'!$B$4=3,IF(B1633&lt;&gt;0,ABS(B1633),""),""))),"")</x:f>
      </x:c>
    </x:row>
    <x:row r="1634">
      <x:c r="A1634" t="n">
        <x:f>1633</x:f>
        <x:v>1633</x:v>
      </x:c>
      <x:c r="B1634" s="7" t="str">
        <x:f>IF('요약'!$B$4=4,IF(ISNUMBER('input'!A1634),'input'!A1634,""),IF(1633&lt;=1000,CHOOSE('요약'!$B$4,'input'!B1634,'input'!C1634,'input'!D1634),""))</x:f>
      </x:c>
      <x:c r="C1634" s="7" t="str">
        <x:f>IF(AND(ISNUMBER(B1634),'요약'!$B$19),B1634-'요약'!$B$7,"")</x:f>
      </x:c>
      <x:c r="D1634" s="7" t="str">
        <x:f>IF(ISNUMBER(C1634),C1634^2,"")</x:f>
      </x:c>
      <x:c r="E1634" s="15" t="str">
        <x:f>IF(ISNUMBER(C1634),C1634^3,"")</x:f>
      </x:c>
      <x:c r="F1634" s="15" t="str">
        <x:f>IF(ISNUMBER(C1634),C1634^4,"")</x:f>
      </x:c>
      <x:c r="G1634" s="7" t="str">
        <x:f>IF(ISNUMBER(B1634),ABS(B1634),"")</x:f>
      </x:c>
      <x:c r="H1634" s="7" t="str">
        <x:f>IF(ISNUMBER(B1634),B1634^2,"")</x:f>
      </x:c>
      <x:c r="I1634" s="7" t="str">
        <x:f>IF(AND(ISNUMBER(G1634),'요약'!$B$19),G1634-'요약'!$B$14,"")</x:f>
      </x:c>
      <x:c r="J1634" s="7" t="str">
        <x:f>IF(AND(ISNUMBER(H1634),'요약'!$B$19),H1634-'요약'!$B$15,"")</x:f>
      </x:c>
      <x:c r="K1634" t="str">
        <x:f>IF(ISNUMBER(B1634),IF('Hill'!$B$4=1,IF(B1634&lt;0,-B1634,""),IF('Hill'!$B$4=2,IF(B1634&gt;0,B1634,""),IF('Hill'!$B$4=3,IF(B1634&lt;&gt;0,ABS(B1634),""),""))),"")</x:f>
      </x:c>
    </x:row>
    <x:row r="1635">
      <x:c r="A1635" t="n">
        <x:f>1634</x:f>
        <x:v>1634</x:v>
      </x:c>
      <x:c r="B1635" s="7" t="str">
        <x:f>IF('요약'!$B$4=4,IF(ISNUMBER('input'!A1635),'input'!A1635,""),IF(1634&lt;=1000,CHOOSE('요약'!$B$4,'input'!B1635,'input'!C1635,'input'!D1635),""))</x:f>
      </x:c>
      <x:c r="C1635" s="7" t="str">
        <x:f>IF(AND(ISNUMBER(B1635),'요약'!$B$19),B1635-'요약'!$B$7,"")</x:f>
      </x:c>
      <x:c r="D1635" s="7" t="str">
        <x:f>IF(ISNUMBER(C1635),C1635^2,"")</x:f>
      </x:c>
      <x:c r="E1635" s="15" t="str">
        <x:f>IF(ISNUMBER(C1635),C1635^3,"")</x:f>
      </x:c>
      <x:c r="F1635" s="15" t="str">
        <x:f>IF(ISNUMBER(C1635),C1635^4,"")</x:f>
      </x:c>
      <x:c r="G1635" s="7" t="str">
        <x:f>IF(ISNUMBER(B1635),ABS(B1635),"")</x:f>
      </x:c>
      <x:c r="H1635" s="7" t="str">
        <x:f>IF(ISNUMBER(B1635),B1635^2,"")</x:f>
      </x:c>
      <x:c r="I1635" s="7" t="str">
        <x:f>IF(AND(ISNUMBER(G1635),'요약'!$B$19),G1635-'요약'!$B$14,"")</x:f>
      </x:c>
      <x:c r="J1635" s="7" t="str">
        <x:f>IF(AND(ISNUMBER(H1635),'요약'!$B$19),H1635-'요약'!$B$15,"")</x:f>
      </x:c>
      <x:c r="K1635" t="str">
        <x:f>IF(ISNUMBER(B1635),IF('Hill'!$B$4=1,IF(B1635&lt;0,-B1635,""),IF('Hill'!$B$4=2,IF(B1635&gt;0,B1635,""),IF('Hill'!$B$4=3,IF(B1635&lt;&gt;0,ABS(B1635),""),""))),"")</x:f>
      </x:c>
    </x:row>
    <x:row r="1636">
      <x:c r="A1636" t="n">
        <x:f>1635</x:f>
        <x:v>1635</x:v>
      </x:c>
      <x:c r="B1636" s="7" t="str">
        <x:f>IF('요약'!$B$4=4,IF(ISNUMBER('input'!A1636),'input'!A1636,""),IF(1635&lt;=1000,CHOOSE('요약'!$B$4,'input'!B1636,'input'!C1636,'input'!D1636),""))</x:f>
      </x:c>
      <x:c r="C1636" s="7" t="str">
        <x:f>IF(AND(ISNUMBER(B1636),'요약'!$B$19),B1636-'요약'!$B$7,"")</x:f>
      </x:c>
      <x:c r="D1636" s="7" t="str">
        <x:f>IF(ISNUMBER(C1636),C1636^2,"")</x:f>
      </x:c>
      <x:c r="E1636" s="15" t="str">
        <x:f>IF(ISNUMBER(C1636),C1636^3,"")</x:f>
      </x:c>
      <x:c r="F1636" s="15" t="str">
        <x:f>IF(ISNUMBER(C1636),C1636^4,"")</x:f>
      </x:c>
      <x:c r="G1636" s="7" t="str">
        <x:f>IF(ISNUMBER(B1636),ABS(B1636),"")</x:f>
      </x:c>
      <x:c r="H1636" s="7" t="str">
        <x:f>IF(ISNUMBER(B1636),B1636^2,"")</x:f>
      </x:c>
      <x:c r="I1636" s="7" t="str">
        <x:f>IF(AND(ISNUMBER(G1636),'요약'!$B$19),G1636-'요약'!$B$14,"")</x:f>
      </x:c>
      <x:c r="J1636" s="7" t="str">
        <x:f>IF(AND(ISNUMBER(H1636),'요약'!$B$19),H1636-'요약'!$B$15,"")</x:f>
      </x:c>
      <x:c r="K1636" t="str">
        <x:f>IF(ISNUMBER(B1636),IF('Hill'!$B$4=1,IF(B1636&lt;0,-B1636,""),IF('Hill'!$B$4=2,IF(B1636&gt;0,B1636,""),IF('Hill'!$B$4=3,IF(B1636&lt;&gt;0,ABS(B1636),""),""))),"")</x:f>
      </x:c>
    </x:row>
    <x:row r="1637">
      <x:c r="A1637" t="n">
        <x:f>1636</x:f>
        <x:v>1636</x:v>
      </x:c>
      <x:c r="B1637" s="7" t="str">
        <x:f>IF('요약'!$B$4=4,IF(ISNUMBER('input'!A1637),'input'!A1637,""),IF(1636&lt;=1000,CHOOSE('요약'!$B$4,'input'!B1637,'input'!C1637,'input'!D1637),""))</x:f>
      </x:c>
      <x:c r="C1637" s="7" t="str">
        <x:f>IF(AND(ISNUMBER(B1637),'요약'!$B$19),B1637-'요약'!$B$7,"")</x:f>
      </x:c>
      <x:c r="D1637" s="7" t="str">
        <x:f>IF(ISNUMBER(C1637),C1637^2,"")</x:f>
      </x:c>
      <x:c r="E1637" s="15" t="str">
        <x:f>IF(ISNUMBER(C1637),C1637^3,"")</x:f>
      </x:c>
      <x:c r="F1637" s="15" t="str">
        <x:f>IF(ISNUMBER(C1637),C1637^4,"")</x:f>
      </x:c>
      <x:c r="G1637" s="7" t="str">
        <x:f>IF(ISNUMBER(B1637),ABS(B1637),"")</x:f>
      </x:c>
      <x:c r="H1637" s="7" t="str">
        <x:f>IF(ISNUMBER(B1637),B1637^2,"")</x:f>
      </x:c>
      <x:c r="I1637" s="7" t="str">
        <x:f>IF(AND(ISNUMBER(G1637),'요약'!$B$19),G1637-'요약'!$B$14,"")</x:f>
      </x:c>
      <x:c r="J1637" s="7" t="str">
        <x:f>IF(AND(ISNUMBER(H1637),'요약'!$B$19),H1637-'요약'!$B$15,"")</x:f>
      </x:c>
      <x:c r="K1637" t="str">
        <x:f>IF(ISNUMBER(B1637),IF('Hill'!$B$4=1,IF(B1637&lt;0,-B1637,""),IF('Hill'!$B$4=2,IF(B1637&gt;0,B1637,""),IF('Hill'!$B$4=3,IF(B1637&lt;&gt;0,ABS(B1637),""),""))),"")</x:f>
      </x:c>
    </x:row>
    <x:row r="1638">
      <x:c r="A1638" t="n">
        <x:f>1637</x:f>
        <x:v>1637</x:v>
      </x:c>
      <x:c r="B1638" s="7" t="str">
        <x:f>IF('요약'!$B$4=4,IF(ISNUMBER('input'!A1638),'input'!A1638,""),IF(1637&lt;=1000,CHOOSE('요약'!$B$4,'input'!B1638,'input'!C1638,'input'!D1638),""))</x:f>
      </x:c>
      <x:c r="C1638" s="7" t="str">
        <x:f>IF(AND(ISNUMBER(B1638),'요약'!$B$19),B1638-'요약'!$B$7,"")</x:f>
      </x:c>
      <x:c r="D1638" s="7" t="str">
        <x:f>IF(ISNUMBER(C1638),C1638^2,"")</x:f>
      </x:c>
      <x:c r="E1638" s="15" t="str">
        <x:f>IF(ISNUMBER(C1638),C1638^3,"")</x:f>
      </x:c>
      <x:c r="F1638" s="15" t="str">
        <x:f>IF(ISNUMBER(C1638),C1638^4,"")</x:f>
      </x:c>
      <x:c r="G1638" s="7" t="str">
        <x:f>IF(ISNUMBER(B1638),ABS(B1638),"")</x:f>
      </x:c>
      <x:c r="H1638" s="7" t="str">
        <x:f>IF(ISNUMBER(B1638),B1638^2,"")</x:f>
      </x:c>
      <x:c r="I1638" s="7" t="str">
        <x:f>IF(AND(ISNUMBER(G1638),'요약'!$B$19),G1638-'요약'!$B$14,"")</x:f>
      </x:c>
      <x:c r="J1638" s="7" t="str">
        <x:f>IF(AND(ISNUMBER(H1638),'요약'!$B$19),H1638-'요약'!$B$15,"")</x:f>
      </x:c>
      <x:c r="K1638" t="str">
        <x:f>IF(ISNUMBER(B1638),IF('Hill'!$B$4=1,IF(B1638&lt;0,-B1638,""),IF('Hill'!$B$4=2,IF(B1638&gt;0,B1638,""),IF('Hill'!$B$4=3,IF(B1638&lt;&gt;0,ABS(B1638),""),""))),"")</x:f>
      </x:c>
    </x:row>
    <x:row r="1639">
      <x:c r="A1639" t="n">
        <x:f>1638</x:f>
        <x:v>1638</x:v>
      </x:c>
      <x:c r="B1639" s="7" t="str">
        <x:f>IF('요약'!$B$4=4,IF(ISNUMBER('input'!A1639),'input'!A1639,""),IF(1638&lt;=1000,CHOOSE('요약'!$B$4,'input'!B1639,'input'!C1639,'input'!D1639),""))</x:f>
      </x:c>
      <x:c r="C1639" s="7" t="str">
        <x:f>IF(AND(ISNUMBER(B1639),'요약'!$B$19),B1639-'요약'!$B$7,"")</x:f>
      </x:c>
      <x:c r="D1639" s="7" t="str">
        <x:f>IF(ISNUMBER(C1639),C1639^2,"")</x:f>
      </x:c>
      <x:c r="E1639" s="15" t="str">
        <x:f>IF(ISNUMBER(C1639),C1639^3,"")</x:f>
      </x:c>
      <x:c r="F1639" s="15" t="str">
        <x:f>IF(ISNUMBER(C1639),C1639^4,"")</x:f>
      </x:c>
      <x:c r="G1639" s="7" t="str">
        <x:f>IF(ISNUMBER(B1639),ABS(B1639),"")</x:f>
      </x:c>
      <x:c r="H1639" s="7" t="str">
        <x:f>IF(ISNUMBER(B1639),B1639^2,"")</x:f>
      </x:c>
      <x:c r="I1639" s="7" t="str">
        <x:f>IF(AND(ISNUMBER(G1639),'요약'!$B$19),G1639-'요약'!$B$14,"")</x:f>
      </x:c>
      <x:c r="J1639" s="7" t="str">
        <x:f>IF(AND(ISNUMBER(H1639),'요약'!$B$19),H1639-'요약'!$B$15,"")</x:f>
      </x:c>
      <x:c r="K1639" t="str">
        <x:f>IF(ISNUMBER(B1639),IF('Hill'!$B$4=1,IF(B1639&lt;0,-B1639,""),IF('Hill'!$B$4=2,IF(B1639&gt;0,B1639,""),IF('Hill'!$B$4=3,IF(B1639&lt;&gt;0,ABS(B1639),""),""))),"")</x:f>
      </x:c>
    </x:row>
    <x:row r="1640">
      <x:c r="A1640" t="n">
        <x:f>1639</x:f>
        <x:v>1639</x:v>
      </x:c>
      <x:c r="B1640" s="7" t="str">
        <x:f>IF('요약'!$B$4=4,IF(ISNUMBER('input'!A1640),'input'!A1640,""),IF(1639&lt;=1000,CHOOSE('요약'!$B$4,'input'!B1640,'input'!C1640,'input'!D1640),""))</x:f>
      </x:c>
      <x:c r="C1640" s="7" t="str">
        <x:f>IF(AND(ISNUMBER(B1640),'요약'!$B$19),B1640-'요약'!$B$7,"")</x:f>
      </x:c>
      <x:c r="D1640" s="7" t="str">
        <x:f>IF(ISNUMBER(C1640),C1640^2,"")</x:f>
      </x:c>
      <x:c r="E1640" s="15" t="str">
        <x:f>IF(ISNUMBER(C1640),C1640^3,"")</x:f>
      </x:c>
      <x:c r="F1640" s="15" t="str">
        <x:f>IF(ISNUMBER(C1640),C1640^4,"")</x:f>
      </x:c>
      <x:c r="G1640" s="7" t="str">
        <x:f>IF(ISNUMBER(B1640),ABS(B1640),"")</x:f>
      </x:c>
      <x:c r="H1640" s="7" t="str">
        <x:f>IF(ISNUMBER(B1640),B1640^2,"")</x:f>
      </x:c>
      <x:c r="I1640" s="7" t="str">
        <x:f>IF(AND(ISNUMBER(G1640),'요약'!$B$19),G1640-'요약'!$B$14,"")</x:f>
      </x:c>
      <x:c r="J1640" s="7" t="str">
        <x:f>IF(AND(ISNUMBER(H1640),'요약'!$B$19),H1640-'요약'!$B$15,"")</x:f>
      </x:c>
      <x:c r="K1640" t="str">
        <x:f>IF(ISNUMBER(B1640),IF('Hill'!$B$4=1,IF(B1640&lt;0,-B1640,""),IF('Hill'!$B$4=2,IF(B1640&gt;0,B1640,""),IF('Hill'!$B$4=3,IF(B1640&lt;&gt;0,ABS(B1640),""),""))),"")</x:f>
      </x:c>
    </x:row>
    <x:row r="1641">
      <x:c r="A1641" t="n">
        <x:f>1640</x:f>
        <x:v>1640</x:v>
      </x:c>
      <x:c r="B1641" s="7" t="str">
        <x:f>IF('요약'!$B$4=4,IF(ISNUMBER('input'!A1641),'input'!A1641,""),IF(1640&lt;=1000,CHOOSE('요약'!$B$4,'input'!B1641,'input'!C1641,'input'!D1641),""))</x:f>
      </x:c>
      <x:c r="C1641" s="7" t="str">
        <x:f>IF(AND(ISNUMBER(B1641),'요약'!$B$19),B1641-'요약'!$B$7,"")</x:f>
      </x:c>
      <x:c r="D1641" s="7" t="str">
        <x:f>IF(ISNUMBER(C1641),C1641^2,"")</x:f>
      </x:c>
      <x:c r="E1641" s="15" t="str">
        <x:f>IF(ISNUMBER(C1641),C1641^3,"")</x:f>
      </x:c>
      <x:c r="F1641" s="15" t="str">
        <x:f>IF(ISNUMBER(C1641),C1641^4,"")</x:f>
      </x:c>
      <x:c r="G1641" s="7" t="str">
        <x:f>IF(ISNUMBER(B1641),ABS(B1641),"")</x:f>
      </x:c>
      <x:c r="H1641" s="7" t="str">
        <x:f>IF(ISNUMBER(B1641),B1641^2,"")</x:f>
      </x:c>
      <x:c r="I1641" s="7" t="str">
        <x:f>IF(AND(ISNUMBER(G1641),'요약'!$B$19),G1641-'요약'!$B$14,"")</x:f>
      </x:c>
      <x:c r="J1641" s="7" t="str">
        <x:f>IF(AND(ISNUMBER(H1641),'요약'!$B$19),H1641-'요약'!$B$15,"")</x:f>
      </x:c>
      <x:c r="K1641" t="str">
        <x:f>IF(ISNUMBER(B1641),IF('Hill'!$B$4=1,IF(B1641&lt;0,-B1641,""),IF('Hill'!$B$4=2,IF(B1641&gt;0,B1641,""),IF('Hill'!$B$4=3,IF(B1641&lt;&gt;0,ABS(B1641),""),""))),"")</x:f>
      </x:c>
    </x:row>
    <x:row r="1642">
      <x:c r="A1642" t="n">
        <x:f>1641</x:f>
        <x:v>1641</x:v>
      </x:c>
      <x:c r="B1642" s="7" t="str">
        <x:f>IF('요약'!$B$4=4,IF(ISNUMBER('input'!A1642),'input'!A1642,""),IF(1641&lt;=1000,CHOOSE('요약'!$B$4,'input'!B1642,'input'!C1642,'input'!D1642),""))</x:f>
      </x:c>
      <x:c r="C1642" s="7" t="str">
        <x:f>IF(AND(ISNUMBER(B1642),'요약'!$B$19),B1642-'요약'!$B$7,"")</x:f>
      </x:c>
      <x:c r="D1642" s="7" t="str">
        <x:f>IF(ISNUMBER(C1642),C1642^2,"")</x:f>
      </x:c>
      <x:c r="E1642" s="15" t="str">
        <x:f>IF(ISNUMBER(C1642),C1642^3,"")</x:f>
      </x:c>
      <x:c r="F1642" s="15" t="str">
        <x:f>IF(ISNUMBER(C1642),C1642^4,"")</x:f>
      </x:c>
      <x:c r="G1642" s="7" t="str">
        <x:f>IF(ISNUMBER(B1642),ABS(B1642),"")</x:f>
      </x:c>
      <x:c r="H1642" s="7" t="str">
        <x:f>IF(ISNUMBER(B1642),B1642^2,"")</x:f>
      </x:c>
      <x:c r="I1642" s="7" t="str">
        <x:f>IF(AND(ISNUMBER(G1642),'요약'!$B$19),G1642-'요약'!$B$14,"")</x:f>
      </x:c>
      <x:c r="J1642" s="7" t="str">
        <x:f>IF(AND(ISNUMBER(H1642),'요약'!$B$19),H1642-'요약'!$B$15,"")</x:f>
      </x:c>
      <x:c r="K1642" t="str">
        <x:f>IF(ISNUMBER(B1642),IF('Hill'!$B$4=1,IF(B1642&lt;0,-B1642,""),IF('Hill'!$B$4=2,IF(B1642&gt;0,B1642,""),IF('Hill'!$B$4=3,IF(B1642&lt;&gt;0,ABS(B1642),""),""))),"")</x:f>
      </x:c>
    </x:row>
    <x:row r="1643">
      <x:c r="A1643" t="n">
        <x:f>1642</x:f>
        <x:v>1642</x:v>
      </x:c>
      <x:c r="B1643" s="7" t="str">
        <x:f>IF('요약'!$B$4=4,IF(ISNUMBER('input'!A1643),'input'!A1643,""),IF(1642&lt;=1000,CHOOSE('요약'!$B$4,'input'!B1643,'input'!C1643,'input'!D1643),""))</x:f>
      </x:c>
      <x:c r="C1643" s="7" t="str">
        <x:f>IF(AND(ISNUMBER(B1643),'요약'!$B$19),B1643-'요약'!$B$7,"")</x:f>
      </x:c>
      <x:c r="D1643" s="7" t="str">
        <x:f>IF(ISNUMBER(C1643),C1643^2,"")</x:f>
      </x:c>
      <x:c r="E1643" s="15" t="str">
        <x:f>IF(ISNUMBER(C1643),C1643^3,"")</x:f>
      </x:c>
      <x:c r="F1643" s="15" t="str">
        <x:f>IF(ISNUMBER(C1643),C1643^4,"")</x:f>
      </x:c>
      <x:c r="G1643" s="7" t="str">
        <x:f>IF(ISNUMBER(B1643),ABS(B1643),"")</x:f>
      </x:c>
      <x:c r="H1643" s="7" t="str">
        <x:f>IF(ISNUMBER(B1643),B1643^2,"")</x:f>
      </x:c>
      <x:c r="I1643" s="7" t="str">
        <x:f>IF(AND(ISNUMBER(G1643),'요약'!$B$19),G1643-'요약'!$B$14,"")</x:f>
      </x:c>
      <x:c r="J1643" s="7" t="str">
        <x:f>IF(AND(ISNUMBER(H1643),'요약'!$B$19),H1643-'요약'!$B$15,"")</x:f>
      </x:c>
      <x:c r="K1643" t="str">
        <x:f>IF(ISNUMBER(B1643),IF('Hill'!$B$4=1,IF(B1643&lt;0,-B1643,""),IF('Hill'!$B$4=2,IF(B1643&gt;0,B1643,""),IF('Hill'!$B$4=3,IF(B1643&lt;&gt;0,ABS(B1643),""),""))),"")</x:f>
      </x:c>
    </x:row>
    <x:row r="1644">
      <x:c r="A1644" t="n">
        <x:f>1643</x:f>
        <x:v>1643</x:v>
      </x:c>
      <x:c r="B1644" s="7" t="str">
        <x:f>IF('요약'!$B$4=4,IF(ISNUMBER('input'!A1644),'input'!A1644,""),IF(1643&lt;=1000,CHOOSE('요약'!$B$4,'input'!B1644,'input'!C1644,'input'!D1644),""))</x:f>
      </x:c>
      <x:c r="C1644" s="7" t="str">
        <x:f>IF(AND(ISNUMBER(B1644),'요약'!$B$19),B1644-'요약'!$B$7,"")</x:f>
      </x:c>
      <x:c r="D1644" s="7" t="str">
        <x:f>IF(ISNUMBER(C1644),C1644^2,"")</x:f>
      </x:c>
      <x:c r="E1644" s="15" t="str">
        <x:f>IF(ISNUMBER(C1644),C1644^3,"")</x:f>
      </x:c>
      <x:c r="F1644" s="15" t="str">
        <x:f>IF(ISNUMBER(C1644),C1644^4,"")</x:f>
      </x:c>
      <x:c r="G1644" s="7" t="str">
        <x:f>IF(ISNUMBER(B1644),ABS(B1644),"")</x:f>
      </x:c>
      <x:c r="H1644" s="7" t="str">
        <x:f>IF(ISNUMBER(B1644),B1644^2,"")</x:f>
      </x:c>
      <x:c r="I1644" s="7" t="str">
        <x:f>IF(AND(ISNUMBER(G1644),'요약'!$B$19),G1644-'요약'!$B$14,"")</x:f>
      </x:c>
      <x:c r="J1644" s="7" t="str">
        <x:f>IF(AND(ISNUMBER(H1644),'요약'!$B$19),H1644-'요약'!$B$15,"")</x:f>
      </x:c>
      <x:c r="K1644" t="str">
        <x:f>IF(ISNUMBER(B1644),IF('Hill'!$B$4=1,IF(B1644&lt;0,-B1644,""),IF('Hill'!$B$4=2,IF(B1644&gt;0,B1644,""),IF('Hill'!$B$4=3,IF(B1644&lt;&gt;0,ABS(B1644),""),""))),"")</x:f>
      </x:c>
    </x:row>
    <x:row r="1645">
      <x:c r="A1645" t="n">
        <x:f>1644</x:f>
        <x:v>1644</x:v>
      </x:c>
      <x:c r="B1645" s="7" t="str">
        <x:f>IF('요약'!$B$4=4,IF(ISNUMBER('input'!A1645),'input'!A1645,""),IF(1644&lt;=1000,CHOOSE('요약'!$B$4,'input'!B1645,'input'!C1645,'input'!D1645),""))</x:f>
      </x:c>
      <x:c r="C1645" s="7" t="str">
        <x:f>IF(AND(ISNUMBER(B1645),'요약'!$B$19),B1645-'요약'!$B$7,"")</x:f>
      </x:c>
      <x:c r="D1645" s="7" t="str">
        <x:f>IF(ISNUMBER(C1645),C1645^2,"")</x:f>
      </x:c>
      <x:c r="E1645" s="15" t="str">
        <x:f>IF(ISNUMBER(C1645),C1645^3,"")</x:f>
      </x:c>
      <x:c r="F1645" s="15" t="str">
        <x:f>IF(ISNUMBER(C1645),C1645^4,"")</x:f>
      </x:c>
      <x:c r="G1645" s="7" t="str">
        <x:f>IF(ISNUMBER(B1645),ABS(B1645),"")</x:f>
      </x:c>
      <x:c r="H1645" s="7" t="str">
        <x:f>IF(ISNUMBER(B1645),B1645^2,"")</x:f>
      </x:c>
      <x:c r="I1645" s="7" t="str">
        <x:f>IF(AND(ISNUMBER(G1645),'요약'!$B$19),G1645-'요약'!$B$14,"")</x:f>
      </x:c>
      <x:c r="J1645" s="7" t="str">
        <x:f>IF(AND(ISNUMBER(H1645),'요약'!$B$19),H1645-'요약'!$B$15,"")</x:f>
      </x:c>
      <x:c r="K1645" t="str">
        <x:f>IF(ISNUMBER(B1645),IF('Hill'!$B$4=1,IF(B1645&lt;0,-B1645,""),IF('Hill'!$B$4=2,IF(B1645&gt;0,B1645,""),IF('Hill'!$B$4=3,IF(B1645&lt;&gt;0,ABS(B1645),""),""))),"")</x:f>
      </x:c>
    </x:row>
    <x:row r="1646">
      <x:c r="A1646" t="n">
        <x:f>1645</x:f>
        <x:v>1645</x:v>
      </x:c>
      <x:c r="B1646" s="7" t="str">
        <x:f>IF('요약'!$B$4=4,IF(ISNUMBER('input'!A1646),'input'!A1646,""),IF(1645&lt;=1000,CHOOSE('요약'!$B$4,'input'!B1646,'input'!C1646,'input'!D1646),""))</x:f>
      </x:c>
      <x:c r="C1646" s="7" t="str">
        <x:f>IF(AND(ISNUMBER(B1646),'요약'!$B$19),B1646-'요약'!$B$7,"")</x:f>
      </x:c>
      <x:c r="D1646" s="7" t="str">
        <x:f>IF(ISNUMBER(C1646),C1646^2,"")</x:f>
      </x:c>
      <x:c r="E1646" s="15" t="str">
        <x:f>IF(ISNUMBER(C1646),C1646^3,"")</x:f>
      </x:c>
      <x:c r="F1646" s="15" t="str">
        <x:f>IF(ISNUMBER(C1646),C1646^4,"")</x:f>
      </x:c>
      <x:c r="G1646" s="7" t="str">
        <x:f>IF(ISNUMBER(B1646),ABS(B1646),"")</x:f>
      </x:c>
      <x:c r="H1646" s="7" t="str">
        <x:f>IF(ISNUMBER(B1646),B1646^2,"")</x:f>
      </x:c>
      <x:c r="I1646" s="7" t="str">
        <x:f>IF(AND(ISNUMBER(G1646),'요약'!$B$19),G1646-'요약'!$B$14,"")</x:f>
      </x:c>
      <x:c r="J1646" s="7" t="str">
        <x:f>IF(AND(ISNUMBER(H1646),'요약'!$B$19),H1646-'요약'!$B$15,"")</x:f>
      </x:c>
      <x:c r="K1646" t="str">
        <x:f>IF(ISNUMBER(B1646),IF('Hill'!$B$4=1,IF(B1646&lt;0,-B1646,""),IF('Hill'!$B$4=2,IF(B1646&gt;0,B1646,""),IF('Hill'!$B$4=3,IF(B1646&lt;&gt;0,ABS(B1646),""),""))),"")</x:f>
      </x:c>
    </x:row>
    <x:row r="1647">
      <x:c r="A1647" t="n">
        <x:f>1646</x:f>
        <x:v>1646</x:v>
      </x:c>
      <x:c r="B1647" s="7" t="str">
        <x:f>IF('요약'!$B$4=4,IF(ISNUMBER('input'!A1647),'input'!A1647,""),IF(1646&lt;=1000,CHOOSE('요약'!$B$4,'input'!B1647,'input'!C1647,'input'!D1647),""))</x:f>
      </x:c>
      <x:c r="C1647" s="7" t="str">
        <x:f>IF(AND(ISNUMBER(B1647),'요약'!$B$19),B1647-'요약'!$B$7,"")</x:f>
      </x:c>
      <x:c r="D1647" s="7" t="str">
        <x:f>IF(ISNUMBER(C1647),C1647^2,"")</x:f>
      </x:c>
      <x:c r="E1647" s="15" t="str">
        <x:f>IF(ISNUMBER(C1647),C1647^3,"")</x:f>
      </x:c>
      <x:c r="F1647" s="15" t="str">
        <x:f>IF(ISNUMBER(C1647),C1647^4,"")</x:f>
      </x:c>
      <x:c r="G1647" s="7" t="str">
        <x:f>IF(ISNUMBER(B1647),ABS(B1647),"")</x:f>
      </x:c>
      <x:c r="H1647" s="7" t="str">
        <x:f>IF(ISNUMBER(B1647),B1647^2,"")</x:f>
      </x:c>
      <x:c r="I1647" s="7" t="str">
        <x:f>IF(AND(ISNUMBER(G1647),'요약'!$B$19),G1647-'요약'!$B$14,"")</x:f>
      </x:c>
      <x:c r="J1647" s="7" t="str">
        <x:f>IF(AND(ISNUMBER(H1647),'요약'!$B$19),H1647-'요약'!$B$15,"")</x:f>
      </x:c>
      <x:c r="K1647" t="str">
        <x:f>IF(ISNUMBER(B1647),IF('Hill'!$B$4=1,IF(B1647&lt;0,-B1647,""),IF('Hill'!$B$4=2,IF(B1647&gt;0,B1647,""),IF('Hill'!$B$4=3,IF(B1647&lt;&gt;0,ABS(B1647),""),""))),"")</x:f>
      </x:c>
    </x:row>
    <x:row r="1648">
      <x:c r="A1648" t="n">
        <x:f>1647</x:f>
        <x:v>1647</x:v>
      </x:c>
      <x:c r="B1648" s="7" t="str">
        <x:f>IF('요약'!$B$4=4,IF(ISNUMBER('input'!A1648),'input'!A1648,""),IF(1647&lt;=1000,CHOOSE('요약'!$B$4,'input'!B1648,'input'!C1648,'input'!D1648),""))</x:f>
      </x:c>
      <x:c r="C1648" s="7" t="str">
        <x:f>IF(AND(ISNUMBER(B1648),'요약'!$B$19),B1648-'요약'!$B$7,"")</x:f>
      </x:c>
      <x:c r="D1648" s="7" t="str">
        <x:f>IF(ISNUMBER(C1648),C1648^2,"")</x:f>
      </x:c>
      <x:c r="E1648" s="15" t="str">
        <x:f>IF(ISNUMBER(C1648),C1648^3,"")</x:f>
      </x:c>
      <x:c r="F1648" s="15" t="str">
        <x:f>IF(ISNUMBER(C1648),C1648^4,"")</x:f>
      </x:c>
      <x:c r="G1648" s="7" t="str">
        <x:f>IF(ISNUMBER(B1648),ABS(B1648),"")</x:f>
      </x:c>
      <x:c r="H1648" s="7" t="str">
        <x:f>IF(ISNUMBER(B1648),B1648^2,"")</x:f>
      </x:c>
      <x:c r="I1648" s="7" t="str">
        <x:f>IF(AND(ISNUMBER(G1648),'요약'!$B$19),G1648-'요약'!$B$14,"")</x:f>
      </x:c>
      <x:c r="J1648" s="7" t="str">
        <x:f>IF(AND(ISNUMBER(H1648),'요약'!$B$19),H1648-'요약'!$B$15,"")</x:f>
      </x:c>
      <x:c r="K1648" t="str">
        <x:f>IF(ISNUMBER(B1648),IF('Hill'!$B$4=1,IF(B1648&lt;0,-B1648,""),IF('Hill'!$B$4=2,IF(B1648&gt;0,B1648,""),IF('Hill'!$B$4=3,IF(B1648&lt;&gt;0,ABS(B1648),""),""))),"")</x:f>
      </x:c>
    </x:row>
    <x:row r="1649">
      <x:c r="A1649" t="n">
        <x:f>1648</x:f>
        <x:v>1648</x:v>
      </x:c>
      <x:c r="B1649" s="7" t="str">
        <x:f>IF('요약'!$B$4=4,IF(ISNUMBER('input'!A1649),'input'!A1649,""),IF(1648&lt;=1000,CHOOSE('요약'!$B$4,'input'!B1649,'input'!C1649,'input'!D1649),""))</x:f>
      </x:c>
      <x:c r="C1649" s="7" t="str">
        <x:f>IF(AND(ISNUMBER(B1649),'요약'!$B$19),B1649-'요약'!$B$7,"")</x:f>
      </x:c>
      <x:c r="D1649" s="7" t="str">
        <x:f>IF(ISNUMBER(C1649),C1649^2,"")</x:f>
      </x:c>
      <x:c r="E1649" s="15" t="str">
        <x:f>IF(ISNUMBER(C1649),C1649^3,"")</x:f>
      </x:c>
      <x:c r="F1649" s="15" t="str">
        <x:f>IF(ISNUMBER(C1649),C1649^4,"")</x:f>
      </x:c>
      <x:c r="G1649" s="7" t="str">
        <x:f>IF(ISNUMBER(B1649),ABS(B1649),"")</x:f>
      </x:c>
      <x:c r="H1649" s="7" t="str">
        <x:f>IF(ISNUMBER(B1649),B1649^2,"")</x:f>
      </x:c>
      <x:c r="I1649" s="7" t="str">
        <x:f>IF(AND(ISNUMBER(G1649),'요약'!$B$19),G1649-'요약'!$B$14,"")</x:f>
      </x:c>
      <x:c r="J1649" s="7" t="str">
        <x:f>IF(AND(ISNUMBER(H1649),'요약'!$B$19),H1649-'요약'!$B$15,"")</x:f>
      </x:c>
      <x:c r="K1649" t="str">
        <x:f>IF(ISNUMBER(B1649),IF('Hill'!$B$4=1,IF(B1649&lt;0,-B1649,""),IF('Hill'!$B$4=2,IF(B1649&gt;0,B1649,""),IF('Hill'!$B$4=3,IF(B1649&lt;&gt;0,ABS(B1649),""),""))),"")</x:f>
      </x:c>
    </x:row>
    <x:row r="1650">
      <x:c r="A1650" t="n">
        <x:f>1649</x:f>
        <x:v>1649</x:v>
      </x:c>
      <x:c r="B1650" s="7" t="str">
        <x:f>IF('요약'!$B$4=4,IF(ISNUMBER('input'!A1650),'input'!A1650,""),IF(1649&lt;=1000,CHOOSE('요약'!$B$4,'input'!B1650,'input'!C1650,'input'!D1650),""))</x:f>
      </x:c>
      <x:c r="C1650" s="7" t="str">
        <x:f>IF(AND(ISNUMBER(B1650),'요약'!$B$19),B1650-'요약'!$B$7,"")</x:f>
      </x:c>
      <x:c r="D1650" s="7" t="str">
        <x:f>IF(ISNUMBER(C1650),C1650^2,"")</x:f>
      </x:c>
      <x:c r="E1650" s="15" t="str">
        <x:f>IF(ISNUMBER(C1650),C1650^3,"")</x:f>
      </x:c>
      <x:c r="F1650" s="15" t="str">
        <x:f>IF(ISNUMBER(C1650),C1650^4,"")</x:f>
      </x:c>
      <x:c r="G1650" s="7" t="str">
        <x:f>IF(ISNUMBER(B1650),ABS(B1650),"")</x:f>
      </x:c>
      <x:c r="H1650" s="7" t="str">
        <x:f>IF(ISNUMBER(B1650),B1650^2,"")</x:f>
      </x:c>
      <x:c r="I1650" s="7" t="str">
        <x:f>IF(AND(ISNUMBER(G1650),'요약'!$B$19),G1650-'요약'!$B$14,"")</x:f>
      </x:c>
      <x:c r="J1650" s="7" t="str">
        <x:f>IF(AND(ISNUMBER(H1650),'요약'!$B$19),H1650-'요약'!$B$15,"")</x:f>
      </x:c>
      <x:c r="K1650" t="str">
        <x:f>IF(ISNUMBER(B1650),IF('Hill'!$B$4=1,IF(B1650&lt;0,-B1650,""),IF('Hill'!$B$4=2,IF(B1650&gt;0,B1650,""),IF('Hill'!$B$4=3,IF(B1650&lt;&gt;0,ABS(B1650),""),""))),"")</x:f>
      </x:c>
    </x:row>
    <x:row r="1651">
      <x:c r="A1651" t="n">
        <x:f>1650</x:f>
        <x:v>1650</x:v>
      </x:c>
      <x:c r="B1651" s="7" t="str">
        <x:f>IF('요약'!$B$4=4,IF(ISNUMBER('input'!A1651),'input'!A1651,""),IF(1650&lt;=1000,CHOOSE('요약'!$B$4,'input'!B1651,'input'!C1651,'input'!D1651),""))</x:f>
      </x:c>
      <x:c r="C1651" s="7" t="str">
        <x:f>IF(AND(ISNUMBER(B1651),'요약'!$B$19),B1651-'요약'!$B$7,"")</x:f>
      </x:c>
      <x:c r="D1651" s="7" t="str">
        <x:f>IF(ISNUMBER(C1651),C1651^2,"")</x:f>
      </x:c>
      <x:c r="E1651" s="15" t="str">
        <x:f>IF(ISNUMBER(C1651),C1651^3,"")</x:f>
      </x:c>
      <x:c r="F1651" s="15" t="str">
        <x:f>IF(ISNUMBER(C1651),C1651^4,"")</x:f>
      </x:c>
      <x:c r="G1651" s="7" t="str">
        <x:f>IF(ISNUMBER(B1651),ABS(B1651),"")</x:f>
      </x:c>
      <x:c r="H1651" s="7" t="str">
        <x:f>IF(ISNUMBER(B1651),B1651^2,"")</x:f>
      </x:c>
      <x:c r="I1651" s="7" t="str">
        <x:f>IF(AND(ISNUMBER(G1651),'요약'!$B$19),G1651-'요약'!$B$14,"")</x:f>
      </x:c>
      <x:c r="J1651" s="7" t="str">
        <x:f>IF(AND(ISNUMBER(H1651),'요약'!$B$19),H1651-'요약'!$B$15,"")</x:f>
      </x:c>
      <x:c r="K1651" t="str">
        <x:f>IF(ISNUMBER(B1651),IF('Hill'!$B$4=1,IF(B1651&lt;0,-B1651,""),IF('Hill'!$B$4=2,IF(B1651&gt;0,B1651,""),IF('Hill'!$B$4=3,IF(B1651&lt;&gt;0,ABS(B1651),""),""))),"")</x:f>
      </x:c>
    </x:row>
    <x:row r="1652">
      <x:c r="A1652" t="n">
        <x:f>1651</x:f>
        <x:v>1651</x:v>
      </x:c>
      <x:c r="B1652" s="7" t="str">
        <x:f>IF('요약'!$B$4=4,IF(ISNUMBER('input'!A1652),'input'!A1652,""),IF(1651&lt;=1000,CHOOSE('요약'!$B$4,'input'!B1652,'input'!C1652,'input'!D1652),""))</x:f>
      </x:c>
      <x:c r="C1652" s="7" t="str">
        <x:f>IF(AND(ISNUMBER(B1652),'요약'!$B$19),B1652-'요약'!$B$7,"")</x:f>
      </x:c>
      <x:c r="D1652" s="7" t="str">
        <x:f>IF(ISNUMBER(C1652),C1652^2,"")</x:f>
      </x:c>
      <x:c r="E1652" s="15" t="str">
        <x:f>IF(ISNUMBER(C1652),C1652^3,"")</x:f>
      </x:c>
      <x:c r="F1652" s="15" t="str">
        <x:f>IF(ISNUMBER(C1652),C1652^4,"")</x:f>
      </x:c>
      <x:c r="G1652" s="7" t="str">
        <x:f>IF(ISNUMBER(B1652),ABS(B1652),"")</x:f>
      </x:c>
      <x:c r="H1652" s="7" t="str">
        <x:f>IF(ISNUMBER(B1652),B1652^2,"")</x:f>
      </x:c>
      <x:c r="I1652" s="7" t="str">
        <x:f>IF(AND(ISNUMBER(G1652),'요약'!$B$19),G1652-'요약'!$B$14,"")</x:f>
      </x:c>
      <x:c r="J1652" s="7" t="str">
        <x:f>IF(AND(ISNUMBER(H1652),'요약'!$B$19),H1652-'요약'!$B$15,"")</x:f>
      </x:c>
      <x:c r="K1652" t="str">
        <x:f>IF(ISNUMBER(B1652),IF('Hill'!$B$4=1,IF(B1652&lt;0,-B1652,""),IF('Hill'!$B$4=2,IF(B1652&gt;0,B1652,""),IF('Hill'!$B$4=3,IF(B1652&lt;&gt;0,ABS(B1652),""),""))),"")</x:f>
      </x:c>
    </x:row>
    <x:row r="1653">
      <x:c r="A1653" t="n">
        <x:f>1652</x:f>
        <x:v>1652</x:v>
      </x:c>
      <x:c r="B1653" s="7" t="str">
        <x:f>IF('요약'!$B$4=4,IF(ISNUMBER('input'!A1653),'input'!A1653,""),IF(1652&lt;=1000,CHOOSE('요약'!$B$4,'input'!B1653,'input'!C1653,'input'!D1653),""))</x:f>
      </x:c>
      <x:c r="C1653" s="7" t="str">
        <x:f>IF(AND(ISNUMBER(B1653),'요약'!$B$19),B1653-'요약'!$B$7,"")</x:f>
      </x:c>
      <x:c r="D1653" s="7" t="str">
        <x:f>IF(ISNUMBER(C1653),C1653^2,"")</x:f>
      </x:c>
      <x:c r="E1653" s="15" t="str">
        <x:f>IF(ISNUMBER(C1653),C1653^3,"")</x:f>
      </x:c>
      <x:c r="F1653" s="15" t="str">
        <x:f>IF(ISNUMBER(C1653),C1653^4,"")</x:f>
      </x:c>
      <x:c r="G1653" s="7" t="str">
        <x:f>IF(ISNUMBER(B1653),ABS(B1653),"")</x:f>
      </x:c>
      <x:c r="H1653" s="7" t="str">
        <x:f>IF(ISNUMBER(B1653),B1653^2,"")</x:f>
      </x:c>
      <x:c r="I1653" s="7" t="str">
        <x:f>IF(AND(ISNUMBER(G1653),'요약'!$B$19),G1653-'요약'!$B$14,"")</x:f>
      </x:c>
      <x:c r="J1653" s="7" t="str">
        <x:f>IF(AND(ISNUMBER(H1653),'요약'!$B$19),H1653-'요약'!$B$15,"")</x:f>
      </x:c>
      <x:c r="K1653" t="str">
        <x:f>IF(ISNUMBER(B1653),IF('Hill'!$B$4=1,IF(B1653&lt;0,-B1653,""),IF('Hill'!$B$4=2,IF(B1653&gt;0,B1653,""),IF('Hill'!$B$4=3,IF(B1653&lt;&gt;0,ABS(B1653),""),""))),"")</x:f>
      </x:c>
    </x:row>
    <x:row r="1654">
      <x:c r="A1654" t="n">
        <x:f>1653</x:f>
        <x:v>1653</x:v>
      </x:c>
      <x:c r="B1654" s="7" t="str">
        <x:f>IF('요약'!$B$4=4,IF(ISNUMBER('input'!A1654),'input'!A1654,""),IF(1653&lt;=1000,CHOOSE('요약'!$B$4,'input'!B1654,'input'!C1654,'input'!D1654),""))</x:f>
      </x:c>
      <x:c r="C1654" s="7" t="str">
        <x:f>IF(AND(ISNUMBER(B1654),'요약'!$B$19),B1654-'요약'!$B$7,"")</x:f>
      </x:c>
      <x:c r="D1654" s="7" t="str">
        <x:f>IF(ISNUMBER(C1654),C1654^2,"")</x:f>
      </x:c>
      <x:c r="E1654" s="15" t="str">
        <x:f>IF(ISNUMBER(C1654),C1654^3,"")</x:f>
      </x:c>
      <x:c r="F1654" s="15" t="str">
        <x:f>IF(ISNUMBER(C1654),C1654^4,"")</x:f>
      </x:c>
      <x:c r="G1654" s="7" t="str">
        <x:f>IF(ISNUMBER(B1654),ABS(B1654),"")</x:f>
      </x:c>
      <x:c r="H1654" s="7" t="str">
        <x:f>IF(ISNUMBER(B1654),B1654^2,"")</x:f>
      </x:c>
      <x:c r="I1654" s="7" t="str">
        <x:f>IF(AND(ISNUMBER(G1654),'요약'!$B$19),G1654-'요약'!$B$14,"")</x:f>
      </x:c>
      <x:c r="J1654" s="7" t="str">
        <x:f>IF(AND(ISNUMBER(H1654),'요약'!$B$19),H1654-'요약'!$B$15,"")</x:f>
      </x:c>
      <x:c r="K1654" t="str">
        <x:f>IF(ISNUMBER(B1654),IF('Hill'!$B$4=1,IF(B1654&lt;0,-B1654,""),IF('Hill'!$B$4=2,IF(B1654&gt;0,B1654,""),IF('Hill'!$B$4=3,IF(B1654&lt;&gt;0,ABS(B1654),""),""))),"")</x:f>
      </x:c>
    </x:row>
    <x:row r="1655">
      <x:c r="A1655" t="n">
        <x:f>1654</x:f>
        <x:v>1654</x:v>
      </x:c>
      <x:c r="B1655" s="7" t="str">
        <x:f>IF('요약'!$B$4=4,IF(ISNUMBER('input'!A1655),'input'!A1655,""),IF(1654&lt;=1000,CHOOSE('요약'!$B$4,'input'!B1655,'input'!C1655,'input'!D1655),""))</x:f>
      </x:c>
      <x:c r="C1655" s="7" t="str">
        <x:f>IF(AND(ISNUMBER(B1655),'요약'!$B$19),B1655-'요약'!$B$7,"")</x:f>
      </x:c>
      <x:c r="D1655" s="7" t="str">
        <x:f>IF(ISNUMBER(C1655),C1655^2,"")</x:f>
      </x:c>
      <x:c r="E1655" s="15" t="str">
        <x:f>IF(ISNUMBER(C1655),C1655^3,"")</x:f>
      </x:c>
      <x:c r="F1655" s="15" t="str">
        <x:f>IF(ISNUMBER(C1655),C1655^4,"")</x:f>
      </x:c>
      <x:c r="G1655" s="7" t="str">
        <x:f>IF(ISNUMBER(B1655),ABS(B1655),"")</x:f>
      </x:c>
      <x:c r="H1655" s="7" t="str">
        <x:f>IF(ISNUMBER(B1655),B1655^2,"")</x:f>
      </x:c>
      <x:c r="I1655" s="7" t="str">
        <x:f>IF(AND(ISNUMBER(G1655),'요약'!$B$19),G1655-'요약'!$B$14,"")</x:f>
      </x:c>
      <x:c r="J1655" s="7" t="str">
        <x:f>IF(AND(ISNUMBER(H1655),'요약'!$B$19),H1655-'요약'!$B$15,"")</x:f>
      </x:c>
      <x:c r="K1655" t="str">
        <x:f>IF(ISNUMBER(B1655),IF('Hill'!$B$4=1,IF(B1655&lt;0,-B1655,""),IF('Hill'!$B$4=2,IF(B1655&gt;0,B1655,""),IF('Hill'!$B$4=3,IF(B1655&lt;&gt;0,ABS(B1655),""),""))),"")</x:f>
      </x:c>
    </x:row>
    <x:row r="1656">
      <x:c r="A1656" t="n">
        <x:f>1655</x:f>
        <x:v>1655</x:v>
      </x:c>
      <x:c r="B1656" s="7" t="str">
        <x:f>IF('요약'!$B$4=4,IF(ISNUMBER('input'!A1656),'input'!A1656,""),IF(1655&lt;=1000,CHOOSE('요약'!$B$4,'input'!B1656,'input'!C1656,'input'!D1656),""))</x:f>
      </x:c>
      <x:c r="C1656" s="7" t="str">
        <x:f>IF(AND(ISNUMBER(B1656),'요약'!$B$19),B1656-'요약'!$B$7,"")</x:f>
      </x:c>
      <x:c r="D1656" s="7" t="str">
        <x:f>IF(ISNUMBER(C1656),C1656^2,"")</x:f>
      </x:c>
      <x:c r="E1656" s="15" t="str">
        <x:f>IF(ISNUMBER(C1656),C1656^3,"")</x:f>
      </x:c>
      <x:c r="F1656" s="15" t="str">
        <x:f>IF(ISNUMBER(C1656),C1656^4,"")</x:f>
      </x:c>
      <x:c r="G1656" s="7" t="str">
        <x:f>IF(ISNUMBER(B1656),ABS(B1656),"")</x:f>
      </x:c>
      <x:c r="H1656" s="7" t="str">
        <x:f>IF(ISNUMBER(B1656),B1656^2,"")</x:f>
      </x:c>
      <x:c r="I1656" s="7" t="str">
        <x:f>IF(AND(ISNUMBER(G1656),'요약'!$B$19),G1656-'요약'!$B$14,"")</x:f>
      </x:c>
      <x:c r="J1656" s="7" t="str">
        <x:f>IF(AND(ISNUMBER(H1656),'요약'!$B$19),H1656-'요약'!$B$15,"")</x:f>
      </x:c>
      <x:c r="K1656" t="str">
        <x:f>IF(ISNUMBER(B1656),IF('Hill'!$B$4=1,IF(B1656&lt;0,-B1656,""),IF('Hill'!$B$4=2,IF(B1656&gt;0,B1656,""),IF('Hill'!$B$4=3,IF(B1656&lt;&gt;0,ABS(B1656),""),""))),"")</x:f>
      </x:c>
    </x:row>
    <x:row r="1657">
      <x:c r="A1657" t="n">
        <x:f>1656</x:f>
        <x:v>1656</x:v>
      </x:c>
      <x:c r="B1657" s="7" t="str">
        <x:f>IF('요약'!$B$4=4,IF(ISNUMBER('input'!A1657),'input'!A1657,""),IF(1656&lt;=1000,CHOOSE('요약'!$B$4,'input'!B1657,'input'!C1657,'input'!D1657),""))</x:f>
      </x:c>
      <x:c r="C1657" s="7" t="str">
        <x:f>IF(AND(ISNUMBER(B1657),'요약'!$B$19),B1657-'요약'!$B$7,"")</x:f>
      </x:c>
      <x:c r="D1657" s="7" t="str">
        <x:f>IF(ISNUMBER(C1657),C1657^2,"")</x:f>
      </x:c>
      <x:c r="E1657" s="15" t="str">
        <x:f>IF(ISNUMBER(C1657),C1657^3,"")</x:f>
      </x:c>
      <x:c r="F1657" s="15" t="str">
        <x:f>IF(ISNUMBER(C1657),C1657^4,"")</x:f>
      </x:c>
      <x:c r="G1657" s="7" t="str">
        <x:f>IF(ISNUMBER(B1657),ABS(B1657),"")</x:f>
      </x:c>
      <x:c r="H1657" s="7" t="str">
        <x:f>IF(ISNUMBER(B1657),B1657^2,"")</x:f>
      </x:c>
      <x:c r="I1657" s="7" t="str">
        <x:f>IF(AND(ISNUMBER(G1657),'요약'!$B$19),G1657-'요약'!$B$14,"")</x:f>
      </x:c>
      <x:c r="J1657" s="7" t="str">
        <x:f>IF(AND(ISNUMBER(H1657),'요약'!$B$19),H1657-'요약'!$B$15,"")</x:f>
      </x:c>
      <x:c r="K1657" t="str">
        <x:f>IF(ISNUMBER(B1657),IF('Hill'!$B$4=1,IF(B1657&lt;0,-B1657,""),IF('Hill'!$B$4=2,IF(B1657&gt;0,B1657,""),IF('Hill'!$B$4=3,IF(B1657&lt;&gt;0,ABS(B1657),""),""))),"")</x:f>
      </x:c>
    </x:row>
    <x:row r="1658">
      <x:c r="A1658" t="n">
        <x:f>1657</x:f>
        <x:v>1657</x:v>
      </x:c>
      <x:c r="B1658" s="7" t="str">
        <x:f>IF('요약'!$B$4=4,IF(ISNUMBER('input'!A1658),'input'!A1658,""),IF(1657&lt;=1000,CHOOSE('요약'!$B$4,'input'!B1658,'input'!C1658,'input'!D1658),""))</x:f>
      </x:c>
      <x:c r="C1658" s="7" t="str">
        <x:f>IF(AND(ISNUMBER(B1658),'요약'!$B$19),B1658-'요약'!$B$7,"")</x:f>
      </x:c>
      <x:c r="D1658" s="7" t="str">
        <x:f>IF(ISNUMBER(C1658),C1658^2,"")</x:f>
      </x:c>
      <x:c r="E1658" s="15" t="str">
        <x:f>IF(ISNUMBER(C1658),C1658^3,"")</x:f>
      </x:c>
      <x:c r="F1658" s="15" t="str">
        <x:f>IF(ISNUMBER(C1658),C1658^4,"")</x:f>
      </x:c>
      <x:c r="G1658" s="7" t="str">
        <x:f>IF(ISNUMBER(B1658),ABS(B1658),"")</x:f>
      </x:c>
      <x:c r="H1658" s="7" t="str">
        <x:f>IF(ISNUMBER(B1658),B1658^2,"")</x:f>
      </x:c>
      <x:c r="I1658" s="7" t="str">
        <x:f>IF(AND(ISNUMBER(G1658),'요약'!$B$19),G1658-'요약'!$B$14,"")</x:f>
      </x:c>
      <x:c r="J1658" s="7" t="str">
        <x:f>IF(AND(ISNUMBER(H1658),'요약'!$B$19),H1658-'요약'!$B$15,"")</x:f>
      </x:c>
      <x:c r="K1658" t="str">
        <x:f>IF(ISNUMBER(B1658),IF('Hill'!$B$4=1,IF(B1658&lt;0,-B1658,""),IF('Hill'!$B$4=2,IF(B1658&gt;0,B1658,""),IF('Hill'!$B$4=3,IF(B1658&lt;&gt;0,ABS(B1658),""),""))),"")</x:f>
      </x:c>
    </x:row>
    <x:row r="1659">
      <x:c r="A1659" t="n">
        <x:f>1658</x:f>
        <x:v>1658</x:v>
      </x:c>
      <x:c r="B1659" s="7" t="str">
        <x:f>IF('요약'!$B$4=4,IF(ISNUMBER('input'!A1659),'input'!A1659,""),IF(1658&lt;=1000,CHOOSE('요약'!$B$4,'input'!B1659,'input'!C1659,'input'!D1659),""))</x:f>
      </x:c>
      <x:c r="C1659" s="7" t="str">
        <x:f>IF(AND(ISNUMBER(B1659),'요약'!$B$19),B1659-'요약'!$B$7,"")</x:f>
      </x:c>
      <x:c r="D1659" s="7" t="str">
        <x:f>IF(ISNUMBER(C1659),C1659^2,"")</x:f>
      </x:c>
      <x:c r="E1659" s="15" t="str">
        <x:f>IF(ISNUMBER(C1659),C1659^3,"")</x:f>
      </x:c>
      <x:c r="F1659" s="15" t="str">
        <x:f>IF(ISNUMBER(C1659),C1659^4,"")</x:f>
      </x:c>
      <x:c r="G1659" s="7" t="str">
        <x:f>IF(ISNUMBER(B1659),ABS(B1659),"")</x:f>
      </x:c>
      <x:c r="H1659" s="7" t="str">
        <x:f>IF(ISNUMBER(B1659),B1659^2,"")</x:f>
      </x:c>
      <x:c r="I1659" s="7" t="str">
        <x:f>IF(AND(ISNUMBER(G1659),'요약'!$B$19),G1659-'요약'!$B$14,"")</x:f>
      </x:c>
      <x:c r="J1659" s="7" t="str">
        <x:f>IF(AND(ISNUMBER(H1659),'요약'!$B$19),H1659-'요약'!$B$15,"")</x:f>
      </x:c>
      <x:c r="K1659" t="str">
        <x:f>IF(ISNUMBER(B1659),IF('Hill'!$B$4=1,IF(B1659&lt;0,-B1659,""),IF('Hill'!$B$4=2,IF(B1659&gt;0,B1659,""),IF('Hill'!$B$4=3,IF(B1659&lt;&gt;0,ABS(B1659),""),""))),"")</x:f>
      </x:c>
    </x:row>
    <x:row r="1660">
      <x:c r="A1660" t="n">
        <x:f>1659</x:f>
        <x:v>1659</x:v>
      </x:c>
      <x:c r="B1660" s="7" t="str">
        <x:f>IF('요약'!$B$4=4,IF(ISNUMBER('input'!A1660),'input'!A1660,""),IF(1659&lt;=1000,CHOOSE('요약'!$B$4,'input'!B1660,'input'!C1660,'input'!D1660),""))</x:f>
      </x:c>
      <x:c r="C1660" s="7" t="str">
        <x:f>IF(AND(ISNUMBER(B1660),'요약'!$B$19),B1660-'요약'!$B$7,"")</x:f>
      </x:c>
      <x:c r="D1660" s="7" t="str">
        <x:f>IF(ISNUMBER(C1660),C1660^2,"")</x:f>
      </x:c>
      <x:c r="E1660" s="15" t="str">
        <x:f>IF(ISNUMBER(C1660),C1660^3,"")</x:f>
      </x:c>
      <x:c r="F1660" s="15" t="str">
        <x:f>IF(ISNUMBER(C1660),C1660^4,"")</x:f>
      </x:c>
      <x:c r="G1660" s="7" t="str">
        <x:f>IF(ISNUMBER(B1660),ABS(B1660),"")</x:f>
      </x:c>
      <x:c r="H1660" s="7" t="str">
        <x:f>IF(ISNUMBER(B1660),B1660^2,"")</x:f>
      </x:c>
      <x:c r="I1660" s="7" t="str">
        <x:f>IF(AND(ISNUMBER(G1660),'요약'!$B$19),G1660-'요약'!$B$14,"")</x:f>
      </x:c>
      <x:c r="J1660" s="7" t="str">
        <x:f>IF(AND(ISNUMBER(H1660),'요약'!$B$19),H1660-'요약'!$B$15,"")</x:f>
      </x:c>
      <x:c r="K1660" t="str">
        <x:f>IF(ISNUMBER(B1660),IF('Hill'!$B$4=1,IF(B1660&lt;0,-B1660,""),IF('Hill'!$B$4=2,IF(B1660&gt;0,B1660,""),IF('Hill'!$B$4=3,IF(B1660&lt;&gt;0,ABS(B1660),""),""))),"")</x:f>
      </x:c>
    </x:row>
    <x:row r="1661">
      <x:c r="A1661" t="n">
        <x:f>1660</x:f>
        <x:v>1660</x:v>
      </x:c>
      <x:c r="B1661" s="7" t="str">
        <x:f>IF('요약'!$B$4=4,IF(ISNUMBER('input'!A1661),'input'!A1661,""),IF(1660&lt;=1000,CHOOSE('요약'!$B$4,'input'!B1661,'input'!C1661,'input'!D1661),""))</x:f>
      </x:c>
      <x:c r="C1661" s="7" t="str">
        <x:f>IF(AND(ISNUMBER(B1661),'요약'!$B$19),B1661-'요약'!$B$7,"")</x:f>
      </x:c>
      <x:c r="D1661" s="7" t="str">
        <x:f>IF(ISNUMBER(C1661),C1661^2,"")</x:f>
      </x:c>
      <x:c r="E1661" s="15" t="str">
        <x:f>IF(ISNUMBER(C1661),C1661^3,"")</x:f>
      </x:c>
      <x:c r="F1661" s="15" t="str">
        <x:f>IF(ISNUMBER(C1661),C1661^4,"")</x:f>
      </x:c>
      <x:c r="G1661" s="7" t="str">
        <x:f>IF(ISNUMBER(B1661),ABS(B1661),"")</x:f>
      </x:c>
      <x:c r="H1661" s="7" t="str">
        <x:f>IF(ISNUMBER(B1661),B1661^2,"")</x:f>
      </x:c>
      <x:c r="I1661" s="7" t="str">
        <x:f>IF(AND(ISNUMBER(G1661),'요약'!$B$19),G1661-'요약'!$B$14,"")</x:f>
      </x:c>
      <x:c r="J1661" s="7" t="str">
        <x:f>IF(AND(ISNUMBER(H1661),'요약'!$B$19),H1661-'요약'!$B$15,"")</x:f>
      </x:c>
      <x:c r="K1661" t="str">
        <x:f>IF(ISNUMBER(B1661),IF('Hill'!$B$4=1,IF(B1661&lt;0,-B1661,""),IF('Hill'!$B$4=2,IF(B1661&gt;0,B1661,""),IF('Hill'!$B$4=3,IF(B1661&lt;&gt;0,ABS(B1661),""),""))),"")</x:f>
      </x:c>
    </x:row>
    <x:row r="1662">
      <x:c r="A1662" t="n">
        <x:f>1661</x:f>
        <x:v>1661</x:v>
      </x:c>
      <x:c r="B1662" s="7" t="str">
        <x:f>IF('요약'!$B$4=4,IF(ISNUMBER('input'!A1662),'input'!A1662,""),IF(1661&lt;=1000,CHOOSE('요약'!$B$4,'input'!B1662,'input'!C1662,'input'!D1662),""))</x:f>
      </x:c>
      <x:c r="C1662" s="7" t="str">
        <x:f>IF(AND(ISNUMBER(B1662),'요약'!$B$19),B1662-'요약'!$B$7,"")</x:f>
      </x:c>
      <x:c r="D1662" s="7" t="str">
        <x:f>IF(ISNUMBER(C1662),C1662^2,"")</x:f>
      </x:c>
      <x:c r="E1662" s="15" t="str">
        <x:f>IF(ISNUMBER(C1662),C1662^3,"")</x:f>
      </x:c>
      <x:c r="F1662" s="15" t="str">
        <x:f>IF(ISNUMBER(C1662),C1662^4,"")</x:f>
      </x:c>
      <x:c r="G1662" s="7" t="str">
        <x:f>IF(ISNUMBER(B1662),ABS(B1662),"")</x:f>
      </x:c>
      <x:c r="H1662" s="7" t="str">
        <x:f>IF(ISNUMBER(B1662),B1662^2,"")</x:f>
      </x:c>
      <x:c r="I1662" s="7" t="str">
        <x:f>IF(AND(ISNUMBER(G1662),'요약'!$B$19),G1662-'요약'!$B$14,"")</x:f>
      </x:c>
      <x:c r="J1662" s="7" t="str">
        <x:f>IF(AND(ISNUMBER(H1662),'요약'!$B$19),H1662-'요약'!$B$15,"")</x:f>
      </x:c>
      <x:c r="K1662" t="str">
        <x:f>IF(ISNUMBER(B1662),IF('Hill'!$B$4=1,IF(B1662&lt;0,-B1662,""),IF('Hill'!$B$4=2,IF(B1662&gt;0,B1662,""),IF('Hill'!$B$4=3,IF(B1662&lt;&gt;0,ABS(B1662),""),""))),"")</x:f>
      </x:c>
    </x:row>
    <x:row r="1663">
      <x:c r="A1663" t="n">
        <x:f>1662</x:f>
        <x:v>1662</x:v>
      </x:c>
      <x:c r="B1663" s="7" t="str">
        <x:f>IF('요약'!$B$4=4,IF(ISNUMBER('input'!A1663),'input'!A1663,""),IF(1662&lt;=1000,CHOOSE('요약'!$B$4,'input'!B1663,'input'!C1663,'input'!D1663),""))</x:f>
      </x:c>
      <x:c r="C1663" s="7" t="str">
        <x:f>IF(AND(ISNUMBER(B1663),'요약'!$B$19),B1663-'요약'!$B$7,"")</x:f>
      </x:c>
      <x:c r="D1663" s="7" t="str">
        <x:f>IF(ISNUMBER(C1663),C1663^2,"")</x:f>
      </x:c>
      <x:c r="E1663" s="15" t="str">
        <x:f>IF(ISNUMBER(C1663),C1663^3,"")</x:f>
      </x:c>
      <x:c r="F1663" s="15" t="str">
        <x:f>IF(ISNUMBER(C1663),C1663^4,"")</x:f>
      </x:c>
      <x:c r="G1663" s="7" t="str">
        <x:f>IF(ISNUMBER(B1663),ABS(B1663),"")</x:f>
      </x:c>
      <x:c r="H1663" s="7" t="str">
        <x:f>IF(ISNUMBER(B1663),B1663^2,"")</x:f>
      </x:c>
      <x:c r="I1663" s="7" t="str">
        <x:f>IF(AND(ISNUMBER(G1663),'요약'!$B$19),G1663-'요약'!$B$14,"")</x:f>
      </x:c>
      <x:c r="J1663" s="7" t="str">
        <x:f>IF(AND(ISNUMBER(H1663),'요약'!$B$19),H1663-'요약'!$B$15,"")</x:f>
      </x:c>
      <x:c r="K1663" t="str">
        <x:f>IF(ISNUMBER(B1663),IF('Hill'!$B$4=1,IF(B1663&lt;0,-B1663,""),IF('Hill'!$B$4=2,IF(B1663&gt;0,B1663,""),IF('Hill'!$B$4=3,IF(B1663&lt;&gt;0,ABS(B1663),""),""))),"")</x:f>
      </x:c>
    </x:row>
    <x:row r="1664">
      <x:c r="A1664" t="n">
        <x:f>1663</x:f>
        <x:v>1663</x:v>
      </x:c>
      <x:c r="B1664" s="7" t="str">
        <x:f>IF('요약'!$B$4=4,IF(ISNUMBER('input'!A1664),'input'!A1664,""),IF(1663&lt;=1000,CHOOSE('요약'!$B$4,'input'!B1664,'input'!C1664,'input'!D1664),""))</x:f>
      </x:c>
      <x:c r="C1664" s="7" t="str">
        <x:f>IF(AND(ISNUMBER(B1664),'요약'!$B$19),B1664-'요약'!$B$7,"")</x:f>
      </x:c>
      <x:c r="D1664" s="7" t="str">
        <x:f>IF(ISNUMBER(C1664),C1664^2,"")</x:f>
      </x:c>
      <x:c r="E1664" s="15" t="str">
        <x:f>IF(ISNUMBER(C1664),C1664^3,"")</x:f>
      </x:c>
      <x:c r="F1664" s="15" t="str">
        <x:f>IF(ISNUMBER(C1664),C1664^4,"")</x:f>
      </x:c>
      <x:c r="G1664" s="7" t="str">
        <x:f>IF(ISNUMBER(B1664),ABS(B1664),"")</x:f>
      </x:c>
      <x:c r="H1664" s="7" t="str">
        <x:f>IF(ISNUMBER(B1664),B1664^2,"")</x:f>
      </x:c>
      <x:c r="I1664" s="7" t="str">
        <x:f>IF(AND(ISNUMBER(G1664),'요약'!$B$19),G1664-'요약'!$B$14,"")</x:f>
      </x:c>
      <x:c r="J1664" s="7" t="str">
        <x:f>IF(AND(ISNUMBER(H1664),'요약'!$B$19),H1664-'요약'!$B$15,"")</x:f>
      </x:c>
      <x:c r="K1664" t="str">
        <x:f>IF(ISNUMBER(B1664),IF('Hill'!$B$4=1,IF(B1664&lt;0,-B1664,""),IF('Hill'!$B$4=2,IF(B1664&gt;0,B1664,""),IF('Hill'!$B$4=3,IF(B1664&lt;&gt;0,ABS(B1664),""),""))),"")</x:f>
      </x:c>
    </x:row>
    <x:row r="1665">
      <x:c r="A1665" t="n">
        <x:f>1664</x:f>
        <x:v>1664</x:v>
      </x:c>
      <x:c r="B1665" s="7" t="str">
        <x:f>IF('요약'!$B$4=4,IF(ISNUMBER('input'!A1665),'input'!A1665,""),IF(1664&lt;=1000,CHOOSE('요약'!$B$4,'input'!B1665,'input'!C1665,'input'!D1665),""))</x:f>
      </x:c>
      <x:c r="C1665" s="7" t="str">
        <x:f>IF(AND(ISNUMBER(B1665),'요약'!$B$19),B1665-'요약'!$B$7,"")</x:f>
      </x:c>
      <x:c r="D1665" s="7" t="str">
        <x:f>IF(ISNUMBER(C1665),C1665^2,"")</x:f>
      </x:c>
      <x:c r="E1665" s="15" t="str">
        <x:f>IF(ISNUMBER(C1665),C1665^3,"")</x:f>
      </x:c>
      <x:c r="F1665" s="15" t="str">
        <x:f>IF(ISNUMBER(C1665),C1665^4,"")</x:f>
      </x:c>
      <x:c r="G1665" s="7" t="str">
        <x:f>IF(ISNUMBER(B1665),ABS(B1665),"")</x:f>
      </x:c>
      <x:c r="H1665" s="7" t="str">
        <x:f>IF(ISNUMBER(B1665),B1665^2,"")</x:f>
      </x:c>
      <x:c r="I1665" s="7" t="str">
        <x:f>IF(AND(ISNUMBER(G1665),'요약'!$B$19),G1665-'요약'!$B$14,"")</x:f>
      </x:c>
      <x:c r="J1665" s="7" t="str">
        <x:f>IF(AND(ISNUMBER(H1665),'요약'!$B$19),H1665-'요약'!$B$15,"")</x:f>
      </x:c>
      <x:c r="K1665" t="str">
        <x:f>IF(ISNUMBER(B1665),IF('Hill'!$B$4=1,IF(B1665&lt;0,-B1665,""),IF('Hill'!$B$4=2,IF(B1665&gt;0,B1665,""),IF('Hill'!$B$4=3,IF(B1665&lt;&gt;0,ABS(B1665),""),""))),"")</x:f>
      </x:c>
    </x:row>
    <x:row r="1666">
      <x:c r="A1666" t="n">
        <x:f>1665</x:f>
        <x:v>1665</x:v>
      </x:c>
      <x:c r="B1666" s="7" t="str">
        <x:f>IF('요약'!$B$4=4,IF(ISNUMBER('input'!A1666),'input'!A1666,""),IF(1665&lt;=1000,CHOOSE('요약'!$B$4,'input'!B1666,'input'!C1666,'input'!D1666),""))</x:f>
      </x:c>
      <x:c r="C1666" s="7" t="str">
        <x:f>IF(AND(ISNUMBER(B1666),'요약'!$B$19),B1666-'요약'!$B$7,"")</x:f>
      </x:c>
      <x:c r="D1666" s="7" t="str">
        <x:f>IF(ISNUMBER(C1666),C1666^2,"")</x:f>
      </x:c>
      <x:c r="E1666" s="15" t="str">
        <x:f>IF(ISNUMBER(C1666),C1666^3,"")</x:f>
      </x:c>
      <x:c r="F1666" s="15" t="str">
        <x:f>IF(ISNUMBER(C1666),C1666^4,"")</x:f>
      </x:c>
      <x:c r="G1666" s="7" t="str">
        <x:f>IF(ISNUMBER(B1666),ABS(B1666),"")</x:f>
      </x:c>
      <x:c r="H1666" s="7" t="str">
        <x:f>IF(ISNUMBER(B1666),B1666^2,"")</x:f>
      </x:c>
      <x:c r="I1666" s="7" t="str">
        <x:f>IF(AND(ISNUMBER(G1666),'요약'!$B$19),G1666-'요약'!$B$14,"")</x:f>
      </x:c>
      <x:c r="J1666" s="7" t="str">
        <x:f>IF(AND(ISNUMBER(H1666),'요약'!$B$19),H1666-'요약'!$B$15,"")</x:f>
      </x:c>
      <x:c r="K1666" t="str">
        <x:f>IF(ISNUMBER(B1666),IF('Hill'!$B$4=1,IF(B1666&lt;0,-B1666,""),IF('Hill'!$B$4=2,IF(B1666&gt;0,B1666,""),IF('Hill'!$B$4=3,IF(B1666&lt;&gt;0,ABS(B1666),""),""))),"")</x:f>
      </x:c>
    </x:row>
    <x:row r="1667">
      <x:c r="A1667" t="n">
        <x:f>1666</x:f>
        <x:v>1666</x:v>
      </x:c>
      <x:c r="B1667" s="7" t="str">
        <x:f>IF('요약'!$B$4=4,IF(ISNUMBER('input'!A1667),'input'!A1667,""),IF(1666&lt;=1000,CHOOSE('요약'!$B$4,'input'!B1667,'input'!C1667,'input'!D1667),""))</x:f>
      </x:c>
      <x:c r="C1667" s="7" t="str">
        <x:f>IF(AND(ISNUMBER(B1667),'요약'!$B$19),B1667-'요약'!$B$7,"")</x:f>
      </x:c>
      <x:c r="D1667" s="7" t="str">
        <x:f>IF(ISNUMBER(C1667),C1667^2,"")</x:f>
      </x:c>
      <x:c r="E1667" s="15" t="str">
        <x:f>IF(ISNUMBER(C1667),C1667^3,"")</x:f>
      </x:c>
      <x:c r="F1667" s="15" t="str">
        <x:f>IF(ISNUMBER(C1667),C1667^4,"")</x:f>
      </x:c>
      <x:c r="G1667" s="7" t="str">
        <x:f>IF(ISNUMBER(B1667),ABS(B1667),"")</x:f>
      </x:c>
      <x:c r="H1667" s="7" t="str">
        <x:f>IF(ISNUMBER(B1667),B1667^2,"")</x:f>
      </x:c>
      <x:c r="I1667" s="7" t="str">
        <x:f>IF(AND(ISNUMBER(G1667),'요약'!$B$19),G1667-'요약'!$B$14,"")</x:f>
      </x:c>
      <x:c r="J1667" s="7" t="str">
        <x:f>IF(AND(ISNUMBER(H1667),'요약'!$B$19),H1667-'요약'!$B$15,"")</x:f>
      </x:c>
      <x:c r="K1667" t="str">
        <x:f>IF(ISNUMBER(B1667),IF('Hill'!$B$4=1,IF(B1667&lt;0,-B1667,""),IF('Hill'!$B$4=2,IF(B1667&gt;0,B1667,""),IF('Hill'!$B$4=3,IF(B1667&lt;&gt;0,ABS(B1667),""),""))),"")</x:f>
      </x:c>
    </x:row>
    <x:row r="1668">
      <x:c r="A1668" t="n">
        <x:f>1667</x:f>
        <x:v>1667</x:v>
      </x:c>
      <x:c r="B1668" s="7" t="str">
        <x:f>IF('요약'!$B$4=4,IF(ISNUMBER('input'!A1668),'input'!A1668,""),IF(1667&lt;=1000,CHOOSE('요약'!$B$4,'input'!B1668,'input'!C1668,'input'!D1668),""))</x:f>
      </x:c>
      <x:c r="C1668" s="7" t="str">
        <x:f>IF(AND(ISNUMBER(B1668),'요약'!$B$19),B1668-'요약'!$B$7,"")</x:f>
      </x:c>
      <x:c r="D1668" s="7" t="str">
        <x:f>IF(ISNUMBER(C1668),C1668^2,"")</x:f>
      </x:c>
      <x:c r="E1668" s="15" t="str">
        <x:f>IF(ISNUMBER(C1668),C1668^3,"")</x:f>
      </x:c>
      <x:c r="F1668" s="15" t="str">
        <x:f>IF(ISNUMBER(C1668),C1668^4,"")</x:f>
      </x:c>
      <x:c r="G1668" s="7" t="str">
        <x:f>IF(ISNUMBER(B1668),ABS(B1668),"")</x:f>
      </x:c>
      <x:c r="H1668" s="7" t="str">
        <x:f>IF(ISNUMBER(B1668),B1668^2,"")</x:f>
      </x:c>
      <x:c r="I1668" s="7" t="str">
        <x:f>IF(AND(ISNUMBER(G1668),'요약'!$B$19),G1668-'요약'!$B$14,"")</x:f>
      </x:c>
      <x:c r="J1668" s="7" t="str">
        <x:f>IF(AND(ISNUMBER(H1668),'요약'!$B$19),H1668-'요약'!$B$15,"")</x:f>
      </x:c>
      <x:c r="K1668" t="str">
        <x:f>IF(ISNUMBER(B1668),IF('Hill'!$B$4=1,IF(B1668&lt;0,-B1668,""),IF('Hill'!$B$4=2,IF(B1668&gt;0,B1668,""),IF('Hill'!$B$4=3,IF(B1668&lt;&gt;0,ABS(B1668),""),""))),"")</x:f>
      </x:c>
    </x:row>
    <x:row r="1669">
      <x:c r="A1669" t="n">
        <x:f>1668</x:f>
        <x:v>1668</x:v>
      </x:c>
      <x:c r="B1669" s="7" t="str">
        <x:f>IF('요약'!$B$4=4,IF(ISNUMBER('input'!A1669),'input'!A1669,""),IF(1668&lt;=1000,CHOOSE('요약'!$B$4,'input'!B1669,'input'!C1669,'input'!D1669),""))</x:f>
      </x:c>
      <x:c r="C1669" s="7" t="str">
        <x:f>IF(AND(ISNUMBER(B1669),'요약'!$B$19),B1669-'요약'!$B$7,"")</x:f>
      </x:c>
      <x:c r="D1669" s="7" t="str">
        <x:f>IF(ISNUMBER(C1669),C1669^2,"")</x:f>
      </x:c>
      <x:c r="E1669" s="15" t="str">
        <x:f>IF(ISNUMBER(C1669),C1669^3,"")</x:f>
      </x:c>
      <x:c r="F1669" s="15" t="str">
        <x:f>IF(ISNUMBER(C1669),C1669^4,"")</x:f>
      </x:c>
      <x:c r="G1669" s="7" t="str">
        <x:f>IF(ISNUMBER(B1669),ABS(B1669),"")</x:f>
      </x:c>
      <x:c r="H1669" s="7" t="str">
        <x:f>IF(ISNUMBER(B1669),B1669^2,"")</x:f>
      </x:c>
      <x:c r="I1669" s="7" t="str">
        <x:f>IF(AND(ISNUMBER(G1669),'요약'!$B$19),G1669-'요약'!$B$14,"")</x:f>
      </x:c>
      <x:c r="J1669" s="7" t="str">
        <x:f>IF(AND(ISNUMBER(H1669),'요약'!$B$19),H1669-'요약'!$B$15,"")</x:f>
      </x:c>
      <x:c r="K1669" t="str">
        <x:f>IF(ISNUMBER(B1669),IF('Hill'!$B$4=1,IF(B1669&lt;0,-B1669,""),IF('Hill'!$B$4=2,IF(B1669&gt;0,B1669,""),IF('Hill'!$B$4=3,IF(B1669&lt;&gt;0,ABS(B1669),""),""))),"")</x:f>
      </x:c>
    </x:row>
    <x:row r="1670">
      <x:c r="A1670" t="n">
        <x:f>1669</x:f>
        <x:v>1669</x:v>
      </x:c>
      <x:c r="B1670" s="7" t="str">
        <x:f>IF('요약'!$B$4=4,IF(ISNUMBER('input'!A1670),'input'!A1670,""),IF(1669&lt;=1000,CHOOSE('요약'!$B$4,'input'!B1670,'input'!C1670,'input'!D1670),""))</x:f>
      </x:c>
      <x:c r="C1670" s="7" t="str">
        <x:f>IF(AND(ISNUMBER(B1670),'요약'!$B$19),B1670-'요약'!$B$7,"")</x:f>
      </x:c>
      <x:c r="D1670" s="7" t="str">
        <x:f>IF(ISNUMBER(C1670),C1670^2,"")</x:f>
      </x:c>
      <x:c r="E1670" s="15" t="str">
        <x:f>IF(ISNUMBER(C1670),C1670^3,"")</x:f>
      </x:c>
      <x:c r="F1670" s="15" t="str">
        <x:f>IF(ISNUMBER(C1670),C1670^4,"")</x:f>
      </x:c>
      <x:c r="G1670" s="7" t="str">
        <x:f>IF(ISNUMBER(B1670),ABS(B1670),"")</x:f>
      </x:c>
      <x:c r="H1670" s="7" t="str">
        <x:f>IF(ISNUMBER(B1670),B1670^2,"")</x:f>
      </x:c>
      <x:c r="I1670" s="7" t="str">
        <x:f>IF(AND(ISNUMBER(G1670),'요약'!$B$19),G1670-'요약'!$B$14,"")</x:f>
      </x:c>
      <x:c r="J1670" s="7" t="str">
        <x:f>IF(AND(ISNUMBER(H1670),'요약'!$B$19),H1670-'요약'!$B$15,"")</x:f>
      </x:c>
      <x:c r="K1670" t="str">
        <x:f>IF(ISNUMBER(B1670),IF('Hill'!$B$4=1,IF(B1670&lt;0,-B1670,""),IF('Hill'!$B$4=2,IF(B1670&gt;0,B1670,""),IF('Hill'!$B$4=3,IF(B1670&lt;&gt;0,ABS(B1670),""),""))),"")</x:f>
      </x:c>
    </x:row>
    <x:row r="1671">
      <x:c r="A1671" t="n">
        <x:f>1670</x:f>
        <x:v>1670</x:v>
      </x:c>
      <x:c r="B1671" s="7" t="str">
        <x:f>IF('요약'!$B$4=4,IF(ISNUMBER('input'!A1671),'input'!A1671,""),IF(1670&lt;=1000,CHOOSE('요약'!$B$4,'input'!B1671,'input'!C1671,'input'!D1671),""))</x:f>
      </x:c>
      <x:c r="C1671" s="7" t="str">
        <x:f>IF(AND(ISNUMBER(B1671),'요약'!$B$19),B1671-'요약'!$B$7,"")</x:f>
      </x:c>
      <x:c r="D1671" s="7" t="str">
        <x:f>IF(ISNUMBER(C1671),C1671^2,"")</x:f>
      </x:c>
      <x:c r="E1671" s="15" t="str">
        <x:f>IF(ISNUMBER(C1671),C1671^3,"")</x:f>
      </x:c>
      <x:c r="F1671" s="15" t="str">
        <x:f>IF(ISNUMBER(C1671),C1671^4,"")</x:f>
      </x:c>
      <x:c r="G1671" s="7" t="str">
        <x:f>IF(ISNUMBER(B1671),ABS(B1671),"")</x:f>
      </x:c>
      <x:c r="H1671" s="7" t="str">
        <x:f>IF(ISNUMBER(B1671),B1671^2,"")</x:f>
      </x:c>
      <x:c r="I1671" s="7" t="str">
        <x:f>IF(AND(ISNUMBER(G1671),'요약'!$B$19),G1671-'요약'!$B$14,"")</x:f>
      </x:c>
      <x:c r="J1671" s="7" t="str">
        <x:f>IF(AND(ISNUMBER(H1671),'요약'!$B$19),H1671-'요약'!$B$15,"")</x:f>
      </x:c>
      <x:c r="K1671" t="str">
        <x:f>IF(ISNUMBER(B1671),IF('Hill'!$B$4=1,IF(B1671&lt;0,-B1671,""),IF('Hill'!$B$4=2,IF(B1671&gt;0,B1671,""),IF('Hill'!$B$4=3,IF(B1671&lt;&gt;0,ABS(B1671),""),""))),"")</x:f>
      </x:c>
    </x:row>
    <x:row r="1672">
      <x:c r="A1672" t="n">
        <x:f>1671</x:f>
        <x:v>1671</x:v>
      </x:c>
      <x:c r="B1672" s="7" t="str">
        <x:f>IF('요약'!$B$4=4,IF(ISNUMBER('input'!A1672),'input'!A1672,""),IF(1671&lt;=1000,CHOOSE('요약'!$B$4,'input'!B1672,'input'!C1672,'input'!D1672),""))</x:f>
      </x:c>
      <x:c r="C1672" s="7" t="str">
        <x:f>IF(AND(ISNUMBER(B1672),'요약'!$B$19),B1672-'요약'!$B$7,"")</x:f>
      </x:c>
      <x:c r="D1672" s="7" t="str">
        <x:f>IF(ISNUMBER(C1672),C1672^2,"")</x:f>
      </x:c>
      <x:c r="E1672" s="15" t="str">
        <x:f>IF(ISNUMBER(C1672),C1672^3,"")</x:f>
      </x:c>
      <x:c r="F1672" s="15" t="str">
        <x:f>IF(ISNUMBER(C1672),C1672^4,"")</x:f>
      </x:c>
      <x:c r="G1672" s="7" t="str">
        <x:f>IF(ISNUMBER(B1672),ABS(B1672),"")</x:f>
      </x:c>
      <x:c r="H1672" s="7" t="str">
        <x:f>IF(ISNUMBER(B1672),B1672^2,"")</x:f>
      </x:c>
      <x:c r="I1672" s="7" t="str">
        <x:f>IF(AND(ISNUMBER(G1672),'요약'!$B$19),G1672-'요약'!$B$14,"")</x:f>
      </x:c>
      <x:c r="J1672" s="7" t="str">
        <x:f>IF(AND(ISNUMBER(H1672),'요약'!$B$19),H1672-'요약'!$B$15,"")</x:f>
      </x:c>
      <x:c r="K1672" t="str">
        <x:f>IF(ISNUMBER(B1672),IF('Hill'!$B$4=1,IF(B1672&lt;0,-B1672,""),IF('Hill'!$B$4=2,IF(B1672&gt;0,B1672,""),IF('Hill'!$B$4=3,IF(B1672&lt;&gt;0,ABS(B1672),""),""))),"")</x:f>
      </x:c>
    </x:row>
    <x:row r="1673">
      <x:c r="A1673" t="n">
        <x:f>1672</x:f>
        <x:v>1672</x:v>
      </x:c>
      <x:c r="B1673" s="7" t="str">
        <x:f>IF('요약'!$B$4=4,IF(ISNUMBER('input'!A1673),'input'!A1673,""),IF(1672&lt;=1000,CHOOSE('요약'!$B$4,'input'!B1673,'input'!C1673,'input'!D1673),""))</x:f>
      </x:c>
      <x:c r="C1673" s="7" t="str">
        <x:f>IF(AND(ISNUMBER(B1673),'요약'!$B$19),B1673-'요약'!$B$7,"")</x:f>
      </x:c>
      <x:c r="D1673" s="7" t="str">
        <x:f>IF(ISNUMBER(C1673),C1673^2,"")</x:f>
      </x:c>
      <x:c r="E1673" s="15" t="str">
        <x:f>IF(ISNUMBER(C1673),C1673^3,"")</x:f>
      </x:c>
      <x:c r="F1673" s="15" t="str">
        <x:f>IF(ISNUMBER(C1673),C1673^4,"")</x:f>
      </x:c>
      <x:c r="G1673" s="7" t="str">
        <x:f>IF(ISNUMBER(B1673),ABS(B1673),"")</x:f>
      </x:c>
      <x:c r="H1673" s="7" t="str">
        <x:f>IF(ISNUMBER(B1673),B1673^2,"")</x:f>
      </x:c>
      <x:c r="I1673" s="7" t="str">
        <x:f>IF(AND(ISNUMBER(G1673),'요약'!$B$19),G1673-'요약'!$B$14,"")</x:f>
      </x:c>
      <x:c r="J1673" s="7" t="str">
        <x:f>IF(AND(ISNUMBER(H1673),'요약'!$B$19),H1673-'요약'!$B$15,"")</x:f>
      </x:c>
      <x:c r="K1673" t="str">
        <x:f>IF(ISNUMBER(B1673),IF('Hill'!$B$4=1,IF(B1673&lt;0,-B1673,""),IF('Hill'!$B$4=2,IF(B1673&gt;0,B1673,""),IF('Hill'!$B$4=3,IF(B1673&lt;&gt;0,ABS(B1673),""),""))),"")</x:f>
      </x:c>
    </x:row>
    <x:row r="1674">
      <x:c r="A1674" t="n">
        <x:f>1673</x:f>
        <x:v>1673</x:v>
      </x:c>
      <x:c r="B1674" s="7" t="str">
        <x:f>IF('요약'!$B$4=4,IF(ISNUMBER('input'!A1674),'input'!A1674,""),IF(1673&lt;=1000,CHOOSE('요약'!$B$4,'input'!B1674,'input'!C1674,'input'!D1674),""))</x:f>
      </x:c>
      <x:c r="C1674" s="7" t="str">
        <x:f>IF(AND(ISNUMBER(B1674),'요약'!$B$19),B1674-'요약'!$B$7,"")</x:f>
      </x:c>
      <x:c r="D1674" s="7" t="str">
        <x:f>IF(ISNUMBER(C1674),C1674^2,"")</x:f>
      </x:c>
      <x:c r="E1674" s="15" t="str">
        <x:f>IF(ISNUMBER(C1674),C1674^3,"")</x:f>
      </x:c>
      <x:c r="F1674" s="15" t="str">
        <x:f>IF(ISNUMBER(C1674),C1674^4,"")</x:f>
      </x:c>
      <x:c r="G1674" s="7" t="str">
        <x:f>IF(ISNUMBER(B1674),ABS(B1674),"")</x:f>
      </x:c>
      <x:c r="H1674" s="7" t="str">
        <x:f>IF(ISNUMBER(B1674),B1674^2,"")</x:f>
      </x:c>
      <x:c r="I1674" s="7" t="str">
        <x:f>IF(AND(ISNUMBER(G1674),'요약'!$B$19),G1674-'요약'!$B$14,"")</x:f>
      </x:c>
      <x:c r="J1674" s="7" t="str">
        <x:f>IF(AND(ISNUMBER(H1674),'요약'!$B$19),H1674-'요약'!$B$15,"")</x:f>
      </x:c>
      <x:c r="K1674" t="str">
        <x:f>IF(ISNUMBER(B1674),IF('Hill'!$B$4=1,IF(B1674&lt;0,-B1674,""),IF('Hill'!$B$4=2,IF(B1674&gt;0,B1674,""),IF('Hill'!$B$4=3,IF(B1674&lt;&gt;0,ABS(B1674),""),""))),"")</x:f>
      </x:c>
    </x:row>
    <x:row r="1675">
      <x:c r="A1675" t="n">
        <x:f>1674</x:f>
        <x:v>1674</x:v>
      </x:c>
      <x:c r="B1675" s="7" t="str">
        <x:f>IF('요약'!$B$4=4,IF(ISNUMBER('input'!A1675),'input'!A1675,""),IF(1674&lt;=1000,CHOOSE('요약'!$B$4,'input'!B1675,'input'!C1675,'input'!D1675),""))</x:f>
      </x:c>
      <x:c r="C1675" s="7" t="str">
        <x:f>IF(AND(ISNUMBER(B1675),'요약'!$B$19),B1675-'요약'!$B$7,"")</x:f>
      </x:c>
      <x:c r="D1675" s="7" t="str">
        <x:f>IF(ISNUMBER(C1675),C1675^2,"")</x:f>
      </x:c>
      <x:c r="E1675" s="15" t="str">
        <x:f>IF(ISNUMBER(C1675),C1675^3,"")</x:f>
      </x:c>
      <x:c r="F1675" s="15" t="str">
        <x:f>IF(ISNUMBER(C1675),C1675^4,"")</x:f>
      </x:c>
      <x:c r="G1675" s="7" t="str">
        <x:f>IF(ISNUMBER(B1675),ABS(B1675),"")</x:f>
      </x:c>
      <x:c r="H1675" s="7" t="str">
        <x:f>IF(ISNUMBER(B1675),B1675^2,"")</x:f>
      </x:c>
      <x:c r="I1675" s="7" t="str">
        <x:f>IF(AND(ISNUMBER(G1675),'요약'!$B$19),G1675-'요약'!$B$14,"")</x:f>
      </x:c>
      <x:c r="J1675" s="7" t="str">
        <x:f>IF(AND(ISNUMBER(H1675),'요약'!$B$19),H1675-'요약'!$B$15,"")</x:f>
      </x:c>
      <x:c r="K1675" t="str">
        <x:f>IF(ISNUMBER(B1675),IF('Hill'!$B$4=1,IF(B1675&lt;0,-B1675,""),IF('Hill'!$B$4=2,IF(B1675&gt;0,B1675,""),IF('Hill'!$B$4=3,IF(B1675&lt;&gt;0,ABS(B1675),""),""))),"")</x:f>
      </x:c>
    </x:row>
    <x:row r="1676">
      <x:c r="A1676" t="n">
        <x:f>1675</x:f>
        <x:v>1675</x:v>
      </x:c>
      <x:c r="B1676" s="7" t="str">
        <x:f>IF('요약'!$B$4=4,IF(ISNUMBER('input'!A1676),'input'!A1676,""),IF(1675&lt;=1000,CHOOSE('요약'!$B$4,'input'!B1676,'input'!C1676,'input'!D1676),""))</x:f>
      </x:c>
      <x:c r="C1676" s="7" t="str">
        <x:f>IF(AND(ISNUMBER(B1676),'요약'!$B$19),B1676-'요약'!$B$7,"")</x:f>
      </x:c>
      <x:c r="D1676" s="7" t="str">
        <x:f>IF(ISNUMBER(C1676),C1676^2,"")</x:f>
      </x:c>
      <x:c r="E1676" s="15" t="str">
        <x:f>IF(ISNUMBER(C1676),C1676^3,"")</x:f>
      </x:c>
      <x:c r="F1676" s="15" t="str">
        <x:f>IF(ISNUMBER(C1676),C1676^4,"")</x:f>
      </x:c>
      <x:c r="G1676" s="7" t="str">
        <x:f>IF(ISNUMBER(B1676),ABS(B1676),"")</x:f>
      </x:c>
      <x:c r="H1676" s="7" t="str">
        <x:f>IF(ISNUMBER(B1676),B1676^2,"")</x:f>
      </x:c>
      <x:c r="I1676" s="7" t="str">
        <x:f>IF(AND(ISNUMBER(G1676),'요약'!$B$19),G1676-'요약'!$B$14,"")</x:f>
      </x:c>
      <x:c r="J1676" s="7" t="str">
        <x:f>IF(AND(ISNUMBER(H1676),'요약'!$B$19),H1676-'요약'!$B$15,"")</x:f>
      </x:c>
      <x:c r="K1676" t="str">
        <x:f>IF(ISNUMBER(B1676),IF('Hill'!$B$4=1,IF(B1676&lt;0,-B1676,""),IF('Hill'!$B$4=2,IF(B1676&gt;0,B1676,""),IF('Hill'!$B$4=3,IF(B1676&lt;&gt;0,ABS(B1676),""),""))),"")</x:f>
      </x:c>
    </x:row>
    <x:row r="1677">
      <x:c r="A1677" t="n">
        <x:f>1676</x:f>
        <x:v>1676</x:v>
      </x:c>
      <x:c r="B1677" s="7" t="str">
        <x:f>IF('요약'!$B$4=4,IF(ISNUMBER('input'!A1677),'input'!A1677,""),IF(1676&lt;=1000,CHOOSE('요약'!$B$4,'input'!B1677,'input'!C1677,'input'!D1677),""))</x:f>
      </x:c>
      <x:c r="C1677" s="7" t="str">
        <x:f>IF(AND(ISNUMBER(B1677),'요약'!$B$19),B1677-'요약'!$B$7,"")</x:f>
      </x:c>
      <x:c r="D1677" s="7" t="str">
        <x:f>IF(ISNUMBER(C1677),C1677^2,"")</x:f>
      </x:c>
      <x:c r="E1677" s="15" t="str">
        <x:f>IF(ISNUMBER(C1677),C1677^3,"")</x:f>
      </x:c>
      <x:c r="F1677" s="15" t="str">
        <x:f>IF(ISNUMBER(C1677),C1677^4,"")</x:f>
      </x:c>
      <x:c r="G1677" s="7" t="str">
        <x:f>IF(ISNUMBER(B1677),ABS(B1677),"")</x:f>
      </x:c>
      <x:c r="H1677" s="7" t="str">
        <x:f>IF(ISNUMBER(B1677),B1677^2,"")</x:f>
      </x:c>
      <x:c r="I1677" s="7" t="str">
        <x:f>IF(AND(ISNUMBER(G1677),'요약'!$B$19),G1677-'요약'!$B$14,"")</x:f>
      </x:c>
      <x:c r="J1677" s="7" t="str">
        <x:f>IF(AND(ISNUMBER(H1677),'요약'!$B$19),H1677-'요약'!$B$15,"")</x:f>
      </x:c>
      <x:c r="K1677" t="str">
        <x:f>IF(ISNUMBER(B1677),IF('Hill'!$B$4=1,IF(B1677&lt;0,-B1677,""),IF('Hill'!$B$4=2,IF(B1677&gt;0,B1677,""),IF('Hill'!$B$4=3,IF(B1677&lt;&gt;0,ABS(B1677),""),""))),"")</x:f>
      </x:c>
    </x:row>
    <x:row r="1678">
      <x:c r="A1678" t="n">
        <x:f>1677</x:f>
        <x:v>1677</x:v>
      </x:c>
      <x:c r="B1678" s="7" t="str">
        <x:f>IF('요약'!$B$4=4,IF(ISNUMBER('input'!A1678),'input'!A1678,""),IF(1677&lt;=1000,CHOOSE('요약'!$B$4,'input'!B1678,'input'!C1678,'input'!D1678),""))</x:f>
      </x:c>
      <x:c r="C1678" s="7" t="str">
        <x:f>IF(AND(ISNUMBER(B1678),'요약'!$B$19),B1678-'요약'!$B$7,"")</x:f>
      </x:c>
      <x:c r="D1678" s="7" t="str">
        <x:f>IF(ISNUMBER(C1678),C1678^2,"")</x:f>
      </x:c>
      <x:c r="E1678" s="15" t="str">
        <x:f>IF(ISNUMBER(C1678),C1678^3,"")</x:f>
      </x:c>
      <x:c r="F1678" s="15" t="str">
        <x:f>IF(ISNUMBER(C1678),C1678^4,"")</x:f>
      </x:c>
      <x:c r="G1678" s="7" t="str">
        <x:f>IF(ISNUMBER(B1678),ABS(B1678),"")</x:f>
      </x:c>
      <x:c r="H1678" s="7" t="str">
        <x:f>IF(ISNUMBER(B1678),B1678^2,"")</x:f>
      </x:c>
      <x:c r="I1678" s="7" t="str">
        <x:f>IF(AND(ISNUMBER(G1678),'요약'!$B$19),G1678-'요약'!$B$14,"")</x:f>
      </x:c>
      <x:c r="J1678" s="7" t="str">
        <x:f>IF(AND(ISNUMBER(H1678),'요약'!$B$19),H1678-'요약'!$B$15,"")</x:f>
      </x:c>
      <x:c r="K1678" t="str">
        <x:f>IF(ISNUMBER(B1678),IF('Hill'!$B$4=1,IF(B1678&lt;0,-B1678,""),IF('Hill'!$B$4=2,IF(B1678&gt;0,B1678,""),IF('Hill'!$B$4=3,IF(B1678&lt;&gt;0,ABS(B1678),""),""))),"")</x:f>
      </x:c>
    </x:row>
    <x:row r="1679">
      <x:c r="A1679" t="n">
        <x:f>1678</x:f>
        <x:v>1678</x:v>
      </x:c>
      <x:c r="B1679" s="7" t="str">
        <x:f>IF('요약'!$B$4=4,IF(ISNUMBER('input'!A1679),'input'!A1679,""),IF(1678&lt;=1000,CHOOSE('요약'!$B$4,'input'!B1679,'input'!C1679,'input'!D1679),""))</x:f>
      </x:c>
      <x:c r="C1679" s="7" t="str">
        <x:f>IF(AND(ISNUMBER(B1679),'요약'!$B$19),B1679-'요약'!$B$7,"")</x:f>
      </x:c>
      <x:c r="D1679" s="7" t="str">
        <x:f>IF(ISNUMBER(C1679),C1679^2,"")</x:f>
      </x:c>
      <x:c r="E1679" s="15" t="str">
        <x:f>IF(ISNUMBER(C1679),C1679^3,"")</x:f>
      </x:c>
      <x:c r="F1679" s="15" t="str">
        <x:f>IF(ISNUMBER(C1679),C1679^4,"")</x:f>
      </x:c>
      <x:c r="G1679" s="7" t="str">
        <x:f>IF(ISNUMBER(B1679),ABS(B1679),"")</x:f>
      </x:c>
      <x:c r="H1679" s="7" t="str">
        <x:f>IF(ISNUMBER(B1679),B1679^2,"")</x:f>
      </x:c>
      <x:c r="I1679" s="7" t="str">
        <x:f>IF(AND(ISNUMBER(G1679),'요약'!$B$19),G1679-'요약'!$B$14,"")</x:f>
      </x:c>
      <x:c r="J1679" s="7" t="str">
        <x:f>IF(AND(ISNUMBER(H1679),'요약'!$B$19),H1679-'요약'!$B$15,"")</x:f>
      </x:c>
      <x:c r="K1679" t="str">
        <x:f>IF(ISNUMBER(B1679),IF('Hill'!$B$4=1,IF(B1679&lt;0,-B1679,""),IF('Hill'!$B$4=2,IF(B1679&gt;0,B1679,""),IF('Hill'!$B$4=3,IF(B1679&lt;&gt;0,ABS(B1679),""),""))),"")</x:f>
      </x:c>
    </x:row>
    <x:row r="1680">
      <x:c r="A1680" t="n">
        <x:f>1679</x:f>
        <x:v>1679</x:v>
      </x:c>
      <x:c r="B1680" s="7" t="str">
        <x:f>IF('요약'!$B$4=4,IF(ISNUMBER('input'!A1680),'input'!A1680,""),IF(1679&lt;=1000,CHOOSE('요약'!$B$4,'input'!B1680,'input'!C1680,'input'!D1680),""))</x:f>
      </x:c>
      <x:c r="C1680" s="7" t="str">
        <x:f>IF(AND(ISNUMBER(B1680),'요약'!$B$19),B1680-'요약'!$B$7,"")</x:f>
      </x:c>
      <x:c r="D1680" s="7" t="str">
        <x:f>IF(ISNUMBER(C1680),C1680^2,"")</x:f>
      </x:c>
      <x:c r="E1680" s="15" t="str">
        <x:f>IF(ISNUMBER(C1680),C1680^3,"")</x:f>
      </x:c>
      <x:c r="F1680" s="15" t="str">
        <x:f>IF(ISNUMBER(C1680),C1680^4,"")</x:f>
      </x:c>
      <x:c r="G1680" s="7" t="str">
        <x:f>IF(ISNUMBER(B1680),ABS(B1680),"")</x:f>
      </x:c>
      <x:c r="H1680" s="7" t="str">
        <x:f>IF(ISNUMBER(B1680),B1680^2,"")</x:f>
      </x:c>
      <x:c r="I1680" s="7" t="str">
        <x:f>IF(AND(ISNUMBER(G1680),'요약'!$B$19),G1680-'요약'!$B$14,"")</x:f>
      </x:c>
      <x:c r="J1680" s="7" t="str">
        <x:f>IF(AND(ISNUMBER(H1680),'요약'!$B$19),H1680-'요약'!$B$15,"")</x:f>
      </x:c>
      <x:c r="K1680" t="str">
        <x:f>IF(ISNUMBER(B1680),IF('Hill'!$B$4=1,IF(B1680&lt;0,-B1680,""),IF('Hill'!$B$4=2,IF(B1680&gt;0,B1680,""),IF('Hill'!$B$4=3,IF(B1680&lt;&gt;0,ABS(B1680),""),""))),"")</x:f>
      </x:c>
    </x:row>
    <x:row r="1681">
      <x:c r="A1681" t="n">
        <x:f>1680</x:f>
        <x:v>1680</x:v>
      </x:c>
      <x:c r="B1681" s="7" t="str">
        <x:f>IF('요약'!$B$4=4,IF(ISNUMBER('input'!A1681),'input'!A1681,""),IF(1680&lt;=1000,CHOOSE('요약'!$B$4,'input'!B1681,'input'!C1681,'input'!D1681),""))</x:f>
      </x:c>
      <x:c r="C1681" s="7" t="str">
        <x:f>IF(AND(ISNUMBER(B1681),'요약'!$B$19),B1681-'요약'!$B$7,"")</x:f>
      </x:c>
      <x:c r="D1681" s="7" t="str">
        <x:f>IF(ISNUMBER(C1681),C1681^2,"")</x:f>
      </x:c>
      <x:c r="E1681" s="15" t="str">
        <x:f>IF(ISNUMBER(C1681),C1681^3,"")</x:f>
      </x:c>
      <x:c r="F1681" s="15" t="str">
        <x:f>IF(ISNUMBER(C1681),C1681^4,"")</x:f>
      </x:c>
      <x:c r="G1681" s="7" t="str">
        <x:f>IF(ISNUMBER(B1681),ABS(B1681),"")</x:f>
      </x:c>
      <x:c r="H1681" s="7" t="str">
        <x:f>IF(ISNUMBER(B1681),B1681^2,"")</x:f>
      </x:c>
      <x:c r="I1681" s="7" t="str">
        <x:f>IF(AND(ISNUMBER(G1681),'요약'!$B$19),G1681-'요약'!$B$14,"")</x:f>
      </x:c>
      <x:c r="J1681" s="7" t="str">
        <x:f>IF(AND(ISNUMBER(H1681),'요약'!$B$19),H1681-'요약'!$B$15,"")</x:f>
      </x:c>
      <x:c r="K1681" t="str">
        <x:f>IF(ISNUMBER(B1681),IF('Hill'!$B$4=1,IF(B1681&lt;0,-B1681,""),IF('Hill'!$B$4=2,IF(B1681&gt;0,B1681,""),IF('Hill'!$B$4=3,IF(B1681&lt;&gt;0,ABS(B1681),""),""))),"")</x:f>
      </x:c>
    </x:row>
    <x:row r="1682">
      <x:c r="A1682" t="n">
        <x:f>1681</x:f>
        <x:v>1681</x:v>
      </x:c>
      <x:c r="B1682" s="7" t="str">
        <x:f>IF('요약'!$B$4=4,IF(ISNUMBER('input'!A1682),'input'!A1682,""),IF(1681&lt;=1000,CHOOSE('요약'!$B$4,'input'!B1682,'input'!C1682,'input'!D1682),""))</x:f>
      </x:c>
      <x:c r="C1682" s="7" t="str">
        <x:f>IF(AND(ISNUMBER(B1682),'요약'!$B$19),B1682-'요약'!$B$7,"")</x:f>
      </x:c>
      <x:c r="D1682" s="7" t="str">
        <x:f>IF(ISNUMBER(C1682),C1682^2,"")</x:f>
      </x:c>
      <x:c r="E1682" s="15" t="str">
        <x:f>IF(ISNUMBER(C1682),C1682^3,"")</x:f>
      </x:c>
      <x:c r="F1682" s="15" t="str">
        <x:f>IF(ISNUMBER(C1682),C1682^4,"")</x:f>
      </x:c>
      <x:c r="G1682" s="7" t="str">
        <x:f>IF(ISNUMBER(B1682),ABS(B1682),"")</x:f>
      </x:c>
      <x:c r="H1682" s="7" t="str">
        <x:f>IF(ISNUMBER(B1682),B1682^2,"")</x:f>
      </x:c>
      <x:c r="I1682" s="7" t="str">
        <x:f>IF(AND(ISNUMBER(G1682),'요약'!$B$19),G1682-'요약'!$B$14,"")</x:f>
      </x:c>
      <x:c r="J1682" s="7" t="str">
        <x:f>IF(AND(ISNUMBER(H1682),'요약'!$B$19),H1682-'요약'!$B$15,"")</x:f>
      </x:c>
      <x:c r="K1682" t="str">
        <x:f>IF(ISNUMBER(B1682),IF('Hill'!$B$4=1,IF(B1682&lt;0,-B1682,""),IF('Hill'!$B$4=2,IF(B1682&gt;0,B1682,""),IF('Hill'!$B$4=3,IF(B1682&lt;&gt;0,ABS(B1682),""),""))),"")</x:f>
      </x:c>
    </x:row>
    <x:row r="1683">
      <x:c r="A1683" t="n">
        <x:f>1682</x:f>
        <x:v>1682</x:v>
      </x:c>
      <x:c r="B1683" s="7" t="str">
        <x:f>IF('요약'!$B$4=4,IF(ISNUMBER('input'!A1683),'input'!A1683,""),IF(1682&lt;=1000,CHOOSE('요약'!$B$4,'input'!B1683,'input'!C1683,'input'!D1683),""))</x:f>
      </x:c>
      <x:c r="C1683" s="7" t="str">
        <x:f>IF(AND(ISNUMBER(B1683),'요약'!$B$19),B1683-'요약'!$B$7,"")</x:f>
      </x:c>
      <x:c r="D1683" s="7" t="str">
        <x:f>IF(ISNUMBER(C1683),C1683^2,"")</x:f>
      </x:c>
      <x:c r="E1683" s="15" t="str">
        <x:f>IF(ISNUMBER(C1683),C1683^3,"")</x:f>
      </x:c>
      <x:c r="F1683" s="15" t="str">
        <x:f>IF(ISNUMBER(C1683),C1683^4,"")</x:f>
      </x:c>
      <x:c r="G1683" s="7" t="str">
        <x:f>IF(ISNUMBER(B1683),ABS(B1683),"")</x:f>
      </x:c>
      <x:c r="H1683" s="7" t="str">
        <x:f>IF(ISNUMBER(B1683),B1683^2,"")</x:f>
      </x:c>
      <x:c r="I1683" s="7" t="str">
        <x:f>IF(AND(ISNUMBER(G1683),'요약'!$B$19),G1683-'요약'!$B$14,"")</x:f>
      </x:c>
      <x:c r="J1683" s="7" t="str">
        <x:f>IF(AND(ISNUMBER(H1683),'요약'!$B$19),H1683-'요약'!$B$15,"")</x:f>
      </x:c>
      <x:c r="K1683" t="str">
        <x:f>IF(ISNUMBER(B1683),IF('Hill'!$B$4=1,IF(B1683&lt;0,-B1683,""),IF('Hill'!$B$4=2,IF(B1683&gt;0,B1683,""),IF('Hill'!$B$4=3,IF(B1683&lt;&gt;0,ABS(B1683),""),""))),"")</x:f>
      </x:c>
    </x:row>
    <x:row r="1684">
      <x:c r="A1684" t="n">
        <x:f>1683</x:f>
        <x:v>1683</x:v>
      </x:c>
      <x:c r="B1684" s="7" t="str">
        <x:f>IF('요약'!$B$4=4,IF(ISNUMBER('input'!A1684),'input'!A1684,""),IF(1683&lt;=1000,CHOOSE('요약'!$B$4,'input'!B1684,'input'!C1684,'input'!D1684),""))</x:f>
      </x:c>
      <x:c r="C1684" s="7" t="str">
        <x:f>IF(AND(ISNUMBER(B1684),'요약'!$B$19),B1684-'요약'!$B$7,"")</x:f>
      </x:c>
      <x:c r="D1684" s="7" t="str">
        <x:f>IF(ISNUMBER(C1684),C1684^2,"")</x:f>
      </x:c>
      <x:c r="E1684" s="15" t="str">
        <x:f>IF(ISNUMBER(C1684),C1684^3,"")</x:f>
      </x:c>
      <x:c r="F1684" s="15" t="str">
        <x:f>IF(ISNUMBER(C1684),C1684^4,"")</x:f>
      </x:c>
      <x:c r="G1684" s="7" t="str">
        <x:f>IF(ISNUMBER(B1684),ABS(B1684),"")</x:f>
      </x:c>
      <x:c r="H1684" s="7" t="str">
        <x:f>IF(ISNUMBER(B1684),B1684^2,"")</x:f>
      </x:c>
      <x:c r="I1684" s="7" t="str">
        <x:f>IF(AND(ISNUMBER(G1684),'요약'!$B$19),G1684-'요약'!$B$14,"")</x:f>
      </x:c>
      <x:c r="J1684" s="7" t="str">
        <x:f>IF(AND(ISNUMBER(H1684),'요약'!$B$19),H1684-'요약'!$B$15,"")</x:f>
      </x:c>
      <x:c r="K1684" t="str">
        <x:f>IF(ISNUMBER(B1684),IF('Hill'!$B$4=1,IF(B1684&lt;0,-B1684,""),IF('Hill'!$B$4=2,IF(B1684&gt;0,B1684,""),IF('Hill'!$B$4=3,IF(B1684&lt;&gt;0,ABS(B1684),""),""))),"")</x:f>
      </x:c>
    </x:row>
    <x:row r="1685">
      <x:c r="A1685" t="n">
        <x:f>1684</x:f>
        <x:v>1684</x:v>
      </x:c>
      <x:c r="B1685" s="7" t="str">
        <x:f>IF('요약'!$B$4=4,IF(ISNUMBER('input'!A1685),'input'!A1685,""),IF(1684&lt;=1000,CHOOSE('요약'!$B$4,'input'!B1685,'input'!C1685,'input'!D1685),""))</x:f>
      </x:c>
      <x:c r="C1685" s="7" t="str">
        <x:f>IF(AND(ISNUMBER(B1685),'요약'!$B$19),B1685-'요약'!$B$7,"")</x:f>
      </x:c>
      <x:c r="D1685" s="7" t="str">
        <x:f>IF(ISNUMBER(C1685),C1685^2,"")</x:f>
      </x:c>
      <x:c r="E1685" s="15" t="str">
        <x:f>IF(ISNUMBER(C1685),C1685^3,"")</x:f>
      </x:c>
      <x:c r="F1685" s="15" t="str">
        <x:f>IF(ISNUMBER(C1685),C1685^4,"")</x:f>
      </x:c>
      <x:c r="G1685" s="7" t="str">
        <x:f>IF(ISNUMBER(B1685),ABS(B1685),"")</x:f>
      </x:c>
      <x:c r="H1685" s="7" t="str">
        <x:f>IF(ISNUMBER(B1685),B1685^2,"")</x:f>
      </x:c>
      <x:c r="I1685" s="7" t="str">
        <x:f>IF(AND(ISNUMBER(G1685),'요약'!$B$19),G1685-'요약'!$B$14,"")</x:f>
      </x:c>
      <x:c r="J1685" s="7" t="str">
        <x:f>IF(AND(ISNUMBER(H1685),'요약'!$B$19),H1685-'요약'!$B$15,"")</x:f>
      </x:c>
      <x:c r="K1685" t="str">
        <x:f>IF(ISNUMBER(B1685),IF('Hill'!$B$4=1,IF(B1685&lt;0,-B1685,""),IF('Hill'!$B$4=2,IF(B1685&gt;0,B1685,""),IF('Hill'!$B$4=3,IF(B1685&lt;&gt;0,ABS(B1685),""),""))),"")</x:f>
      </x:c>
    </x:row>
    <x:row r="1686">
      <x:c r="A1686" t="n">
        <x:f>1685</x:f>
        <x:v>1685</x:v>
      </x:c>
      <x:c r="B1686" s="7" t="str">
        <x:f>IF('요약'!$B$4=4,IF(ISNUMBER('input'!A1686),'input'!A1686,""),IF(1685&lt;=1000,CHOOSE('요약'!$B$4,'input'!B1686,'input'!C1686,'input'!D1686),""))</x:f>
      </x:c>
      <x:c r="C1686" s="7" t="str">
        <x:f>IF(AND(ISNUMBER(B1686),'요약'!$B$19),B1686-'요약'!$B$7,"")</x:f>
      </x:c>
      <x:c r="D1686" s="7" t="str">
        <x:f>IF(ISNUMBER(C1686),C1686^2,"")</x:f>
      </x:c>
      <x:c r="E1686" s="15" t="str">
        <x:f>IF(ISNUMBER(C1686),C1686^3,"")</x:f>
      </x:c>
      <x:c r="F1686" s="15" t="str">
        <x:f>IF(ISNUMBER(C1686),C1686^4,"")</x:f>
      </x:c>
      <x:c r="G1686" s="7" t="str">
        <x:f>IF(ISNUMBER(B1686),ABS(B1686),"")</x:f>
      </x:c>
      <x:c r="H1686" s="7" t="str">
        <x:f>IF(ISNUMBER(B1686),B1686^2,"")</x:f>
      </x:c>
      <x:c r="I1686" s="7" t="str">
        <x:f>IF(AND(ISNUMBER(G1686),'요약'!$B$19),G1686-'요약'!$B$14,"")</x:f>
      </x:c>
      <x:c r="J1686" s="7" t="str">
        <x:f>IF(AND(ISNUMBER(H1686),'요약'!$B$19),H1686-'요약'!$B$15,"")</x:f>
      </x:c>
      <x:c r="K1686" t="str">
        <x:f>IF(ISNUMBER(B1686),IF('Hill'!$B$4=1,IF(B1686&lt;0,-B1686,""),IF('Hill'!$B$4=2,IF(B1686&gt;0,B1686,""),IF('Hill'!$B$4=3,IF(B1686&lt;&gt;0,ABS(B1686),""),""))),"")</x:f>
      </x:c>
    </x:row>
    <x:row r="1687">
      <x:c r="A1687" t="n">
        <x:f>1686</x:f>
        <x:v>1686</x:v>
      </x:c>
      <x:c r="B1687" s="7" t="str">
        <x:f>IF('요약'!$B$4=4,IF(ISNUMBER('input'!A1687),'input'!A1687,""),IF(1686&lt;=1000,CHOOSE('요약'!$B$4,'input'!B1687,'input'!C1687,'input'!D1687),""))</x:f>
      </x:c>
      <x:c r="C1687" s="7" t="str">
        <x:f>IF(AND(ISNUMBER(B1687),'요약'!$B$19),B1687-'요약'!$B$7,"")</x:f>
      </x:c>
      <x:c r="D1687" s="7" t="str">
        <x:f>IF(ISNUMBER(C1687),C1687^2,"")</x:f>
      </x:c>
      <x:c r="E1687" s="15" t="str">
        <x:f>IF(ISNUMBER(C1687),C1687^3,"")</x:f>
      </x:c>
      <x:c r="F1687" s="15" t="str">
        <x:f>IF(ISNUMBER(C1687),C1687^4,"")</x:f>
      </x:c>
      <x:c r="G1687" s="7" t="str">
        <x:f>IF(ISNUMBER(B1687),ABS(B1687),"")</x:f>
      </x:c>
      <x:c r="H1687" s="7" t="str">
        <x:f>IF(ISNUMBER(B1687),B1687^2,"")</x:f>
      </x:c>
      <x:c r="I1687" s="7" t="str">
        <x:f>IF(AND(ISNUMBER(G1687),'요약'!$B$19),G1687-'요약'!$B$14,"")</x:f>
      </x:c>
      <x:c r="J1687" s="7" t="str">
        <x:f>IF(AND(ISNUMBER(H1687),'요약'!$B$19),H1687-'요약'!$B$15,"")</x:f>
      </x:c>
      <x:c r="K1687" t="str">
        <x:f>IF(ISNUMBER(B1687),IF('Hill'!$B$4=1,IF(B1687&lt;0,-B1687,""),IF('Hill'!$B$4=2,IF(B1687&gt;0,B1687,""),IF('Hill'!$B$4=3,IF(B1687&lt;&gt;0,ABS(B1687),""),""))),"")</x:f>
      </x:c>
    </x:row>
    <x:row r="1688">
      <x:c r="A1688" t="n">
        <x:f>1687</x:f>
        <x:v>1687</x:v>
      </x:c>
      <x:c r="B1688" s="7" t="str">
        <x:f>IF('요약'!$B$4=4,IF(ISNUMBER('input'!A1688),'input'!A1688,""),IF(1687&lt;=1000,CHOOSE('요약'!$B$4,'input'!B1688,'input'!C1688,'input'!D1688),""))</x:f>
      </x:c>
      <x:c r="C1688" s="7" t="str">
        <x:f>IF(AND(ISNUMBER(B1688),'요약'!$B$19),B1688-'요약'!$B$7,"")</x:f>
      </x:c>
      <x:c r="D1688" s="7" t="str">
        <x:f>IF(ISNUMBER(C1688),C1688^2,"")</x:f>
      </x:c>
      <x:c r="E1688" s="15" t="str">
        <x:f>IF(ISNUMBER(C1688),C1688^3,"")</x:f>
      </x:c>
      <x:c r="F1688" s="15" t="str">
        <x:f>IF(ISNUMBER(C1688),C1688^4,"")</x:f>
      </x:c>
      <x:c r="G1688" s="7" t="str">
        <x:f>IF(ISNUMBER(B1688),ABS(B1688),"")</x:f>
      </x:c>
      <x:c r="H1688" s="7" t="str">
        <x:f>IF(ISNUMBER(B1688),B1688^2,"")</x:f>
      </x:c>
      <x:c r="I1688" s="7" t="str">
        <x:f>IF(AND(ISNUMBER(G1688),'요약'!$B$19),G1688-'요약'!$B$14,"")</x:f>
      </x:c>
      <x:c r="J1688" s="7" t="str">
        <x:f>IF(AND(ISNUMBER(H1688),'요약'!$B$19),H1688-'요약'!$B$15,"")</x:f>
      </x:c>
      <x:c r="K1688" t="str">
        <x:f>IF(ISNUMBER(B1688),IF('Hill'!$B$4=1,IF(B1688&lt;0,-B1688,""),IF('Hill'!$B$4=2,IF(B1688&gt;0,B1688,""),IF('Hill'!$B$4=3,IF(B1688&lt;&gt;0,ABS(B1688),""),""))),"")</x:f>
      </x:c>
    </x:row>
    <x:row r="1689">
      <x:c r="A1689" t="n">
        <x:f>1688</x:f>
        <x:v>1688</x:v>
      </x:c>
      <x:c r="B1689" s="7" t="str">
        <x:f>IF('요약'!$B$4=4,IF(ISNUMBER('input'!A1689),'input'!A1689,""),IF(1688&lt;=1000,CHOOSE('요약'!$B$4,'input'!B1689,'input'!C1689,'input'!D1689),""))</x:f>
      </x:c>
      <x:c r="C1689" s="7" t="str">
        <x:f>IF(AND(ISNUMBER(B1689),'요약'!$B$19),B1689-'요약'!$B$7,"")</x:f>
      </x:c>
      <x:c r="D1689" s="7" t="str">
        <x:f>IF(ISNUMBER(C1689),C1689^2,"")</x:f>
      </x:c>
      <x:c r="E1689" s="15" t="str">
        <x:f>IF(ISNUMBER(C1689),C1689^3,"")</x:f>
      </x:c>
      <x:c r="F1689" s="15" t="str">
        <x:f>IF(ISNUMBER(C1689),C1689^4,"")</x:f>
      </x:c>
      <x:c r="G1689" s="7" t="str">
        <x:f>IF(ISNUMBER(B1689),ABS(B1689),"")</x:f>
      </x:c>
      <x:c r="H1689" s="7" t="str">
        <x:f>IF(ISNUMBER(B1689),B1689^2,"")</x:f>
      </x:c>
      <x:c r="I1689" s="7" t="str">
        <x:f>IF(AND(ISNUMBER(G1689),'요약'!$B$19),G1689-'요약'!$B$14,"")</x:f>
      </x:c>
      <x:c r="J1689" s="7" t="str">
        <x:f>IF(AND(ISNUMBER(H1689),'요약'!$B$19),H1689-'요약'!$B$15,"")</x:f>
      </x:c>
      <x:c r="K1689" t="str">
        <x:f>IF(ISNUMBER(B1689),IF('Hill'!$B$4=1,IF(B1689&lt;0,-B1689,""),IF('Hill'!$B$4=2,IF(B1689&gt;0,B1689,""),IF('Hill'!$B$4=3,IF(B1689&lt;&gt;0,ABS(B1689),""),""))),"")</x:f>
      </x:c>
    </x:row>
    <x:row r="1690">
      <x:c r="A1690" t="n">
        <x:f>1689</x:f>
        <x:v>1689</x:v>
      </x:c>
      <x:c r="B1690" s="7" t="str">
        <x:f>IF('요약'!$B$4=4,IF(ISNUMBER('input'!A1690),'input'!A1690,""),IF(1689&lt;=1000,CHOOSE('요약'!$B$4,'input'!B1690,'input'!C1690,'input'!D1690),""))</x:f>
      </x:c>
      <x:c r="C1690" s="7" t="str">
        <x:f>IF(AND(ISNUMBER(B1690),'요약'!$B$19),B1690-'요약'!$B$7,"")</x:f>
      </x:c>
      <x:c r="D1690" s="7" t="str">
        <x:f>IF(ISNUMBER(C1690),C1690^2,"")</x:f>
      </x:c>
      <x:c r="E1690" s="15" t="str">
        <x:f>IF(ISNUMBER(C1690),C1690^3,"")</x:f>
      </x:c>
      <x:c r="F1690" s="15" t="str">
        <x:f>IF(ISNUMBER(C1690),C1690^4,"")</x:f>
      </x:c>
      <x:c r="G1690" s="7" t="str">
        <x:f>IF(ISNUMBER(B1690),ABS(B1690),"")</x:f>
      </x:c>
      <x:c r="H1690" s="7" t="str">
        <x:f>IF(ISNUMBER(B1690),B1690^2,"")</x:f>
      </x:c>
      <x:c r="I1690" s="7" t="str">
        <x:f>IF(AND(ISNUMBER(G1690),'요약'!$B$19),G1690-'요약'!$B$14,"")</x:f>
      </x:c>
      <x:c r="J1690" s="7" t="str">
        <x:f>IF(AND(ISNUMBER(H1690),'요약'!$B$19),H1690-'요약'!$B$15,"")</x:f>
      </x:c>
      <x:c r="K1690" t="str">
        <x:f>IF(ISNUMBER(B1690),IF('Hill'!$B$4=1,IF(B1690&lt;0,-B1690,""),IF('Hill'!$B$4=2,IF(B1690&gt;0,B1690,""),IF('Hill'!$B$4=3,IF(B1690&lt;&gt;0,ABS(B1690),""),""))),"")</x:f>
      </x:c>
    </x:row>
    <x:row r="1691">
      <x:c r="A1691" t="n">
        <x:f>1690</x:f>
        <x:v>1690</x:v>
      </x:c>
      <x:c r="B1691" s="7" t="str">
        <x:f>IF('요약'!$B$4=4,IF(ISNUMBER('input'!A1691),'input'!A1691,""),IF(1690&lt;=1000,CHOOSE('요약'!$B$4,'input'!B1691,'input'!C1691,'input'!D1691),""))</x:f>
      </x:c>
      <x:c r="C1691" s="7" t="str">
        <x:f>IF(AND(ISNUMBER(B1691),'요약'!$B$19),B1691-'요약'!$B$7,"")</x:f>
      </x:c>
      <x:c r="D1691" s="7" t="str">
        <x:f>IF(ISNUMBER(C1691),C1691^2,"")</x:f>
      </x:c>
      <x:c r="E1691" s="15" t="str">
        <x:f>IF(ISNUMBER(C1691),C1691^3,"")</x:f>
      </x:c>
      <x:c r="F1691" s="15" t="str">
        <x:f>IF(ISNUMBER(C1691),C1691^4,"")</x:f>
      </x:c>
      <x:c r="G1691" s="7" t="str">
        <x:f>IF(ISNUMBER(B1691),ABS(B1691),"")</x:f>
      </x:c>
      <x:c r="H1691" s="7" t="str">
        <x:f>IF(ISNUMBER(B1691),B1691^2,"")</x:f>
      </x:c>
      <x:c r="I1691" s="7" t="str">
        <x:f>IF(AND(ISNUMBER(G1691),'요약'!$B$19),G1691-'요약'!$B$14,"")</x:f>
      </x:c>
      <x:c r="J1691" s="7" t="str">
        <x:f>IF(AND(ISNUMBER(H1691),'요약'!$B$19),H1691-'요약'!$B$15,"")</x:f>
      </x:c>
      <x:c r="K1691" t="str">
        <x:f>IF(ISNUMBER(B1691),IF('Hill'!$B$4=1,IF(B1691&lt;0,-B1691,""),IF('Hill'!$B$4=2,IF(B1691&gt;0,B1691,""),IF('Hill'!$B$4=3,IF(B1691&lt;&gt;0,ABS(B1691),""),""))),"")</x:f>
      </x:c>
    </x:row>
    <x:row r="1692">
      <x:c r="A1692" t="n">
        <x:f>1691</x:f>
        <x:v>1691</x:v>
      </x:c>
      <x:c r="B1692" s="7" t="str">
        <x:f>IF('요약'!$B$4=4,IF(ISNUMBER('input'!A1692),'input'!A1692,""),IF(1691&lt;=1000,CHOOSE('요약'!$B$4,'input'!B1692,'input'!C1692,'input'!D1692),""))</x:f>
      </x:c>
      <x:c r="C1692" s="7" t="str">
        <x:f>IF(AND(ISNUMBER(B1692),'요약'!$B$19),B1692-'요약'!$B$7,"")</x:f>
      </x:c>
      <x:c r="D1692" s="7" t="str">
        <x:f>IF(ISNUMBER(C1692),C1692^2,"")</x:f>
      </x:c>
      <x:c r="E1692" s="15" t="str">
        <x:f>IF(ISNUMBER(C1692),C1692^3,"")</x:f>
      </x:c>
      <x:c r="F1692" s="15" t="str">
        <x:f>IF(ISNUMBER(C1692),C1692^4,"")</x:f>
      </x:c>
      <x:c r="G1692" s="7" t="str">
        <x:f>IF(ISNUMBER(B1692),ABS(B1692),"")</x:f>
      </x:c>
      <x:c r="H1692" s="7" t="str">
        <x:f>IF(ISNUMBER(B1692),B1692^2,"")</x:f>
      </x:c>
      <x:c r="I1692" s="7" t="str">
        <x:f>IF(AND(ISNUMBER(G1692),'요약'!$B$19),G1692-'요약'!$B$14,"")</x:f>
      </x:c>
      <x:c r="J1692" s="7" t="str">
        <x:f>IF(AND(ISNUMBER(H1692),'요약'!$B$19),H1692-'요약'!$B$15,"")</x:f>
      </x:c>
      <x:c r="K1692" t="str">
        <x:f>IF(ISNUMBER(B1692),IF('Hill'!$B$4=1,IF(B1692&lt;0,-B1692,""),IF('Hill'!$B$4=2,IF(B1692&gt;0,B1692,""),IF('Hill'!$B$4=3,IF(B1692&lt;&gt;0,ABS(B1692),""),""))),"")</x:f>
      </x:c>
    </x:row>
    <x:row r="1693">
      <x:c r="A1693" t="n">
        <x:f>1692</x:f>
        <x:v>1692</x:v>
      </x:c>
      <x:c r="B1693" s="7" t="str">
        <x:f>IF('요약'!$B$4=4,IF(ISNUMBER('input'!A1693),'input'!A1693,""),IF(1692&lt;=1000,CHOOSE('요약'!$B$4,'input'!B1693,'input'!C1693,'input'!D1693),""))</x:f>
      </x:c>
      <x:c r="C1693" s="7" t="str">
        <x:f>IF(AND(ISNUMBER(B1693),'요약'!$B$19),B1693-'요약'!$B$7,"")</x:f>
      </x:c>
      <x:c r="D1693" s="7" t="str">
        <x:f>IF(ISNUMBER(C1693),C1693^2,"")</x:f>
      </x:c>
      <x:c r="E1693" s="15" t="str">
        <x:f>IF(ISNUMBER(C1693),C1693^3,"")</x:f>
      </x:c>
      <x:c r="F1693" s="15" t="str">
        <x:f>IF(ISNUMBER(C1693),C1693^4,"")</x:f>
      </x:c>
      <x:c r="G1693" s="7" t="str">
        <x:f>IF(ISNUMBER(B1693),ABS(B1693),"")</x:f>
      </x:c>
      <x:c r="H1693" s="7" t="str">
        <x:f>IF(ISNUMBER(B1693),B1693^2,"")</x:f>
      </x:c>
      <x:c r="I1693" s="7" t="str">
        <x:f>IF(AND(ISNUMBER(G1693),'요약'!$B$19),G1693-'요약'!$B$14,"")</x:f>
      </x:c>
      <x:c r="J1693" s="7" t="str">
        <x:f>IF(AND(ISNUMBER(H1693),'요약'!$B$19),H1693-'요약'!$B$15,"")</x:f>
      </x:c>
      <x:c r="K1693" t="str">
        <x:f>IF(ISNUMBER(B1693),IF('Hill'!$B$4=1,IF(B1693&lt;0,-B1693,""),IF('Hill'!$B$4=2,IF(B1693&gt;0,B1693,""),IF('Hill'!$B$4=3,IF(B1693&lt;&gt;0,ABS(B1693),""),""))),"")</x:f>
      </x:c>
    </x:row>
    <x:row r="1694">
      <x:c r="A1694" t="n">
        <x:f>1693</x:f>
        <x:v>1693</x:v>
      </x:c>
      <x:c r="B1694" s="7" t="str">
        <x:f>IF('요약'!$B$4=4,IF(ISNUMBER('input'!A1694),'input'!A1694,""),IF(1693&lt;=1000,CHOOSE('요약'!$B$4,'input'!B1694,'input'!C1694,'input'!D1694),""))</x:f>
      </x:c>
      <x:c r="C1694" s="7" t="str">
        <x:f>IF(AND(ISNUMBER(B1694),'요약'!$B$19),B1694-'요약'!$B$7,"")</x:f>
      </x:c>
      <x:c r="D1694" s="7" t="str">
        <x:f>IF(ISNUMBER(C1694),C1694^2,"")</x:f>
      </x:c>
      <x:c r="E1694" s="15" t="str">
        <x:f>IF(ISNUMBER(C1694),C1694^3,"")</x:f>
      </x:c>
      <x:c r="F1694" s="15" t="str">
        <x:f>IF(ISNUMBER(C1694),C1694^4,"")</x:f>
      </x:c>
      <x:c r="G1694" s="7" t="str">
        <x:f>IF(ISNUMBER(B1694),ABS(B1694),"")</x:f>
      </x:c>
      <x:c r="H1694" s="7" t="str">
        <x:f>IF(ISNUMBER(B1694),B1694^2,"")</x:f>
      </x:c>
      <x:c r="I1694" s="7" t="str">
        <x:f>IF(AND(ISNUMBER(G1694),'요약'!$B$19),G1694-'요약'!$B$14,"")</x:f>
      </x:c>
      <x:c r="J1694" s="7" t="str">
        <x:f>IF(AND(ISNUMBER(H1694),'요약'!$B$19),H1694-'요약'!$B$15,"")</x:f>
      </x:c>
      <x:c r="K1694" t="str">
        <x:f>IF(ISNUMBER(B1694),IF('Hill'!$B$4=1,IF(B1694&lt;0,-B1694,""),IF('Hill'!$B$4=2,IF(B1694&gt;0,B1694,""),IF('Hill'!$B$4=3,IF(B1694&lt;&gt;0,ABS(B1694),""),""))),"")</x:f>
      </x:c>
    </x:row>
    <x:row r="1695">
      <x:c r="A1695" t="n">
        <x:f>1694</x:f>
        <x:v>1694</x:v>
      </x:c>
      <x:c r="B1695" s="7" t="str">
        <x:f>IF('요약'!$B$4=4,IF(ISNUMBER('input'!A1695),'input'!A1695,""),IF(1694&lt;=1000,CHOOSE('요약'!$B$4,'input'!B1695,'input'!C1695,'input'!D1695),""))</x:f>
      </x:c>
      <x:c r="C1695" s="7" t="str">
        <x:f>IF(AND(ISNUMBER(B1695),'요약'!$B$19),B1695-'요약'!$B$7,"")</x:f>
      </x:c>
      <x:c r="D1695" s="7" t="str">
        <x:f>IF(ISNUMBER(C1695),C1695^2,"")</x:f>
      </x:c>
      <x:c r="E1695" s="15" t="str">
        <x:f>IF(ISNUMBER(C1695),C1695^3,"")</x:f>
      </x:c>
      <x:c r="F1695" s="15" t="str">
        <x:f>IF(ISNUMBER(C1695),C1695^4,"")</x:f>
      </x:c>
      <x:c r="G1695" s="7" t="str">
        <x:f>IF(ISNUMBER(B1695),ABS(B1695),"")</x:f>
      </x:c>
      <x:c r="H1695" s="7" t="str">
        <x:f>IF(ISNUMBER(B1695),B1695^2,"")</x:f>
      </x:c>
      <x:c r="I1695" s="7" t="str">
        <x:f>IF(AND(ISNUMBER(G1695),'요약'!$B$19),G1695-'요약'!$B$14,"")</x:f>
      </x:c>
      <x:c r="J1695" s="7" t="str">
        <x:f>IF(AND(ISNUMBER(H1695),'요약'!$B$19),H1695-'요약'!$B$15,"")</x:f>
      </x:c>
      <x:c r="K1695" t="str">
        <x:f>IF(ISNUMBER(B1695),IF('Hill'!$B$4=1,IF(B1695&lt;0,-B1695,""),IF('Hill'!$B$4=2,IF(B1695&gt;0,B1695,""),IF('Hill'!$B$4=3,IF(B1695&lt;&gt;0,ABS(B1695),""),""))),"")</x:f>
      </x:c>
    </x:row>
    <x:row r="1696">
      <x:c r="A1696" t="n">
        <x:f>1695</x:f>
        <x:v>1695</x:v>
      </x:c>
      <x:c r="B1696" s="7" t="str">
        <x:f>IF('요약'!$B$4=4,IF(ISNUMBER('input'!A1696),'input'!A1696,""),IF(1695&lt;=1000,CHOOSE('요약'!$B$4,'input'!B1696,'input'!C1696,'input'!D1696),""))</x:f>
      </x:c>
      <x:c r="C1696" s="7" t="str">
        <x:f>IF(AND(ISNUMBER(B1696),'요약'!$B$19),B1696-'요약'!$B$7,"")</x:f>
      </x:c>
      <x:c r="D1696" s="7" t="str">
        <x:f>IF(ISNUMBER(C1696),C1696^2,"")</x:f>
      </x:c>
      <x:c r="E1696" s="15" t="str">
        <x:f>IF(ISNUMBER(C1696),C1696^3,"")</x:f>
      </x:c>
      <x:c r="F1696" s="15" t="str">
        <x:f>IF(ISNUMBER(C1696),C1696^4,"")</x:f>
      </x:c>
      <x:c r="G1696" s="7" t="str">
        <x:f>IF(ISNUMBER(B1696),ABS(B1696),"")</x:f>
      </x:c>
      <x:c r="H1696" s="7" t="str">
        <x:f>IF(ISNUMBER(B1696),B1696^2,"")</x:f>
      </x:c>
      <x:c r="I1696" s="7" t="str">
        <x:f>IF(AND(ISNUMBER(G1696),'요약'!$B$19),G1696-'요약'!$B$14,"")</x:f>
      </x:c>
      <x:c r="J1696" s="7" t="str">
        <x:f>IF(AND(ISNUMBER(H1696),'요약'!$B$19),H1696-'요약'!$B$15,"")</x:f>
      </x:c>
      <x:c r="K1696" t="str">
        <x:f>IF(ISNUMBER(B1696),IF('Hill'!$B$4=1,IF(B1696&lt;0,-B1696,""),IF('Hill'!$B$4=2,IF(B1696&gt;0,B1696,""),IF('Hill'!$B$4=3,IF(B1696&lt;&gt;0,ABS(B1696),""),""))),"")</x:f>
      </x:c>
    </x:row>
    <x:row r="1697">
      <x:c r="A1697" t="n">
        <x:f>1696</x:f>
        <x:v>1696</x:v>
      </x:c>
      <x:c r="B1697" s="7" t="str">
        <x:f>IF('요약'!$B$4=4,IF(ISNUMBER('input'!A1697),'input'!A1697,""),IF(1696&lt;=1000,CHOOSE('요약'!$B$4,'input'!B1697,'input'!C1697,'input'!D1697),""))</x:f>
      </x:c>
      <x:c r="C1697" s="7" t="str">
        <x:f>IF(AND(ISNUMBER(B1697),'요약'!$B$19),B1697-'요약'!$B$7,"")</x:f>
      </x:c>
      <x:c r="D1697" s="7" t="str">
        <x:f>IF(ISNUMBER(C1697),C1697^2,"")</x:f>
      </x:c>
      <x:c r="E1697" s="15" t="str">
        <x:f>IF(ISNUMBER(C1697),C1697^3,"")</x:f>
      </x:c>
      <x:c r="F1697" s="15" t="str">
        <x:f>IF(ISNUMBER(C1697),C1697^4,"")</x:f>
      </x:c>
      <x:c r="G1697" s="7" t="str">
        <x:f>IF(ISNUMBER(B1697),ABS(B1697),"")</x:f>
      </x:c>
      <x:c r="H1697" s="7" t="str">
        <x:f>IF(ISNUMBER(B1697),B1697^2,"")</x:f>
      </x:c>
      <x:c r="I1697" s="7" t="str">
        <x:f>IF(AND(ISNUMBER(G1697),'요약'!$B$19),G1697-'요약'!$B$14,"")</x:f>
      </x:c>
      <x:c r="J1697" s="7" t="str">
        <x:f>IF(AND(ISNUMBER(H1697),'요약'!$B$19),H1697-'요약'!$B$15,"")</x:f>
      </x:c>
      <x:c r="K1697" t="str">
        <x:f>IF(ISNUMBER(B1697),IF('Hill'!$B$4=1,IF(B1697&lt;0,-B1697,""),IF('Hill'!$B$4=2,IF(B1697&gt;0,B1697,""),IF('Hill'!$B$4=3,IF(B1697&lt;&gt;0,ABS(B1697),""),""))),"")</x:f>
      </x:c>
    </x:row>
    <x:row r="1698">
      <x:c r="A1698" t="n">
        <x:f>1697</x:f>
        <x:v>1697</x:v>
      </x:c>
      <x:c r="B1698" s="7" t="str">
        <x:f>IF('요약'!$B$4=4,IF(ISNUMBER('input'!A1698),'input'!A1698,""),IF(1697&lt;=1000,CHOOSE('요약'!$B$4,'input'!B1698,'input'!C1698,'input'!D1698),""))</x:f>
      </x:c>
      <x:c r="C1698" s="7" t="str">
        <x:f>IF(AND(ISNUMBER(B1698),'요약'!$B$19),B1698-'요약'!$B$7,"")</x:f>
      </x:c>
      <x:c r="D1698" s="7" t="str">
        <x:f>IF(ISNUMBER(C1698),C1698^2,"")</x:f>
      </x:c>
      <x:c r="E1698" s="15" t="str">
        <x:f>IF(ISNUMBER(C1698),C1698^3,"")</x:f>
      </x:c>
      <x:c r="F1698" s="15" t="str">
        <x:f>IF(ISNUMBER(C1698),C1698^4,"")</x:f>
      </x:c>
      <x:c r="G1698" s="7" t="str">
        <x:f>IF(ISNUMBER(B1698),ABS(B1698),"")</x:f>
      </x:c>
      <x:c r="H1698" s="7" t="str">
        <x:f>IF(ISNUMBER(B1698),B1698^2,"")</x:f>
      </x:c>
      <x:c r="I1698" s="7" t="str">
        <x:f>IF(AND(ISNUMBER(G1698),'요약'!$B$19),G1698-'요약'!$B$14,"")</x:f>
      </x:c>
      <x:c r="J1698" s="7" t="str">
        <x:f>IF(AND(ISNUMBER(H1698),'요약'!$B$19),H1698-'요약'!$B$15,"")</x:f>
      </x:c>
      <x:c r="K1698" t="str">
        <x:f>IF(ISNUMBER(B1698),IF('Hill'!$B$4=1,IF(B1698&lt;0,-B1698,""),IF('Hill'!$B$4=2,IF(B1698&gt;0,B1698,""),IF('Hill'!$B$4=3,IF(B1698&lt;&gt;0,ABS(B1698),""),""))),"")</x:f>
      </x:c>
    </x:row>
    <x:row r="1699">
      <x:c r="A1699" t="n">
        <x:f>1698</x:f>
        <x:v>1698</x:v>
      </x:c>
      <x:c r="B1699" s="7" t="str">
        <x:f>IF('요약'!$B$4=4,IF(ISNUMBER('input'!A1699),'input'!A1699,""),IF(1698&lt;=1000,CHOOSE('요약'!$B$4,'input'!B1699,'input'!C1699,'input'!D1699),""))</x:f>
      </x:c>
      <x:c r="C1699" s="7" t="str">
        <x:f>IF(AND(ISNUMBER(B1699),'요약'!$B$19),B1699-'요약'!$B$7,"")</x:f>
      </x:c>
      <x:c r="D1699" s="7" t="str">
        <x:f>IF(ISNUMBER(C1699),C1699^2,"")</x:f>
      </x:c>
      <x:c r="E1699" s="15" t="str">
        <x:f>IF(ISNUMBER(C1699),C1699^3,"")</x:f>
      </x:c>
      <x:c r="F1699" s="15" t="str">
        <x:f>IF(ISNUMBER(C1699),C1699^4,"")</x:f>
      </x:c>
      <x:c r="G1699" s="7" t="str">
        <x:f>IF(ISNUMBER(B1699),ABS(B1699),"")</x:f>
      </x:c>
      <x:c r="H1699" s="7" t="str">
        <x:f>IF(ISNUMBER(B1699),B1699^2,"")</x:f>
      </x:c>
      <x:c r="I1699" s="7" t="str">
        <x:f>IF(AND(ISNUMBER(G1699),'요약'!$B$19),G1699-'요약'!$B$14,"")</x:f>
      </x:c>
      <x:c r="J1699" s="7" t="str">
        <x:f>IF(AND(ISNUMBER(H1699),'요약'!$B$19),H1699-'요약'!$B$15,"")</x:f>
      </x:c>
      <x:c r="K1699" t="str">
        <x:f>IF(ISNUMBER(B1699),IF('Hill'!$B$4=1,IF(B1699&lt;0,-B1699,""),IF('Hill'!$B$4=2,IF(B1699&gt;0,B1699,""),IF('Hill'!$B$4=3,IF(B1699&lt;&gt;0,ABS(B1699),""),""))),"")</x:f>
      </x:c>
    </x:row>
    <x:row r="1700">
      <x:c r="A1700" t="n">
        <x:f>1699</x:f>
        <x:v>1699</x:v>
      </x:c>
      <x:c r="B1700" s="7" t="str">
        <x:f>IF('요약'!$B$4=4,IF(ISNUMBER('input'!A1700),'input'!A1700,""),IF(1699&lt;=1000,CHOOSE('요약'!$B$4,'input'!B1700,'input'!C1700,'input'!D1700),""))</x:f>
      </x:c>
      <x:c r="C1700" s="7" t="str">
        <x:f>IF(AND(ISNUMBER(B1700),'요약'!$B$19),B1700-'요약'!$B$7,"")</x:f>
      </x:c>
      <x:c r="D1700" s="7" t="str">
        <x:f>IF(ISNUMBER(C1700),C1700^2,"")</x:f>
      </x:c>
      <x:c r="E1700" s="15" t="str">
        <x:f>IF(ISNUMBER(C1700),C1700^3,"")</x:f>
      </x:c>
      <x:c r="F1700" s="15" t="str">
        <x:f>IF(ISNUMBER(C1700),C1700^4,"")</x:f>
      </x:c>
      <x:c r="G1700" s="7" t="str">
        <x:f>IF(ISNUMBER(B1700),ABS(B1700),"")</x:f>
      </x:c>
      <x:c r="H1700" s="7" t="str">
        <x:f>IF(ISNUMBER(B1700),B1700^2,"")</x:f>
      </x:c>
      <x:c r="I1700" s="7" t="str">
        <x:f>IF(AND(ISNUMBER(G1700),'요약'!$B$19),G1700-'요약'!$B$14,"")</x:f>
      </x:c>
      <x:c r="J1700" s="7" t="str">
        <x:f>IF(AND(ISNUMBER(H1700),'요약'!$B$19),H1700-'요약'!$B$15,"")</x:f>
      </x:c>
      <x:c r="K1700" t="str">
        <x:f>IF(ISNUMBER(B1700),IF('Hill'!$B$4=1,IF(B1700&lt;0,-B1700,""),IF('Hill'!$B$4=2,IF(B1700&gt;0,B1700,""),IF('Hill'!$B$4=3,IF(B1700&lt;&gt;0,ABS(B1700),""),""))),"")</x:f>
      </x:c>
    </x:row>
    <x:row r="1701">
      <x:c r="A1701" t="n">
        <x:f>1700</x:f>
        <x:v>1700</x:v>
      </x:c>
      <x:c r="B1701" s="7" t="str">
        <x:f>IF('요약'!$B$4=4,IF(ISNUMBER('input'!A1701),'input'!A1701,""),IF(1700&lt;=1000,CHOOSE('요약'!$B$4,'input'!B1701,'input'!C1701,'input'!D1701),""))</x:f>
      </x:c>
      <x:c r="C1701" s="7" t="str">
        <x:f>IF(AND(ISNUMBER(B1701),'요약'!$B$19),B1701-'요약'!$B$7,"")</x:f>
      </x:c>
      <x:c r="D1701" s="7" t="str">
        <x:f>IF(ISNUMBER(C1701),C1701^2,"")</x:f>
      </x:c>
      <x:c r="E1701" s="15" t="str">
        <x:f>IF(ISNUMBER(C1701),C1701^3,"")</x:f>
      </x:c>
      <x:c r="F1701" s="15" t="str">
        <x:f>IF(ISNUMBER(C1701),C1701^4,"")</x:f>
      </x:c>
      <x:c r="G1701" s="7" t="str">
        <x:f>IF(ISNUMBER(B1701),ABS(B1701),"")</x:f>
      </x:c>
      <x:c r="H1701" s="7" t="str">
        <x:f>IF(ISNUMBER(B1701),B1701^2,"")</x:f>
      </x:c>
      <x:c r="I1701" s="7" t="str">
        <x:f>IF(AND(ISNUMBER(G1701),'요약'!$B$19),G1701-'요약'!$B$14,"")</x:f>
      </x:c>
      <x:c r="J1701" s="7" t="str">
        <x:f>IF(AND(ISNUMBER(H1701),'요약'!$B$19),H1701-'요약'!$B$15,"")</x:f>
      </x:c>
      <x:c r="K1701" t="str">
        <x:f>IF(ISNUMBER(B1701),IF('Hill'!$B$4=1,IF(B1701&lt;0,-B1701,""),IF('Hill'!$B$4=2,IF(B1701&gt;0,B1701,""),IF('Hill'!$B$4=3,IF(B1701&lt;&gt;0,ABS(B1701),""),""))),"")</x:f>
      </x:c>
    </x:row>
    <x:row r="1702">
      <x:c r="A1702" t="n">
        <x:f>1701</x:f>
        <x:v>1701</x:v>
      </x:c>
      <x:c r="B1702" s="7" t="str">
        <x:f>IF('요약'!$B$4=4,IF(ISNUMBER('input'!A1702),'input'!A1702,""),IF(1701&lt;=1000,CHOOSE('요약'!$B$4,'input'!B1702,'input'!C1702,'input'!D1702),""))</x:f>
      </x:c>
      <x:c r="C1702" s="7" t="str">
        <x:f>IF(AND(ISNUMBER(B1702),'요약'!$B$19),B1702-'요약'!$B$7,"")</x:f>
      </x:c>
      <x:c r="D1702" s="7" t="str">
        <x:f>IF(ISNUMBER(C1702),C1702^2,"")</x:f>
      </x:c>
      <x:c r="E1702" s="15" t="str">
        <x:f>IF(ISNUMBER(C1702),C1702^3,"")</x:f>
      </x:c>
      <x:c r="F1702" s="15" t="str">
        <x:f>IF(ISNUMBER(C1702),C1702^4,"")</x:f>
      </x:c>
      <x:c r="G1702" s="7" t="str">
        <x:f>IF(ISNUMBER(B1702),ABS(B1702),"")</x:f>
      </x:c>
      <x:c r="H1702" s="7" t="str">
        <x:f>IF(ISNUMBER(B1702),B1702^2,"")</x:f>
      </x:c>
      <x:c r="I1702" s="7" t="str">
        <x:f>IF(AND(ISNUMBER(G1702),'요약'!$B$19),G1702-'요약'!$B$14,"")</x:f>
      </x:c>
      <x:c r="J1702" s="7" t="str">
        <x:f>IF(AND(ISNUMBER(H1702),'요약'!$B$19),H1702-'요약'!$B$15,"")</x:f>
      </x:c>
      <x:c r="K1702" t="str">
        <x:f>IF(ISNUMBER(B1702),IF('Hill'!$B$4=1,IF(B1702&lt;0,-B1702,""),IF('Hill'!$B$4=2,IF(B1702&gt;0,B1702,""),IF('Hill'!$B$4=3,IF(B1702&lt;&gt;0,ABS(B1702),""),""))),"")</x:f>
      </x:c>
    </x:row>
    <x:row r="1703">
      <x:c r="A1703" t="n">
        <x:f>1702</x:f>
        <x:v>1702</x:v>
      </x:c>
      <x:c r="B1703" s="7" t="str">
        <x:f>IF('요약'!$B$4=4,IF(ISNUMBER('input'!A1703),'input'!A1703,""),IF(1702&lt;=1000,CHOOSE('요약'!$B$4,'input'!B1703,'input'!C1703,'input'!D1703),""))</x:f>
      </x:c>
      <x:c r="C1703" s="7" t="str">
        <x:f>IF(AND(ISNUMBER(B1703),'요약'!$B$19),B1703-'요약'!$B$7,"")</x:f>
      </x:c>
      <x:c r="D1703" s="7" t="str">
        <x:f>IF(ISNUMBER(C1703),C1703^2,"")</x:f>
      </x:c>
      <x:c r="E1703" s="15" t="str">
        <x:f>IF(ISNUMBER(C1703),C1703^3,"")</x:f>
      </x:c>
      <x:c r="F1703" s="15" t="str">
        <x:f>IF(ISNUMBER(C1703),C1703^4,"")</x:f>
      </x:c>
      <x:c r="G1703" s="7" t="str">
        <x:f>IF(ISNUMBER(B1703),ABS(B1703),"")</x:f>
      </x:c>
      <x:c r="H1703" s="7" t="str">
        <x:f>IF(ISNUMBER(B1703),B1703^2,"")</x:f>
      </x:c>
      <x:c r="I1703" s="7" t="str">
        <x:f>IF(AND(ISNUMBER(G1703),'요약'!$B$19),G1703-'요약'!$B$14,"")</x:f>
      </x:c>
      <x:c r="J1703" s="7" t="str">
        <x:f>IF(AND(ISNUMBER(H1703),'요약'!$B$19),H1703-'요약'!$B$15,"")</x:f>
      </x:c>
      <x:c r="K1703" t="str">
        <x:f>IF(ISNUMBER(B1703),IF('Hill'!$B$4=1,IF(B1703&lt;0,-B1703,""),IF('Hill'!$B$4=2,IF(B1703&gt;0,B1703,""),IF('Hill'!$B$4=3,IF(B1703&lt;&gt;0,ABS(B1703),""),""))),"")</x:f>
      </x:c>
    </x:row>
    <x:row r="1704">
      <x:c r="A1704" t="n">
        <x:f>1703</x:f>
        <x:v>1703</x:v>
      </x:c>
      <x:c r="B1704" s="7" t="str">
        <x:f>IF('요약'!$B$4=4,IF(ISNUMBER('input'!A1704),'input'!A1704,""),IF(1703&lt;=1000,CHOOSE('요약'!$B$4,'input'!B1704,'input'!C1704,'input'!D1704),""))</x:f>
      </x:c>
      <x:c r="C1704" s="7" t="str">
        <x:f>IF(AND(ISNUMBER(B1704),'요약'!$B$19),B1704-'요약'!$B$7,"")</x:f>
      </x:c>
      <x:c r="D1704" s="7" t="str">
        <x:f>IF(ISNUMBER(C1704),C1704^2,"")</x:f>
      </x:c>
      <x:c r="E1704" s="15" t="str">
        <x:f>IF(ISNUMBER(C1704),C1704^3,"")</x:f>
      </x:c>
      <x:c r="F1704" s="15" t="str">
        <x:f>IF(ISNUMBER(C1704),C1704^4,"")</x:f>
      </x:c>
      <x:c r="G1704" s="7" t="str">
        <x:f>IF(ISNUMBER(B1704),ABS(B1704),"")</x:f>
      </x:c>
      <x:c r="H1704" s="7" t="str">
        <x:f>IF(ISNUMBER(B1704),B1704^2,"")</x:f>
      </x:c>
      <x:c r="I1704" s="7" t="str">
        <x:f>IF(AND(ISNUMBER(G1704),'요약'!$B$19),G1704-'요약'!$B$14,"")</x:f>
      </x:c>
      <x:c r="J1704" s="7" t="str">
        <x:f>IF(AND(ISNUMBER(H1704),'요약'!$B$19),H1704-'요약'!$B$15,"")</x:f>
      </x:c>
      <x:c r="K1704" t="str">
        <x:f>IF(ISNUMBER(B1704),IF('Hill'!$B$4=1,IF(B1704&lt;0,-B1704,""),IF('Hill'!$B$4=2,IF(B1704&gt;0,B1704,""),IF('Hill'!$B$4=3,IF(B1704&lt;&gt;0,ABS(B1704),""),""))),"")</x:f>
      </x:c>
    </x:row>
    <x:row r="1705">
      <x:c r="A1705" t="n">
        <x:f>1704</x:f>
        <x:v>1704</x:v>
      </x:c>
      <x:c r="B1705" s="7" t="str">
        <x:f>IF('요약'!$B$4=4,IF(ISNUMBER('input'!A1705),'input'!A1705,""),IF(1704&lt;=1000,CHOOSE('요약'!$B$4,'input'!B1705,'input'!C1705,'input'!D1705),""))</x:f>
      </x:c>
      <x:c r="C1705" s="7" t="str">
        <x:f>IF(AND(ISNUMBER(B1705),'요약'!$B$19),B1705-'요약'!$B$7,"")</x:f>
      </x:c>
      <x:c r="D1705" s="7" t="str">
        <x:f>IF(ISNUMBER(C1705),C1705^2,"")</x:f>
      </x:c>
      <x:c r="E1705" s="15" t="str">
        <x:f>IF(ISNUMBER(C1705),C1705^3,"")</x:f>
      </x:c>
      <x:c r="F1705" s="15" t="str">
        <x:f>IF(ISNUMBER(C1705),C1705^4,"")</x:f>
      </x:c>
      <x:c r="G1705" s="7" t="str">
        <x:f>IF(ISNUMBER(B1705),ABS(B1705),"")</x:f>
      </x:c>
      <x:c r="H1705" s="7" t="str">
        <x:f>IF(ISNUMBER(B1705),B1705^2,"")</x:f>
      </x:c>
      <x:c r="I1705" s="7" t="str">
        <x:f>IF(AND(ISNUMBER(G1705),'요약'!$B$19),G1705-'요약'!$B$14,"")</x:f>
      </x:c>
      <x:c r="J1705" s="7" t="str">
        <x:f>IF(AND(ISNUMBER(H1705),'요약'!$B$19),H1705-'요약'!$B$15,"")</x:f>
      </x:c>
      <x:c r="K1705" t="str">
        <x:f>IF(ISNUMBER(B1705),IF('Hill'!$B$4=1,IF(B1705&lt;0,-B1705,""),IF('Hill'!$B$4=2,IF(B1705&gt;0,B1705,""),IF('Hill'!$B$4=3,IF(B1705&lt;&gt;0,ABS(B1705),""),""))),"")</x:f>
      </x:c>
    </x:row>
    <x:row r="1706">
      <x:c r="A1706" t="n">
        <x:f>1705</x:f>
        <x:v>1705</x:v>
      </x:c>
      <x:c r="B1706" s="7" t="str">
        <x:f>IF('요약'!$B$4=4,IF(ISNUMBER('input'!A1706),'input'!A1706,""),IF(1705&lt;=1000,CHOOSE('요약'!$B$4,'input'!B1706,'input'!C1706,'input'!D1706),""))</x:f>
      </x:c>
      <x:c r="C1706" s="7" t="str">
        <x:f>IF(AND(ISNUMBER(B1706),'요약'!$B$19),B1706-'요약'!$B$7,"")</x:f>
      </x:c>
      <x:c r="D1706" s="7" t="str">
        <x:f>IF(ISNUMBER(C1706),C1706^2,"")</x:f>
      </x:c>
      <x:c r="E1706" s="15" t="str">
        <x:f>IF(ISNUMBER(C1706),C1706^3,"")</x:f>
      </x:c>
      <x:c r="F1706" s="15" t="str">
        <x:f>IF(ISNUMBER(C1706),C1706^4,"")</x:f>
      </x:c>
      <x:c r="G1706" s="7" t="str">
        <x:f>IF(ISNUMBER(B1706),ABS(B1706),"")</x:f>
      </x:c>
      <x:c r="H1706" s="7" t="str">
        <x:f>IF(ISNUMBER(B1706),B1706^2,"")</x:f>
      </x:c>
      <x:c r="I1706" s="7" t="str">
        <x:f>IF(AND(ISNUMBER(G1706),'요약'!$B$19),G1706-'요약'!$B$14,"")</x:f>
      </x:c>
      <x:c r="J1706" s="7" t="str">
        <x:f>IF(AND(ISNUMBER(H1706),'요약'!$B$19),H1706-'요약'!$B$15,"")</x:f>
      </x:c>
      <x:c r="K1706" t="str">
        <x:f>IF(ISNUMBER(B1706),IF('Hill'!$B$4=1,IF(B1706&lt;0,-B1706,""),IF('Hill'!$B$4=2,IF(B1706&gt;0,B1706,""),IF('Hill'!$B$4=3,IF(B1706&lt;&gt;0,ABS(B1706),""),""))),"")</x:f>
      </x:c>
    </x:row>
    <x:row r="1707">
      <x:c r="A1707" t="n">
        <x:f>1706</x:f>
        <x:v>1706</x:v>
      </x:c>
      <x:c r="B1707" s="7" t="str">
        <x:f>IF('요약'!$B$4=4,IF(ISNUMBER('input'!A1707),'input'!A1707,""),IF(1706&lt;=1000,CHOOSE('요약'!$B$4,'input'!B1707,'input'!C1707,'input'!D1707),""))</x:f>
      </x:c>
      <x:c r="C1707" s="7" t="str">
        <x:f>IF(AND(ISNUMBER(B1707),'요약'!$B$19),B1707-'요약'!$B$7,"")</x:f>
      </x:c>
      <x:c r="D1707" s="7" t="str">
        <x:f>IF(ISNUMBER(C1707),C1707^2,"")</x:f>
      </x:c>
      <x:c r="E1707" s="15" t="str">
        <x:f>IF(ISNUMBER(C1707),C1707^3,"")</x:f>
      </x:c>
      <x:c r="F1707" s="15" t="str">
        <x:f>IF(ISNUMBER(C1707),C1707^4,"")</x:f>
      </x:c>
      <x:c r="G1707" s="7" t="str">
        <x:f>IF(ISNUMBER(B1707),ABS(B1707),"")</x:f>
      </x:c>
      <x:c r="H1707" s="7" t="str">
        <x:f>IF(ISNUMBER(B1707),B1707^2,"")</x:f>
      </x:c>
      <x:c r="I1707" s="7" t="str">
        <x:f>IF(AND(ISNUMBER(G1707),'요약'!$B$19),G1707-'요약'!$B$14,"")</x:f>
      </x:c>
      <x:c r="J1707" s="7" t="str">
        <x:f>IF(AND(ISNUMBER(H1707),'요약'!$B$19),H1707-'요약'!$B$15,"")</x:f>
      </x:c>
      <x:c r="K1707" t="str">
        <x:f>IF(ISNUMBER(B1707),IF('Hill'!$B$4=1,IF(B1707&lt;0,-B1707,""),IF('Hill'!$B$4=2,IF(B1707&gt;0,B1707,""),IF('Hill'!$B$4=3,IF(B1707&lt;&gt;0,ABS(B1707),""),""))),"")</x:f>
      </x:c>
    </x:row>
    <x:row r="1708">
      <x:c r="A1708" t="n">
        <x:f>1707</x:f>
        <x:v>1707</x:v>
      </x:c>
      <x:c r="B1708" s="7" t="str">
        <x:f>IF('요약'!$B$4=4,IF(ISNUMBER('input'!A1708),'input'!A1708,""),IF(1707&lt;=1000,CHOOSE('요약'!$B$4,'input'!B1708,'input'!C1708,'input'!D1708),""))</x:f>
      </x:c>
      <x:c r="C1708" s="7" t="str">
        <x:f>IF(AND(ISNUMBER(B1708),'요약'!$B$19),B1708-'요약'!$B$7,"")</x:f>
      </x:c>
      <x:c r="D1708" s="7" t="str">
        <x:f>IF(ISNUMBER(C1708),C1708^2,"")</x:f>
      </x:c>
      <x:c r="E1708" s="15" t="str">
        <x:f>IF(ISNUMBER(C1708),C1708^3,"")</x:f>
      </x:c>
      <x:c r="F1708" s="15" t="str">
        <x:f>IF(ISNUMBER(C1708),C1708^4,"")</x:f>
      </x:c>
      <x:c r="G1708" s="7" t="str">
        <x:f>IF(ISNUMBER(B1708),ABS(B1708),"")</x:f>
      </x:c>
      <x:c r="H1708" s="7" t="str">
        <x:f>IF(ISNUMBER(B1708),B1708^2,"")</x:f>
      </x:c>
      <x:c r="I1708" s="7" t="str">
        <x:f>IF(AND(ISNUMBER(G1708),'요약'!$B$19),G1708-'요약'!$B$14,"")</x:f>
      </x:c>
      <x:c r="J1708" s="7" t="str">
        <x:f>IF(AND(ISNUMBER(H1708),'요약'!$B$19),H1708-'요약'!$B$15,"")</x:f>
      </x:c>
      <x:c r="K1708" t="str">
        <x:f>IF(ISNUMBER(B1708),IF('Hill'!$B$4=1,IF(B1708&lt;0,-B1708,""),IF('Hill'!$B$4=2,IF(B1708&gt;0,B1708,""),IF('Hill'!$B$4=3,IF(B1708&lt;&gt;0,ABS(B1708),""),""))),"")</x:f>
      </x:c>
    </x:row>
    <x:row r="1709">
      <x:c r="A1709" t="n">
        <x:f>1708</x:f>
        <x:v>1708</x:v>
      </x:c>
      <x:c r="B1709" s="7" t="str">
        <x:f>IF('요약'!$B$4=4,IF(ISNUMBER('input'!A1709),'input'!A1709,""),IF(1708&lt;=1000,CHOOSE('요약'!$B$4,'input'!B1709,'input'!C1709,'input'!D1709),""))</x:f>
      </x:c>
      <x:c r="C1709" s="7" t="str">
        <x:f>IF(AND(ISNUMBER(B1709),'요약'!$B$19),B1709-'요약'!$B$7,"")</x:f>
      </x:c>
      <x:c r="D1709" s="7" t="str">
        <x:f>IF(ISNUMBER(C1709),C1709^2,"")</x:f>
      </x:c>
      <x:c r="E1709" s="15" t="str">
        <x:f>IF(ISNUMBER(C1709),C1709^3,"")</x:f>
      </x:c>
      <x:c r="F1709" s="15" t="str">
        <x:f>IF(ISNUMBER(C1709),C1709^4,"")</x:f>
      </x:c>
      <x:c r="G1709" s="7" t="str">
        <x:f>IF(ISNUMBER(B1709),ABS(B1709),"")</x:f>
      </x:c>
      <x:c r="H1709" s="7" t="str">
        <x:f>IF(ISNUMBER(B1709),B1709^2,"")</x:f>
      </x:c>
      <x:c r="I1709" s="7" t="str">
        <x:f>IF(AND(ISNUMBER(G1709),'요약'!$B$19),G1709-'요약'!$B$14,"")</x:f>
      </x:c>
      <x:c r="J1709" s="7" t="str">
        <x:f>IF(AND(ISNUMBER(H1709),'요약'!$B$19),H1709-'요약'!$B$15,"")</x:f>
      </x:c>
      <x:c r="K1709" t="str">
        <x:f>IF(ISNUMBER(B1709),IF('Hill'!$B$4=1,IF(B1709&lt;0,-B1709,""),IF('Hill'!$B$4=2,IF(B1709&gt;0,B1709,""),IF('Hill'!$B$4=3,IF(B1709&lt;&gt;0,ABS(B1709),""),""))),"")</x:f>
      </x:c>
    </x:row>
    <x:row r="1710">
      <x:c r="A1710" t="n">
        <x:f>1709</x:f>
        <x:v>1709</x:v>
      </x:c>
      <x:c r="B1710" s="7" t="str">
        <x:f>IF('요약'!$B$4=4,IF(ISNUMBER('input'!A1710),'input'!A1710,""),IF(1709&lt;=1000,CHOOSE('요약'!$B$4,'input'!B1710,'input'!C1710,'input'!D1710),""))</x:f>
      </x:c>
      <x:c r="C1710" s="7" t="str">
        <x:f>IF(AND(ISNUMBER(B1710),'요약'!$B$19),B1710-'요약'!$B$7,"")</x:f>
      </x:c>
      <x:c r="D1710" s="7" t="str">
        <x:f>IF(ISNUMBER(C1710),C1710^2,"")</x:f>
      </x:c>
      <x:c r="E1710" s="15" t="str">
        <x:f>IF(ISNUMBER(C1710),C1710^3,"")</x:f>
      </x:c>
      <x:c r="F1710" s="15" t="str">
        <x:f>IF(ISNUMBER(C1710),C1710^4,"")</x:f>
      </x:c>
      <x:c r="G1710" s="7" t="str">
        <x:f>IF(ISNUMBER(B1710),ABS(B1710),"")</x:f>
      </x:c>
      <x:c r="H1710" s="7" t="str">
        <x:f>IF(ISNUMBER(B1710),B1710^2,"")</x:f>
      </x:c>
      <x:c r="I1710" s="7" t="str">
        <x:f>IF(AND(ISNUMBER(G1710),'요약'!$B$19),G1710-'요약'!$B$14,"")</x:f>
      </x:c>
      <x:c r="J1710" s="7" t="str">
        <x:f>IF(AND(ISNUMBER(H1710),'요약'!$B$19),H1710-'요약'!$B$15,"")</x:f>
      </x:c>
      <x:c r="K1710" t="str">
        <x:f>IF(ISNUMBER(B1710),IF('Hill'!$B$4=1,IF(B1710&lt;0,-B1710,""),IF('Hill'!$B$4=2,IF(B1710&gt;0,B1710,""),IF('Hill'!$B$4=3,IF(B1710&lt;&gt;0,ABS(B1710),""),""))),"")</x:f>
      </x:c>
    </x:row>
    <x:row r="1711">
      <x:c r="A1711" t="n">
        <x:f>1710</x:f>
        <x:v>1710</x:v>
      </x:c>
      <x:c r="B1711" s="7" t="str">
        <x:f>IF('요약'!$B$4=4,IF(ISNUMBER('input'!A1711),'input'!A1711,""),IF(1710&lt;=1000,CHOOSE('요약'!$B$4,'input'!B1711,'input'!C1711,'input'!D1711),""))</x:f>
      </x:c>
      <x:c r="C1711" s="7" t="str">
        <x:f>IF(AND(ISNUMBER(B1711),'요약'!$B$19),B1711-'요약'!$B$7,"")</x:f>
      </x:c>
      <x:c r="D1711" s="7" t="str">
        <x:f>IF(ISNUMBER(C1711),C1711^2,"")</x:f>
      </x:c>
      <x:c r="E1711" s="15" t="str">
        <x:f>IF(ISNUMBER(C1711),C1711^3,"")</x:f>
      </x:c>
      <x:c r="F1711" s="15" t="str">
        <x:f>IF(ISNUMBER(C1711),C1711^4,"")</x:f>
      </x:c>
      <x:c r="G1711" s="7" t="str">
        <x:f>IF(ISNUMBER(B1711),ABS(B1711),"")</x:f>
      </x:c>
      <x:c r="H1711" s="7" t="str">
        <x:f>IF(ISNUMBER(B1711),B1711^2,"")</x:f>
      </x:c>
      <x:c r="I1711" s="7" t="str">
        <x:f>IF(AND(ISNUMBER(G1711),'요약'!$B$19),G1711-'요약'!$B$14,"")</x:f>
      </x:c>
      <x:c r="J1711" s="7" t="str">
        <x:f>IF(AND(ISNUMBER(H1711),'요약'!$B$19),H1711-'요약'!$B$15,"")</x:f>
      </x:c>
      <x:c r="K1711" t="str">
        <x:f>IF(ISNUMBER(B1711),IF('Hill'!$B$4=1,IF(B1711&lt;0,-B1711,""),IF('Hill'!$B$4=2,IF(B1711&gt;0,B1711,""),IF('Hill'!$B$4=3,IF(B1711&lt;&gt;0,ABS(B1711),""),""))),"")</x:f>
      </x:c>
    </x:row>
    <x:row r="1712">
      <x:c r="A1712" t="n">
        <x:f>1711</x:f>
        <x:v>1711</x:v>
      </x:c>
      <x:c r="B1712" s="7" t="str">
        <x:f>IF('요약'!$B$4=4,IF(ISNUMBER('input'!A1712),'input'!A1712,""),IF(1711&lt;=1000,CHOOSE('요약'!$B$4,'input'!B1712,'input'!C1712,'input'!D1712),""))</x:f>
      </x:c>
      <x:c r="C1712" s="7" t="str">
        <x:f>IF(AND(ISNUMBER(B1712),'요약'!$B$19),B1712-'요약'!$B$7,"")</x:f>
      </x:c>
      <x:c r="D1712" s="7" t="str">
        <x:f>IF(ISNUMBER(C1712),C1712^2,"")</x:f>
      </x:c>
      <x:c r="E1712" s="15" t="str">
        <x:f>IF(ISNUMBER(C1712),C1712^3,"")</x:f>
      </x:c>
      <x:c r="F1712" s="15" t="str">
        <x:f>IF(ISNUMBER(C1712),C1712^4,"")</x:f>
      </x:c>
      <x:c r="G1712" s="7" t="str">
        <x:f>IF(ISNUMBER(B1712),ABS(B1712),"")</x:f>
      </x:c>
      <x:c r="H1712" s="7" t="str">
        <x:f>IF(ISNUMBER(B1712),B1712^2,"")</x:f>
      </x:c>
      <x:c r="I1712" s="7" t="str">
        <x:f>IF(AND(ISNUMBER(G1712),'요약'!$B$19),G1712-'요약'!$B$14,"")</x:f>
      </x:c>
      <x:c r="J1712" s="7" t="str">
        <x:f>IF(AND(ISNUMBER(H1712),'요약'!$B$19),H1712-'요약'!$B$15,"")</x:f>
      </x:c>
      <x:c r="K1712" t="str">
        <x:f>IF(ISNUMBER(B1712),IF('Hill'!$B$4=1,IF(B1712&lt;0,-B1712,""),IF('Hill'!$B$4=2,IF(B1712&gt;0,B1712,""),IF('Hill'!$B$4=3,IF(B1712&lt;&gt;0,ABS(B1712),""),""))),"")</x:f>
      </x:c>
    </x:row>
    <x:row r="1713">
      <x:c r="A1713" t="n">
        <x:f>1712</x:f>
        <x:v>1712</x:v>
      </x:c>
      <x:c r="B1713" s="7" t="str">
        <x:f>IF('요약'!$B$4=4,IF(ISNUMBER('input'!A1713),'input'!A1713,""),IF(1712&lt;=1000,CHOOSE('요약'!$B$4,'input'!B1713,'input'!C1713,'input'!D1713),""))</x:f>
      </x:c>
      <x:c r="C1713" s="7" t="str">
        <x:f>IF(AND(ISNUMBER(B1713),'요약'!$B$19),B1713-'요약'!$B$7,"")</x:f>
      </x:c>
      <x:c r="D1713" s="7" t="str">
        <x:f>IF(ISNUMBER(C1713),C1713^2,"")</x:f>
      </x:c>
      <x:c r="E1713" s="15" t="str">
        <x:f>IF(ISNUMBER(C1713),C1713^3,"")</x:f>
      </x:c>
      <x:c r="F1713" s="15" t="str">
        <x:f>IF(ISNUMBER(C1713),C1713^4,"")</x:f>
      </x:c>
      <x:c r="G1713" s="7" t="str">
        <x:f>IF(ISNUMBER(B1713),ABS(B1713),"")</x:f>
      </x:c>
      <x:c r="H1713" s="7" t="str">
        <x:f>IF(ISNUMBER(B1713),B1713^2,"")</x:f>
      </x:c>
      <x:c r="I1713" s="7" t="str">
        <x:f>IF(AND(ISNUMBER(G1713),'요약'!$B$19),G1713-'요약'!$B$14,"")</x:f>
      </x:c>
      <x:c r="J1713" s="7" t="str">
        <x:f>IF(AND(ISNUMBER(H1713),'요약'!$B$19),H1713-'요약'!$B$15,"")</x:f>
      </x:c>
      <x:c r="K1713" t="str">
        <x:f>IF(ISNUMBER(B1713),IF('Hill'!$B$4=1,IF(B1713&lt;0,-B1713,""),IF('Hill'!$B$4=2,IF(B1713&gt;0,B1713,""),IF('Hill'!$B$4=3,IF(B1713&lt;&gt;0,ABS(B1713),""),""))),"")</x:f>
      </x:c>
    </x:row>
    <x:row r="1714">
      <x:c r="A1714" t="n">
        <x:f>1713</x:f>
        <x:v>1713</x:v>
      </x:c>
      <x:c r="B1714" s="7" t="str">
        <x:f>IF('요약'!$B$4=4,IF(ISNUMBER('input'!A1714),'input'!A1714,""),IF(1713&lt;=1000,CHOOSE('요약'!$B$4,'input'!B1714,'input'!C1714,'input'!D1714),""))</x:f>
      </x:c>
      <x:c r="C1714" s="7" t="str">
        <x:f>IF(AND(ISNUMBER(B1714),'요약'!$B$19),B1714-'요약'!$B$7,"")</x:f>
      </x:c>
      <x:c r="D1714" s="7" t="str">
        <x:f>IF(ISNUMBER(C1714),C1714^2,"")</x:f>
      </x:c>
      <x:c r="E1714" s="15" t="str">
        <x:f>IF(ISNUMBER(C1714),C1714^3,"")</x:f>
      </x:c>
      <x:c r="F1714" s="15" t="str">
        <x:f>IF(ISNUMBER(C1714),C1714^4,"")</x:f>
      </x:c>
      <x:c r="G1714" s="7" t="str">
        <x:f>IF(ISNUMBER(B1714),ABS(B1714),"")</x:f>
      </x:c>
      <x:c r="H1714" s="7" t="str">
        <x:f>IF(ISNUMBER(B1714),B1714^2,"")</x:f>
      </x:c>
      <x:c r="I1714" s="7" t="str">
        <x:f>IF(AND(ISNUMBER(G1714),'요약'!$B$19),G1714-'요약'!$B$14,"")</x:f>
      </x:c>
      <x:c r="J1714" s="7" t="str">
        <x:f>IF(AND(ISNUMBER(H1714),'요약'!$B$19),H1714-'요약'!$B$15,"")</x:f>
      </x:c>
      <x:c r="K1714" t="str">
        <x:f>IF(ISNUMBER(B1714),IF('Hill'!$B$4=1,IF(B1714&lt;0,-B1714,""),IF('Hill'!$B$4=2,IF(B1714&gt;0,B1714,""),IF('Hill'!$B$4=3,IF(B1714&lt;&gt;0,ABS(B1714),""),""))),"")</x:f>
      </x:c>
    </x:row>
    <x:row r="1715">
      <x:c r="A1715" t="n">
        <x:f>1714</x:f>
        <x:v>1714</x:v>
      </x:c>
      <x:c r="B1715" s="7" t="str">
        <x:f>IF('요약'!$B$4=4,IF(ISNUMBER('input'!A1715),'input'!A1715,""),IF(1714&lt;=1000,CHOOSE('요약'!$B$4,'input'!B1715,'input'!C1715,'input'!D1715),""))</x:f>
      </x:c>
      <x:c r="C1715" s="7" t="str">
        <x:f>IF(AND(ISNUMBER(B1715),'요약'!$B$19),B1715-'요약'!$B$7,"")</x:f>
      </x:c>
      <x:c r="D1715" s="7" t="str">
        <x:f>IF(ISNUMBER(C1715),C1715^2,"")</x:f>
      </x:c>
      <x:c r="E1715" s="15" t="str">
        <x:f>IF(ISNUMBER(C1715),C1715^3,"")</x:f>
      </x:c>
      <x:c r="F1715" s="15" t="str">
        <x:f>IF(ISNUMBER(C1715),C1715^4,"")</x:f>
      </x:c>
      <x:c r="G1715" s="7" t="str">
        <x:f>IF(ISNUMBER(B1715),ABS(B1715),"")</x:f>
      </x:c>
      <x:c r="H1715" s="7" t="str">
        <x:f>IF(ISNUMBER(B1715),B1715^2,"")</x:f>
      </x:c>
      <x:c r="I1715" s="7" t="str">
        <x:f>IF(AND(ISNUMBER(G1715),'요약'!$B$19),G1715-'요약'!$B$14,"")</x:f>
      </x:c>
      <x:c r="J1715" s="7" t="str">
        <x:f>IF(AND(ISNUMBER(H1715),'요약'!$B$19),H1715-'요약'!$B$15,"")</x:f>
      </x:c>
      <x:c r="K1715" t="str">
        <x:f>IF(ISNUMBER(B1715),IF('Hill'!$B$4=1,IF(B1715&lt;0,-B1715,""),IF('Hill'!$B$4=2,IF(B1715&gt;0,B1715,""),IF('Hill'!$B$4=3,IF(B1715&lt;&gt;0,ABS(B1715),""),""))),"")</x:f>
      </x:c>
    </x:row>
    <x:row r="1716">
      <x:c r="A1716" t="n">
        <x:f>1715</x:f>
        <x:v>1715</x:v>
      </x:c>
      <x:c r="B1716" s="7" t="str">
        <x:f>IF('요약'!$B$4=4,IF(ISNUMBER('input'!A1716),'input'!A1716,""),IF(1715&lt;=1000,CHOOSE('요약'!$B$4,'input'!B1716,'input'!C1716,'input'!D1716),""))</x:f>
      </x:c>
      <x:c r="C1716" s="7" t="str">
        <x:f>IF(AND(ISNUMBER(B1716),'요약'!$B$19),B1716-'요약'!$B$7,"")</x:f>
      </x:c>
      <x:c r="D1716" s="7" t="str">
        <x:f>IF(ISNUMBER(C1716),C1716^2,"")</x:f>
      </x:c>
      <x:c r="E1716" s="15" t="str">
        <x:f>IF(ISNUMBER(C1716),C1716^3,"")</x:f>
      </x:c>
      <x:c r="F1716" s="15" t="str">
        <x:f>IF(ISNUMBER(C1716),C1716^4,"")</x:f>
      </x:c>
      <x:c r="G1716" s="7" t="str">
        <x:f>IF(ISNUMBER(B1716),ABS(B1716),"")</x:f>
      </x:c>
      <x:c r="H1716" s="7" t="str">
        <x:f>IF(ISNUMBER(B1716),B1716^2,"")</x:f>
      </x:c>
      <x:c r="I1716" s="7" t="str">
        <x:f>IF(AND(ISNUMBER(G1716),'요약'!$B$19),G1716-'요약'!$B$14,"")</x:f>
      </x:c>
      <x:c r="J1716" s="7" t="str">
        <x:f>IF(AND(ISNUMBER(H1716),'요약'!$B$19),H1716-'요약'!$B$15,"")</x:f>
      </x:c>
      <x:c r="K1716" t="str">
        <x:f>IF(ISNUMBER(B1716),IF('Hill'!$B$4=1,IF(B1716&lt;0,-B1716,""),IF('Hill'!$B$4=2,IF(B1716&gt;0,B1716,""),IF('Hill'!$B$4=3,IF(B1716&lt;&gt;0,ABS(B1716),""),""))),"")</x:f>
      </x:c>
    </x:row>
    <x:row r="1717">
      <x:c r="A1717" t="n">
        <x:f>1716</x:f>
        <x:v>1716</x:v>
      </x:c>
      <x:c r="B1717" s="7" t="str">
        <x:f>IF('요약'!$B$4=4,IF(ISNUMBER('input'!A1717),'input'!A1717,""),IF(1716&lt;=1000,CHOOSE('요약'!$B$4,'input'!B1717,'input'!C1717,'input'!D1717),""))</x:f>
      </x:c>
      <x:c r="C1717" s="7" t="str">
        <x:f>IF(AND(ISNUMBER(B1717),'요약'!$B$19),B1717-'요약'!$B$7,"")</x:f>
      </x:c>
      <x:c r="D1717" s="7" t="str">
        <x:f>IF(ISNUMBER(C1717),C1717^2,"")</x:f>
      </x:c>
      <x:c r="E1717" s="15" t="str">
        <x:f>IF(ISNUMBER(C1717),C1717^3,"")</x:f>
      </x:c>
      <x:c r="F1717" s="15" t="str">
        <x:f>IF(ISNUMBER(C1717),C1717^4,"")</x:f>
      </x:c>
      <x:c r="G1717" s="7" t="str">
        <x:f>IF(ISNUMBER(B1717),ABS(B1717),"")</x:f>
      </x:c>
      <x:c r="H1717" s="7" t="str">
        <x:f>IF(ISNUMBER(B1717),B1717^2,"")</x:f>
      </x:c>
      <x:c r="I1717" s="7" t="str">
        <x:f>IF(AND(ISNUMBER(G1717),'요약'!$B$19),G1717-'요약'!$B$14,"")</x:f>
      </x:c>
      <x:c r="J1717" s="7" t="str">
        <x:f>IF(AND(ISNUMBER(H1717),'요약'!$B$19),H1717-'요약'!$B$15,"")</x:f>
      </x:c>
      <x:c r="K1717" t="str">
        <x:f>IF(ISNUMBER(B1717),IF('Hill'!$B$4=1,IF(B1717&lt;0,-B1717,""),IF('Hill'!$B$4=2,IF(B1717&gt;0,B1717,""),IF('Hill'!$B$4=3,IF(B1717&lt;&gt;0,ABS(B1717),""),""))),"")</x:f>
      </x:c>
    </x:row>
    <x:row r="1718">
      <x:c r="A1718" t="n">
        <x:f>1717</x:f>
        <x:v>1717</x:v>
      </x:c>
      <x:c r="B1718" s="7" t="str">
        <x:f>IF('요약'!$B$4=4,IF(ISNUMBER('input'!A1718),'input'!A1718,""),IF(1717&lt;=1000,CHOOSE('요약'!$B$4,'input'!B1718,'input'!C1718,'input'!D1718),""))</x:f>
      </x:c>
      <x:c r="C1718" s="7" t="str">
        <x:f>IF(AND(ISNUMBER(B1718),'요약'!$B$19),B1718-'요약'!$B$7,"")</x:f>
      </x:c>
      <x:c r="D1718" s="7" t="str">
        <x:f>IF(ISNUMBER(C1718),C1718^2,"")</x:f>
      </x:c>
      <x:c r="E1718" s="15" t="str">
        <x:f>IF(ISNUMBER(C1718),C1718^3,"")</x:f>
      </x:c>
      <x:c r="F1718" s="15" t="str">
        <x:f>IF(ISNUMBER(C1718),C1718^4,"")</x:f>
      </x:c>
      <x:c r="G1718" s="7" t="str">
        <x:f>IF(ISNUMBER(B1718),ABS(B1718),"")</x:f>
      </x:c>
      <x:c r="H1718" s="7" t="str">
        <x:f>IF(ISNUMBER(B1718),B1718^2,"")</x:f>
      </x:c>
      <x:c r="I1718" s="7" t="str">
        <x:f>IF(AND(ISNUMBER(G1718),'요약'!$B$19),G1718-'요약'!$B$14,"")</x:f>
      </x:c>
      <x:c r="J1718" s="7" t="str">
        <x:f>IF(AND(ISNUMBER(H1718),'요약'!$B$19),H1718-'요약'!$B$15,"")</x:f>
      </x:c>
      <x:c r="K1718" t="str">
        <x:f>IF(ISNUMBER(B1718),IF('Hill'!$B$4=1,IF(B1718&lt;0,-B1718,""),IF('Hill'!$B$4=2,IF(B1718&gt;0,B1718,""),IF('Hill'!$B$4=3,IF(B1718&lt;&gt;0,ABS(B1718),""),""))),"")</x:f>
      </x:c>
    </x:row>
    <x:row r="1719">
      <x:c r="A1719" t="n">
        <x:f>1718</x:f>
        <x:v>1718</x:v>
      </x:c>
      <x:c r="B1719" s="7" t="str">
        <x:f>IF('요약'!$B$4=4,IF(ISNUMBER('input'!A1719),'input'!A1719,""),IF(1718&lt;=1000,CHOOSE('요약'!$B$4,'input'!B1719,'input'!C1719,'input'!D1719),""))</x:f>
      </x:c>
      <x:c r="C1719" s="7" t="str">
        <x:f>IF(AND(ISNUMBER(B1719),'요약'!$B$19),B1719-'요약'!$B$7,"")</x:f>
      </x:c>
      <x:c r="D1719" s="7" t="str">
        <x:f>IF(ISNUMBER(C1719),C1719^2,"")</x:f>
      </x:c>
      <x:c r="E1719" s="15" t="str">
        <x:f>IF(ISNUMBER(C1719),C1719^3,"")</x:f>
      </x:c>
      <x:c r="F1719" s="15" t="str">
        <x:f>IF(ISNUMBER(C1719),C1719^4,"")</x:f>
      </x:c>
      <x:c r="G1719" s="7" t="str">
        <x:f>IF(ISNUMBER(B1719),ABS(B1719),"")</x:f>
      </x:c>
      <x:c r="H1719" s="7" t="str">
        <x:f>IF(ISNUMBER(B1719),B1719^2,"")</x:f>
      </x:c>
      <x:c r="I1719" s="7" t="str">
        <x:f>IF(AND(ISNUMBER(G1719),'요약'!$B$19),G1719-'요약'!$B$14,"")</x:f>
      </x:c>
      <x:c r="J1719" s="7" t="str">
        <x:f>IF(AND(ISNUMBER(H1719),'요약'!$B$19),H1719-'요약'!$B$15,"")</x:f>
      </x:c>
      <x:c r="K1719" t="str">
        <x:f>IF(ISNUMBER(B1719),IF('Hill'!$B$4=1,IF(B1719&lt;0,-B1719,""),IF('Hill'!$B$4=2,IF(B1719&gt;0,B1719,""),IF('Hill'!$B$4=3,IF(B1719&lt;&gt;0,ABS(B1719),""),""))),"")</x:f>
      </x:c>
    </x:row>
    <x:row r="1720">
      <x:c r="A1720" t="n">
        <x:f>1719</x:f>
        <x:v>1719</x:v>
      </x:c>
      <x:c r="B1720" s="7" t="str">
        <x:f>IF('요약'!$B$4=4,IF(ISNUMBER('input'!A1720),'input'!A1720,""),IF(1719&lt;=1000,CHOOSE('요약'!$B$4,'input'!B1720,'input'!C1720,'input'!D1720),""))</x:f>
      </x:c>
      <x:c r="C1720" s="7" t="str">
        <x:f>IF(AND(ISNUMBER(B1720),'요약'!$B$19),B1720-'요약'!$B$7,"")</x:f>
      </x:c>
      <x:c r="D1720" s="7" t="str">
        <x:f>IF(ISNUMBER(C1720),C1720^2,"")</x:f>
      </x:c>
      <x:c r="E1720" s="15" t="str">
        <x:f>IF(ISNUMBER(C1720),C1720^3,"")</x:f>
      </x:c>
      <x:c r="F1720" s="15" t="str">
        <x:f>IF(ISNUMBER(C1720),C1720^4,"")</x:f>
      </x:c>
      <x:c r="G1720" s="7" t="str">
        <x:f>IF(ISNUMBER(B1720),ABS(B1720),"")</x:f>
      </x:c>
      <x:c r="H1720" s="7" t="str">
        <x:f>IF(ISNUMBER(B1720),B1720^2,"")</x:f>
      </x:c>
      <x:c r="I1720" s="7" t="str">
        <x:f>IF(AND(ISNUMBER(G1720),'요약'!$B$19),G1720-'요약'!$B$14,"")</x:f>
      </x:c>
      <x:c r="J1720" s="7" t="str">
        <x:f>IF(AND(ISNUMBER(H1720),'요약'!$B$19),H1720-'요약'!$B$15,"")</x:f>
      </x:c>
      <x:c r="K1720" t="str">
        <x:f>IF(ISNUMBER(B1720),IF('Hill'!$B$4=1,IF(B1720&lt;0,-B1720,""),IF('Hill'!$B$4=2,IF(B1720&gt;0,B1720,""),IF('Hill'!$B$4=3,IF(B1720&lt;&gt;0,ABS(B1720),""),""))),"")</x:f>
      </x:c>
    </x:row>
    <x:row r="1721">
      <x:c r="A1721" t="n">
        <x:f>1720</x:f>
        <x:v>1720</x:v>
      </x:c>
      <x:c r="B1721" s="7" t="str">
        <x:f>IF('요약'!$B$4=4,IF(ISNUMBER('input'!A1721),'input'!A1721,""),IF(1720&lt;=1000,CHOOSE('요약'!$B$4,'input'!B1721,'input'!C1721,'input'!D1721),""))</x:f>
      </x:c>
      <x:c r="C1721" s="7" t="str">
        <x:f>IF(AND(ISNUMBER(B1721),'요약'!$B$19),B1721-'요약'!$B$7,"")</x:f>
      </x:c>
      <x:c r="D1721" s="7" t="str">
        <x:f>IF(ISNUMBER(C1721),C1721^2,"")</x:f>
      </x:c>
      <x:c r="E1721" s="15" t="str">
        <x:f>IF(ISNUMBER(C1721),C1721^3,"")</x:f>
      </x:c>
      <x:c r="F1721" s="15" t="str">
        <x:f>IF(ISNUMBER(C1721),C1721^4,"")</x:f>
      </x:c>
      <x:c r="G1721" s="7" t="str">
        <x:f>IF(ISNUMBER(B1721),ABS(B1721),"")</x:f>
      </x:c>
      <x:c r="H1721" s="7" t="str">
        <x:f>IF(ISNUMBER(B1721),B1721^2,"")</x:f>
      </x:c>
      <x:c r="I1721" s="7" t="str">
        <x:f>IF(AND(ISNUMBER(G1721),'요약'!$B$19),G1721-'요약'!$B$14,"")</x:f>
      </x:c>
      <x:c r="J1721" s="7" t="str">
        <x:f>IF(AND(ISNUMBER(H1721),'요약'!$B$19),H1721-'요약'!$B$15,"")</x:f>
      </x:c>
      <x:c r="K1721" t="str">
        <x:f>IF(ISNUMBER(B1721),IF('Hill'!$B$4=1,IF(B1721&lt;0,-B1721,""),IF('Hill'!$B$4=2,IF(B1721&gt;0,B1721,""),IF('Hill'!$B$4=3,IF(B1721&lt;&gt;0,ABS(B1721),""),""))),"")</x:f>
      </x:c>
    </x:row>
    <x:row r="1722">
      <x:c r="A1722" t="n">
        <x:f>1721</x:f>
        <x:v>1721</x:v>
      </x:c>
      <x:c r="B1722" s="7" t="str">
        <x:f>IF('요약'!$B$4=4,IF(ISNUMBER('input'!A1722),'input'!A1722,""),IF(1721&lt;=1000,CHOOSE('요약'!$B$4,'input'!B1722,'input'!C1722,'input'!D1722),""))</x:f>
      </x:c>
      <x:c r="C1722" s="7" t="str">
        <x:f>IF(AND(ISNUMBER(B1722),'요약'!$B$19),B1722-'요약'!$B$7,"")</x:f>
      </x:c>
      <x:c r="D1722" s="7" t="str">
        <x:f>IF(ISNUMBER(C1722),C1722^2,"")</x:f>
      </x:c>
      <x:c r="E1722" s="15" t="str">
        <x:f>IF(ISNUMBER(C1722),C1722^3,"")</x:f>
      </x:c>
      <x:c r="F1722" s="15" t="str">
        <x:f>IF(ISNUMBER(C1722),C1722^4,"")</x:f>
      </x:c>
      <x:c r="G1722" s="7" t="str">
        <x:f>IF(ISNUMBER(B1722),ABS(B1722),"")</x:f>
      </x:c>
      <x:c r="H1722" s="7" t="str">
        <x:f>IF(ISNUMBER(B1722),B1722^2,"")</x:f>
      </x:c>
      <x:c r="I1722" s="7" t="str">
        <x:f>IF(AND(ISNUMBER(G1722),'요약'!$B$19),G1722-'요약'!$B$14,"")</x:f>
      </x:c>
      <x:c r="J1722" s="7" t="str">
        <x:f>IF(AND(ISNUMBER(H1722),'요약'!$B$19),H1722-'요약'!$B$15,"")</x:f>
      </x:c>
      <x:c r="K1722" t="str">
        <x:f>IF(ISNUMBER(B1722),IF('Hill'!$B$4=1,IF(B1722&lt;0,-B1722,""),IF('Hill'!$B$4=2,IF(B1722&gt;0,B1722,""),IF('Hill'!$B$4=3,IF(B1722&lt;&gt;0,ABS(B1722),""),""))),"")</x:f>
      </x:c>
    </x:row>
    <x:row r="1723">
      <x:c r="A1723" t="n">
        <x:f>1722</x:f>
        <x:v>1722</x:v>
      </x:c>
      <x:c r="B1723" s="7" t="str">
        <x:f>IF('요약'!$B$4=4,IF(ISNUMBER('input'!A1723),'input'!A1723,""),IF(1722&lt;=1000,CHOOSE('요약'!$B$4,'input'!B1723,'input'!C1723,'input'!D1723),""))</x:f>
      </x:c>
      <x:c r="C1723" s="7" t="str">
        <x:f>IF(AND(ISNUMBER(B1723),'요약'!$B$19),B1723-'요약'!$B$7,"")</x:f>
      </x:c>
      <x:c r="D1723" s="7" t="str">
        <x:f>IF(ISNUMBER(C1723),C1723^2,"")</x:f>
      </x:c>
      <x:c r="E1723" s="15" t="str">
        <x:f>IF(ISNUMBER(C1723),C1723^3,"")</x:f>
      </x:c>
      <x:c r="F1723" s="15" t="str">
        <x:f>IF(ISNUMBER(C1723),C1723^4,"")</x:f>
      </x:c>
      <x:c r="G1723" s="7" t="str">
        <x:f>IF(ISNUMBER(B1723),ABS(B1723),"")</x:f>
      </x:c>
      <x:c r="H1723" s="7" t="str">
        <x:f>IF(ISNUMBER(B1723),B1723^2,"")</x:f>
      </x:c>
      <x:c r="I1723" s="7" t="str">
        <x:f>IF(AND(ISNUMBER(G1723),'요약'!$B$19),G1723-'요약'!$B$14,"")</x:f>
      </x:c>
      <x:c r="J1723" s="7" t="str">
        <x:f>IF(AND(ISNUMBER(H1723),'요약'!$B$19),H1723-'요약'!$B$15,"")</x:f>
      </x:c>
      <x:c r="K1723" t="str">
        <x:f>IF(ISNUMBER(B1723),IF('Hill'!$B$4=1,IF(B1723&lt;0,-B1723,""),IF('Hill'!$B$4=2,IF(B1723&gt;0,B1723,""),IF('Hill'!$B$4=3,IF(B1723&lt;&gt;0,ABS(B1723),""),""))),"")</x:f>
      </x:c>
    </x:row>
    <x:row r="1724">
      <x:c r="A1724" t="n">
        <x:f>1723</x:f>
        <x:v>1723</x:v>
      </x:c>
      <x:c r="B1724" s="7" t="str">
        <x:f>IF('요약'!$B$4=4,IF(ISNUMBER('input'!A1724),'input'!A1724,""),IF(1723&lt;=1000,CHOOSE('요약'!$B$4,'input'!B1724,'input'!C1724,'input'!D1724),""))</x:f>
      </x:c>
      <x:c r="C1724" s="7" t="str">
        <x:f>IF(AND(ISNUMBER(B1724),'요약'!$B$19),B1724-'요약'!$B$7,"")</x:f>
      </x:c>
      <x:c r="D1724" s="7" t="str">
        <x:f>IF(ISNUMBER(C1724),C1724^2,"")</x:f>
      </x:c>
      <x:c r="E1724" s="15" t="str">
        <x:f>IF(ISNUMBER(C1724),C1724^3,"")</x:f>
      </x:c>
      <x:c r="F1724" s="15" t="str">
        <x:f>IF(ISNUMBER(C1724),C1724^4,"")</x:f>
      </x:c>
      <x:c r="G1724" s="7" t="str">
        <x:f>IF(ISNUMBER(B1724),ABS(B1724),"")</x:f>
      </x:c>
      <x:c r="H1724" s="7" t="str">
        <x:f>IF(ISNUMBER(B1724),B1724^2,"")</x:f>
      </x:c>
      <x:c r="I1724" s="7" t="str">
        <x:f>IF(AND(ISNUMBER(G1724),'요약'!$B$19),G1724-'요약'!$B$14,"")</x:f>
      </x:c>
      <x:c r="J1724" s="7" t="str">
        <x:f>IF(AND(ISNUMBER(H1724),'요약'!$B$19),H1724-'요약'!$B$15,"")</x:f>
      </x:c>
      <x:c r="K1724" t="str">
        <x:f>IF(ISNUMBER(B1724),IF('Hill'!$B$4=1,IF(B1724&lt;0,-B1724,""),IF('Hill'!$B$4=2,IF(B1724&gt;0,B1724,""),IF('Hill'!$B$4=3,IF(B1724&lt;&gt;0,ABS(B1724),""),""))),"")</x:f>
      </x:c>
    </x:row>
    <x:row r="1725">
      <x:c r="A1725" t="n">
        <x:f>1724</x:f>
        <x:v>1724</x:v>
      </x:c>
      <x:c r="B1725" s="7" t="str">
        <x:f>IF('요약'!$B$4=4,IF(ISNUMBER('input'!A1725),'input'!A1725,""),IF(1724&lt;=1000,CHOOSE('요약'!$B$4,'input'!B1725,'input'!C1725,'input'!D1725),""))</x:f>
      </x:c>
      <x:c r="C1725" s="7" t="str">
        <x:f>IF(AND(ISNUMBER(B1725),'요약'!$B$19),B1725-'요약'!$B$7,"")</x:f>
      </x:c>
      <x:c r="D1725" s="7" t="str">
        <x:f>IF(ISNUMBER(C1725),C1725^2,"")</x:f>
      </x:c>
      <x:c r="E1725" s="15" t="str">
        <x:f>IF(ISNUMBER(C1725),C1725^3,"")</x:f>
      </x:c>
      <x:c r="F1725" s="15" t="str">
        <x:f>IF(ISNUMBER(C1725),C1725^4,"")</x:f>
      </x:c>
      <x:c r="G1725" s="7" t="str">
        <x:f>IF(ISNUMBER(B1725),ABS(B1725),"")</x:f>
      </x:c>
      <x:c r="H1725" s="7" t="str">
        <x:f>IF(ISNUMBER(B1725),B1725^2,"")</x:f>
      </x:c>
      <x:c r="I1725" s="7" t="str">
        <x:f>IF(AND(ISNUMBER(G1725),'요약'!$B$19),G1725-'요약'!$B$14,"")</x:f>
      </x:c>
      <x:c r="J1725" s="7" t="str">
        <x:f>IF(AND(ISNUMBER(H1725),'요약'!$B$19),H1725-'요약'!$B$15,"")</x:f>
      </x:c>
      <x:c r="K1725" t="str">
        <x:f>IF(ISNUMBER(B1725),IF('Hill'!$B$4=1,IF(B1725&lt;0,-B1725,""),IF('Hill'!$B$4=2,IF(B1725&gt;0,B1725,""),IF('Hill'!$B$4=3,IF(B1725&lt;&gt;0,ABS(B1725),""),""))),"")</x:f>
      </x:c>
    </x:row>
    <x:row r="1726">
      <x:c r="A1726" t="n">
        <x:f>1725</x:f>
        <x:v>1725</x:v>
      </x:c>
      <x:c r="B1726" s="7" t="str">
        <x:f>IF('요약'!$B$4=4,IF(ISNUMBER('input'!A1726),'input'!A1726,""),IF(1725&lt;=1000,CHOOSE('요약'!$B$4,'input'!B1726,'input'!C1726,'input'!D1726),""))</x:f>
      </x:c>
      <x:c r="C1726" s="7" t="str">
        <x:f>IF(AND(ISNUMBER(B1726),'요약'!$B$19),B1726-'요약'!$B$7,"")</x:f>
      </x:c>
      <x:c r="D1726" s="7" t="str">
        <x:f>IF(ISNUMBER(C1726),C1726^2,"")</x:f>
      </x:c>
      <x:c r="E1726" s="15" t="str">
        <x:f>IF(ISNUMBER(C1726),C1726^3,"")</x:f>
      </x:c>
      <x:c r="F1726" s="15" t="str">
        <x:f>IF(ISNUMBER(C1726),C1726^4,"")</x:f>
      </x:c>
      <x:c r="G1726" s="7" t="str">
        <x:f>IF(ISNUMBER(B1726),ABS(B1726),"")</x:f>
      </x:c>
      <x:c r="H1726" s="7" t="str">
        <x:f>IF(ISNUMBER(B1726),B1726^2,"")</x:f>
      </x:c>
      <x:c r="I1726" s="7" t="str">
        <x:f>IF(AND(ISNUMBER(G1726),'요약'!$B$19),G1726-'요약'!$B$14,"")</x:f>
      </x:c>
      <x:c r="J1726" s="7" t="str">
        <x:f>IF(AND(ISNUMBER(H1726),'요약'!$B$19),H1726-'요약'!$B$15,"")</x:f>
      </x:c>
      <x:c r="K1726" t="str">
        <x:f>IF(ISNUMBER(B1726),IF('Hill'!$B$4=1,IF(B1726&lt;0,-B1726,""),IF('Hill'!$B$4=2,IF(B1726&gt;0,B1726,""),IF('Hill'!$B$4=3,IF(B1726&lt;&gt;0,ABS(B1726),""),""))),"")</x:f>
      </x:c>
    </x:row>
    <x:row r="1727">
      <x:c r="A1727" t="n">
        <x:f>1726</x:f>
        <x:v>1726</x:v>
      </x:c>
      <x:c r="B1727" s="7" t="str">
        <x:f>IF('요약'!$B$4=4,IF(ISNUMBER('input'!A1727),'input'!A1727,""),IF(1726&lt;=1000,CHOOSE('요약'!$B$4,'input'!B1727,'input'!C1727,'input'!D1727),""))</x:f>
      </x:c>
      <x:c r="C1727" s="7" t="str">
        <x:f>IF(AND(ISNUMBER(B1727),'요약'!$B$19),B1727-'요약'!$B$7,"")</x:f>
      </x:c>
      <x:c r="D1727" s="7" t="str">
        <x:f>IF(ISNUMBER(C1727),C1727^2,"")</x:f>
      </x:c>
      <x:c r="E1727" s="15" t="str">
        <x:f>IF(ISNUMBER(C1727),C1727^3,"")</x:f>
      </x:c>
      <x:c r="F1727" s="15" t="str">
        <x:f>IF(ISNUMBER(C1727),C1727^4,"")</x:f>
      </x:c>
      <x:c r="G1727" s="7" t="str">
        <x:f>IF(ISNUMBER(B1727),ABS(B1727),"")</x:f>
      </x:c>
      <x:c r="H1727" s="7" t="str">
        <x:f>IF(ISNUMBER(B1727),B1727^2,"")</x:f>
      </x:c>
      <x:c r="I1727" s="7" t="str">
        <x:f>IF(AND(ISNUMBER(G1727),'요약'!$B$19),G1727-'요약'!$B$14,"")</x:f>
      </x:c>
      <x:c r="J1727" s="7" t="str">
        <x:f>IF(AND(ISNUMBER(H1727),'요약'!$B$19),H1727-'요약'!$B$15,"")</x:f>
      </x:c>
      <x:c r="K1727" t="str">
        <x:f>IF(ISNUMBER(B1727),IF('Hill'!$B$4=1,IF(B1727&lt;0,-B1727,""),IF('Hill'!$B$4=2,IF(B1727&gt;0,B1727,""),IF('Hill'!$B$4=3,IF(B1727&lt;&gt;0,ABS(B1727),""),""))),"")</x:f>
      </x:c>
    </x:row>
    <x:row r="1728">
      <x:c r="A1728" t="n">
        <x:f>1727</x:f>
        <x:v>1727</x:v>
      </x:c>
      <x:c r="B1728" s="7" t="str">
        <x:f>IF('요약'!$B$4=4,IF(ISNUMBER('input'!A1728),'input'!A1728,""),IF(1727&lt;=1000,CHOOSE('요약'!$B$4,'input'!B1728,'input'!C1728,'input'!D1728),""))</x:f>
      </x:c>
      <x:c r="C1728" s="7" t="str">
        <x:f>IF(AND(ISNUMBER(B1728),'요약'!$B$19),B1728-'요약'!$B$7,"")</x:f>
      </x:c>
      <x:c r="D1728" s="7" t="str">
        <x:f>IF(ISNUMBER(C1728),C1728^2,"")</x:f>
      </x:c>
      <x:c r="E1728" s="15" t="str">
        <x:f>IF(ISNUMBER(C1728),C1728^3,"")</x:f>
      </x:c>
      <x:c r="F1728" s="15" t="str">
        <x:f>IF(ISNUMBER(C1728),C1728^4,"")</x:f>
      </x:c>
      <x:c r="G1728" s="7" t="str">
        <x:f>IF(ISNUMBER(B1728),ABS(B1728),"")</x:f>
      </x:c>
      <x:c r="H1728" s="7" t="str">
        <x:f>IF(ISNUMBER(B1728),B1728^2,"")</x:f>
      </x:c>
      <x:c r="I1728" s="7" t="str">
        <x:f>IF(AND(ISNUMBER(G1728),'요약'!$B$19),G1728-'요약'!$B$14,"")</x:f>
      </x:c>
      <x:c r="J1728" s="7" t="str">
        <x:f>IF(AND(ISNUMBER(H1728),'요약'!$B$19),H1728-'요약'!$B$15,"")</x:f>
      </x:c>
      <x:c r="K1728" t="str">
        <x:f>IF(ISNUMBER(B1728),IF('Hill'!$B$4=1,IF(B1728&lt;0,-B1728,""),IF('Hill'!$B$4=2,IF(B1728&gt;0,B1728,""),IF('Hill'!$B$4=3,IF(B1728&lt;&gt;0,ABS(B1728),""),""))),"")</x:f>
      </x:c>
    </x:row>
    <x:row r="1729">
      <x:c r="A1729" t="n">
        <x:f>1728</x:f>
        <x:v>1728</x:v>
      </x:c>
      <x:c r="B1729" s="7" t="str">
        <x:f>IF('요약'!$B$4=4,IF(ISNUMBER('input'!A1729),'input'!A1729,""),IF(1728&lt;=1000,CHOOSE('요약'!$B$4,'input'!B1729,'input'!C1729,'input'!D1729),""))</x:f>
      </x:c>
      <x:c r="C1729" s="7" t="str">
        <x:f>IF(AND(ISNUMBER(B1729),'요약'!$B$19),B1729-'요약'!$B$7,"")</x:f>
      </x:c>
      <x:c r="D1729" s="7" t="str">
        <x:f>IF(ISNUMBER(C1729),C1729^2,"")</x:f>
      </x:c>
      <x:c r="E1729" s="15" t="str">
        <x:f>IF(ISNUMBER(C1729),C1729^3,"")</x:f>
      </x:c>
      <x:c r="F1729" s="15" t="str">
        <x:f>IF(ISNUMBER(C1729),C1729^4,"")</x:f>
      </x:c>
      <x:c r="G1729" s="7" t="str">
        <x:f>IF(ISNUMBER(B1729),ABS(B1729),"")</x:f>
      </x:c>
      <x:c r="H1729" s="7" t="str">
        <x:f>IF(ISNUMBER(B1729),B1729^2,"")</x:f>
      </x:c>
      <x:c r="I1729" s="7" t="str">
        <x:f>IF(AND(ISNUMBER(G1729),'요약'!$B$19),G1729-'요약'!$B$14,"")</x:f>
      </x:c>
      <x:c r="J1729" s="7" t="str">
        <x:f>IF(AND(ISNUMBER(H1729),'요약'!$B$19),H1729-'요약'!$B$15,"")</x:f>
      </x:c>
      <x:c r="K1729" t="str">
        <x:f>IF(ISNUMBER(B1729),IF('Hill'!$B$4=1,IF(B1729&lt;0,-B1729,""),IF('Hill'!$B$4=2,IF(B1729&gt;0,B1729,""),IF('Hill'!$B$4=3,IF(B1729&lt;&gt;0,ABS(B1729),""),""))),"")</x:f>
      </x:c>
    </x:row>
    <x:row r="1730">
      <x:c r="A1730" t="n">
        <x:f>1729</x:f>
        <x:v>1729</x:v>
      </x:c>
      <x:c r="B1730" s="7" t="str">
        <x:f>IF('요약'!$B$4=4,IF(ISNUMBER('input'!A1730),'input'!A1730,""),IF(1729&lt;=1000,CHOOSE('요약'!$B$4,'input'!B1730,'input'!C1730,'input'!D1730),""))</x:f>
      </x:c>
      <x:c r="C1730" s="7" t="str">
        <x:f>IF(AND(ISNUMBER(B1730),'요약'!$B$19),B1730-'요약'!$B$7,"")</x:f>
      </x:c>
      <x:c r="D1730" s="7" t="str">
        <x:f>IF(ISNUMBER(C1730),C1730^2,"")</x:f>
      </x:c>
      <x:c r="E1730" s="15" t="str">
        <x:f>IF(ISNUMBER(C1730),C1730^3,"")</x:f>
      </x:c>
      <x:c r="F1730" s="15" t="str">
        <x:f>IF(ISNUMBER(C1730),C1730^4,"")</x:f>
      </x:c>
      <x:c r="G1730" s="7" t="str">
        <x:f>IF(ISNUMBER(B1730),ABS(B1730),"")</x:f>
      </x:c>
      <x:c r="H1730" s="7" t="str">
        <x:f>IF(ISNUMBER(B1730),B1730^2,"")</x:f>
      </x:c>
      <x:c r="I1730" s="7" t="str">
        <x:f>IF(AND(ISNUMBER(G1730),'요약'!$B$19),G1730-'요약'!$B$14,"")</x:f>
      </x:c>
      <x:c r="J1730" s="7" t="str">
        <x:f>IF(AND(ISNUMBER(H1730),'요약'!$B$19),H1730-'요약'!$B$15,"")</x:f>
      </x:c>
      <x:c r="K1730" t="str">
        <x:f>IF(ISNUMBER(B1730),IF('Hill'!$B$4=1,IF(B1730&lt;0,-B1730,""),IF('Hill'!$B$4=2,IF(B1730&gt;0,B1730,""),IF('Hill'!$B$4=3,IF(B1730&lt;&gt;0,ABS(B1730),""),""))),"")</x:f>
      </x:c>
    </x:row>
    <x:row r="1731">
      <x:c r="A1731" t="n">
        <x:f>1730</x:f>
        <x:v>1730</x:v>
      </x:c>
      <x:c r="B1731" s="7" t="str">
        <x:f>IF('요약'!$B$4=4,IF(ISNUMBER('input'!A1731),'input'!A1731,""),IF(1730&lt;=1000,CHOOSE('요약'!$B$4,'input'!B1731,'input'!C1731,'input'!D1731),""))</x:f>
      </x:c>
      <x:c r="C1731" s="7" t="str">
        <x:f>IF(AND(ISNUMBER(B1731),'요약'!$B$19),B1731-'요약'!$B$7,"")</x:f>
      </x:c>
      <x:c r="D1731" s="7" t="str">
        <x:f>IF(ISNUMBER(C1731),C1731^2,"")</x:f>
      </x:c>
      <x:c r="E1731" s="15" t="str">
        <x:f>IF(ISNUMBER(C1731),C1731^3,"")</x:f>
      </x:c>
      <x:c r="F1731" s="15" t="str">
        <x:f>IF(ISNUMBER(C1731),C1731^4,"")</x:f>
      </x:c>
      <x:c r="G1731" s="7" t="str">
        <x:f>IF(ISNUMBER(B1731),ABS(B1731),"")</x:f>
      </x:c>
      <x:c r="H1731" s="7" t="str">
        <x:f>IF(ISNUMBER(B1731),B1731^2,"")</x:f>
      </x:c>
      <x:c r="I1731" s="7" t="str">
        <x:f>IF(AND(ISNUMBER(G1731),'요약'!$B$19),G1731-'요약'!$B$14,"")</x:f>
      </x:c>
      <x:c r="J1731" s="7" t="str">
        <x:f>IF(AND(ISNUMBER(H1731),'요약'!$B$19),H1731-'요약'!$B$15,"")</x:f>
      </x:c>
      <x:c r="K1731" t="str">
        <x:f>IF(ISNUMBER(B1731),IF('Hill'!$B$4=1,IF(B1731&lt;0,-B1731,""),IF('Hill'!$B$4=2,IF(B1731&gt;0,B1731,""),IF('Hill'!$B$4=3,IF(B1731&lt;&gt;0,ABS(B1731),""),""))),"")</x:f>
      </x:c>
    </x:row>
    <x:row r="1732">
      <x:c r="A1732" t="n">
        <x:f>1731</x:f>
        <x:v>1731</x:v>
      </x:c>
      <x:c r="B1732" s="7" t="str">
        <x:f>IF('요약'!$B$4=4,IF(ISNUMBER('input'!A1732),'input'!A1732,""),IF(1731&lt;=1000,CHOOSE('요약'!$B$4,'input'!B1732,'input'!C1732,'input'!D1732),""))</x:f>
      </x:c>
      <x:c r="C1732" s="7" t="str">
        <x:f>IF(AND(ISNUMBER(B1732),'요약'!$B$19),B1732-'요약'!$B$7,"")</x:f>
      </x:c>
      <x:c r="D1732" s="7" t="str">
        <x:f>IF(ISNUMBER(C1732),C1732^2,"")</x:f>
      </x:c>
      <x:c r="E1732" s="15" t="str">
        <x:f>IF(ISNUMBER(C1732),C1732^3,"")</x:f>
      </x:c>
      <x:c r="F1732" s="15" t="str">
        <x:f>IF(ISNUMBER(C1732),C1732^4,"")</x:f>
      </x:c>
      <x:c r="G1732" s="7" t="str">
        <x:f>IF(ISNUMBER(B1732),ABS(B1732),"")</x:f>
      </x:c>
      <x:c r="H1732" s="7" t="str">
        <x:f>IF(ISNUMBER(B1732),B1732^2,"")</x:f>
      </x:c>
      <x:c r="I1732" s="7" t="str">
        <x:f>IF(AND(ISNUMBER(G1732),'요약'!$B$19),G1732-'요약'!$B$14,"")</x:f>
      </x:c>
      <x:c r="J1732" s="7" t="str">
        <x:f>IF(AND(ISNUMBER(H1732),'요약'!$B$19),H1732-'요약'!$B$15,"")</x:f>
      </x:c>
      <x:c r="K1732" t="str">
        <x:f>IF(ISNUMBER(B1732),IF('Hill'!$B$4=1,IF(B1732&lt;0,-B1732,""),IF('Hill'!$B$4=2,IF(B1732&gt;0,B1732,""),IF('Hill'!$B$4=3,IF(B1732&lt;&gt;0,ABS(B1732),""),""))),"")</x:f>
      </x:c>
    </x:row>
    <x:row r="1733">
      <x:c r="A1733" t="n">
        <x:f>1732</x:f>
        <x:v>1732</x:v>
      </x:c>
      <x:c r="B1733" s="7" t="str">
        <x:f>IF('요약'!$B$4=4,IF(ISNUMBER('input'!A1733),'input'!A1733,""),IF(1732&lt;=1000,CHOOSE('요약'!$B$4,'input'!B1733,'input'!C1733,'input'!D1733),""))</x:f>
      </x:c>
      <x:c r="C1733" s="7" t="str">
        <x:f>IF(AND(ISNUMBER(B1733),'요약'!$B$19),B1733-'요약'!$B$7,"")</x:f>
      </x:c>
      <x:c r="D1733" s="7" t="str">
        <x:f>IF(ISNUMBER(C1733),C1733^2,"")</x:f>
      </x:c>
      <x:c r="E1733" s="15" t="str">
        <x:f>IF(ISNUMBER(C1733),C1733^3,"")</x:f>
      </x:c>
      <x:c r="F1733" s="15" t="str">
        <x:f>IF(ISNUMBER(C1733),C1733^4,"")</x:f>
      </x:c>
      <x:c r="G1733" s="7" t="str">
        <x:f>IF(ISNUMBER(B1733),ABS(B1733),"")</x:f>
      </x:c>
      <x:c r="H1733" s="7" t="str">
        <x:f>IF(ISNUMBER(B1733),B1733^2,"")</x:f>
      </x:c>
      <x:c r="I1733" s="7" t="str">
        <x:f>IF(AND(ISNUMBER(G1733),'요약'!$B$19),G1733-'요약'!$B$14,"")</x:f>
      </x:c>
      <x:c r="J1733" s="7" t="str">
        <x:f>IF(AND(ISNUMBER(H1733),'요약'!$B$19),H1733-'요약'!$B$15,"")</x:f>
      </x:c>
      <x:c r="K1733" t="str">
        <x:f>IF(ISNUMBER(B1733),IF('Hill'!$B$4=1,IF(B1733&lt;0,-B1733,""),IF('Hill'!$B$4=2,IF(B1733&gt;0,B1733,""),IF('Hill'!$B$4=3,IF(B1733&lt;&gt;0,ABS(B1733),""),""))),"")</x:f>
      </x:c>
    </x:row>
    <x:row r="1734">
      <x:c r="A1734" t="n">
        <x:f>1733</x:f>
        <x:v>1733</x:v>
      </x:c>
      <x:c r="B1734" s="7" t="str">
        <x:f>IF('요약'!$B$4=4,IF(ISNUMBER('input'!A1734),'input'!A1734,""),IF(1733&lt;=1000,CHOOSE('요약'!$B$4,'input'!B1734,'input'!C1734,'input'!D1734),""))</x:f>
      </x:c>
      <x:c r="C1734" s="7" t="str">
        <x:f>IF(AND(ISNUMBER(B1734),'요약'!$B$19),B1734-'요약'!$B$7,"")</x:f>
      </x:c>
      <x:c r="D1734" s="7" t="str">
        <x:f>IF(ISNUMBER(C1734),C1734^2,"")</x:f>
      </x:c>
      <x:c r="E1734" s="15" t="str">
        <x:f>IF(ISNUMBER(C1734),C1734^3,"")</x:f>
      </x:c>
      <x:c r="F1734" s="15" t="str">
        <x:f>IF(ISNUMBER(C1734),C1734^4,"")</x:f>
      </x:c>
      <x:c r="G1734" s="7" t="str">
        <x:f>IF(ISNUMBER(B1734),ABS(B1734),"")</x:f>
      </x:c>
      <x:c r="H1734" s="7" t="str">
        <x:f>IF(ISNUMBER(B1734),B1734^2,"")</x:f>
      </x:c>
      <x:c r="I1734" s="7" t="str">
        <x:f>IF(AND(ISNUMBER(G1734),'요약'!$B$19),G1734-'요약'!$B$14,"")</x:f>
      </x:c>
      <x:c r="J1734" s="7" t="str">
        <x:f>IF(AND(ISNUMBER(H1734),'요약'!$B$19),H1734-'요약'!$B$15,"")</x:f>
      </x:c>
      <x:c r="K1734" t="str">
        <x:f>IF(ISNUMBER(B1734),IF('Hill'!$B$4=1,IF(B1734&lt;0,-B1734,""),IF('Hill'!$B$4=2,IF(B1734&gt;0,B1734,""),IF('Hill'!$B$4=3,IF(B1734&lt;&gt;0,ABS(B1734),""),""))),"")</x:f>
      </x:c>
    </x:row>
    <x:row r="1735">
      <x:c r="A1735" t="n">
        <x:f>1734</x:f>
        <x:v>1734</x:v>
      </x:c>
      <x:c r="B1735" s="7" t="str">
        <x:f>IF('요약'!$B$4=4,IF(ISNUMBER('input'!A1735),'input'!A1735,""),IF(1734&lt;=1000,CHOOSE('요약'!$B$4,'input'!B1735,'input'!C1735,'input'!D1735),""))</x:f>
      </x:c>
      <x:c r="C1735" s="7" t="str">
        <x:f>IF(AND(ISNUMBER(B1735),'요약'!$B$19),B1735-'요약'!$B$7,"")</x:f>
      </x:c>
      <x:c r="D1735" s="7" t="str">
        <x:f>IF(ISNUMBER(C1735),C1735^2,"")</x:f>
      </x:c>
      <x:c r="E1735" s="15" t="str">
        <x:f>IF(ISNUMBER(C1735),C1735^3,"")</x:f>
      </x:c>
      <x:c r="F1735" s="15" t="str">
        <x:f>IF(ISNUMBER(C1735),C1735^4,"")</x:f>
      </x:c>
      <x:c r="G1735" s="7" t="str">
        <x:f>IF(ISNUMBER(B1735),ABS(B1735),"")</x:f>
      </x:c>
      <x:c r="H1735" s="7" t="str">
        <x:f>IF(ISNUMBER(B1735),B1735^2,"")</x:f>
      </x:c>
      <x:c r="I1735" s="7" t="str">
        <x:f>IF(AND(ISNUMBER(G1735),'요약'!$B$19),G1735-'요약'!$B$14,"")</x:f>
      </x:c>
      <x:c r="J1735" s="7" t="str">
        <x:f>IF(AND(ISNUMBER(H1735),'요약'!$B$19),H1735-'요약'!$B$15,"")</x:f>
      </x:c>
      <x:c r="K1735" t="str">
        <x:f>IF(ISNUMBER(B1735),IF('Hill'!$B$4=1,IF(B1735&lt;0,-B1735,""),IF('Hill'!$B$4=2,IF(B1735&gt;0,B1735,""),IF('Hill'!$B$4=3,IF(B1735&lt;&gt;0,ABS(B1735),""),""))),"")</x:f>
      </x:c>
    </x:row>
    <x:row r="1736">
      <x:c r="A1736" t="n">
        <x:f>1735</x:f>
        <x:v>1735</x:v>
      </x:c>
      <x:c r="B1736" s="7" t="str">
        <x:f>IF('요약'!$B$4=4,IF(ISNUMBER('input'!A1736),'input'!A1736,""),IF(1735&lt;=1000,CHOOSE('요약'!$B$4,'input'!B1736,'input'!C1736,'input'!D1736),""))</x:f>
      </x:c>
      <x:c r="C1736" s="7" t="str">
        <x:f>IF(AND(ISNUMBER(B1736),'요약'!$B$19),B1736-'요약'!$B$7,"")</x:f>
      </x:c>
      <x:c r="D1736" s="7" t="str">
        <x:f>IF(ISNUMBER(C1736),C1736^2,"")</x:f>
      </x:c>
      <x:c r="E1736" s="15" t="str">
        <x:f>IF(ISNUMBER(C1736),C1736^3,"")</x:f>
      </x:c>
      <x:c r="F1736" s="15" t="str">
        <x:f>IF(ISNUMBER(C1736),C1736^4,"")</x:f>
      </x:c>
      <x:c r="G1736" s="7" t="str">
        <x:f>IF(ISNUMBER(B1736),ABS(B1736),"")</x:f>
      </x:c>
      <x:c r="H1736" s="7" t="str">
        <x:f>IF(ISNUMBER(B1736),B1736^2,"")</x:f>
      </x:c>
      <x:c r="I1736" s="7" t="str">
        <x:f>IF(AND(ISNUMBER(G1736),'요약'!$B$19),G1736-'요약'!$B$14,"")</x:f>
      </x:c>
      <x:c r="J1736" s="7" t="str">
        <x:f>IF(AND(ISNUMBER(H1736),'요약'!$B$19),H1736-'요약'!$B$15,"")</x:f>
      </x:c>
      <x:c r="K1736" t="str">
        <x:f>IF(ISNUMBER(B1736),IF('Hill'!$B$4=1,IF(B1736&lt;0,-B1736,""),IF('Hill'!$B$4=2,IF(B1736&gt;0,B1736,""),IF('Hill'!$B$4=3,IF(B1736&lt;&gt;0,ABS(B1736),""),""))),"")</x:f>
      </x:c>
    </x:row>
    <x:row r="1737">
      <x:c r="A1737" t="n">
        <x:f>1736</x:f>
        <x:v>1736</x:v>
      </x:c>
      <x:c r="B1737" s="7" t="str">
        <x:f>IF('요약'!$B$4=4,IF(ISNUMBER('input'!A1737),'input'!A1737,""),IF(1736&lt;=1000,CHOOSE('요약'!$B$4,'input'!B1737,'input'!C1737,'input'!D1737),""))</x:f>
      </x:c>
      <x:c r="C1737" s="7" t="str">
        <x:f>IF(AND(ISNUMBER(B1737),'요약'!$B$19),B1737-'요약'!$B$7,"")</x:f>
      </x:c>
      <x:c r="D1737" s="7" t="str">
        <x:f>IF(ISNUMBER(C1737),C1737^2,"")</x:f>
      </x:c>
      <x:c r="E1737" s="15" t="str">
        <x:f>IF(ISNUMBER(C1737),C1737^3,"")</x:f>
      </x:c>
      <x:c r="F1737" s="15" t="str">
        <x:f>IF(ISNUMBER(C1737),C1737^4,"")</x:f>
      </x:c>
      <x:c r="G1737" s="7" t="str">
        <x:f>IF(ISNUMBER(B1737),ABS(B1737),"")</x:f>
      </x:c>
      <x:c r="H1737" s="7" t="str">
        <x:f>IF(ISNUMBER(B1737),B1737^2,"")</x:f>
      </x:c>
      <x:c r="I1737" s="7" t="str">
        <x:f>IF(AND(ISNUMBER(G1737),'요약'!$B$19),G1737-'요약'!$B$14,"")</x:f>
      </x:c>
      <x:c r="J1737" s="7" t="str">
        <x:f>IF(AND(ISNUMBER(H1737),'요약'!$B$19),H1737-'요약'!$B$15,"")</x:f>
      </x:c>
      <x:c r="K1737" t="str">
        <x:f>IF(ISNUMBER(B1737),IF('Hill'!$B$4=1,IF(B1737&lt;0,-B1737,""),IF('Hill'!$B$4=2,IF(B1737&gt;0,B1737,""),IF('Hill'!$B$4=3,IF(B1737&lt;&gt;0,ABS(B1737),""),""))),"")</x:f>
      </x:c>
    </x:row>
    <x:row r="1738">
      <x:c r="A1738" t="n">
        <x:f>1737</x:f>
        <x:v>1737</x:v>
      </x:c>
      <x:c r="B1738" s="7" t="str">
        <x:f>IF('요약'!$B$4=4,IF(ISNUMBER('input'!A1738),'input'!A1738,""),IF(1737&lt;=1000,CHOOSE('요약'!$B$4,'input'!B1738,'input'!C1738,'input'!D1738),""))</x:f>
      </x:c>
      <x:c r="C1738" s="7" t="str">
        <x:f>IF(AND(ISNUMBER(B1738),'요약'!$B$19),B1738-'요약'!$B$7,"")</x:f>
      </x:c>
      <x:c r="D1738" s="7" t="str">
        <x:f>IF(ISNUMBER(C1738),C1738^2,"")</x:f>
      </x:c>
      <x:c r="E1738" s="15" t="str">
        <x:f>IF(ISNUMBER(C1738),C1738^3,"")</x:f>
      </x:c>
      <x:c r="F1738" s="15" t="str">
        <x:f>IF(ISNUMBER(C1738),C1738^4,"")</x:f>
      </x:c>
      <x:c r="G1738" s="7" t="str">
        <x:f>IF(ISNUMBER(B1738),ABS(B1738),"")</x:f>
      </x:c>
      <x:c r="H1738" s="7" t="str">
        <x:f>IF(ISNUMBER(B1738),B1738^2,"")</x:f>
      </x:c>
      <x:c r="I1738" s="7" t="str">
        <x:f>IF(AND(ISNUMBER(G1738),'요약'!$B$19),G1738-'요약'!$B$14,"")</x:f>
      </x:c>
      <x:c r="J1738" s="7" t="str">
        <x:f>IF(AND(ISNUMBER(H1738),'요약'!$B$19),H1738-'요약'!$B$15,"")</x:f>
      </x:c>
      <x:c r="K1738" t="str">
        <x:f>IF(ISNUMBER(B1738),IF('Hill'!$B$4=1,IF(B1738&lt;0,-B1738,""),IF('Hill'!$B$4=2,IF(B1738&gt;0,B1738,""),IF('Hill'!$B$4=3,IF(B1738&lt;&gt;0,ABS(B1738),""),""))),"")</x:f>
      </x:c>
    </x:row>
    <x:row r="1739">
      <x:c r="A1739" t="n">
        <x:f>1738</x:f>
        <x:v>1738</x:v>
      </x:c>
      <x:c r="B1739" s="7" t="str">
        <x:f>IF('요약'!$B$4=4,IF(ISNUMBER('input'!A1739),'input'!A1739,""),IF(1738&lt;=1000,CHOOSE('요약'!$B$4,'input'!B1739,'input'!C1739,'input'!D1739),""))</x:f>
      </x:c>
      <x:c r="C1739" s="7" t="str">
        <x:f>IF(AND(ISNUMBER(B1739),'요약'!$B$19),B1739-'요약'!$B$7,"")</x:f>
      </x:c>
      <x:c r="D1739" s="7" t="str">
        <x:f>IF(ISNUMBER(C1739),C1739^2,"")</x:f>
      </x:c>
      <x:c r="E1739" s="15" t="str">
        <x:f>IF(ISNUMBER(C1739),C1739^3,"")</x:f>
      </x:c>
      <x:c r="F1739" s="15" t="str">
        <x:f>IF(ISNUMBER(C1739),C1739^4,"")</x:f>
      </x:c>
      <x:c r="G1739" s="7" t="str">
        <x:f>IF(ISNUMBER(B1739),ABS(B1739),"")</x:f>
      </x:c>
      <x:c r="H1739" s="7" t="str">
        <x:f>IF(ISNUMBER(B1739),B1739^2,"")</x:f>
      </x:c>
      <x:c r="I1739" s="7" t="str">
        <x:f>IF(AND(ISNUMBER(G1739),'요약'!$B$19),G1739-'요약'!$B$14,"")</x:f>
      </x:c>
      <x:c r="J1739" s="7" t="str">
        <x:f>IF(AND(ISNUMBER(H1739),'요약'!$B$19),H1739-'요약'!$B$15,"")</x:f>
      </x:c>
      <x:c r="K1739" t="str">
        <x:f>IF(ISNUMBER(B1739),IF('Hill'!$B$4=1,IF(B1739&lt;0,-B1739,""),IF('Hill'!$B$4=2,IF(B1739&gt;0,B1739,""),IF('Hill'!$B$4=3,IF(B1739&lt;&gt;0,ABS(B1739),""),""))),"")</x:f>
      </x:c>
    </x:row>
    <x:row r="1740">
      <x:c r="A1740" t="n">
        <x:f>1739</x:f>
        <x:v>1739</x:v>
      </x:c>
      <x:c r="B1740" s="7" t="str">
        <x:f>IF('요약'!$B$4=4,IF(ISNUMBER('input'!A1740),'input'!A1740,""),IF(1739&lt;=1000,CHOOSE('요약'!$B$4,'input'!B1740,'input'!C1740,'input'!D1740),""))</x:f>
      </x:c>
      <x:c r="C1740" s="7" t="str">
        <x:f>IF(AND(ISNUMBER(B1740),'요약'!$B$19),B1740-'요약'!$B$7,"")</x:f>
      </x:c>
      <x:c r="D1740" s="7" t="str">
        <x:f>IF(ISNUMBER(C1740),C1740^2,"")</x:f>
      </x:c>
      <x:c r="E1740" s="15" t="str">
        <x:f>IF(ISNUMBER(C1740),C1740^3,"")</x:f>
      </x:c>
      <x:c r="F1740" s="15" t="str">
        <x:f>IF(ISNUMBER(C1740),C1740^4,"")</x:f>
      </x:c>
      <x:c r="G1740" s="7" t="str">
        <x:f>IF(ISNUMBER(B1740),ABS(B1740),"")</x:f>
      </x:c>
      <x:c r="H1740" s="7" t="str">
        <x:f>IF(ISNUMBER(B1740),B1740^2,"")</x:f>
      </x:c>
      <x:c r="I1740" s="7" t="str">
        <x:f>IF(AND(ISNUMBER(G1740),'요약'!$B$19),G1740-'요약'!$B$14,"")</x:f>
      </x:c>
      <x:c r="J1740" s="7" t="str">
        <x:f>IF(AND(ISNUMBER(H1740),'요약'!$B$19),H1740-'요약'!$B$15,"")</x:f>
      </x:c>
      <x:c r="K1740" t="str">
        <x:f>IF(ISNUMBER(B1740),IF('Hill'!$B$4=1,IF(B1740&lt;0,-B1740,""),IF('Hill'!$B$4=2,IF(B1740&gt;0,B1740,""),IF('Hill'!$B$4=3,IF(B1740&lt;&gt;0,ABS(B1740),""),""))),"")</x:f>
      </x:c>
    </x:row>
    <x:row r="1741">
      <x:c r="A1741" t="n">
        <x:f>1740</x:f>
        <x:v>1740</x:v>
      </x:c>
      <x:c r="B1741" s="7" t="str">
        <x:f>IF('요약'!$B$4=4,IF(ISNUMBER('input'!A1741),'input'!A1741,""),IF(1740&lt;=1000,CHOOSE('요약'!$B$4,'input'!B1741,'input'!C1741,'input'!D1741),""))</x:f>
      </x:c>
      <x:c r="C1741" s="7" t="str">
        <x:f>IF(AND(ISNUMBER(B1741),'요약'!$B$19),B1741-'요약'!$B$7,"")</x:f>
      </x:c>
      <x:c r="D1741" s="7" t="str">
        <x:f>IF(ISNUMBER(C1741),C1741^2,"")</x:f>
      </x:c>
      <x:c r="E1741" s="15" t="str">
        <x:f>IF(ISNUMBER(C1741),C1741^3,"")</x:f>
      </x:c>
      <x:c r="F1741" s="15" t="str">
        <x:f>IF(ISNUMBER(C1741),C1741^4,"")</x:f>
      </x:c>
      <x:c r="G1741" s="7" t="str">
        <x:f>IF(ISNUMBER(B1741),ABS(B1741),"")</x:f>
      </x:c>
      <x:c r="H1741" s="7" t="str">
        <x:f>IF(ISNUMBER(B1741),B1741^2,"")</x:f>
      </x:c>
      <x:c r="I1741" s="7" t="str">
        <x:f>IF(AND(ISNUMBER(G1741),'요약'!$B$19),G1741-'요약'!$B$14,"")</x:f>
      </x:c>
      <x:c r="J1741" s="7" t="str">
        <x:f>IF(AND(ISNUMBER(H1741),'요약'!$B$19),H1741-'요약'!$B$15,"")</x:f>
      </x:c>
      <x:c r="K1741" t="str">
        <x:f>IF(ISNUMBER(B1741),IF('Hill'!$B$4=1,IF(B1741&lt;0,-B1741,""),IF('Hill'!$B$4=2,IF(B1741&gt;0,B1741,""),IF('Hill'!$B$4=3,IF(B1741&lt;&gt;0,ABS(B1741),""),""))),"")</x:f>
      </x:c>
    </x:row>
    <x:row r="1742">
      <x:c r="A1742" t="n">
        <x:f>1741</x:f>
        <x:v>1741</x:v>
      </x:c>
      <x:c r="B1742" s="7" t="str">
        <x:f>IF('요약'!$B$4=4,IF(ISNUMBER('input'!A1742),'input'!A1742,""),IF(1741&lt;=1000,CHOOSE('요약'!$B$4,'input'!B1742,'input'!C1742,'input'!D1742),""))</x:f>
      </x:c>
      <x:c r="C1742" s="7" t="str">
        <x:f>IF(AND(ISNUMBER(B1742),'요약'!$B$19),B1742-'요약'!$B$7,"")</x:f>
      </x:c>
      <x:c r="D1742" s="7" t="str">
        <x:f>IF(ISNUMBER(C1742),C1742^2,"")</x:f>
      </x:c>
      <x:c r="E1742" s="15" t="str">
        <x:f>IF(ISNUMBER(C1742),C1742^3,"")</x:f>
      </x:c>
      <x:c r="F1742" s="15" t="str">
        <x:f>IF(ISNUMBER(C1742),C1742^4,"")</x:f>
      </x:c>
      <x:c r="G1742" s="7" t="str">
        <x:f>IF(ISNUMBER(B1742),ABS(B1742),"")</x:f>
      </x:c>
      <x:c r="H1742" s="7" t="str">
        <x:f>IF(ISNUMBER(B1742),B1742^2,"")</x:f>
      </x:c>
      <x:c r="I1742" s="7" t="str">
        <x:f>IF(AND(ISNUMBER(G1742),'요약'!$B$19),G1742-'요약'!$B$14,"")</x:f>
      </x:c>
      <x:c r="J1742" s="7" t="str">
        <x:f>IF(AND(ISNUMBER(H1742),'요약'!$B$19),H1742-'요약'!$B$15,"")</x:f>
      </x:c>
      <x:c r="K1742" t="str">
        <x:f>IF(ISNUMBER(B1742),IF('Hill'!$B$4=1,IF(B1742&lt;0,-B1742,""),IF('Hill'!$B$4=2,IF(B1742&gt;0,B1742,""),IF('Hill'!$B$4=3,IF(B1742&lt;&gt;0,ABS(B1742),""),""))),"")</x:f>
      </x:c>
    </x:row>
    <x:row r="1743">
      <x:c r="A1743" t="n">
        <x:f>1742</x:f>
        <x:v>1742</x:v>
      </x:c>
      <x:c r="B1743" s="7" t="str">
        <x:f>IF('요약'!$B$4=4,IF(ISNUMBER('input'!A1743),'input'!A1743,""),IF(1742&lt;=1000,CHOOSE('요약'!$B$4,'input'!B1743,'input'!C1743,'input'!D1743),""))</x:f>
      </x:c>
      <x:c r="C1743" s="7" t="str">
        <x:f>IF(AND(ISNUMBER(B1743),'요약'!$B$19),B1743-'요약'!$B$7,"")</x:f>
      </x:c>
      <x:c r="D1743" s="7" t="str">
        <x:f>IF(ISNUMBER(C1743),C1743^2,"")</x:f>
      </x:c>
      <x:c r="E1743" s="15" t="str">
        <x:f>IF(ISNUMBER(C1743),C1743^3,"")</x:f>
      </x:c>
      <x:c r="F1743" s="15" t="str">
        <x:f>IF(ISNUMBER(C1743),C1743^4,"")</x:f>
      </x:c>
      <x:c r="G1743" s="7" t="str">
        <x:f>IF(ISNUMBER(B1743),ABS(B1743),"")</x:f>
      </x:c>
      <x:c r="H1743" s="7" t="str">
        <x:f>IF(ISNUMBER(B1743),B1743^2,"")</x:f>
      </x:c>
      <x:c r="I1743" s="7" t="str">
        <x:f>IF(AND(ISNUMBER(G1743),'요약'!$B$19),G1743-'요약'!$B$14,"")</x:f>
      </x:c>
      <x:c r="J1743" s="7" t="str">
        <x:f>IF(AND(ISNUMBER(H1743),'요약'!$B$19),H1743-'요약'!$B$15,"")</x:f>
      </x:c>
      <x:c r="K1743" t="str">
        <x:f>IF(ISNUMBER(B1743),IF('Hill'!$B$4=1,IF(B1743&lt;0,-B1743,""),IF('Hill'!$B$4=2,IF(B1743&gt;0,B1743,""),IF('Hill'!$B$4=3,IF(B1743&lt;&gt;0,ABS(B1743),""),""))),"")</x:f>
      </x:c>
    </x:row>
    <x:row r="1744">
      <x:c r="A1744" t="n">
        <x:f>1743</x:f>
        <x:v>1743</x:v>
      </x:c>
      <x:c r="B1744" s="7" t="str">
        <x:f>IF('요약'!$B$4=4,IF(ISNUMBER('input'!A1744),'input'!A1744,""),IF(1743&lt;=1000,CHOOSE('요약'!$B$4,'input'!B1744,'input'!C1744,'input'!D1744),""))</x:f>
      </x:c>
      <x:c r="C1744" s="7" t="str">
        <x:f>IF(AND(ISNUMBER(B1744),'요약'!$B$19),B1744-'요약'!$B$7,"")</x:f>
      </x:c>
      <x:c r="D1744" s="7" t="str">
        <x:f>IF(ISNUMBER(C1744),C1744^2,"")</x:f>
      </x:c>
      <x:c r="E1744" s="15" t="str">
        <x:f>IF(ISNUMBER(C1744),C1744^3,"")</x:f>
      </x:c>
      <x:c r="F1744" s="15" t="str">
        <x:f>IF(ISNUMBER(C1744),C1744^4,"")</x:f>
      </x:c>
      <x:c r="G1744" s="7" t="str">
        <x:f>IF(ISNUMBER(B1744),ABS(B1744),"")</x:f>
      </x:c>
      <x:c r="H1744" s="7" t="str">
        <x:f>IF(ISNUMBER(B1744),B1744^2,"")</x:f>
      </x:c>
      <x:c r="I1744" s="7" t="str">
        <x:f>IF(AND(ISNUMBER(G1744),'요약'!$B$19),G1744-'요약'!$B$14,"")</x:f>
      </x:c>
      <x:c r="J1744" s="7" t="str">
        <x:f>IF(AND(ISNUMBER(H1744),'요약'!$B$19),H1744-'요약'!$B$15,"")</x:f>
      </x:c>
      <x:c r="K1744" t="str">
        <x:f>IF(ISNUMBER(B1744),IF('Hill'!$B$4=1,IF(B1744&lt;0,-B1744,""),IF('Hill'!$B$4=2,IF(B1744&gt;0,B1744,""),IF('Hill'!$B$4=3,IF(B1744&lt;&gt;0,ABS(B1744),""),""))),"")</x:f>
      </x:c>
    </x:row>
    <x:row r="1745">
      <x:c r="A1745" t="n">
        <x:f>1744</x:f>
        <x:v>1744</x:v>
      </x:c>
      <x:c r="B1745" s="7" t="str">
        <x:f>IF('요약'!$B$4=4,IF(ISNUMBER('input'!A1745),'input'!A1745,""),IF(1744&lt;=1000,CHOOSE('요약'!$B$4,'input'!B1745,'input'!C1745,'input'!D1745),""))</x:f>
      </x:c>
      <x:c r="C1745" s="7" t="str">
        <x:f>IF(AND(ISNUMBER(B1745),'요약'!$B$19),B1745-'요약'!$B$7,"")</x:f>
      </x:c>
      <x:c r="D1745" s="7" t="str">
        <x:f>IF(ISNUMBER(C1745),C1745^2,"")</x:f>
      </x:c>
      <x:c r="E1745" s="15" t="str">
        <x:f>IF(ISNUMBER(C1745),C1745^3,"")</x:f>
      </x:c>
      <x:c r="F1745" s="15" t="str">
        <x:f>IF(ISNUMBER(C1745),C1745^4,"")</x:f>
      </x:c>
      <x:c r="G1745" s="7" t="str">
        <x:f>IF(ISNUMBER(B1745),ABS(B1745),"")</x:f>
      </x:c>
      <x:c r="H1745" s="7" t="str">
        <x:f>IF(ISNUMBER(B1745),B1745^2,"")</x:f>
      </x:c>
      <x:c r="I1745" s="7" t="str">
        <x:f>IF(AND(ISNUMBER(G1745),'요약'!$B$19),G1745-'요약'!$B$14,"")</x:f>
      </x:c>
      <x:c r="J1745" s="7" t="str">
        <x:f>IF(AND(ISNUMBER(H1745),'요약'!$B$19),H1745-'요약'!$B$15,"")</x:f>
      </x:c>
      <x:c r="K1745" t="str">
        <x:f>IF(ISNUMBER(B1745),IF('Hill'!$B$4=1,IF(B1745&lt;0,-B1745,""),IF('Hill'!$B$4=2,IF(B1745&gt;0,B1745,""),IF('Hill'!$B$4=3,IF(B1745&lt;&gt;0,ABS(B1745),""),""))),"")</x:f>
      </x:c>
    </x:row>
    <x:row r="1746">
      <x:c r="A1746" t="n">
        <x:f>1745</x:f>
        <x:v>1745</x:v>
      </x:c>
      <x:c r="B1746" s="7" t="str">
        <x:f>IF('요약'!$B$4=4,IF(ISNUMBER('input'!A1746),'input'!A1746,""),IF(1745&lt;=1000,CHOOSE('요약'!$B$4,'input'!B1746,'input'!C1746,'input'!D1746),""))</x:f>
      </x:c>
      <x:c r="C1746" s="7" t="str">
        <x:f>IF(AND(ISNUMBER(B1746),'요약'!$B$19),B1746-'요약'!$B$7,"")</x:f>
      </x:c>
      <x:c r="D1746" s="7" t="str">
        <x:f>IF(ISNUMBER(C1746),C1746^2,"")</x:f>
      </x:c>
      <x:c r="E1746" s="15" t="str">
        <x:f>IF(ISNUMBER(C1746),C1746^3,"")</x:f>
      </x:c>
      <x:c r="F1746" s="15" t="str">
        <x:f>IF(ISNUMBER(C1746),C1746^4,"")</x:f>
      </x:c>
      <x:c r="G1746" s="7" t="str">
        <x:f>IF(ISNUMBER(B1746),ABS(B1746),"")</x:f>
      </x:c>
      <x:c r="H1746" s="7" t="str">
        <x:f>IF(ISNUMBER(B1746),B1746^2,"")</x:f>
      </x:c>
      <x:c r="I1746" s="7" t="str">
        <x:f>IF(AND(ISNUMBER(G1746),'요약'!$B$19),G1746-'요약'!$B$14,"")</x:f>
      </x:c>
      <x:c r="J1746" s="7" t="str">
        <x:f>IF(AND(ISNUMBER(H1746),'요약'!$B$19),H1746-'요약'!$B$15,"")</x:f>
      </x:c>
      <x:c r="K1746" t="str">
        <x:f>IF(ISNUMBER(B1746),IF('Hill'!$B$4=1,IF(B1746&lt;0,-B1746,""),IF('Hill'!$B$4=2,IF(B1746&gt;0,B1746,""),IF('Hill'!$B$4=3,IF(B1746&lt;&gt;0,ABS(B1746),""),""))),"")</x:f>
      </x:c>
    </x:row>
    <x:row r="1747">
      <x:c r="A1747" t="n">
        <x:f>1746</x:f>
        <x:v>1746</x:v>
      </x:c>
      <x:c r="B1747" s="7" t="str">
        <x:f>IF('요약'!$B$4=4,IF(ISNUMBER('input'!A1747),'input'!A1747,""),IF(1746&lt;=1000,CHOOSE('요약'!$B$4,'input'!B1747,'input'!C1747,'input'!D1747),""))</x:f>
      </x:c>
      <x:c r="C1747" s="7" t="str">
        <x:f>IF(AND(ISNUMBER(B1747),'요약'!$B$19),B1747-'요약'!$B$7,"")</x:f>
      </x:c>
      <x:c r="D1747" s="7" t="str">
        <x:f>IF(ISNUMBER(C1747),C1747^2,"")</x:f>
      </x:c>
      <x:c r="E1747" s="15" t="str">
        <x:f>IF(ISNUMBER(C1747),C1747^3,"")</x:f>
      </x:c>
      <x:c r="F1747" s="15" t="str">
        <x:f>IF(ISNUMBER(C1747),C1747^4,"")</x:f>
      </x:c>
      <x:c r="G1747" s="7" t="str">
        <x:f>IF(ISNUMBER(B1747),ABS(B1747),"")</x:f>
      </x:c>
      <x:c r="H1747" s="7" t="str">
        <x:f>IF(ISNUMBER(B1747),B1747^2,"")</x:f>
      </x:c>
      <x:c r="I1747" s="7" t="str">
        <x:f>IF(AND(ISNUMBER(G1747),'요약'!$B$19),G1747-'요약'!$B$14,"")</x:f>
      </x:c>
      <x:c r="J1747" s="7" t="str">
        <x:f>IF(AND(ISNUMBER(H1747),'요약'!$B$19),H1747-'요약'!$B$15,"")</x:f>
      </x:c>
      <x:c r="K1747" t="str">
        <x:f>IF(ISNUMBER(B1747),IF('Hill'!$B$4=1,IF(B1747&lt;0,-B1747,""),IF('Hill'!$B$4=2,IF(B1747&gt;0,B1747,""),IF('Hill'!$B$4=3,IF(B1747&lt;&gt;0,ABS(B1747),""),""))),"")</x:f>
      </x:c>
    </x:row>
    <x:row r="1748">
      <x:c r="A1748" t="n">
        <x:f>1747</x:f>
        <x:v>1747</x:v>
      </x:c>
      <x:c r="B1748" s="7" t="str">
        <x:f>IF('요약'!$B$4=4,IF(ISNUMBER('input'!A1748),'input'!A1748,""),IF(1747&lt;=1000,CHOOSE('요약'!$B$4,'input'!B1748,'input'!C1748,'input'!D1748),""))</x:f>
      </x:c>
      <x:c r="C1748" s="7" t="str">
        <x:f>IF(AND(ISNUMBER(B1748),'요약'!$B$19),B1748-'요약'!$B$7,"")</x:f>
      </x:c>
      <x:c r="D1748" s="7" t="str">
        <x:f>IF(ISNUMBER(C1748),C1748^2,"")</x:f>
      </x:c>
      <x:c r="E1748" s="15" t="str">
        <x:f>IF(ISNUMBER(C1748),C1748^3,"")</x:f>
      </x:c>
      <x:c r="F1748" s="15" t="str">
        <x:f>IF(ISNUMBER(C1748),C1748^4,"")</x:f>
      </x:c>
      <x:c r="G1748" s="7" t="str">
        <x:f>IF(ISNUMBER(B1748),ABS(B1748),"")</x:f>
      </x:c>
      <x:c r="H1748" s="7" t="str">
        <x:f>IF(ISNUMBER(B1748),B1748^2,"")</x:f>
      </x:c>
      <x:c r="I1748" s="7" t="str">
        <x:f>IF(AND(ISNUMBER(G1748),'요약'!$B$19),G1748-'요약'!$B$14,"")</x:f>
      </x:c>
      <x:c r="J1748" s="7" t="str">
        <x:f>IF(AND(ISNUMBER(H1748),'요약'!$B$19),H1748-'요약'!$B$15,"")</x:f>
      </x:c>
      <x:c r="K1748" t="str">
        <x:f>IF(ISNUMBER(B1748),IF('Hill'!$B$4=1,IF(B1748&lt;0,-B1748,""),IF('Hill'!$B$4=2,IF(B1748&gt;0,B1748,""),IF('Hill'!$B$4=3,IF(B1748&lt;&gt;0,ABS(B1748),""),""))),"")</x:f>
      </x:c>
    </x:row>
    <x:row r="1749">
      <x:c r="A1749" t="n">
        <x:f>1748</x:f>
        <x:v>1748</x:v>
      </x:c>
      <x:c r="B1749" s="7" t="str">
        <x:f>IF('요약'!$B$4=4,IF(ISNUMBER('input'!A1749),'input'!A1749,""),IF(1748&lt;=1000,CHOOSE('요약'!$B$4,'input'!B1749,'input'!C1749,'input'!D1749),""))</x:f>
      </x:c>
      <x:c r="C1749" s="7" t="str">
        <x:f>IF(AND(ISNUMBER(B1749),'요약'!$B$19),B1749-'요약'!$B$7,"")</x:f>
      </x:c>
      <x:c r="D1749" s="7" t="str">
        <x:f>IF(ISNUMBER(C1749),C1749^2,"")</x:f>
      </x:c>
      <x:c r="E1749" s="15" t="str">
        <x:f>IF(ISNUMBER(C1749),C1749^3,"")</x:f>
      </x:c>
      <x:c r="F1749" s="15" t="str">
        <x:f>IF(ISNUMBER(C1749),C1749^4,"")</x:f>
      </x:c>
      <x:c r="G1749" s="7" t="str">
        <x:f>IF(ISNUMBER(B1749),ABS(B1749),"")</x:f>
      </x:c>
      <x:c r="H1749" s="7" t="str">
        <x:f>IF(ISNUMBER(B1749),B1749^2,"")</x:f>
      </x:c>
      <x:c r="I1749" s="7" t="str">
        <x:f>IF(AND(ISNUMBER(G1749),'요약'!$B$19),G1749-'요약'!$B$14,"")</x:f>
      </x:c>
      <x:c r="J1749" s="7" t="str">
        <x:f>IF(AND(ISNUMBER(H1749),'요약'!$B$19),H1749-'요약'!$B$15,"")</x:f>
      </x:c>
      <x:c r="K1749" t="str">
        <x:f>IF(ISNUMBER(B1749),IF('Hill'!$B$4=1,IF(B1749&lt;0,-B1749,""),IF('Hill'!$B$4=2,IF(B1749&gt;0,B1749,""),IF('Hill'!$B$4=3,IF(B1749&lt;&gt;0,ABS(B1749),""),""))),"")</x:f>
      </x:c>
    </x:row>
    <x:row r="1750">
      <x:c r="A1750" t="n">
        <x:f>1749</x:f>
        <x:v>1749</x:v>
      </x:c>
      <x:c r="B1750" s="7" t="str">
        <x:f>IF('요약'!$B$4=4,IF(ISNUMBER('input'!A1750),'input'!A1750,""),IF(1749&lt;=1000,CHOOSE('요약'!$B$4,'input'!B1750,'input'!C1750,'input'!D1750),""))</x:f>
      </x:c>
      <x:c r="C1750" s="7" t="str">
        <x:f>IF(AND(ISNUMBER(B1750),'요약'!$B$19),B1750-'요약'!$B$7,"")</x:f>
      </x:c>
      <x:c r="D1750" s="7" t="str">
        <x:f>IF(ISNUMBER(C1750),C1750^2,"")</x:f>
      </x:c>
      <x:c r="E1750" s="15" t="str">
        <x:f>IF(ISNUMBER(C1750),C1750^3,"")</x:f>
      </x:c>
      <x:c r="F1750" s="15" t="str">
        <x:f>IF(ISNUMBER(C1750),C1750^4,"")</x:f>
      </x:c>
      <x:c r="G1750" s="7" t="str">
        <x:f>IF(ISNUMBER(B1750),ABS(B1750),"")</x:f>
      </x:c>
      <x:c r="H1750" s="7" t="str">
        <x:f>IF(ISNUMBER(B1750),B1750^2,"")</x:f>
      </x:c>
      <x:c r="I1750" s="7" t="str">
        <x:f>IF(AND(ISNUMBER(G1750),'요약'!$B$19),G1750-'요약'!$B$14,"")</x:f>
      </x:c>
      <x:c r="J1750" s="7" t="str">
        <x:f>IF(AND(ISNUMBER(H1750),'요약'!$B$19),H1750-'요약'!$B$15,"")</x:f>
      </x:c>
      <x:c r="K1750" t="str">
        <x:f>IF(ISNUMBER(B1750),IF('Hill'!$B$4=1,IF(B1750&lt;0,-B1750,""),IF('Hill'!$B$4=2,IF(B1750&gt;0,B1750,""),IF('Hill'!$B$4=3,IF(B1750&lt;&gt;0,ABS(B1750),""),""))),"")</x:f>
      </x:c>
    </x:row>
    <x:row r="1751">
      <x:c r="A1751" t="n">
        <x:f>1750</x:f>
        <x:v>1750</x:v>
      </x:c>
      <x:c r="B1751" s="7" t="str">
        <x:f>IF('요약'!$B$4=4,IF(ISNUMBER('input'!A1751),'input'!A1751,""),IF(1750&lt;=1000,CHOOSE('요약'!$B$4,'input'!B1751,'input'!C1751,'input'!D1751),""))</x:f>
      </x:c>
      <x:c r="C1751" s="7" t="str">
        <x:f>IF(AND(ISNUMBER(B1751),'요약'!$B$19),B1751-'요약'!$B$7,"")</x:f>
      </x:c>
      <x:c r="D1751" s="7" t="str">
        <x:f>IF(ISNUMBER(C1751),C1751^2,"")</x:f>
      </x:c>
      <x:c r="E1751" s="15" t="str">
        <x:f>IF(ISNUMBER(C1751),C1751^3,"")</x:f>
      </x:c>
      <x:c r="F1751" s="15" t="str">
        <x:f>IF(ISNUMBER(C1751),C1751^4,"")</x:f>
      </x:c>
      <x:c r="G1751" s="7" t="str">
        <x:f>IF(ISNUMBER(B1751),ABS(B1751),"")</x:f>
      </x:c>
      <x:c r="H1751" s="7" t="str">
        <x:f>IF(ISNUMBER(B1751),B1751^2,"")</x:f>
      </x:c>
      <x:c r="I1751" s="7" t="str">
        <x:f>IF(AND(ISNUMBER(G1751),'요약'!$B$19),G1751-'요약'!$B$14,"")</x:f>
      </x:c>
      <x:c r="J1751" s="7" t="str">
        <x:f>IF(AND(ISNUMBER(H1751),'요약'!$B$19),H1751-'요약'!$B$15,"")</x:f>
      </x:c>
      <x:c r="K1751" t="str">
        <x:f>IF(ISNUMBER(B1751),IF('Hill'!$B$4=1,IF(B1751&lt;0,-B1751,""),IF('Hill'!$B$4=2,IF(B1751&gt;0,B1751,""),IF('Hill'!$B$4=3,IF(B1751&lt;&gt;0,ABS(B1751),""),""))),"")</x:f>
      </x:c>
    </x:row>
    <x:row r="1752">
      <x:c r="A1752" t="n">
        <x:f>1751</x:f>
        <x:v>1751</x:v>
      </x:c>
      <x:c r="B1752" s="7" t="str">
        <x:f>IF('요약'!$B$4=4,IF(ISNUMBER('input'!A1752),'input'!A1752,""),IF(1751&lt;=1000,CHOOSE('요약'!$B$4,'input'!B1752,'input'!C1752,'input'!D1752),""))</x:f>
      </x:c>
      <x:c r="C1752" s="7" t="str">
        <x:f>IF(AND(ISNUMBER(B1752),'요약'!$B$19),B1752-'요약'!$B$7,"")</x:f>
      </x:c>
      <x:c r="D1752" s="7" t="str">
        <x:f>IF(ISNUMBER(C1752),C1752^2,"")</x:f>
      </x:c>
      <x:c r="E1752" s="15" t="str">
        <x:f>IF(ISNUMBER(C1752),C1752^3,"")</x:f>
      </x:c>
      <x:c r="F1752" s="15" t="str">
        <x:f>IF(ISNUMBER(C1752),C1752^4,"")</x:f>
      </x:c>
      <x:c r="G1752" s="7" t="str">
        <x:f>IF(ISNUMBER(B1752),ABS(B1752),"")</x:f>
      </x:c>
      <x:c r="H1752" s="7" t="str">
        <x:f>IF(ISNUMBER(B1752),B1752^2,"")</x:f>
      </x:c>
      <x:c r="I1752" s="7" t="str">
        <x:f>IF(AND(ISNUMBER(G1752),'요약'!$B$19),G1752-'요약'!$B$14,"")</x:f>
      </x:c>
      <x:c r="J1752" s="7" t="str">
        <x:f>IF(AND(ISNUMBER(H1752),'요약'!$B$19),H1752-'요약'!$B$15,"")</x:f>
      </x:c>
      <x:c r="K1752" t="str">
        <x:f>IF(ISNUMBER(B1752),IF('Hill'!$B$4=1,IF(B1752&lt;0,-B1752,""),IF('Hill'!$B$4=2,IF(B1752&gt;0,B1752,""),IF('Hill'!$B$4=3,IF(B1752&lt;&gt;0,ABS(B1752),""),""))),"")</x:f>
      </x:c>
    </x:row>
    <x:row r="1753">
      <x:c r="A1753" t="n">
        <x:f>1752</x:f>
        <x:v>1752</x:v>
      </x:c>
      <x:c r="B1753" s="7" t="str">
        <x:f>IF('요약'!$B$4=4,IF(ISNUMBER('input'!A1753),'input'!A1753,""),IF(1752&lt;=1000,CHOOSE('요약'!$B$4,'input'!B1753,'input'!C1753,'input'!D1753),""))</x:f>
      </x:c>
      <x:c r="C1753" s="7" t="str">
        <x:f>IF(AND(ISNUMBER(B1753),'요약'!$B$19),B1753-'요약'!$B$7,"")</x:f>
      </x:c>
      <x:c r="D1753" s="7" t="str">
        <x:f>IF(ISNUMBER(C1753),C1753^2,"")</x:f>
      </x:c>
      <x:c r="E1753" s="15" t="str">
        <x:f>IF(ISNUMBER(C1753),C1753^3,"")</x:f>
      </x:c>
      <x:c r="F1753" s="15" t="str">
        <x:f>IF(ISNUMBER(C1753),C1753^4,"")</x:f>
      </x:c>
      <x:c r="G1753" s="7" t="str">
        <x:f>IF(ISNUMBER(B1753),ABS(B1753),"")</x:f>
      </x:c>
      <x:c r="H1753" s="7" t="str">
        <x:f>IF(ISNUMBER(B1753),B1753^2,"")</x:f>
      </x:c>
      <x:c r="I1753" s="7" t="str">
        <x:f>IF(AND(ISNUMBER(G1753),'요약'!$B$19),G1753-'요약'!$B$14,"")</x:f>
      </x:c>
      <x:c r="J1753" s="7" t="str">
        <x:f>IF(AND(ISNUMBER(H1753),'요약'!$B$19),H1753-'요약'!$B$15,"")</x:f>
      </x:c>
      <x:c r="K1753" t="str">
        <x:f>IF(ISNUMBER(B1753),IF('Hill'!$B$4=1,IF(B1753&lt;0,-B1753,""),IF('Hill'!$B$4=2,IF(B1753&gt;0,B1753,""),IF('Hill'!$B$4=3,IF(B1753&lt;&gt;0,ABS(B1753),""),""))),"")</x:f>
      </x:c>
    </x:row>
    <x:row r="1754">
      <x:c r="A1754" t="n">
        <x:f>1753</x:f>
        <x:v>1753</x:v>
      </x:c>
      <x:c r="B1754" s="7" t="str">
        <x:f>IF('요약'!$B$4=4,IF(ISNUMBER('input'!A1754),'input'!A1754,""),IF(1753&lt;=1000,CHOOSE('요약'!$B$4,'input'!B1754,'input'!C1754,'input'!D1754),""))</x:f>
      </x:c>
      <x:c r="C1754" s="7" t="str">
        <x:f>IF(AND(ISNUMBER(B1754),'요약'!$B$19),B1754-'요약'!$B$7,"")</x:f>
      </x:c>
      <x:c r="D1754" s="7" t="str">
        <x:f>IF(ISNUMBER(C1754),C1754^2,"")</x:f>
      </x:c>
      <x:c r="E1754" s="15" t="str">
        <x:f>IF(ISNUMBER(C1754),C1754^3,"")</x:f>
      </x:c>
      <x:c r="F1754" s="15" t="str">
        <x:f>IF(ISNUMBER(C1754),C1754^4,"")</x:f>
      </x:c>
      <x:c r="G1754" s="7" t="str">
        <x:f>IF(ISNUMBER(B1754),ABS(B1754),"")</x:f>
      </x:c>
      <x:c r="H1754" s="7" t="str">
        <x:f>IF(ISNUMBER(B1754),B1754^2,"")</x:f>
      </x:c>
      <x:c r="I1754" s="7" t="str">
        <x:f>IF(AND(ISNUMBER(G1754),'요약'!$B$19),G1754-'요약'!$B$14,"")</x:f>
      </x:c>
      <x:c r="J1754" s="7" t="str">
        <x:f>IF(AND(ISNUMBER(H1754),'요약'!$B$19),H1754-'요약'!$B$15,"")</x:f>
      </x:c>
      <x:c r="K1754" t="str">
        <x:f>IF(ISNUMBER(B1754),IF('Hill'!$B$4=1,IF(B1754&lt;0,-B1754,""),IF('Hill'!$B$4=2,IF(B1754&gt;0,B1754,""),IF('Hill'!$B$4=3,IF(B1754&lt;&gt;0,ABS(B1754),""),""))),"")</x:f>
      </x:c>
    </x:row>
    <x:row r="1755">
      <x:c r="A1755" t="n">
        <x:f>1754</x:f>
        <x:v>1754</x:v>
      </x:c>
      <x:c r="B1755" s="7" t="str">
        <x:f>IF('요약'!$B$4=4,IF(ISNUMBER('input'!A1755),'input'!A1755,""),IF(1754&lt;=1000,CHOOSE('요약'!$B$4,'input'!B1755,'input'!C1755,'input'!D1755),""))</x:f>
      </x:c>
      <x:c r="C1755" s="7" t="str">
        <x:f>IF(AND(ISNUMBER(B1755),'요약'!$B$19),B1755-'요약'!$B$7,"")</x:f>
      </x:c>
      <x:c r="D1755" s="7" t="str">
        <x:f>IF(ISNUMBER(C1755),C1755^2,"")</x:f>
      </x:c>
      <x:c r="E1755" s="15" t="str">
        <x:f>IF(ISNUMBER(C1755),C1755^3,"")</x:f>
      </x:c>
      <x:c r="F1755" s="15" t="str">
        <x:f>IF(ISNUMBER(C1755),C1755^4,"")</x:f>
      </x:c>
      <x:c r="G1755" s="7" t="str">
        <x:f>IF(ISNUMBER(B1755),ABS(B1755),"")</x:f>
      </x:c>
      <x:c r="H1755" s="7" t="str">
        <x:f>IF(ISNUMBER(B1755),B1755^2,"")</x:f>
      </x:c>
      <x:c r="I1755" s="7" t="str">
        <x:f>IF(AND(ISNUMBER(G1755),'요약'!$B$19),G1755-'요약'!$B$14,"")</x:f>
      </x:c>
      <x:c r="J1755" s="7" t="str">
        <x:f>IF(AND(ISNUMBER(H1755),'요약'!$B$19),H1755-'요약'!$B$15,"")</x:f>
      </x:c>
      <x:c r="K1755" t="str">
        <x:f>IF(ISNUMBER(B1755),IF('Hill'!$B$4=1,IF(B1755&lt;0,-B1755,""),IF('Hill'!$B$4=2,IF(B1755&gt;0,B1755,""),IF('Hill'!$B$4=3,IF(B1755&lt;&gt;0,ABS(B1755),""),""))),"")</x:f>
      </x:c>
    </x:row>
    <x:row r="1756">
      <x:c r="A1756" t="n">
        <x:f>1755</x:f>
        <x:v>1755</x:v>
      </x:c>
      <x:c r="B1756" s="7" t="str">
        <x:f>IF('요약'!$B$4=4,IF(ISNUMBER('input'!A1756),'input'!A1756,""),IF(1755&lt;=1000,CHOOSE('요약'!$B$4,'input'!B1756,'input'!C1756,'input'!D1756),""))</x:f>
      </x:c>
      <x:c r="C1756" s="7" t="str">
        <x:f>IF(AND(ISNUMBER(B1756),'요약'!$B$19),B1756-'요약'!$B$7,"")</x:f>
      </x:c>
      <x:c r="D1756" s="7" t="str">
        <x:f>IF(ISNUMBER(C1756),C1756^2,"")</x:f>
      </x:c>
      <x:c r="E1756" s="15" t="str">
        <x:f>IF(ISNUMBER(C1756),C1756^3,"")</x:f>
      </x:c>
      <x:c r="F1756" s="15" t="str">
        <x:f>IF(ISNUMBER(C1756),C1756^4,"")</x:f>
      </x:c>
      <x:c r="G1756" s="7" t="str">
        <x:f>IF(ISNUMBER(B1756),ABS(B1756),"")</x:f>
      </x:c>
      <x:c r="H1756" s="7" t="str">
        <x:f>IF(ISNUMBER(B1756),B1756^2,"")</x:f>
      </x:c>
      <x:c r="I1756" s="7" t="str">
        <x:f>IF(AND(ISNUMBER(G1756),'요약'!$B$19),G1756-'요약'!$B$14,"")</x:f>
      </x:c>
      <x:c r="J1756" s="7" t="str">
        <x:f>IF(AND(ISNUMBER(H1756),'요약'!$B$19),H1756-'요약'!$B$15,"")</x:f>
      </x:c>
      <x:c r="K1756" t="str">
        <x:f>IF(ISNUMBER(B1756),IF('Hill'!$B$4=1,IF(B1756&lt;0,-B1756,""),IF('Hill'!$B$4=2,IF(B1756&gt;0,B1756,""),IF('Hill'!$B$4=3,IF(B1756&lt;&gt;0,ABS(B1756),""),""))),"")</x:f>
      </x:c>
    </x:row>
    <x:row r="1757">
      <x:c r="A1757" t="n">
        <x:f>1756</x:f>
        <x:v>1756</x:v>
      </x:c>
      <x:c r="B1757" s="7" t="str">
        <x:f>IF('요약'!$B$4=4,IF(ISNUMBER('input'!A1757),'input'!A1757,""),IF(1756&lt;=1000,CHOOSE('요약'!$B$4,'input'!B1757,'input'!C1757,'input'!D1757),""))</x:f>
      </x:c>
      <x:c r="C1757" s="7" t="str">
        <x:f>IF(AND(ISNUMBER(B1757),'요약'!$B$19),B1757-'요약'!$B$7,"")</x:f>
      </x:c>
      <x:c r="D1757" s="7" t="str">
        <x:f>IF(ISNUMBER(C1757),C1757^2,"")</x:f>
      </x:c>
      <x:c r="E1757" s="15" t="str">
        <x:f>IF(ISNUMBER(C1757),C1757^3,"")</x:f>
      </x:c>
      <x:c r="F1757" s="15" t="str">
        <x:f>IF(ISNUMBER(C1757),C1757^4,"")</x:f>
      </x:c>
      <x:c r="G1757" s="7" t="str">
        <x:f>IF(ISNUMBER(B1757),ABS(B1757),"")</x:f>
      </x:c>
      <x:c r="H1757" s="7" t="str">
        <x:f>IF(ISNUMBER(B1757),B1757^2,"")</x:f>
      </x:c>
      <x:c r="I1757" s="7" t="str">
        <x:f>IF(AND(ISNUMBER(G1757),'요약'!$B$19),G1757-'요약'!$B$14,"")</x:f>
      </x:c>
      <x:c r="J1757" s="7" t="str">
        <x:f>IF(AND(ISNUMBER(H1757),'요약'!$B$19),H1757-'요약'!$B$15,"")</x:f>
      </x:c>
      <x:c r="K1757" t="str">
        <x:f>IF(ISNUMBER(B1757),IF('Hill'!$B$4=1,IF(B1757&lt;0,-B1757,""),IF('Hill'!$B$4=2,IF(B1757&gt;0,B1757,""),IF('Hill'!$B$4=3,IF(B1757&lt;&gt;0,ABS(B1757),""),""))),"")</x:f>
      </x:c>
    </x:row>
    <x:row r="1758">
      <x:c r="A1758" t="n">
        <x:f>1757</x:f>
        <x:v>1757</x:v>
      </x:c>
      <x:c r="B1758" s="7" t="str">
        <x:f>IF('요약'!$B$4=4,IF(ISNUMBER('input'!A1758),'input'!A1758,""),IF(1757&lt;=1000,CHOOSE('요약'!$B$4,'input'!B1758,'input'!C1758,'input'!D1758),""))</x:f>
      </x:c>
      <x:c r="C1758" s="7" t="str">
        <x:f>IF(AND(ISNUMBER(B1758),'요약'!$B$19),B1758-'요약'!$B$7,"")</x:f>
      </x:c>
      <x:c r="D1758" s="7" t="str">
        <x:f>IF(ISNUMBER(C1758),C1758^2,"")</x:f>
      </x:c>
      <x:c r="E1758" s="15" t="str">
        <x:f>IF(ISNUMBER(C1758),C1758^3,"")</x:f>
      </x:c>
      <x:c r="F1758" s="15" t="str">
        <x:f>IF(ISNUMBER(C1758),C1758^4,"")</x:f>
      </x:c>
      <x:c r="G1758" s="7" t="str">
        <x:f>IF(ISNUMBER(B1758),ABS(B1758),"")</x:f>
      </x:c>
      <x:c r="H1758" s="7" t="str">
        <x:f>IF(ISNUMBER(B1758),B1758^2,"")</x:f>
      </x:c>
      <x:c r="I1758" s="7" t="str">
        <x:f>IF(AND(ISNUMBER(G1758),'요약'!$B$19),G1758-'요약'!$B$14,"")</x:f>
      </x:c>
      <x:c r="J1758" s="7" t="str">
        <x:f>IF(AND(ISNUMBER(H1758),'요약'!$B$19),H1758-'요약'!$B$15,"")</x:f>
      </x:c>
      <x:c r="K1758" t="str">
        <x:f>IF(ISNUMBER(B1758),IF('Hill'!$B$4=1,IF(B1758&lt;0,-B1758,""),IF('Hill'!$B$4=2,IF(B1758&gt;0,B1758,""),IF('Hill'!$B$4=3,IF(B1758&lt;&gt;0,ABS(B1758),""),""))),"")</x:f>
      </x:c>
    </x:row>
    <x:row r="1759">
      <x:c r="A1759" t="n">
        <x:f>1758</x:f>
        <x:v>1758</x:v>
      </x:c>
      <x:c r="B1759" s="7" t="str">
        <x:f>IF('요약'!$B$4=4,IF(ISNUMBER('input'!A1759),'input'!A1759,""),IF(1758&lt;=1000,CHOOSE('요약'!$B$4,'input'!B1759,'input'!C1759,'input'!D1759),""))</x:f>
      </x:c>
      <x:c r="C1759" s="7" t="str">
        <x:f>IF(AND(ISNUMBER(B1759),'요약'!$B$19),B1759-'요약'!$B$7,"")</x:f>
      </x:c>
      <x:c r="D1759" s="7" t="str">
        <x:f>IF(ISNUMBER(C1759),C1759^2,"")</x:f>
      </x:c>
      <x:c r="E1759" s="15" t="str">
        <x:f>IF(ISNUMBER(C1759),C1759^3,"")</x:f>
      </x:c>
      <x:c r="F1759" s="15" t="str">
        <x:f>IF(ISNUMBER(C1759),C1759^4,"")</x:f>
      </x:c>
      <x:c r="G1759" s="7" t="str">
        <x:f>IF(ISNUMBER(B1759),ABS(B1759),"")</x:f>
      </x:c>
      <x:c r="H1759" s="7" t="str">
        <x:f>IF(ISNUMBER(B1759),B1759^2,"")</x:f>
      </x:c>
      <x:c r="I1759" s="7" t="str">
        <x:f>IF(AND(ISNUMBER(G1759),'요약'!$B$19),G1759-'요약'!$B$14,"")</x:f>
      </x:c>
      <x:c r="J1759" s="7" t="str">
        <x:f>IF(AND(ISNUMBER(H1759),'요약'!$B$19),H1759-'요약'!$B$15,"")</x:f>
      </x:c>
      <x:c r="K1759" t="str">
        <x:f>IF(ISNUMBER(B1759),IF('Hill'!$B$4=1,IF(B1759&lt;0,-B1759,""),IF('Hill'!$B$4=2,IF(B1759&gt;0,B1759,""),IF('Hill'!$B$4=3,IF(B1759&lt;&gt;0,ABS(B1759),""),""))),"")</x:f>
      </x:c>
    </x:row>
    <x:row r="1760">
      <x:c r="A1760" t="n">
        <x:f>1759</x:f>
        <x:v>1759</x:v>
      </x:c>
      <x:c r="B1760" s="7" t="str">
        <x:f>IF('요약'!$B$4=4,IF(ISNUMBER('input'!A1760),'input'!A1760,""),IF(1759&lt;=1000,CHOOSE('요약'!$B$4,'input'!B1760,'input'!C1760,'input'!D1760),""))</x:f>
      </x:c>
      <x:c r="C1760" s="7" t="str">
        <x:f>IF(AND(ISNUMBER(B1760),'요약'!$B$19),B1760-'요약'!$B$7,"")</x:f>
      </x:c>
      <x:c r="D1760" s="7" t="str">
        <x:f>IF(ISNUMBER(C1760),C1760^2,"")</x:f>
      </x:c>
      <x:c r="E1760" s="15" t="str">
        <x:f>IF(ISNUMBER(C1760),C1760^3,"")</x:f>
      </x:c>
      <x:c r="F1760" s="15" t="str">
        <x:f>IF(ISNUMBER(C1760),C1760^4,"")</x:f>
      </x:c>
      <x:c r="G1760" s="7" t="str">
        <x:f>IF(ISNUMBER(B1760),ABS(B1760),"")</x:f>
      </x:c>
      <x:c r="H1760" s="7" t="str">
        <x:f>IF(ISNUMBER(B1760),B1760^2,"")</x:f>
      </x:c>
      <x:c r="I1760" s="7" t="str">
        <x:f>IF(AND(ISNUMBER(G1760),'요약'!$B$19),G1760-'요약'!$B$14,"")</x:f>
      </x:c>
      <x:c r="J1760" s="7" t="str">
        <x:f>IF(AND(ISNUMBER(H1760),'요약'!$B$19),H1760-'요약'!$B$15,"")</x:f>
      </x:c>
      <x:c r="K1760" t="str">
        <x:f>IF(ISNUMBER(B1760),IF('Hill'!$B$4=1,IF(B1760&lt;0,-B1760,""),IF('Hill'!$B$4=2,IF(B1760&gt;0,B1760,""),IF('Hill'!$B$4=3,IF(B1760&lt;&gt;0,ABS(B1760),""),""))),"")</x:f>
      </x:c>
    </x:row>
    <x:row r="1761">
      <x:c r="A1761" t="n">
        <x:f>1760</x:f>
        <x:v>1760</x:v>
      </x:c>
      <x:c r="B1761" s="7" t="str">
        <x:f>IF('요약'!$B$4=4,IF(ISNUMBER('input'!A1761),'input'!A1761,""),IF(1760&lt;=1000,CHOOSE('요약'!$B$4,'input'!B1761,'input'!C1761,'input'!D1761),""))</x:f>
      </x:c>
      <x:c r="C1761" s="7" t="str">
        <x:f>IF(AND(ISNUMBER(B1761),'요약'!$B$19),B1761-'요약'!$B$7,"")</x:f>
      </x:c>
      <x:c r="D1761" s="7" t="str">
        <x:f>IF(ISNUMBER(C1761),C1761^2,"")</x:f>
      </x:c>
      <x:c r="E1761" s="15" t="str">
        <x:f>IF(ISNUMBER(C1761),C1761^3,"")</x:f>
      </x:c>
      <x:c r="F1761" s="15" t="str">
        <x:f>IF(ISNUMBER(C1761),C1761^4,"")</x:f>
      </x:c>
      <x:c r="G1761" s="7" t="str">
        <x:f>IF(ISNUMBER(B1761),ABS(B1761),"")</x:f>
      </x:c>
      <x:c r="H1761" s="7" t="str">
        <x:f>IF(ISNUMBER(B1761),B1761^2,"")</x:f>
      </x:c>
      <x:c r="I1761" s="7" t="str">
        <x:f>IF(AND(ISNUMBER(G1761),'요약'!$B$19),G1761-'요약'!$B$14,"")</x:f>
      </x:c>
      <x:c r="J1761" s="7" t="str">
        <x:f>IF(AND(ISNUMBER(H1761),'요약'!$B$19),H1761-'요약'!$B$15,"")</x:f>
      </x:c>
      <x:c r="K1761" t="str">
        <x:f>IF(ISNUMBER(B1761),IF('Hill'!$B$4=1,IF(B1761&lt;0,-B1761,""),IF('Hill'!$B$4=2,IF(B1761&gt;0,B1761,""),IF('Hill'!$B$4=3,IF(B1761&lt;&gt;0,ABS(B1761),""),""))),"")</x:f>
      </x:c>
    </x:row>
    <x:row r="1762">
      <x:c r="A1762" t="n">
        <x:f>1761</x:f>
        <x:v>1761</x:v>
      </x:c>
      <x:c r="B1762" s="7" t="str">
        <x:f>IF('요약'!$B$4=4,IF(ISNUMBER('input'!A1762),'input'!A1762,""),IF(1761&lt;=1000,CHOOSE('요약'!$B$4,'input'!B1762,'input'!C1762,'input'!D1762),""))</x:f>
      </x:c>
      <x:c r="C1762" s="7" t="str">
        <x:f>IF(AND(ISNUMBER(B1762),'요약'!$B$19),B1762-'요약'!$B$7,"")</x:f>
      </x:c>
      <x:c r="D1762" s="7" t="str">
        <x:f>IF(ISNUMBER(C1762),C1762^2,"")</x:f>
      </x:c>
      <x:c r="E1762" s="15" t="str">
        <x:f>IF(ISNUMBER(C1762),C1762^3,"")</x:f>
      </x:c>
      <x:c r="F1762" s="15" t="str">
        <x:f>IF(ISNUMBER(C1762),C1762^4,"")</x:f>
      </x:c>
      <x:c r="G1762" s="7" t="str">
        <x:f>IF(ISNUMBER(B1762),ABS(B1762),"")</x:f>
      </x:c>
      <x:c r="H1762" s="7" t="str">
        <x:f>IF(ISNUMBER(B1762),B1762^2,"")</x:f>
      </x:c>
      <x:c r="I1762" s="7" t="str">
        <x:f>IF(AND(ISNUMBER(G1762),'요약'!$B$19),G1762-'요약'!$B$14,"")</x:f>
      </x:c>
      <x:c r="J1762" s="7" t="str">
        <x:f>IF(AND(ISNUMBER(H1762),'요약'!$B$19),H1762-'요약'!$B$15,"")</x:f>
      </x:c>
      <x:c r="K1762" t="str">
        <x:f>IF(ISNUMBER(B1762),IF('Hill'!$B$4=1,IF(B1762&lt;0,-B1762,""),IF('Hill'!$B$4=2,IF(B1762&gt;0,B1762,""),IF('Hill'!$B$4=3,IF(B1762&lt;&gt;0,ABS(B1762),""),""))),"")</x:f>
      </x:c>
    </x:row>
    <x:row r="1763">
      <x:c r="A1763" t="n">
        <x:f>1762</x:f>
        <x:v>1762</x:v>
      </x:c>
      <x:c r="B1763" s="7" t="str">
        <x:f>IF('요약'!$B$4=4,IF(ISNUMBER('input'!A1763),'input'!A1763,""),IF(1762&lt;=1000,CHOOSE('요약'!$B$4,'input'!B1763,'input'!C1763,'input'!D1763),""))</x:f>
      </x:c>
      <x:c r="C1763" s="7" t="str">
        <x:f>IF(AND(ISNUMBER(B1763),'요약'!$B$19),B1763-'요약'!$B$7,"")</x:f>
      </x:c>
      <x:c r="D1763" s="7" t="str">
        <x:f>IF(ISNUMBER(C1763),C1763^2,"")</x:f>
      </x:c>
      <x:c r="E1763" s="15" t="str">
        <x:f>IF(ISNUMBER(C1763),C1763^3,"")</x:f>
      </x:c>
      <x:c r="F1763" s="15" t="str">
        <x:f>IF(ISNUMBER(C1763),C1763^4,"")</x:f>
      </x:c>
      <x:c r="G1763" s="7" t="str">
        <x:f>IF(ISNUMBER(B1763),ABS(B1763),"")</x:f>
      </x:c>
      <x:c r="H1763" s="7" t="str">
        <x:f>IF(ISNUMBER(B1763),B1763^2,"")</x:f>
      </x:c>
      <x:c r="I1763" s="7" t="str">
        <x:f>IF(AND(ISNUMBER(G1763),'요약'!$B$19),G1763-'요약'!$B$14,"")</x:f>
      </x:c>
      <x:c r="J1763" s="7" t="str">
        <x:f>IF(AND(ISNUMBER(H1763),'요약'!$B$19),H1763-'요약'!$B$15,"")</x:f>
      </x:c>
      <x:c r="K1763" t="str">
        <x:f>IF(ISNUMBER(B1763),IF('Hill'!$B$4=1,IF(B1763&lt;0,-B1763,""),IF('Hill'!$B$4=2,IF(B1763&gt;0,B1763,""),IF('Hill'!$B$4=3,IF(B1763&lt;&gt;0,ABS(B1763),""),""))),"")</x:f>
      </x:c>
    </x:row>
    <x:row r="1764">
      <x:c r="A1764" t="n">
        <x:f>1763</x:f>
        <x:v>1763</x:v>
      </x:c>
      <x:c r="B1764" s="7" t="str">
        <x:f>IF('요약'!$B$4=4,IF(ISNUMBER('input'!A1764),'input'!A1764,""),IF(1763&lt;=1000,CHOOSE('요약'!$B$4,'input'!B1764,'input'!C1764,'input'!D1764),""))</x:f>
      </x:c>
      <x:c r="C1764" s="7" t="str">
        <x:f>IF(AND(ISNUMBER(B1764),'요약'!$B$19),B1764-'요약'!$B$7,"")</x:f>
      </x:c>
      <x:c r="D1764" s="7" t="str">
        <x:f>IF(ISNUMBER(C1764),C1764^2,"")</x:f>
      </x:c>
      <x:c r="E1764" s="15" t="str">
        <x:f>IF(ISNUMBER(C1764),C1764^3,"")</x:f>
      </x:c>
      <x:c r="F1764" s="15" t="str">
        <x:f>IF(ISNUMBER(C1764),C1764^4,"")</x:f>
      </x:c>
      <x:c r="G1764" s="7" t="str">
        <x:f>IF(ISNUMBER(B1764),ABS(B1764),"")</x:f>
      </x:c>
      <x:c r="H1764" s="7" t="str">
        <x:f>IF(ISNUMBER(B1764),B1764^2,"")</x:f>
      </x:c>
      <x:c r="I1764" s="7" t="str">
        <x:f>IF(AND(ISNUMBER(G1764),'요약'!$B$19),G1764-'요약'!$B$14,"")</x:f>
      </x:c>
      <x:c r="J1764" s="7" t="str">
        <x:f>IF(AND(ISNUMBER(H1764),'요약'!$B$19),H1764-'요약'!$B$15,"")</x:f>
      </x:c>
      <x:c r="K1764" t="str">
        <x:f>IF(ISNUMBER(B1764),IF('Hill'!$B$4=1,IF(B1764&lt;0,-B1764,""),IF('Hill'!$B$4=2,IF(B1764&gt;0,B1764,""),IF('Hill'!$B$4=3,IF(B1764&lt;&gt;0,ABS(B1764),""),""))),"")</x:f>
      </x:c>
    </x:row>
    <x:row r="1765">
      <x:c r="A1765" t="n">
        <x:f>1764</x:f>
        <x:v>1764</x:v>
      </x:c>
      <x:c r="B1765" s="7" t="str">
        <x:f>IF('요약'!$B$4=4,IF(ISNUMBER('input'!A1765),'input'!A1765,""),IF(1764&lt;=1000,CHOOSE('요약'!$B$4,'input'!B1765,'input'!C1765,'input'!D1765),""))</x:f>
      </x:c>
      <x:c r="C1765" s="7" t="str">
        <x:f>IF(AND(ISNUMBER(B1765),'요약'!$B$19),B1765-'요약'!$B$7,"")</x:f>
      </x:c>
      <x:c r="D1765" s="7" t="str">
        <x:f>IF(ISNUMBER(C1765),C1765^2,"")</x:f>
      </x:c>
      <x:c r="E1765" s="15" t="str">
        <x:f>IF(ISNUMBER(C1765),C1765^3,"")</x:f>
      </x:c>
      <x:c r="F1765" s="15" t="str">
        <x:f>IF(ISNUMBER(C1765),C1765^4,"")</x:f>
      </x:c>
      <x:c r="G1765" s="7" t="str">
        <x:f>IF(ISNUMBER(B1765),ABS(B1765),"")</x:f>
      </x:c>
      <x:c r="H1765" s="7" t="str">
        <x:f>IF(ISNUMBER(B1765),B1765^2,"")</x:f>
      </x:c>
      <x:c r="I1765" s="7" t="str">
        <x:f>IF(AND(ISNUMBER(G1765),'요약'!$B$19),G1765-'요약'!$B$14,"")</x:f>
      </x:c>
      <x:c r="J1765" s="7" t="str">
        <x:f>IF(AND(ISNUMBER(H1765),'요약'!$B$19),H1765-'요약'!$B$15,"")</x:f>
      </x:c>
      <x:c r="K1765" t="str">
        <x:f>IF(ISNUMBER(B1765),IF('Hill'!$B$4=1,IF(B1765&lt;0,-B1765,""),IF('Hill'!$B$4=2,IF(B1765&gt;0,B1765,""),IF('Hill'!$B$4=3,IF(B1765&lt;&gt;0,ABS(B1765),""),""))),"")</x:f>
      </x:c>
    </x:row>
    <x:row r="1766">
      <x:c r="A1766" t="n">
        <x:f>1765</x:f>
        <x:v>1765</x:v>
      </x:c>
      <x:c r="B1766" s="7" t="str">
        <x:f>IF('요약'!$B$4=4,IF(ISNUMBER('input'!A1766),'input'!A1766,""),IF(1765&lt;=1000,CHOOSE('요약'!$B$4,'input'!B1766,'input'!C1766,'input'!D1766),""))</x:f>
      </x:c>
      <x:c r="C1766" s="7" t="str">
        <x:f>IF(AND(ISNUMBER(B1766),'요약'!$B$19),B1766-'요약'!$B$7,"")</x:f>
      </x:c>
      <x:c r="D1766" s="7" t="str">
        <x:f>IF(ISNUMBER(C1766),C1766^2,"")</x:f>
      </x:c>
      <x:c r="E1766" s="15" t="str">
        <x:f>IF(ISNUMBER(C1766),C1766^3,"")</x:f>
      </x:c>
      <x:c r="F1766" s="15" t="str">
        <x:f>IF(ISNUMBER(C1766),C1766^4,"")</x:f>
      </x:c>
      <x:c r="G1766" s="7" t="str">
        <x:f>IF(ISNUMBER(B1766),ABS(B1766),"")</x:f>
      </x:c>
      <x:c r="H1766" s="7" t="str">
        <x:f>IF(ISNUMBER(B1766),B1766^2,"")</x:f>
      </x:c>
      <x:c r="I1766" s="7" t="str">
        <x:f>IF(AND(ISNUMBER(G1766),'요약'!$B$19),G1766-'요약'!$B$14,"")</x:f>
      </x:c>
      <x:c r="J1766" s="7" t="str">
        <x:f>IF(AND(ISNUMBER(H1766),'요약'!$B$19),H1766-'요약'!$B$15,"")</x:f>
      </x:c>
      <x:c r="K1766" t="str">
        <x:f>IF(ISNUMBER(B1766),IF('Hill'!$B$4=1,IF(B1766&lt;0,-B1766,""),IF('Hill'!$B$4=2,IF(B1766&gt;0,B1766,""),IF('Hill'!$B$4=3,IF(B1766&lt;&gt;0,ABS(B1766),""),""))),"")</x:f>
      </x:c>
    </x:row>
    <x:row r="1767">
      <x:c r="A1767" t="n">
        <x:f>1766</x:f>
        <x:v>1766</x:v>
      </x:c>
      <x:c r="B1767" s="7" t="str">
        <x:f>IF('요약'!$B$4=4,IF(ISNUMBER('input'!A1767),'input'!A1767,""),IF(1766&lt;=1000,CHOOSE('요약'!$B$4,'input'!B1767,'input'!C1767,'input'!D1767),""))</x:f>
      </x:c>
      <x:c r="C1767" s="7" t="str">
        <x:f>IF(AND(ISNUMBER(B1767),'요약'!$B$19),B1767-'요약'!$B$7,"")</x:f>
      </x:c>
      <x:c r="D1767" s="7" t="str">
        <x:f>IF(ISNUMBER(C1767),C1767^2,"")</x:f>
      </x:c>
      <x:c r="E1767" s="15" t="str">
        <x:f>IF(ISNUMBER(C1767),C1767^3,"")</x:f>
      </x:c>
      <x:c r="F1767" s="15" t="str">
        <x:f>IF(ISNUMBER(C1767),C1767^4,"")</x:f>
      </x:c>
      <x:c r="G1767" s="7" t="str">
        <x:f>IF(ISNUMBER(B1767),ABS(B1767),"")</x:f>
      </x:c>
      <x:c r="H1767" s="7" t="str">
        <x:f>IF(ISNUMBER(B1767),B1767^2,"")</x:f>
      </x:c>
      <x:c r="I1767" s="7" t="str">
        <x:f>IF(AND(ISNUMBER(G1767),'요약'!$B$19),G1767-'요약'!$B$14,"")</x:f>
      </x:c>
      <x:c r="J1767" s="7" t="str">
        <x:f>IF(AND(ISNUMBER(H1767),'요약'!$B$19),H1767-'요약'!$B$15,"")</x:f>
      </x:c>
      <x:c r="K1767" t="str">
        <x:f>IF(ISNUMBER(B1767),IF('Hill'!$B$4=1,IF(B1767&lt;0,-B1767,""),IF('Hill'!$B$4=2,IF(B1767&gt;0,B1767,""),IF('Hill'!$B$4=3,IF(B1767&lt;&gt;0,ABS(B1767),""),""))),"")</x:f>
      </x:c>
    </x:row>
    <x:row r="1768">
      <x:c r="A1768" t="n">
        <x:f>1767</x:f>
        <x:v>1767</x:v>
      </x:c>
      <x:c r="B1768" s="7" t="str">
        <x:f>IF('요약'!$B$4=4,IF(ISNUMBER('input'!A1768),'input'!A1768,""),IF(1767&lt;=1000,CHOOSE('요약'!$B$4,'input'!B1768,'input'!C1768,'input'!D1768),""))</x:f>
      </x:c>
      <x:c r="C1768" s="7" t="str">
        <x:f>IF(AND(ISNUMBER(B1768),'요약'!$B$19),B1768-'요약'!$B$7,"")</x:f>
      </x:c>
      <x:c r="D1768" s="7" t="str">
        <x:f>IF(ISNUMBER(C1768),C1768^2,"")</x:f>
      </x:c>
      <x:c r="E1768" s="15" t="str">
        <x:f>IF(ISNUMBER(C1768),C1768^3,"")</x:f>
      </x:c>
      <x:c r="F1768" s="15" t="str">
        <x:f>IF(ISNUMBER(C1768),C1768^4,"")</x:f>
      </x:c>
      <x:c r="G1768" s="7" t="str">
        <x:f>IF(ISNUMBER(B1768),ABS(B1768),"")</x:f>
      </x:c>
      <x:c r="H1768" s="7" t="str">
        <x:f>IF(ISNUMBER(B1768),B1768^2,"")</x:f>
      </x:c>
      <x:c r="I1768" s="7" t="str">
        <x:f>IF(AND(ISNUMBER(G1768),'요약'!$B$19),G1768-'요약'!$B$14,"")</x:f>
      </x:c>
      <x:c r="J1768" s="7" t="str">
        <x:f>IF(AND(ISNUMBER(H1768),'요약'!$B$19),H1768-'요약'!$B$15,"")</x:f>
      </x:c>
      <x:c r="K1768" t="str">
        <x:f>IF(ISNUMBER(B1768),IF('Hill'!$B$4=1,IF(B1768&lt;0,-B1768,""),IF('Hill'!$B$4=2,IF(B1768&gt;0,B1768,""),IF('Hill'!$B$4=3,IF(B1768&lt;&gt;0,ABS(B1768),""),""))),"")</x:f>
      </x:c>
    </x:row>
    <x:row r="1769">
      <x:c r="A1769" t="n">
        <x:f>1768</x:f>
        <x:v>1768</x:v>
      </x:c>
      <x:c r="B1769" s="7" t="str">
        <x:f>IF('요약'!$B$4=4,IF(ISNUMBER('input'!A1769),'input'!A1769,""),IF(1768&lt;=1000,CHOOSE('요약'!$B$4,'input'!B1769,'input'!C1769,'input'!D1769),""))</x:f>
      </x:c>
      <x:c r="C1769" s="7" t="str">
        <x:f>IF(AND(ISNUMBER(B1769),'요약'!$B$19),B1769-'요약'!$B$7,"")</x:f>
      </x:c>
      <x:c r="D1769" s="7" t="str">
        <x:f>IF(ISNUMBER(C1769),C1769^2,"")</x:f>
      </x:c>
      <x:c r="E1769" s="15" t="str">
        <x:f>IF(ISNUMBER(C1769),C1769^3,"")</x:f>
      </x:c>
      <x:c r="F1769" s="15" t="str">
        <x:f>IF(ISNUMBER(C1769),C1769^4,"")</x:f>
      </x:c>
      <x:c r="G1769" s="7" t="str">
        <x:f>IF(ISNUMBER(B1769),ABS(B1769),"")</x:f>
      </x:c>
      <x:c r="H1769" s="7" t="str">
        <x:f>IF(ISNUMBER(B1769),B1769^2,"")</x:f>
      </x:c>
      <x:c r="I1769" s="7" t="str">
        <x:f>IF(AND(ISNUMBER(G1769),'요약'!$B$19),G1769-'요약'!$B$14,"")</x:f>
      </x:c>
      <x:c r="J1769" s="7" t="str">
        <x:f>IF(AND(ISNUMBER(H1769),'요약'!$B$19),H1769-'요약'!$B$15,"")</x:f>
      </x:c>
      <x:c r="K1769" t="str">
        <x:f>IF(ISNUMBER(B1769),IF('Hill'!$B$4=1,IF(B1769&lt;0,-B1769,""),IF('Hill'!$B$4=2,IF(B1769&gt;0,B1769,""),IF('Hill'!$B$4=3,IF(B1769&lt;&gt;0,ABS(B1769),""),""))),"")</x:f>
      </x:c>
    </x:row>
    <x:row r="1770">
      <x:c r="A1770" t="n">
        <x:f>1769</x:f>
        <x:v>1769</x:v>
      </x:c>
      <x:c r="B1770" s="7" t="str">
        <x:f>IF('요약'!$B$4=4,IF(ISNUMBER('input'!A1770),'input'!A1770,""),IF(1769&lt;=1000,CHOOSE('요약'!$B$4,'input'!B1770,'input'!C1770,'input'!D1770),""))</x:f>
      </x:c>
      <x:c r="C1770" s="7" t="str">
        <x:f>IF(AND(ISNUMBER(B1770),'요약'!$B$19),B1770-'요약'!$B$7,"")</x:f>
      </x:c>
      <x:c r="D1770" s="7" t="str">
        <x:f>IF(ISNUMBER(C1770),C1770^2,"")</x:f>
      </x:c>
      <x:c r="E1770" s="15" t="str">
        <x:f>IF(ISNUMBER(C1770),C1770^3,"")</x:f>
      </x:c>
      <x:c r="F1770" s="15" t="str">
        <x:f>IF(ISNUMBER(C1770),C1770^4,"")</x:f>
      </x:c>
      <x:c r="G1770" s="7" t="str">
        <x:f>IF(ISNUMBER(B1770),ABS(B1770),"")</x:f>
      </x:c>
      <x:c r="H1770" s="7" t="str">
        <x:f>IF(ISNUMBER(B1770),B1770^2,"")</x:f>
      </x:c>
      <x:c r="I1770" s="7" t="str">
        <x:f>IF(AND(ISNUMBER(G1770),'요약'!$B$19),G1770-'요약'!$B$14,"")</x:f>
      </x:c>
      <x:c r="J1770" s="7" t="str">
        <x:f>IF(AND(ISNUMBER(H1770),'요약'!$B$19),H1770-'요약'!$B$15,"")</x:f>
      </x:c>
      <x:c r="K1770" t="str">
        <x:f>IF(ISNUMBER(B1770),IF('Hill'!$B$4=1,IF(B1770&lt;0,-B1770,""),IF('Hill'!$B$4=2,IF(B1770&gt;0,B1770,""),IF('Hill'!$B$4=3,IF(B1770&lt;&gt;0,ABS(B1770),""),""))),"")</x:f>
      </x:c>
    </x:row>
    <x:row r="1771">
      <x:c r="A1771" t="n">
        <x:f>1770</x:f>
        <x:v>1770</x:v>
      </x:c>
      <x:c r="B1771" s="7" t="str">
        <x:f>IF('요약'!$B$4=4,IF(ISNUMBER('input'!A1771),'input'!A1771,""),IF(1770&lt;=1000,CHOOSE('요약'!$B$4,'input'!B1771,'input'!C1771,'input'!D1771),""))</x:f>
      </x:c>
      <x:c r="C1771" s="7" t="str">
        <x:f>IF(AND(ISNUMBER(B1771),'요약'!$B$19),B1771-'요약'!$B$7,"")</x:f>
      </x:c>
      <x:c r="D1771" s="7" t="str">
        <x:f>IF(ISNUMBER(C1771),C1771^2,"")</x:f>
      </x:c>
      <x:c r="E1771" s="15" t="str">
        <x:f>IF(ISNUMBER(C1771),C1771^3,"")</x:f>
      </x:c>
      <x:c r="F1771" s="15" t="str">
        <x:f>IF(ISNUMBER(C1771),C1771^4,"")</x:f>
      </x:c>
      <x:c r="G1771" s="7" t="str">
        <x:f>IF(ISNUMBER(B1771),ABS(B1771),"")</x:f>
      </x:c>
      <x:c r="H1771" s="7" t="str">
        <x:f>IF(ISNUMBER(B1771),B1771^2,"")</x:f>
      </x:c>
      <x:c r="I1771" s="7" t="str">
        <x:f>IF(AND(ISNUMBER(G1771),'요약'!$B$19),G1771-'요약'!$B$14,"")</x:f>
      </x:c>
      <x:c r="J1771" s="7" t="str">
        <x:f>IF(AND(ISNUMBER(H1771),'요약'!$B$19),H1771-'요약'!$B$15,"")</x:f>
      </x:c>
      <x:c r="K1771" t="str">
        <x:f>IF(ISNUMBER(B1771),IF('Hill'!$B$4=1,IF(B1771&lt;0,-B1771,""),IF('Hill'!$B$4=2,IF(B1771&gt;0,B1771,""),IF('Hill'!$B$4=3,IF(B1771&lt;&gt;0,ABS(B1771),""),""))),"")</x:f>
      </x:c>
    </x:row>
    <x:row r="1772">
      <x:c r="A1772" t="n">
        <x:f>1771</x:f>
        <x:v>1771</x:v>
      </x:c>
      <x:c r="B1772" s="7" t="str">
        <x:f>IF('요약'!$B$4=4,IF(ISNUMBER('input'!A1772),'input'!A1772,""),IF(1771&lt;=1000,CHOOSE('요약'!$B$4,'input'!B1772,'input'!C1772,'input'!D1772),""))</x:f>
      </x:c>
      <x:c r="C1772" s="7" t="str">
        <x:f>IF(AND(ISNUMBER(B1772),'요약'!$B$19),B1772-'요약'!$B$7,"")</x:f>
      </x:c>
      <x:c r="D1772" s="7" t="str">
        <x:f>IF(ISNUMBER(C1772),C1772^2,"")</x:f>
      </x:c>
      <x:c r="E1772" s="15" t="str">
        <x:f>IF(ISNUMBER(C1772),C1772^3,"")</x:f>
      </x:c>
      <x:c r="F1772" s="15" t="str">
        <x:f>IF(ISNUMBER(C1772),C1772^4,"")</x:f>
      </x:c>
      <x:c r="G1772" s="7" t="str">
        <x:f>IF(ISNUMBER(B1772),ABS(B1772),"")</x:f>
      </x:c>
      <x:c r="H1772" s="7" t="str">
        <x:f>IF(ISNUMBER(B1772),B1772^2,"")</x:f>
      </x:c>
      <x:c r="I1772" s="7" t="str">
        <x:f>IF(AND(ISNUMBER(G1772),'요약'!$B$19),G1772-'요약'!$B$14,"")</x:f>
      </x:c>
      <x:c r="J1772" s="7" t="str">
        <x:f>IF(AND(ISNUMBER(H1772),'요약'!$B$19),H1772-'요약'!$B$15,"")</x:f>
      </x:c>
      <x:c r="K1772" t="str">
        <x:f>IF(ISNUMBER(B1772),IF('Hill'!$B$4=1,IF(B1772&lt;0,-B1772,""),IF('Hill'!$B$4=2,IF(B1772&gt;0,B1772,""),IF('Hill'!$B$4=3,IF(B1772&lt;&gt;0,ABS(B1772),""),""))),"")</x:f>
      </x:c>
    </x:row>
    <x:row r="1773">
      <x:c r="A1773" t="n">
        <x:f>1772</x:f>
        <x:v>1772</x:v>
      </x:c>
      <x:c r="B1773" s="7" t="str">
        <x:f>IF('요약'!$B$4=4,IF(ISNUMBER('input'!A1773),'input'!A1773,""),IF(1772&lt;=1000,CHOOSE('요약'!$B$4,'input'!B1773,'input'!C1773,'input'!D1773),""))</x:f>
      </x:c>
      <x:c r="C1773" s="7" t="str">
        <x:f>IF(AND(ISNUMBER(B1773),'요약'!$B$19),B1773-'요약'!$B$7,"")</x:f>
      </x:c>
      <x:c r="D1773" s="7" t="str">
        <x:f>IF(ISNUMBER(C1773),C1773^2,"")</x:f>
      </x:c>
      <x:c r="E1773" s="15" t="str">
        <x:f>IF(ISNUMBER(C1773),C1773^3,"")</x:f>
      </x:c>
      <x:c r="F1773" s="15" t="str">
        <x:f>IF(ISNUMBER(C1773),C1773^4,"")</x:f>
      </x:c>
      <x:c r="G1773" s="7" t="str">
        <x:f>IF(ISNUMBER(B1773),ABS(B1773),"")</x:f>
      </x:c>
      <x:c r="H1773" s="7" t="str">
        <x:f>IF(ISNUMBER(B1773),B1773^2,"")</x:f>
      </x:c>
      <x:c r="I1773" s="7" t="str">
        <x:f>IF(AND(ISNUMBER(G1773),'요약'!$B$19),G1773-'요약'!$B$14,"")</x:f>
      </x:c>
      <x:c r="J1773" s="7" t="str">
        <x:f>IF(AND(ISNUMBER(H1773),'요약'!$B$19),H1773-'요약'!$B$15,"")</x:f>
      </x:c>
      <x:c r="K1773" t="str">
        <x:f>IF(ISNUMBER(B1773),IF('Hill'!$B$4=1,IF(B1773&lt;0,-B1773,""),IF('Hill'!$B$4=2,IF(B1773&gt;0,B1773,""),IF('Hill'!$B$4=3,IF(B1773&lt;&gt;0,ABS(B1773),""),""))),"")</x:f>
      </x:c>
    </x:row>
    <x:row r="1774">
      <x:c r="A1774" t="n">
        <x:f>1773</x:f>
        <x:v>1773</x:v>
      </x:c>
      <x:c r="B1774" s="7" t="str">
        <x:f>IF('요약'!$B$4=4,IF(ISNUMBER('input'!A1774),'input'!A1774,""),IF(1773&lt;=1000,CHOOSE('요약'!$B$4,'input'!B1774,'input'!C1774,'input'!D1774),""))</x:f>
      </x:c>
      <x:c r="C1774" s="7" t="str">
        <x:f>IF(AND(ISNUMBER(B1774),'요약'!$B$19),B1774-'요약'!$B$7,"")</x:f>
      </x:c>
      <x:c r="D1774" s="7" t="str">
        <x:f>IF(ISNUMBER(C1774),C1774^2,"")</x:f>
      </x:c>
      <x:c r="E1774" s="15" t="str">
        <x:f>IF(ISNUMBER(C1774),C1774^3,"")</x:f>
      </x:c>
      <x:c r="F1774" s="15" t="str">
        <x:f>IF(ISNUMBER(C1774),C1774^4,"")</x:f>
      </x:c>
      <x:c r="G1774" s="7" t="str">
        <x:f>IF(ISNUMBER(B1774),ABS(B1774),"")</x:f>
      </x:c>
      <x:c r="H1774" s="7" t="str">
        <x:f>IF(ISNUMBER(B1774),B1774^2,"")</x:f>
      </x:c>
      <x:c r="I1774" s="7" t="str">
        <x:f>IF(AND(ISNUMBER(G1774),'요약'!$B$19),G1774-'요약'!$B$14,"")</x:f>
      </x:c>
      <x:c r="J1774" s="7" t="str">
        <x:f>IF(AND(ISNUMBER(H1774),'요약'!$B$19),H1774-'요약'!$B$15,"")</x:f>
      </x:c>
      <x:c r="K1774" t="str">
        <x:f>IF(ISNUMBER(B1774),IF('Hill'!$B$4=1,IF(B1774&lt;0,-B1774,""),IF('Hill'!$B$4=2,IF(B1774&gt;0,B1774,""),IF('Hill'!$B$4=3,IF(B1774&lt;&gt;0,ABS(B1774),""),""))),"")</x:f>
      </x:c>
    </x:row>
    <x:row r="1775">
      <x:c r="A1775" t="n">
        <x:f>1774</x:f>
        <x:v>1774</x:v>
      </x:c>
      <x:c r="B1775" s="7" t="str">
        <x:f>IF('요약'!$B$4=4,IF(ISNUMBER('input'!A1775),'input'!A1775,""),IF(1774&lt;=1000,CHOOSE('요약'!$B$4,'input'!B1775,'input'!C1775,'input'!D1775),""))</x:f>
      </x:c>
      <x:c r="C1775" s="7" t="str">
        <x:f>IF(AND(ISNUMBER(B1775),'요약'!$B$19),B1775-'요약'!$B$7,"")</x:f>
      </x:c>
      <x:c r="D1775" s="7" t="str">
        <x:f>IF(ISNUMBER(C1775),C1775^2,"")</x:f>
      </x:c>
      <x:c r="E1775" s="15" t="str">
        <x:f>IF(ISNUMBER(C1775),C1775^3,"")</x:f>
      </x:c>
      <x:c r="F1775" s="15" t="str">
        <x:f>IF(ISNUMBER(C1775),C1775^4,"")</x:f>
      </x:c>
      <x:c r="G1775" s="7" t="str">
        <x:f>IF(ISNUMBER(B1775),ABS(B1775),"")</x:f>
      </x:c>
      <x:c r="H1775" s="7" t="str">
        <x:f>IF(ISNUMBER(B1775),B1775^2,"")</x:f>
      </x:c>
      <x:c r="I1775" s="7" t="str">
        <x:f>IF(AND(ISNUMBER(G1775),'요약'!$B$19),G1775-'요약'!$B$14,"")</x:f>
      </x:c>
      <x:c r="J1775" s="7" t="str">
        <x:f>IF(AND(ISNUMBER(H1775),'요약'!$B$19),H1775-'요약'!$B$15,"")</x:f>
      </x:c>
      <x:c r="K1775" t="str">
        <x:f>IF(ISNUMBER(B1775),IF('Hill'!$B$4=1,IF(B1775&lt;0,-B1775,""),IF('Hill'!$B$4=2,IF(B1775&gt;0,B1775,""),IF('Hill'!$B$4=3,IF(B1775&lt;&gt;0,ABS(B1775),""),""))),"")</x:f>
      </x:c>
    </x:row>
    <x:row r="1776">
      <x:c r="A1776" t="n">
        <x:f>1775</x:f>
        <x:v>1775</x:v>
      </x:c>
      <x:c r="B1776" s="7" t="str">
        <x:f>IF('요약'!$B$4=4,IF(ISNUMBER('input'!A1776),'input'!A1776,""),IF(1775&lt;=1000,CHOOSE('요약'!$B$4,'input'!B1776,'input'!C1776,'input'!D1776),""))</x:f>
      </x:c>
      <x:c r="C1776" s="7" t="str">
        <x:f>IF(AND(ISNUMBER(B1776),'요약'!$B$19),B1776-'요약'!$B$7,"")</x:f>
      </x:c>
      <x:c r="D1776" s="7" t="str">
        <x:f>IF(ISNUMBER(C1776),C1776^2,"")</x:f>
      </x:c>
      <x:c r="E1776" s="15" t="str">
        <x:f>IF(ISNUMBER(C1776),C1776^3,"")</x:f>
      </x:c>
      <x:c r="F1776" s="15" t="str">
        <x:f>IF(ISNUMBER(C1776),C1776^4,"")</x:f>
      </x:c>
      <x:c r="G1776" s="7" t="str">
        <x:f>IF(ISNUMBER(B1776),ABS(B1776),"")</x:f>
      </x:c>
      <x:c r="H1776" s="7" t="str">
        <x:f>IF(ISNUMBER(B1776),B1776^2,"")</x:f>
      </x:c>
      <x:c r="I1776" s="7" t="str">
        <x:f>IF(AND(ISNUMBER(G1776),'요약'!$B$19),G1776-'요약'!$B$14,"")</x:f>
      </x:c>
      <x:c r="J1776" s="7" t="str">
        <x:f>IF(AND(ISNUMBER(H1776),'요약'!$B$19),H1776-'요약'!$B$15,"")</x:f>
      </x:c>
      <x:c r="K1776" t="str">
        <x:f>IF(ISNUMBER(B1776),IF('Hill'!$B$4=1,IF(B1776&lt;0,-B1776,""),IF('Hill'!$B$4=2,IF(B1776&gt;0,B1776,""),IF('Hill'!$B$4=3,IF(B1776&lt;&gt;0,ABS(B1776),""),""))),"")</x:f>
      </x:c>
    </x:row>
    <x:row r="1777">
      <x:c r="A1777" t="n">
        <x:f>1776</x:f>
        <x:v>1776</x:v>
      </x:c>
      <x:c r="B1777" s="7" t="str">
        <x:f>IF('요약'!$B$4=4,IF(ISNUMBER('input'!A1777),'input'!A1777,""),IF(1776&lt;=1000,CHOOSE('요약'!$B$4,'input'!B1777,'input'!C1777,'input'!D1777),""))</x:f>
      </x:c>
      <x:c r="C1777" s="7" t="str">
        <x:f>IF(AND(ISNUMBER(B1777),'요약'!$B$19),B1777-'요약'!$B$7,"")</x:f>
      </x:c>
      <x:c r="D1777" s="7" t="str">
        <x:f>IF(ISNUMBER(C1777),C1777^2,"")</x:f>
      </x:c>
      <x:c r="E1777" s="15" t="str">
        <x:f>IF(ISNUMBER(C1777),C1777^3,"")</x:f>
      </x:c>
      <x:c r="F1777" s="15" t="str">
        <x:f>IF(ISNUMBER(C1777),C1777^4,"")</x:f>
      </x:c>
      <x:c r="G1777" s="7" t="str">
        <x:f>IF(ISNUMBER(B1777),ABS(B1777),"")</x:f>
      </x:c>
      <x:c r="H1777" s="7" t="str">
        <x:f>IF(ISNUMBER(B1777),B1777^2,"")</x:f>
      </x:c>
      <x:c r="I1777" s="7" t="str">
        <x:f>IF(AND(ISNUMBER(G1777),'요약'!$B$19),G1777-'요약'!$B$14,"")</x:f>
      </x:c>
      <x:c r="J1777" s="7" t="str">
        <x:f>IF(AND(ISNUMBER(H1777),'요약'!$B$19),H1777-'요약'!$B$15,"")</x:f>
      </x:c>
      <x:c r="K1777" t="str">
        <x:f>IF(ISNUMBER(B1777),IF('Hill'!$B$4=1,IF(B1777&lt;0,-B1777,""),IF('Hill'!$B$4=2,IF(B1777&gt;0,B1777,""),IF('Hill'!$B$4=3,IF(B1777&lt;&gt;0,ABS(B1777),""),""))),"")</x:f>
      </x:c>
    </x:row>
    <x:row r="1778">
      <x:c r="A1778" t="n">
        <x:f>1777</x:f>
        <x:v>1777</x:v>
      </x:c>
      <x:c r="B1778" s="7" t="str">
        <x:f>IF('요약'!$B$4=4,IF(ISNUMBER('input'!A1778),'input'!A1778,""),IF(1777&lt;=1000,CHOOSE('요약'!$B$4,'input'!B1778,'input'!C1778,'input'!D1778),""))</x:f>
      </x:c>
      <x:c r="C1778" s="7" t="str">
        <x:f>IF(AND(ISNUMBER(B1778),'요약'!$B$19),B1778-'요약'!$B$7,"")</x:f>
      </x:c>
      <x:c r="D1778" s="7" t="str">
        <x:f>IF(ISNUMBER(C1778),C1778^2,"")</x:f>
      </x:c>
      <x:c r="E1778" s="15" t="str">
        <x:f>IF(ISNUMBER(C1778),C1778^3,"")</x:f>
      </x:c>
      <x:c r="F1778" s="15" t="str">
        <x:f>IF(ISNUMBER(C1778),C1778^4,"")</x:f>
      </x:c>
      <x:c r="G1778" s="7" t="str">
        <x:f>IF(ISNUMBER(B1778),ABS(B1778),"")</x:f>
      </x:c>
      <x:c r="H1778" s="7" t="str">
        <x:f>IF(ISNUMBER(B1778),B1778^2,"")</x:f>
      </x:c>
      <x:c r="I1778" s="7" t="str">
        <x:f>IF(AND(ISNUMBER(G1778),'요약'!$B$19),G1778-'요약'!$B$14,"")</x:f>
      </x:c>
      <x:c r="J1778" s="7" t="str">
        <x:f>IF(AND(ISNUMBER(H1778),'요약'!$B$19),H1778-'요약'!$B$15,"")</x:f>
      </x:c>
      <x:c r="K1778" t="str">
        <x:f>IF(ISNUMBER(B1778),IF('Hill'!$B$4=1,IF(B1778&lt;0,-B1778,""),IF('Hill'!$B$4=2,IF(B1778&gt;0,B1778,""),IF('Hill'!$B$4=3,IF(B1778&lt;&gt;0,ABS(B1778),""),""))),"")</x:f>
      </x:c>
    </x:row>
    <x:row r="1779">
      <x:c r="A1779" t="n">
        <x:f>1778</x:f>
        <x:v>1778</x:v>
      </x:c>
      <x:c r="B1779" s="7" t="str">
        <x:f>IF('요약'!$B$4=4,IF(ISNUMBER('input'!A1779),'input'!A1779,""),IF(1778&lt;=1000,CHOOSE('요약'!$B$4,'input'!B1779,'input'!C1779,'input'!D1779),""))</x:f>
      </x:c>
      <x:c r="C1779" s="7" t="str">
        <x:f>IF(AND(ISNUMBER(B1779),'요약'!$B$19),B1779-'요약'!$B$7,"")</x:f>
      </x:c>
      <x:c r="D1779" s="7" t="str">
        <x:f>IF(ISNUMBER(C1779),C1779^2,"")</x:f>
      </x:c>
      <x:c r="E1779" s="15" t="str">
        <x:f>IF(ISNUMBER(C1779),C1779^3,"")</x:f>
      </x:c>
      <x:c r="F1779" s="15" t="str">
        <x:f>IF(ISNUMBER(C1779),C1779^4,"")</x:f>
      </x:c>
      <x:c r="G1779" s="7" t="str">
        <x:f>IF(ISNUMBER(B1779),ABS(B1779),"")</x:f>
      </x:c>
      <x:c r="H1779" s="7" t="str">
        <x:f>IF(ISNUMBER(B1779),B1779^2,"")</x:f>
      </x:c>
      <x:c r="I1779" s="7" t="str">
        <x:f>IF(AND(ISNUMBER(G1779),'요약'!$B$19),G1779-'요약'!$B$14,"")</x:f>
      </x:c>
      <x:c r="J1779" s="7" t="str">
        <x:f>IF(AND(ISNUMBER(H1779),'요약'!$B$19),H1779-'요약'!$B$15,"")</x:f>
      </x:c>
      <x:c r="K1779" t="str">
        <x:f>IF(ISNUMBER(B1779),IF('Hill'!$B$4=1,IF(B1779&lt;0,-B1779,""),IF('Hill'!$B$4=2,IF(B1779&gt;0,B1779,""),IF('Hill'!$B$4=3,IF(B1779&lt;&gt;0,ABS(B1779),""),""))),"")</x:f>
      </x:c>
    </x:row>
    <x:row r="1780">
      <x:c r="A1780" t="n">
        <x:f>1779</x:f>
        <x:v>1779</x:v>
      </x:c>
      <x:c r="B1780" s="7" t="str">
        <x:f>IF('요약'!$B$4=4,IF(ISNUMBER('input'!A1780),'input'!A1780,""),IF(1779&lt;=1000,CHOOSE('요약'!$B$4,'input'!B1780,'input'!C1780,'input'!D1780),""))</x:f>
      </x:c>
      <x:c r="C1780" s="7" t="str">
        <x:f>IF(AND(ISNUMBER(B1780),'요약'!$B$19),B1780-'요약'!$B$7,"")</x:f>
      </x:c>
      <x:c r="D1780" s="7" t="str">
        <x:f>IF(ISNUMBER(C1780),C1780^2,"")</x:f>
      </x:c>
      <x:c r="E1780" s="15" t="str">
        <x:f>IF(ISNUMBER(C1780),C1780^3,"")</x:f>
      </x:c>
      <x:c r="F1780" s="15" t="str">
        <x:f>IF(ISNUMBER(C1780),C1780^4,"")</x:f>
      </x:c>
      <x:c r="G1780" s="7" t="str">
        <x:f>IF(ISNUMBER(B1780),ABS(B1780),"")</x:f>
      </x:c>
      <x:c r="H1780" s="7" t="str">
        <x:f>IF(ISNUMBER(B1780),B1780^2,"")</x:f>
      </x:c>
      <x:c r="I1780" s="7" t="str">
        <x:f>IF(AND(ISNUMBER(G1780),'요약'!$B$19),G1780-'요약'!$B$14,"")</x:f>
      </x:c>
      <x:c r="J1780" s="7" t="str">
        <x:f>IF(AND(ISNUMBER(H1780),'요약'!$B$19),H1780-'요약'!$B$15,"")</x:f>
      </x:c>
      <x:c r="K1780" t="str">
        <x:f>IF(ISNUMBER(B1780),IF('Hill'!$B$4=1,IF(B1780&lt;0,-B1780,""),IF('Hill'!$B$4=2,IF(B1780&gt;0,B1780,""),IF('Hill'!$B$4=3,IF(B1780&lt;&gt;0,ABS(B1780),""),""))),"")</x:f>
      </x:c>
    </x:row>
    <x:row r="1781">
      <x:c r="A1781" t="n">
        <x:f>1780</x:f>
        <x:v>1780</x:v>
      </x:c>
      <x:c r="B1781" s="7" t="str">
        <x:f>IF('요약'!$B$4=4,IF(ISNUMBER('input'!A1781),'input'!A1781,""),IF(1780&lt;=1000,CHOOSE('요약'!$B$4,'input'!B1781,'input'!C1781,'input'!D1781),""))</x:f>
      </x:c>
      <x:c r="C1781" s="7" t="str">
        <x:f>IF(AND(ISNUMBER(B1781),'요약'!$B$19),B1781-'요약'!$B$7,"")</x:f>
      </x:c>
      <x:c r="D1781" s="7" t="str">
        <x:f>IF(ISNUMBER(C1781),C1781^2,"")</x:f>
      </x:c>
      <x:c r="E1781" s="15" t="str">
        <x:f>IF(ISNUMBER(C1781),C1781^3,"")</x:f>
      </x:c>
      <x:c r="F1781" s="15" t="str">
        <x:f>IF(ISNUMBER(C1781),C1781^4,"")</x:f>
      </x:c>
      <x:c r="G1781" s="7" t="str">
        <x:f>IF(ISNUMBER(B1781),ABS(B1781),"")</x:f>
      </x:c>
      <x:c r="H1781" s="7" t="str">
        <x:f>IF(ISNUMBER(B1781),B1781^2,"")</x:f>
      </x:c>
      <x:c r="I1781" s="7" t="str">
        <x:f>IF(AND(ISNUMBER(G1781),'요약'!$B$19),G1781-'요약'!$B$14,"")</x:f>
      </x:c>
      <x:c r="J1781" s="7" t="str">
        <x:f>IF(AND(ISNUMBER(H1781),'요약'!$B$19),H1781-'요약'!$B$15,"")</x:f>
      </x:c>
      <x:c r="K1781" t="str">
        <x:f>IF(ISNUMBER(B1781),IF('Hill'!$B$4=1,IF(B1781&lt;0,-B1781,""),IF('Hill'!$B$4=2,IF(B1781&gt;0,B1781,""),IF('Hill'!$B$4=3,IF(B1781&lt;&gt;0,ABS(B1781),""),""))),"")</x:f>
      </x:c>
    </x:row>
    <x:row r="1782">
      <x:c r="A1782" t="n">
        <x:f>1781</x:f>
        <x:v>1781</x:v>
      </x:c>
      <x:c r="B1782" s="7" t="str">
        <x:f>IF('요약'!$B$4=4,IF(ISNUMBER('input'!A1782),'input'!A1782,""),IF(1781&lt;=1000,CHOOSE('요약'!$B$4,'input'!B1782,'input'!C1782,'input'!D1782),""))</x:f>
      </x:c>
      <x:c r="C1782" s="7" t="str">
        <x:f>IF(AND(ISNUMBER(B1782),'요약'!$B$19),B1782-'요약'!$B$7,"")</x:f>
      </x:c>
      <x:c r="D1782" s="7" t="str">
        <x:f>IF(ISNUMBER(C1782),C1782^2,"")</x:f>
      </x:c>
      <x:c r="E1782" s="15" t="str">
        <x:f>IF(ISNUMBER(C1782),C1782^3,"")</x:f>
      </x:c>
      <x:c r="F1782" s="15" t="str">
        <x:f>IF(ISNUMBER(C1782),C1782^4,"")</x:f>
      </x:c>
      <x:c r="G1782" s="7" t="str">
        <x:f>IF(ISNUMBER(B1782),ABS(B1782),"")</x:f>
      </x:c>
      <x:c r="H1782" s="7" t="str">
        <x:f>IF(ISNUMBER(B1782),B1782^2,"")</x:f>
      </x:c>
      <x:c r="I1782" s="7" t="str">
        <x:f>IF(AND(ISNUMBER(G1782),'요약'!$B$19),G1782-'요약'!$B$14,"")</x:f>
      </x:c>
      <x:c r="J1782" s="7" t="str">
        <x:f>IF(AND(ISNUMBER(H1782),'요약'!$B$19),H1782-'요약'!$B$15,"")</x:f>
      </x:c>
      <x:c r="K1782" t="str">
        <x:f>IF(ISNUMBER(B1782),IF('Hill'!$B$4=1,IF(B1782&lt;0,-B1782,""),IF('Hill'!$B$4=2,IF(B1782&gt;0,B1782,""),IF('Hill'!$B$4=3,IF(B1782&lt;&gt;0,ABS(B1782),""),""))),"")</x:f>
      </x:c>
    </x:row>
    <x:row r="1783">
      <x:c r="A1783" t="n">
        <x:f>1782</x:f>
        <x:v>1782</x:v>
      </x:c>
      <x:c r="B1783" s="7" t="str">
        <x:f>IF('요약'!$B$4=4,IF(ISNUMBER('input'!A1783),'input'!A1783,""),IF(1782&lt;=1000,CHOOSE('요약'!$B$4,'input'!B1783,'input'!C1783,'input'!D1783),""))</x:f>
      </x:c>
      <x:c r="C1783" s="7" t="str">
        <x:f>IF(AND(ISNUMBER(B1783),'요약'!$B$19),B1783-'요약'!$B$7,"")</x:f>
      </x:c>
      <x:c r="D1783" s="7" t="str">
        <x:f>IF(ISNUMBER(C1783),C1783^2,"")</x:f>
      </x:c>
      <x:c r="E1783" s="15" t="str">
        <x:f>IF(ISNUMBER(C1783),C1783^3,"")</x:f>
      </x:c>
      <x:c r="F1783" s="15" t="str">
        <x:f>IF(ISNUMBER(C1783),C1783^4,"")</x:f>
      </x:c>
      <x:c r="G1783" s="7" t="str">
        <x:f>IF(ISNUMBER(B1783),ABS(B1783),"")</x:f>
      </x:c>
      <x:c r="H1783" s="7" t="str">
        <x:f>IF(ISNUMBER(B1783),B1783^2,"")</x:f>
      </x:c>
      <x:c r="I1783" s="7" t="str">
        <x:f>IF(AND(ISNUMBER(G1783),'요약'!$B$19),G1783-'요약'!$B$14,"")</x:f>
      </x:c>
      <x:c r="J1783" s="7" t="str">
        <x:f>IF(AND(ISNUMBER(H1783),'요약'!$B$19),H1783-'요약'!$B$15,"")</x:f>
      </x:c>
      <x:c r="K1783" t="str">
        <x:f>IF(ISNUMBER(B1783),IF('Hill'!$B$4=1,IF(B1783&lt;0,-B1783,""),IF('Hill'!$B$4=2,IF(B1783&gt;0,B1783,""),IF('Hill'!$B$4=3,IF(B1783&lt;&gt;0,ABS(B1783),""),""))),"")</x:f>
      </x:c>
    </x:row>
    <x:row r="1784">
      <x:c r="A1784" t="n">
        <x:f>1783</x:f>
        <x:v>1783</x:v>
      </x:c>
      <x:c r="B1784" s="7" t="str">
        <x:f>IF('요약'!$B$4=4,IF(ISNUMBER('input'!A1784),'input'!A1784,""),IF(1783&lt;=1000,CHOOSE('요약'!$B$4,'input'!B1784,'input'!C1784,'input'!D1784),""))</x:f>
      </x:c>
      <x:c r="C1784" s="7" t="str">
        <x:f>IF(AND(ISNUMBER(B1784),'요약'!$B$19),B1784-'요약'!$B$7,"")</x:f>
      </x:c>
      <x:c r="D1784" s="7" t="str">
        <x:f>IF(ISNUMBER(C1784),C1784^2,"")</x:f>
      </x:c>
      <x:c r="E1784" s="15" t="str">
        <x:f>IF(ISNUMBER(C1784),C1784^3,"")</x:f>
      </x:c>
      <x:c r="F1784" s="15" t="str">
        <x:f>IF(ISNUMBER(C1784),C1784^4,"")</x:f>
      </x:c>
      <x:c r="G1784" s="7" t="str">
        <x:f>IF(ISNUMBER(B1784),ABS(B1784),"")</x:f>
      </x:c>
      <x:c r="H1784" s="7" t="str">
        <x:f>IF(ISNUMBER(B1784),B1784^2,"")</x:f>
      </x:c>
      <x:c r="I1784" s="7" t="str">
        <x:f>IF(AND(ISNUMBER(G1784),'요약'!$B$19),G1784-'요약'!$B$14,"")</x:f>
      </x:c>
      <x:c r="J1784" s="7" t="str">
        <x:f>IF(AND(ISNUMBER(H1784),'요약'!$B$19),H1784-'요약'!$B$15,"")</x:f>
      </x:c>
      <x:c r="K1784" t="str">
        <x:f>IF(ISNUMBER(B1784),IF('Hill'!$B$4=1,IF(B1784&lt;0,-B1784,""),IF('Hill'!$B$4=2,IF(B1784&gt;0,B1784,""),IF('Hill'!$B$4=3,IF(B1784&lt;&gt;0,ABS(B1784),""),""))),"")</x:f>
      </x:c>
    </x:row>
    <x:row r="1785">
      <x:c r="A1785" t="n">
        <x:f>1784</x:f>
        <x:v>1784</x:v>
      </x:c>
      <x:c r="B1785" s="7" t="str">
        <x:f>IF('요약'!$B$4=4,IF(ISNUMBER('input'!A1785),'input'!A1785,""),IF(1784&lt;=1000,CHOOSE('요약'!$B$4,'input'!B1785,'input'!C1785,'input'!D1785),""))</x:f>
      </x:c>
      <x:c r="C1785" s="7" t="str">
        <x:f>IF(AND(ISNUMBER(B1785),'요약'!$B$19),B1785-'요약'!$B$7,"")</x:f>
      </x:c>
      <x:c r="D1785" s="7" t="str">
        <x:f>IF(ISNUMBER(C1785),C1785^2,"")</x:f>
      </x:c>
      <x:c r="E1785" s="15" t="str">
        <x:f>IF(ISNUMBER(C1785),C1785^3,"")</x:f>
      </x:c>
      <x:c r="F1785" s="15" t="str">
        <x:f>IF(ISNUMBER(C1785),C1785^4,"")</x:f>
      </x:c>
      <x:c r="G1785" s="7" t="str">
        <x:f>IF(ISNUMBER(B1785),ABS(B1785),"")</x:f>
      </x:c>
      <x:c r="H1785" s="7" t="str">
        <x:f>IF(ISNUMBER(B1785),B1785^2,"")</x:f>
      </x:c>
      <x:c r="I1785" s="7" t="str">
        <x:f>IF(AND(ISNUMBER(G1785),'요약'!$B$19),G1785-'요약'!$B$14,"")</x:f>
      </x:c>
      <x:c r="J1785" s="7" t="str">
        <x:f>IF(AND(ISNUMBER(H1785),'요약'!$B$19),H1785-'요약'!$B$15,"")</x:f>
      </x:c>
      <x:c r="K1785" t="str">
        <x:f>IF(ISNUMBER(B1785),IF('Hill'!$B$4=1,IF(B1785&lt;0,-B1785,""),IF('Hill'!$B$4=2,IF(B1785&gt;0,B1785,""),IF('Hill'!$B$4=3,IF(B1785&lt;&gt;0,ABS(B1785),""),""))),"")</x:f>
      </x:c>
    </x:row>
    <x:row r="1786">
      <x:c r="A1786" t="n">
        <x:f>1785</x:f>
        <x:v>1785</x:v>
      </x:c>
      <x:c r="B1786" s="7" t="str">
        <x:f>IF('요약'!$B$4=4,IF(ISNUMBER('input'!A1786),'input'!A1786,""),IF(1785&lt;=1000,CHOOSE('요약'!$B$4,'input'!B1786,'input'!C1786,'input'!D1786),""))</x:f>
      </x:c>
      <x:c r="C1786" s="7" t="str">
        <x:f>IF(AND(ISNUMBER(B1786),'요약'!$B$19),B1786-'요약'!$B$7,"")</x:f>
      </x:c>
      <x:c r="D1786" s="7" t="str">
        <x:f>IF(ISNUMBER(C1786),C1786^2,"")</x:f>
      </x:c>
      <x:c r="E1786" s="15" t="str">
        <x:f>IF(ISNUMBER(C1786),C1786^3,"")</x:f>
      </x:c>
      <x:c r="F1786" s="15" t="str">
        <x:f>IF(ISNUMBER(C1786),C1786^4,"")</x:f>
      </x:c>
      <x:c r="G1786" s="7" t="str">
        <x:f>IF(ISNUMBER(B1786),ABS(B1786),"")</x:f>
      </x:c>
      <x:c r="H1786" s="7" t="str">
        <x:f>IF(ISNUMBER(B1786),B1786^2,"")</x:f>
      </x:c>
      <x:c r="I1786" s="7" t="str">
        <x:f>IF(AND(ISNUMBER(G1786),'요약'!$B$19),G1786-'요약'!$B$14,"")</x:f>
      </x:c>
      <x:c r="J1786" s="7" t="str">
        <x:f>IF(AND(ISNUMBER(H1786),'요약'!$B$19),H1786-'요약'!$B$15,"")</x:f>
      </x:c>
      <x:c r="K1786" t="str">
        <x:f>IF(ISNUMBER(B1786),IF('Hill'!$B$4=1,IF(B1786&lt;0,-B1786,""),IF('Hill'!$B$4=2,IF(B1786&gt;0,B1786,""),IF('Hill'!$B$4=3,IF(B1786&lt;&gt;0,ABS(B1786),""),""))),"")</x:f>
      </x:c>
    </x:row>
    <x:row r="1787">
      <x:c r="A1787" t="n">
        <x:f>1786</x:f>
        <x:v>1786</x:v>
      </x:c>
      <x:c r="B1787" s="7" t="str">
        <x:f>IF('요약'!$B$4=4,IF(ISNUMBER('input'!A1787),'input'!A1787,""),IF(1786&lt;=1000,CHOOSE('요약'!$B$4,'input'!B1787,'input'!C1787,'input'!D1787),""))</x:f>
      </x:c>
      <x:c r="C1787" s="7" t="str">
        <x:f>IF(AND(ISNUMBER(B1787),'요약'!$B$19),B1787-'요약'!$B$7,"")</x:f>
      </x:c>
      <x:c r="D1787" s="7" t="str">
        <x:f>IF(ISNUMBER(C1787),C1787^2,"")</x:f>
      </x:c>
      <x:c r="E1787" s="15" t="str">
        <x:f>IF(ISNUMBER(C1787),C1787^3,"")</x:f>
      </x:c>
      <x:c r="F1787" s="15" t="str">
        <x:f>IF(ISNUMBER(C1787),C1787^4,"")</x:f>
      </x:c>
      <x:c r="G1787" s="7" t="str">
        <x:f>IF(ISNUMBER(B1787),ABS(B1787),"")</x:f>
      </x:c>
      <x:c r="H1787" s="7" t="str">
        <x:f>IF(ISNUMBER(B1787),B1787^2,"")</x:f>
      </x:c>
      <x:c r="I1787" s="7" t="str">
        <x:f>IF(AND(ISNUMBER(G1787),'요약'!$B$19),G1787-'요약'!$B$14,"")</x:f>
      </x:c>
      <x:c r="J1787" s="7" t="str">
        <x:f>IF(AND(ISNUMBER(H1787),'요약'!$B$19),H1787-'요약'!$B$15,"")</x:f>
      </x:c>
      <x:c r="K1787" t="str">
        <x:f>IF(ISNUMBER(B1787),IF('Hill'!$B$4=1,IF(B1787&lt;0,-B1787,""),IF('Hill'!$B$4=2,IF(B1787&gt;0,B1787,""),IF('Hill'!$B$4=3,IF(B1787&lt;&gt;0,ABS(B1787),""),""))),"")</x:f>
      </x:c>
    </x:row>
    <x:row r="1788">
      <x:c r="A1788" t="n">
        <x:f>1787</x:f>
        <x:v>1787</x:v>
      </x:c>
      <x:c r="B1788" s="7" t="str">
        <x:f>IF('요약'!$B$4=4,IF(ISNUMBER('input'!A1788),'input'!A1788,""),IF(1787&lt;=1000,CHOOSE('요약'!$B$4,'input'!B1788,'input'!C1788,'input'!D1788),""))</x:f>
      </x:c>
      <x:c r="C1788" s="7" t="str">
        <x:f>IF(AND(ISNUMBER(B1788),'요약'!$B$19),B1788-'요약'!$B$7,"")</x:f>
      </x:c>
      <x:c r="D1788" s="7" t="str">
        <x:f>IF(ISNUMBER(C1788),C1788^2,"")</x:f>
      </x:c>
      <x:c r="E1788" s="15" t="str">
        <x:f>IF(ISNUMBER(C1788),C1788^3,"")</x:f>
      </x:c>
      <x:c r="F1788" s="15" t="str">
        <x:f>IF(ISNUMBER(C1788),C1788^4,"")</x:f>
      </x:c>
      <x:c r="G1788" s="7" t="str">
        <x:f>IF(ISNUMBER(B1788),ABS(B1788),"")</x:f>
      </x:c>
      <x:c r="H1788" s="7" t="str">
        <x:f>IF(ISNUMBER(B1788),B1788^2,"")</x:f>
      </x:c>
      <x:c r="I1788" s="7" t="str">
        <x:f>IF(AND(ISNUMBER(G1788),'요약'!$B$19),G1788-'요약'!$B$14,"")</x:f>
      </x:c>
      <x:c r="J1788" s="7" t="str">
        <x:f>IF(AND(ISNUMBER(H1788),'요약'!$B$19),H1788-'요약'!$B$15,"")</x:f>
      </x:c>
      <x:c r="K1788" t="str">
        <x:f>IF(ISNUMBER(B1788),IF('Hill'!$B$4=1,IF(B1788&lt;0,-B1788,""),IF('Hill'!$B$4=2,IF(B1788&gt;0,B1788,""),IF('Hill'!$B$4=3,IF(B1788&lt;&gt;0,ABS(B1788),""),""))),"")</x:f>
      </x:c>
    </x:row>
    <x:row r="1789">
      <x:c r="A1789" t="n">
        <x:f>1788</x:f>
        <x:v>1788</x:v>
      </x:c>
      <x:c r="B1789" s="7" t="str">
        <x:f>IF('요약'!$B$4=4,IF(ISNUMBER('input'!A1789),'input'!A1789,""),IF(1788&lt;=1000,CHOOSE('요약'!$B$4,'input'!B1789,'input'!C1789,'input'!D1789),""))</x:f>
      </x:c>
      <x:c r="C1789" s="7" t="str">
        <x:f>IF(AND(ISNUMBER(B1789),'요약'!$B$19),B1789-'요약'!$B$7,"")</x:f>
      </x:c>
      <x:c r="D1789" s="7" t="str">
        <x:f>IF(ISNUMBER(C1789),C1789^2,"")</x:f>
      </x:c>
      <x:c r="E1789" s="15" t="str">
        <x:f>IF(ISNUMBER(C1789),C1789^3,"")</x:f>
      </x:c>
      <x:c r="F1789" s="15" t="str">
        <x:f>IF(ISNUMBER(C1789),C1789^4,"")</x:f>
      </x:c>
      <x:c r="G1789" s="7" t="str">
        <x:f>IF(ISNUMBER(B1789),ABS(B1789),"")</x:f>
      </x:c>
      <x:c r="H1789" s="7" t="str">
        <x:f>IF(ISNUMBER(B1789),B1789^2,"")</x:f>
      </x:c>
      <x:c r="I1789" s="7" t="str">
        <x:f>IF(AND(ISNUMBER(G1789),'요약'!$B$19),G1789-'요약'!$B$14,"")</x:f>
      </x:c>
      <x:c r="J1789" s="7" t="str">
        <x:f>IF(AND(ISNUMBER(H1789),'요약'!$B$19),H1789-'요약'!$B$15,"")</x:f>
      </x:c>
      <x:c r="K1789" t="str">
        <x:f>IF(ISNUMBER(B1789),IF('Hill'!$B$4=1,IF(B1789&lt;0,-B1789,""),IF('Hill'!$B$4=2,IF(B1789&gt;0,B1789,""),IF('Hill'!$B$4=3,IF(B1789&lt;&gt;0,ABS(B1789),""),""))),"")</x:f>
      </x:c>
    </x:row>
    <x:row r="1790">
      <x:c r="A1790" t="n">
        <x:f>1789</x:f>
        <x:v>1789</x:v>
      </x:c>
      <x:c r="B1790" s="7" t="str">
        <x:f>IF('요약'!$B$4=4,IF(ISNUMBER('input'!A1790),'input'!A1790,""),IF(1789&lt;=1000,CHOOSE('요약'!$B$4,'input'!B1790,'input'!C1790,'input'!D1790),""))</x:f>
      </x:c>
      <x:c r="C1790" s="7" t="str">
        <x:f>IF(AND(ISNUMBER(B1790),'요약'!$B$19),B1790-'요약'!$B$7,"")</x:f>
      </x:c>
      <x:c r="D1790" s="7" t="str">
        <x:f>IF(ISNUMBER(C1790),C1790^2,"")</x:f>
      </x:c>
      <x:c r="E1790" s="15" t="str">
        <x:f>IF(ISNUMBER(C1790),C1790^3,"")</x:f>
      </x:c>
      <x:c r="F1790" s="15" t="str">
        <x:f>IF(ISNUMBER(C1790),C1790^4,"")</x:f>
      </x:c>
      <x:c r="G1790" s="7" t="str">
        <x:f>IF(ISNUMBER(B1790),ABS(B1790),"")</x:f>
      </x:c>
      <x:c r="H1790" s="7" t="str">
        <x:f>IF(ISNUMBER(B1790),B1790^2,"")</x:f>
      </x:c>
      <x:c r="I1790" s="7" t="str">
        <x:f>IF(AND(ISNUMBER(G1790),'요약'!$B$19),G1790-'요약'!$B$14,"")</x:f>
      </x:c>
      <x:c r="J1790" s="7" t="str">
        <x:f>IF(AND(ISNUMBER(H1790),'요약'!$B$19),H1790-'요약'!$B$15,"")</x:f>
      </x:c>
      <x:c r="K1790" t="str">
        <x:f>IF(ISNUMBER(B1790),IF('Hill'!$B$4=1,IF(B1790&lt;0,-B1790,""),IF('Hill'!$B$4=2,IF(B1790&gt;0,B1790,""),IF('Hill'!$B$4=3,IF(B1790&lt;&gt;0,ABS(B1790),""),""))),"")</x:f>
      </x:c>
    </x:row>
    <x:row r="1791">
      <x:c r="A1791" t="n">
        <x:f>1790</x:f>
        <x:v>1790</x:v>
      </x:c>
      <x:c r="B1791" s="7" t="str">
        <x:f>IF('요약'!$B$4=4,IF(ISNUMBER('input'!A1791),'input'!A1791,""),IF(1790&lt;=1000,CHOOSE('요약'!$B$4,'input'!B1791,'input'!C1791,'input'!D1791),""))</x:f>
      </x:c>
      <x:c r="C1791" s="7" t="str">
        <x:f>IF(AND(ISNUMBER(B1791),'요약'!$B$19),B1791-'요약'!$B$7,"")</x:f>
      </x:c>
      <x:c r="D1791" s="7" t="str">
        <x:f>IF(ISNUMBER(C1791),C1791^2,"")</x:f>
      </x:c>
      <x:c r="E1791" s="15" t="str">
        <x:f>IF(ISNUMBER(C1791),C1791^3,"")</x:f>
      </x:c>
      <x:c r="F1791" s="15" t="str">
        <x:f>IF(ISNUMBER(C1791),C1791^4,"")</x:f>
      </x:c>
      <x:c r="G1791" s="7" t="str">
        <x:f>IF(ISNUMBER(B1791),ABS(B1791),"")</x:f>
      </x:c>
      <x:c r="H1791" s="7" t="str">
        <x:f>IF(ISNUMBER(B1791),B1791^2,"")</x:f>
      </x:c>
      <x:c r="I1791" s="7" t="str">
        <x:f>IF(AND(ISNUMBER(G1791),'요약'!$B$19),G1791-'요약'!$B$14,"")</x:f>
      </x:c>
      <x:c r="J1791" s="7" t="str">
        <x:f>IF(AND(ISNUMBER(H1791),'요약'!$B$19),H1791-'요약'!$B$15,"")</x:f>
      </x:c>
      <x:c r="K1791" t="str">
        <x:f>IF(ISNUMBER(B1791),IF('Hill'!$B$4=1,IF(B1791&lt;0,-B1791,""),IF('Hill'!$B$4=2,IF(B1791&gt;0,B1791,""),IF('Hill'!$B$4=3,IF(B1791&lt;&gt;0,ABS(B1791),""),""))),"")</x:f>
      </x:c>
    </x:row>
    <x:row r="1792">
      <x:c r="A1792" t="n">
        <x:f>1791</x:f>
        <x:v>1791</x:v>
      </x:c>
      <x:c r="B1792" s="7" t="str">
        <x:f>IF('요약'!$B$4=4,IF(ISNUMBER('input'!A1792),'input'!A1792,""),IF(1791&lt;=1000,CHOOSE('요약'!$B$4,'input'!B1792,'input'!C1792,'input'!D1792),""))</x:f>
      </x:c>
      <x:c r="C1792" s="7" t="str">
        <x:f>IF(AND(ISNUMBER(B1792),'요약'!$B$19),B1792-'요약'!$B$7,"")</x:f>
      </x:c>
      <x:c r="D1792" s="7" t="str">
        <x:f>IF(ISNUMBER(C1792),C1792^2,"")</x:f>
      </x:c>
      <x:c r="E1792" s="15" t="str">
        <x:f>IF(ISNUMBER(C1792),C1792^3,"")</x:f>
      </x:c>
      <x:c r="F1792" s="15" t="str">
        <x:f>IF(ISNUMBER(C1792),C1792^4,"")</x:f>
      </x:c>
      <x:c r="G1792" s="7" t="str">
        <x:f>IF(ISNUMBER(B1792),ABS(B1792),"")</x:f>
      </x:c>
      <x:c r="H1792" s="7" t="str">
        <x:f>IF(ISNUMBER(B1792),B1792^2,"")</x:f>
      </x:c>
      <x:c r="I1792" s="7" t="str">
        <x:f>IF(AND(ISNUMBER(G1792),'요약'!$B$19),G1792-'요약'!$B$14,"")</x:f>
      </x:c>
      <x:c r="J1792" s="7" t="str">
        <x:f>IF(AND(ISNUMBER(H1792),'요약'!$B$19),H1792-'요약'!$B$15,"")</x:f>
      </x:c>
      <x:c r="K1792" t="str">
        <x:f>IF(ISNUMBER(B1792),IF('Hill'!$B$4=1,IF(B1792&lt;0,-B1792,""),IF('Hill'!$B$4=2,IF(B1792&gt;0,B1792,""),IF('Hill'!$B$4=3,IF(B1792&lt;&gt;0,ABS(B1792),""),""))),"")</x:f>
      </x:c>
    </x:row>
    <x:row r="1793">
      <x:c r="A1793" t="n">
        <x:f>1792</x:f>
        <x:v>1792</x:v>
      </x:c>
      <x:c r="B1793" s="7" t="str">
        <x:f>IF('요약'!$B$4=4,IF(ISNUMBER('input'!A1793),'input'!A1793,""),IF(1792&lt;=1000,CHOOSE('요약'!$B$4,'input'!B1793,'input'!C1793,'input'!D1793),""))</x:f>
      </x:c>
      <x:c r="C1793" s="7" t="str">
        <x:f>IF(AND(ISNUMBER(B1793),'요약'!$B$19),B1793-'요약'!$B$7,"")</x:f>
      </x:c>
      <x:c r="D1793" s="7" t="str">
        <x:f>IF(ISNUMBER(C1793),C1793^2,"")</x:f>
      </x:c>
      <x:c r="E1793" s="15" t="str">
        <x:f>IF(ISNUMBER(C1793),C1793^3,"")</x:f>
      </x:c>
      <x:c r="F1793" s="15" t="str">
        <x:f>IF(ISNUMBER(C1793),C1793^4,"")</x:f>
      </x:c>
      <x:c r="G1793" s="7" t="str">
        <x:f>IF(ISNUMBER(B1793),ABS(B1793),"")</x:f>
      </x:c>
      <x:c r="H1793" s="7" t="str">
        <x:f>IF(ISNUMBER(B1793),B1793^2,"")</x:f>
      </x:c>
      <x:c r="I1793" s="7" t="str">
        <x:f>IF(AND(ISNUMBER(G1793),'요약'!$B$19),G1793-'요약'!$B$14,"")</x:f>
      </x:c>
      <x:c r="J1793" s="7" t="str">
        <x:f>IF(AND(ISNUMBER(H1793),'요약'!$B$19),H1793-'요약'!$B$15,"")</x:f>
      </x:c>
      <x:c r="K1793" t="str">
        <x:f>IF(ISNUMBER(B1793),IF('Hill'!$B$4=1,IF(B1793&lt;0,-B1793,""),IF('Hill'!$B$4=2,IF(B1793&gt;0,B1793,""),IF('Hill'!$B$4=3,IF(B1793&lt;&gt;0,ABS(B1793),""),""))),"")</x:f>
      </x:c>
    </x:row>
    <x:row r="1794">
      <x:c r="A1794" t="n">
        <x:f>1793</x:f>
        <x:v>1793</x:v>
      </x:c>
      <x:c r="B1794" s="7" t="str">
        <x:f>IF('요약'!$B$4=4,IF(ISNUMBER('input'!A1794),'input'!A1794,""),IF(1793&lt;=1000,CHOOSE('요약'!$B$4,'input'!B1794,'input'!C1794,'input'!D1794),""))</x:f>
      </x:c>
      <x:c r="C1794" s="7" t="str">
        <x:f>IF(AND(ISNUMBER(B1794),'요약'!$B$19),B1794-'요약'!$B$7,"")</x:f>
      </x:c>
      <x:c r="D1794" s="7" t="str">
        <x:f>IF(ISNUMBER(C1794),C1794^2,"")</x:f>
      </x:c>
      <x:c r="E1794" s="15" t="str">
        <x:f>IF(ISNUMBER(C1794),C1794^3,"")</x:f>
      </x:c>
      <x:c r="F1794" s="15" t="str">
        <x:f>IF(ISNUMBER(C1794),C1794^4,"")</x:f>
      </x:c>
      <x:c r="G1794" s="7" t="str">
        <x:f>IF(ISNUMBER(B1794),ABS(B1794),"")</x:f>
      </x:c>
      <x:c r="H1794" s="7" t="str">
        <x:f>IF(ISNUMBER(B1794),B1794^2,"")</x:f>
      </x:c>
      <x:c r="I1794" s="7" t="str">
        <x:f>IF(AND(ISNUMBER(G1794),'요약'!$B$19),G1794-'요약'!$B$14,"")</x:f>
      </x:c>
      <x:c r="J1794" s="7" t="str">
        <x:f>IF(AND(ISNUMBER(H1794),'요약'!$B$19),H1794-'요약'!$B$15,"")</x:f>
      </x:c>
      <x:c r="K1794" t="str">
        <x:f>IF(ISNUMBER(B1794),IF('Hill'!$B$4=1,IF(B1794&lt;0,-B1794,""),IF('Hill'!$B$4=2,IF(B1794&gt;0,B1794,""),IF('Hill'!$B$4=3,IF(B1794&lt;&gt;0,ABS(B1794),""),""))),"")</x:f>
      </x:c>
    </x:row>
    <x:row r="1795">
      <x:c r="A1795" t="n">
        <x:f>1794</x:f>
        <x:v>1794</x:v>
      </x:c>
      <x:c r="B1795" s="7" t="str">
        <x:f>IF('요약'!$B$4=4,IF(ISNUMBER('input'!A1795),'input'!A1795,""),IF(1794&lt;=1000,CHOOSE('요약'!$B$4,'input'!B1795,'input'!C1795,'input'!D1795),""))</x:f>
      </x:c>
      <x:c r="C1795" s="7" t="str">
        <x:f>IF(AND(ISNUMBER(B1795),'요약'!$B$19),B1795-'요약'!$B$7,"")</x:f>
      </x:c>
      <x:c r="D1795" s="7" t="str">
        <x:f>IF(ISNUMBER(C1795),C1795^2,"")</x:f>
      </x:c>
      <x:c r="E1795" s="15" t="str">
        <x:f>IF(ISNUMBER(C1795),C1795^3,"")</x:f>
      </x:c>
      <x:c r="F1795" s="15" t="str">
        <x:f>IF(ISNUMBER(C1795),C1795^4,"")</x:f>
      </x:c>
      <x:c r="G1795" s="7" t="str">
        <x:f>IF(ISNUMBER(B1795),ABS(B1795),"")</x:f>
      </x:c>
      <x:c r="H1795" s="7" t="str">
        <x:f>IF(ISNUMBER(B1795),B1795^2,"")</x:f>
      </x:c>
      <x:c r="I1795" s="7" t="str">
        <x:f>IF(AND(ISNUMBER(G1795),'요약'!$B$19),G1795-'요약'!$B$14,"")</x:f>
      </x:c>
      <x:c r="J1795" s="7" t="str">
        <x:f>IF(AND(ISNUMBER(H1795),'요약'!$B$19),H1795-'요약'!$B$15,"")</x:f>
      </x:c>
      <x:c r="K1795" t="str">
        <x:f>IF(ISNUMBER(B1795),IF('Hill'!$B$4=1,IF(B1795&lt;0,-B1795,""),IF('Hill'!$B$4=2,IF(B1795&gt;0,B1795,""),IF('Hill'!$B$4=3,IF(B1795&lt;&gt;0,ABS(B1795),""),""))),"")</x:f>
      </x:c>
    </x:row>
    <x:row r="1796">
      <x:c r="A1796" t="n">
        <x:f>1795</x:f>
        <x:v>1795</x:v>
      </x:c>
      <x:c r="B1796" s="7" t="str">
        <x:f>IF('요약'!$B$4=4,IF(ISNUMBER('input'!A1796),'input'!A1796,""),IF(1795&lt;=1000,CHOOSE('요약'!$B$4,'input'!B1796,'input'!C1796,'input'!D1796),""))</x:f>
      </x:c>
      <x:c r="C1796" s="7" t="str">
        <x:f>IF(AND(ISNUMBER(B1796),'요약'!$B$19),B1796-'요약'!$B$7,"")</x:f>
      </x:c>
      <x:c r="D1796" s="7" t="str">
        <x:f>IF(ISNUMBER(C1796),C1796^2,"")</x:f>
      </x:c>
      <x:c r="E1796" s="15" t="str">
        <x:f>IF(ISNUMBER(C1796),C1796^3,"")</x:f>
      </x:c>
      <x:c r="F1796" s="15" t="str">
        <x:f>IF(ISNUMBER(C1796),C1796^4,"")</x:f>
      </x:c>
      <x:c r="G1796" s="7" t="str">
        <x:f>IF(ISNUMBER(B1796),ABS(B1796),"")</x:f>
      </x:c>
      <x:c r="H1796" s="7" t="str">
        <x:f>IF(ISNUMBER(B1796),B1796^2,"")</x:f>
      </x:c>
      <x:c r="I1796" s="7" t="str">
        <x:f>IF(AND(ISNUMBER(G1796),'요약'!$B$19),G1796-'요약'!$B$14,"")</x:f>
      </x:c>
      <x:c r="J1796" s="7" t="str">
        <x:f>IF(AND(ISNUMBER(H1796),'요약'!$B$19),H1796-'요약'!$B$15,"")</x:f>
      </x:c>
      <x:c r="K1796" t="str">
        <x:f>IF(ISNUMBER(B1796),IF('Hill'!$B$4=1,IF(B1796&lt;0,-B1796,""),IF('Hill'!$B$4=2,IF(B1796&gt;0,B1796,""),IF('Hill'!$B$4=3,IF(B1796&lt;&gt;0,ABS(B1796),""),""))),"")</x:f>
      </x:c>
    </x:row>
    <x:row r="1797">
      <x:c r="A1797" t="n">
        <x:f>1796</x:f>
        <x:v>1796</x:v>
      </x:c>
      <x:c r="B1797" s="7" t="str">
        <x:f>IF('요약'!$B$4=4,IF(ISNUMBER('input'!A1797),'input'!A1797,""),IF(1796&lt;=1000,CHOOSE('요약'!$B$4,'input'!B1797,'input'!C1797,'input'!D1797),""))</x:f>
      </x:c>
      <x:c r="C1797" s="7" t="str">
        <x:f>IF(AND(ISNUMBER(B1797),'요약'!$B$19),B1797-'요약'!$B$7,"")</x:f>
      </x:c>
      <x:c r="D1797" s="7" t="str">
        <x:f>IF(ISNUMBER(C1797),C1797^2,"")</x:f>
      </x:c>
      <x:c r="E1797" s="15" t="str">
        <x:f>IF(ISNUMBER(C1797),C1797^3,"")</x:f>
      </x:c>
      <x:c r="F1797" s="15" t="str">
        <x:f>IF(ISNUMBER(C1797),C1797^4,"")</x:f>
      </x:c>
      <x:c r="G1797" s="7" t="str">
        <x:f>IF(ISNUMBER(B1797),ABS(B1797),"")</x:f>
      </x:c>
      <x:c r="H1797" s="7" t="str">
        <x:f>IF(ISNUMBER(B1797),B1797^2,"")</x:f>
      </x:c>
      <x:c r="I1797" s="7" t="str">
        <x:f>IF(AND(ISNUMBER(G1797),'요약'!$B$19),G1797-'요약'!$B$14,"")</x:f>
      </x:c>
      <x:c r="J1797" s="7" t="str">
        <x:f>IF(AND(ISNUMBER(H1797),'요약'!$B$19),H1797-'요약'!$B$15,"")</x:f>
      </x:c>
      <x:c r="K1797" t="str">
        <x:f>IF(ISNUMBER(B1797),IF('Hill'!$B$4=1,IF(B1797&lt;0,-B1797,""),IF('Hill'!$B$4=2,IF(B1797&gt;0,B1797,""),IF('Hill'!$B$4=3,IF(B1797&lt;&gt;0,ABS(B1797),""),""))),"")</x:f>
      </x:c>
    </x:row>
    <x:row r="1798">
      <x:c r="A1798" t="n">
        <x:f>1797</x:f>
        <x:v>1797</x:v>
      </x:c>
      <x:c r="B1798" s="7" t="str">
        <x:f>IF('요약'!$B$4=4,IF(ISNUMBER('input'!A1798),'input'!A1798,""),IF(1797&lt;=1000,CHOOSE('요약'!$B$4,'input'!B1798,'input'!C1798,'input'!D1798),""))</x:f>
      </x:c>
      <x:c r="C1798" s="7" t="str">
        <x:f>IF(AND(ISNUMBER(B1798),'요약'!$B$19),B1798-'요약'!$B$7,"")</x:f>
      </x:c>
      <x:c r="D1798" s="7" t="str">
        <x:f>IF(ISNUMBER(C1798),C1798^2,"")</x:f>
      </x:c>
      <x:c r="E1798" s="15" t="str">
        <x:f>IF(ISNUMBER(C1798),C1798^3,"")</x:f>
      </x:c>
      <x:c r="F1798" s="15" t="str">
        <x:f>IF(ISNUMBER(C1798),C1798^4,"")</x:f>
      </x:c>
      <x:c r="G1798" s="7" t="str">
        <x:f>IF(ISNUMBER(B1798),ABS(B1798),"")</x:f>
      </x:c>
      <x:c r="H1798" s="7" t="str">
        <x:f>IF(ISNUMBER(B1798),B1798^2,"")</x:f>
      </x:c>
      <x:c r="I1798" s="7" t="str">
        <x:f>IF(AND(ISNUMBER(G1798),'요약'!$B$19),G1798-'요약'!$B$14,"")</x:f>
      </x:c>
      <x:c r="J1798" s="7" t="str">
        <x:f>IF(AND(ISNUMBER(H1798),'요약'!$B$19),H1798-'요약'!$B$15,"")</x:f>
      </x:c>
      <x:c r="K1798" t="str">
        <x:f>IF(ISNUMBER(B1798),IF('Hill'!$B$4=1,IF(B1798&lt;0,-B1798,""),IF('Hill'!$B$4=2,IF(B1798&gt;0,B1798,""),IF('Hill'!$B$4=3,IF(B1798&lt;&gt;0,ABS(B1798),""),""))),"")</x:f>
      </x:c>
    </x:row>
    <x:row r="1799">
      <x:c r="A1799" t="n">
        <x:f>1798</x:f>
        <x:v>1798</x:v>
      </x:c>
      <x:c r="B1799" s="7" t="str">
        <x:f>IF('요약'!$B$4=4,IF(ISNUMBER('input'!A1799),'input'!A1799,""),IF(1798&lt;=1000,CHOOSE('요약'!$B$4,'input'!B1799,'input'!C1799,'input'!D1799),""))</x:f>
      </x:c>
      <x:c r="C1799" s="7" t="str">
        <x:f>IF(AND(ISNUMBER(B1799),'요약'!$B$19),B1799-'요약'!$B$7,"")</x:f>
      </x:c>
      <x:c r="D1799" s="7" t="str">
        <x:f>IF(ISNUMBER(C1799),C1799^2,"")</x:f>
      </x:c>
      <x:c r="E1799" s="15" t="str">
        <x:f>IF(ISNUMBER(C1799),C1799^3,"")</x:f>
      </x:c>
      <x:c r="F1799" s="15" t="str">
        <x:f>IF(ISNUMBER(C1799),C1799^4,"")</x:f>
      </x:c>
      <x:c r="G1799" s="7" t="str">
        <x:f>IF(ISNUMBER(B1799),ABS(B1799),"")</x:f>
      </x:c>
      <x:c r="H1799" s="7" t="str">
        <x:f>IF(ISNUMBER(B1799),B1799^2,"")</x:f>
      </x:c>
      <x:c r="I1799" s="7" t="str">
        <x:f>IF(AND(ISNUMBER(G1799),'요약'!$B$19),G1799-'요약'!$B$14,"")</x:f>
      </x:c>
      <x:c r="J1799" s="7" t="str">
        <x:f>IF(AND(ISNUMBER(H1799),'요약'!$B$19),H1799-'요약'!$B$15,"")</x:f>
      </x:c>
      <x:c r="K1799" t="str">
        <x:f>IF(ISNUMBER(B1799),IF('Hill'!$B$4=1,IF(B1799&lt;0,-B1799,""),IF('Hill'!$B$4=2,IF(B1799&gt;0,B1799,""),IF('Hill'!$B$4=3,IF(B1799&lt;&gt;0,ABS(B1799),""),""))),"")</x:f>
      </x:c>
    </x:row>
    <x:row r="1800">
      <x:c r="A1800" t="n">
        <x:f>1799</x:f>
        <x:v>1799</x:v>
      </x:c>
      <x:c r="B1800" s="7" t="str">
        <x:f>IF('요약'!$B$4=4,IF(ISNUMBER('input'!A1800),'input'!A1800,""),IF(1799&lt;=1000,CHOOSE('요약'!$B$4,'input'!B1800,'input'!C1800,'input'!D1800),""))</x:f>
      </x:c>
      <x:c r="C1800" s="7" t="str">
        <x:f>IF(AND(ISNUMBER(B1800),'요약'!$B$19),B1800-'요약'!$B$7,"")</x:f>
      </x:c>
      <x:c r="D1800" s="7" t="str">
        <x:f>IF(ISNUMBER(C1800),C1800^2,"")</x:f>
      </x:c>
      <x:c r="E1800" s="15" t="str">
        <x:f>IF(ISNUMBER(C1800),C1800^3,"")</x:f>
      </x:c>
      <x:c r="F1800" s="15" t="str">
        <x:f>IF(ISNUMBER(C1800),C1800^4,"")</x:f>
      </x:c>
      <x:c r="G1800" s="7" t="str">
        <x:f>IF(ISNUMBER(B1800),ABS(B1800),"")</x:f>
      </x:c>
      <x:c r="H1800" s="7" t="str">
        <x:f>IF(ISNUMBER(B1800),B1800^2,"")</x:f>
      </x:c>
      <x:c r="I1800" s="7" t="str">
        <x:f>IF(AND(ISNUMBER(G1800),'요약'!$B$19),G1800-'요약'!$B$14,"")</x:f>
      </x:c>
      <x:c r="J1800" s="7" t="str">
        <x:f>IF(AND(ISNUMBER(H1800),'요약'!$B$19),H1800-'요약'!$B$15,"")</x:f>
      </x:c>
      <x:c r="K1800" t="str">
        <x:f>IF(ISNUMBER(B1800),IF('Hill'!$B$4=1,IF(B1800&lt;0,-B1800,""),IF('Hill'!$B$4=2,IF(B1800&gt;0,B1800,""),IF('Hill'!$B$4=3,IF(B1800&lt;&gt;0,ABS(B1800),""),""))),"")</x:f>
      </x:c>
    </x:row>
    <x:row r="1801">
      <x:c r="A1801" t="n">
        <x:f>1800</x:f>
        <x:v>1800</x:v>
      </x:c>
      <x:c r="B1801" s="7" t="str">
        <x:f>IF('요약'!$B$4=4,IF(ISNUMBER('input'!A1801),'input'!A1801,""),IF(1800&lt;=1000,CHOOSE('요약'!$B$4,'input'!B1801,'input'!C1801,'input'!D1801),""))</x:f>
      </x:c>
      <x:c r="C1801" s="7" t="str">
        <x:f>IF(AND(ISNUMBER(B1801),'요약'!$B$19),B1801-'요약'!$B$7,"")</x:f>
      </x:c>
      <x:c r="D1801" s="7" t="str">
        <x:f>IF(ISNUMBER(C1801),C1801^2,"")</x:f>
      </x:c>
      <x:c r="E1801" s="15" t="str">
        <x:f>IF(ISNUMBER(C1801),C1801^3,"")</x:f>
      </x:c>
      <x:c r="F1801" s="15" t="str">
        <x:f>IF(ISNUMBER(C1801),C1801^4,"")</x:f>
      </x:c>
      <x:c r="G1801" s="7" t="str">
        <x:f>IF(ISNUMBER(B1801),ABS(B1801),"")</x:f>
      </x:c>
      <x:c r="H1801" s="7" t="str">
        <x:f>IF(ISNUMBER(B1801),B1801^2,"")</x:f>
      </x:c>
      <x:c r="I1801" s="7" t="str">
        <x:f>IF(AND(ISNUMBER(G1801),'요약'!$B$19),G1801-'요약'!$B$14,"")</x:f>
      </x:c>
      <x:c r="J1801" s="7" t="str">
        <x:f>IF(AND(ISNUMBER(H1801),'요약'!$B$19),H1801-'요약'!$B$15,"")</x:f>
      </x:c>
      <x:c r="K1801" t="str">
        <x:f>IF(ISNUMBER(B1801),IF('Hill'!$B$4=1,IF(B1801&lt;0,-B1801,""),IF('Hill'!$B$4=2,IF(B1801&gt;0,B1801,""),IF('Hill'!$B$4=3,IF(B1801&lt;&gt;0,ABS(B1801),""),""))),"")</x:f>
      </x:c>
    </x:row>
    <x:row r="1802">
      <x:c r="A1802" t="n">
        <x:f>1801</x:f>
        <x:v>1801</x:v>
      </x:c>
      <x:c r="B1802" s="7" t="str">
        <x:f>IF('요약'!$B$4=4,IF(ISNUMBER('input'!A1802),'input'!A1802,""),IF(1801&lt;=1000,CHOOSE('요약'!$B$4,'input'!B1802,'input'!C1802,'input'!D1802),""))</x:f>
      </x:c>
      <x:c r="C1802" s="7" t="str">
        <x:f>IF(AND(ISNUMBER(B1802),'요약'!$B$19),B1802-'요약'!$B$7,"")</x:f>
      </x:c>
      <x:c r="D1802" s="7" t="str">
        <x:f>IF(ISNUMBER(C1802),C1802^2,"")</x:f>
      </x:c>
      <x:c r="E1802" s="15" t="str">
        <x:f>IF(ISNUMBER(C1802),C1802^3,"")</x:f>
      </x:c>
      <x:c r="F1802" s="15" t="str">
        <x:f>IF(ISNUMBER(C1802),C1802^4,"")</x:f>
      </x:c>
      <x:c r="G1802" s="7" t="str">
        <x:f>IF(ISNUMBER(B1802),ABS(B1802),"")</x:f>
      </x:c>
      <x:c r="H1802" s="7" t="str">
        <x:f>IF(ISNUMBER(B1802),B1802^2,"")</x:f>
      </x:c>
      <x:c r="I1802" s="7" t="str">
        <x:f>IF(AND(ISNUMBER(G1802),'요약'!$B$19),G1802-'요약'!$B$14,"")</x:f>
      </x:c>
      <x:c r="J1802" s="7" t="str">
        <x:f>IF(AND(ISNUMBER(H1802),'요약'!$B$19),H1802-'요약'!$B$15,"")</x:f>
      </x:c>
      <x:c r="K1802" t="str">
        <x:f>IF(ISNUMBER(B1802),IF('Hill'!$B$4=1,IF(B1802&lt;0,-B1802,""),IF('Hill'!$B$4=2,IF(B1802&gt;0,B1802,""),IF('Hill'!$B$4=3,IF(B1802&lt;&gt;0,ABS(B1802),""),""))),"")</x:f>
      </x:c>
    </x:row>
    <x:row r="1803">
      <x:c r="A1803" t="n">
        <x:f>1802</x:f>
        <x:v>1802</x:v>
      </x:c>
      <x:c r="B1803" s="7" t="str">
        <x:f>IF('요약'!$B$4=4,IF(ISNUMBER('input'!A1803),'input'!A1803,""),IF(1802&lt;=1000,CHOOSE('요약'!$B$4,'input'!B1803,'input'!C1803,'input'!D1803),""))</x:f>
      </x:c>
      <x:c r="C1803" s="7" t="str">
        <x:f>IF(AND(ISNUMBER(B1803),'요약'!$B$19),B1803-'요약'!$B$7,"")</x:f>
      </x:c>
      <x:c r="D1803" s="7" t="str">
        <x:f>IF(ISNUMBER(C1803),C1803^2,"")</x:f>
      </x:c>
      <x:c r="E1803" s="15" t="str">
        <x:f>IF(ISNUMBER(C1803),C1803^3,"")</x:f>
      </x:c>
      <x:c r="F1803" s="15" t="str">
        <x:f>IF(ISNUMBER(C1803),C1803^4,"")</x:f>
      </x:c>
      <x:c r="G1803" s="7" t="str">
        <x:f>IF(ISNUMBER(B1803),ABS(B1803),"")</x:f>
      </x:c>
      <x:c r="H1803" s="7" t="str">
        <x:f>IF(ISNUMBER(B1803),B1803^2,"")</x:f>
      </x:c>
      <x:c r="I1803" s="7" t="str">
        <x:f>IF(AND(ISNUMBER(G1803),'요약'!$B$19),G1803-'요약'!$B$14,"")</x:f>
      </x:c>
      <x:c r="J1803" s="7" t="str">
        <x:f>IF(AND(ISNUMBER(H1803),'요약'!$B$19),H1803-'요약'!$B$15,"")</x:f>
      </x:c>
      <x:c r="K1803" t="str">
        <x:f>IF(ISNUMBER(B1803),IF('Hill'!$B$4=1,IF(B1803&lt;0,-B1803,""),IF('Hill'!$B$4=2,IF(B1803&gt;0,B1803,""),IF('Hill'!$B$4=3,IF(B1803&lt;&gt;0,ABS(B1803),""),""))),"")</x:f>
      </x:c>
    </x:row>
    <x:row r="1804">
      <x:c r="A1804" t="n">
        <x:f>1803</x:f>
        <x:v>1803</x:v>
      </x:c>
      <x:c r="B1804" s="7" t="str">
        <x:f>IF('요약'!$B$4=4,IF(ISNUMBER('input'!A1804),'input'!A1804,""),IF(1803&lt;=1000,CHOOSE('요약'!$B$4,'input'!B1804,'input'!C1804,'input'!D1804),""))</x:f>
      </x:c>
      <x:c r="C1804" s="7" t="str">
        <x:f>IF(AND(ISNUMBER(B1804),'요약'!$B$19),B1804-'요약'!$B$7,"")</x:f>
      </x:c>
      <x:c r="D1804" s="7" t="str">
        <x:f>IF(ISNUMBER(C1804),C1804^2,"")</x:f>
      </x:c>
      <x:c r="E1804" s="15" t="str">
        <x:f>IF(ISNUMBER(C1804),C1804^3,"")</x:f>
      </x:c>
      <x:c r="F1804" s="15" t="str">
        <x:f>IF(ISNUMBER(C1804),C1804^4,"")</x:f>
      </x:c>
      <x:c r="G1804" s="7" t="str">
        <x:f>IF(ISNUMBER(B1804),ABS(B1804),"")</x:f>
      </x:c>
      <x:c r="H1804" s="7" t="str">
        <x:f>IF(ISNUMBER(B1804),B1804^2,"")</x:f>
      </x:c>
      <x:c r="I1804" s="7" t="str">
        <x:f>IF(AND(ISNUMBER(G1804),'요약'!$B$19),G1804-'요약'!$B$14,"")</x:f>
      </x:c>
      <x:c r="J1804" s="7" t="str">
        <x:f>IF(AND(ISNUMBER(H1804),'요약'!$B$19),H1804-'요약'!$B$15,"")</x:f>
      </x:c>
      <x:c r="K1804" t="str">
        <x:f>IF(ISNUMBER(B1804),IF('Hill'!$B$4=1,IF(B1804&lt;0,-B1804,""),IF('Hill'!$B$4=2,IF(B1804&gt;0,B1804,""),IF('Hill'!$B$4=3,IF(B1804&lt;&gt;0,ABS(B1804),""),""))),"")</x:f>
      </x:c>
    </x:row>
    <x:row r="1805">
      <x:c r="A1805" t="n">
        <x:f>1804</x:f>
        <x:v>1804</x:v>
      </x:c>
      <x:c r="B1805" s="7" t="str">
        <x:f>IF('요약'!$B$4=4,IF(ISNUMBER('input'!A1805),'input'!A1805,""),IF(1804&lt;=1000,CHOOSE('요약'!$B$4,'input'!B1805,'input'!C1805,'input'!D1805),""))</x:f>
      </x:c>
      <x:c r="C1805" s="7" t="str">
        <x:f>IF(AND(ISNUMBER(B1805),'요약'!$B$19),B1805-'요약'!$B$7,"")</x:f>
      </x:c>
      <x:c r="D1805" s="7" t="str">
        <x:f>IF(ISNUMBER(C1805),C1805^2,"")</x:f>
      </x:c>
      <x:c r="E1805" s="15" t="str">
        <x:f>IF(ISNUMBER(C1805),C1805^3,"")</x:f>
      </x:c>
      <x:c r="F1805" s="15" t="str">
        <x:f>IF(ISNUMBER(C1805),C1805^4,"")</x:f>
      </x:c>
      <x:c r="G1805" s="7" t="str">
        <x:f>IF(ISNUMBER(B1805),ABS(B1805),"")</x:f>
      </x:c>
      <x:c r="H1805" s="7" t="str">
        <x:f>IF(ISNUMBER(B1805),B1805^2,"")</x:f>
      </x:c>
      <x:c r="I1805" s="7" t="str">
        <x:f>IF(AND(ISNUMBER(G1805),'요약'!$B$19),G1805-'요약'!$B$14,"")</x:f>
      </x:c>
      <x:c r="J1805" s="7" t="str">
        <x:f>IF(AND(ISNUMBER(H1805),'요약'!$B$19),H1805-'요약'!$B$15,"")</x:f>
      </x:c>
      <x:c r="K1805" t="str">
        <x:f>IF(ISNUMBER(B1805),IF('Hill'!$B$4=1,IF(B1805&lt;0,-B1805,""),IF('Hill'!$B$4=2,IF(B1805&gt;0,B1805,""),IF('Hill'!$B$4=3,IF(B1805&lt;&gt;0,ABS(B1805),""),""))),"")</x:f>
      </x:c>
    </x:row>
    <x:row r="1806">
      <x:c r="A1806" t="n">
        <x:f>1805</x:f>
        <x:v>1805</x:v>
      </x:c>
      <x:c r="B1806" s="7" t="str">
        <x:f>IF('요약'!$B$4=4,IF(ISNUMBER('input'!A1806),'input'!A1806,""),IF(1805&lt;=1000,CHOOSE('요약'!$B$4,'input'!B1806,'input'!C1806,'input'!D1806),""))</x:f>
      </x:c>
      <x:c r="C1806" s="7" t="str">
        <x:f>IF(AND(ISNUMBER(B1806),'요약'!$B$19),B1806-'요약'!$B$7,"")</x:f>
      </x:c>
      <x:c r="D1806" s="7" t="str">
        <x:f>IF(ISNUMBER(C1806),C1806^2,"")</x:f>
      </x:c>
      <x:c r="E1806" s="15" t="str">
        <x:f>IF(ISNUMBER(C1806),C1806^3,"")</x:f>
      </x:c>
      <x:c r="F1806" s="15" t="str">
        <x:f>IF(ISNUMBER(C1806),C1806^4,"")</x:f>
      </x:c>
      <x:c r="G1806" s="7" t="str">
        <x:f>IF(ISNUMBER(B1806),ABS(B1806),"")</x:f>
      </x:c>
      <x:c r="H1806" s="7" t="str">
        <x:f>IF(ISNUMBER(B1806),B1806^2,"")</x:f>
      </x:c>
      <x:c r="I1806" s="7" t="str">
        <x:f>IF(AND(ISNUMBER(G1806),'요약'!$B$19),G1806-'요약'!$B$14,"")</x:f>
      </x:c>
      <x:c r="J1806" s="7" t="str">
        <x:f>IF(AND(ISNUMBER(H1806),'요약'!$B$19),H1806-'요약'!$B$15,"")</x:f>
      </x:c>
      <x:c r="K1806" t="str">
        <x:f>IF(ISNUMBER(B1806),IF('Hill'!$B$4=1,IF(B1806&lt;0,-B1806,""),IF('Hill'!$B$4=2,IF(B1806&gt;0,B1806,""),IF('Hill'!$B$4=3,IF(B1806&lt;&gt;0,ABS(B1806),""),""))),"")</x:f>
      </x:c>
    </x:row>
    <x:row r="1807">
      <x:c r="A1807" t="n">
        <x:f>1806</x:f>
        <x:v>1806</x:v>
      </x:c>
      <x:c r="B1807" s="7" t="str">
        <x:f>IF('요약'!$B$4=4,IF(ISNUMBER('input'!A1807),'input'!A1807,""),IF(1806&lt;=1000,CHOOSE('요약'!$B$4,'input'!B1807,'input'!C1807,'input'!D1807),""))</x:f>
      </x:c>
      <x:c r="C1807" s="7" t="str">
        <x:f>IF(AND(ISNUMBER(B1807),'요약'!$B$19),B1807-'요약'!$B$7,"")</x:f>
      </x:c>
      <x:c r="D1807" s="7" t="str">
        <x:f>IF(ISNUMBER(C1807),C1807^2,"")</x:f>
      </x:c>
      <x:c r="E1807" s="15" t="str">
        <x:f>IF(ISNUMBER(C1807),C1807^3,"")</x:f>
      </x:c>
      <x:c r="F1807" s="15" t="str">
        <x:f>IF(ISNUMBER(C1807),C1807^4,"")</x:f>
      </x:c>
      <x:c r="G1807" s="7" t="str">
        <x:f>IF(ISNUMBER(B1807),ABS(B1807),"")</x:f>
      </x:c>
      <x:c r="H1807" s="7" t="str">
        <x:f>IF(ISNUMBER(B1807),B1807^2,"")</x:f>
      </x:c>
      <x:c r="I1807" s="7" t="str">
        <x:f>IF(AND(ISNUMBER(G1807),'요약'!$B$19),G1807-'요약'!$B$14,"")</x:f>
      </x:c>
      <x:c r="J1807" s="7" t="str">
        <x:f>IF(AND(ISNUMBER(H1807),'요약'!$B$19),H1807-'요약'!$B$15,"")</x:f>
      </x:c>
      <x:c r="K1807" t="str">
        <x:f>IF(ISNUMBER(B1807),IF('Hill'!$B$4=1,IF(B1807&lt;0,-B1807,""),IF('Hill'!$B$4=2,IF(B1807&gt;0,B1807,""),IF('Hill'!$B$4=3,IF(B1807&lt;&gt;0,ABS(B1807),""),""))),"")</x:f>
      </x:c>
    </x:row>
    <x:row r="1808">
      <x:c r="A1808" t="n">
        <x:f>1807</x:f>
        <x:v>1807</x:v>
      </x:c>
      <x:c r="B1808" s="7" t="str">
        <x:f>IF('요약'!$B$4=4,IF(ISNUMBER('input'!A1808),'input'!A1808,""),IF(1807&lt;=1000,CHOOSE('요약'!$B$4,'input'!B1808,'input'!C1808,'input'!D1808),""))</x:f>
      </x:c>
      <x:c r="C1808" s="7" t="str">
        <x:f>IF(AND(ISNUMBER(B1808),'요약'!$B$19),B1808-'요약'!$B$7,"")</x:f>
      </x:c>
      <x:c r="D1808" s="7" t="str">
        <x:f>IF(ISNUMBER(C1808),C1808^2,"")</x:f>
      </x:c>
      <x:c r="E1808" s="15" t="str">
        <x:f>IF(ISNUMBER(C1808),C1808^3,"")</x:f>
      </x:c>
      <x:c r="F1808" s="15" t="str">
        <x:f>IF(ISNUMBER(C1808),C1808^4,"")</x:f>
      </x:c>
      <x:c r="G1808" s="7" t="str">
        <x:f>IF(ISNUMBER(B1808),ABS(B1808),"")</x:f>
      </x:c>
      <x:c r="H1808" s="7" t="str">
        <x:f>IF(ISNUMBER(B1808),B1808^2,"")</x:f>
      </x:c>
      <x:c r="I1808" s="7" t="str">
        <x:f>IF(AND(ISNUMBER(G1808),'요약'!$B$19),G1808-'요약'!$B$14,"")</x:f>
      </x:c>
      <x:c r="J1808" s="7" t="str">
        <x:f>IF(AND(ISNUMBER(H1808),'요약'!$B$19),H1808-'요약'!$B$15,"")</x:f>
      </x:c>
      <x:c r="K1808" t="str">
        <x:f>IF(ISNUMBER(B1808),IF('Hill'!$B$4=1,IF(B1808&lt;0,-B1808,""),IF('Hill'!$B$4=2,IF(B1808&gt;0,B1808,""),IF('Hill'!$B$4=3,IF(B1808&lt;&gt;0,ABS(B1808),""),""))),"")</x:f>
      </x:c>
    </x:row>
    <x:row r="1809">
      <x:c r="A1809" t="n">
        <x:f>1808</x:f>
        <x:v>1808</x:v>
      </x:c>
      <x:c r="B1809" s="7" t="str">
        <x:f>IF('요약'!$B$4=4,IF(ISNUMBER('input'!A1809),'input'!A1809,""),IF(1808&lt;=1000,CHOOSE('요약'!$B$4,'input'!B1809,'input'!C1809,'input'!D1809),""))</x:f>
      </x:c>
      <x:c r="C1809" s="7" t="str">
        <x:f>IF(AND(ISNUMBER(B1809),'요약'!$B$19),B1809-'요약'!$B$7,"")</x:f>
      </x:c>
      <x:c r="D1809" s="7" t="str">
        <x:f>IF(ISNUMBER(C1809),C1809^2,"")</x:f>
      </x:c>
      <x:c r="E1809" s="15" t="str">
        <x:f>IF(ISNUMBER(C1809),C1809^3,"")</x:f>
      </x:c>
      <x:c r="F1809" s="15" t="str">
        <x:f>IF(ISNUMBER(C1809),C1809^4,"")</x:f>
      </x:c>
      <x:c r="G1809" s="7" t="str">
        <x:f>IF(ISNUMBER(B1809),ABS(B1809),"")</x:f>
      </x:c>
      <x:c r="H1809" s="7" t="str">
        <x:f>IF(ISNUMBER(B1809),B1809^2,"")</x:f>
      </x:c>
      <x:c r="I1809" s="7" t="str">
        <x:f>IF(AND(ISNUMBER(G1809),'요약'!$B$19),G1809-'요약'!$B$14,"")</x:f>
      </x:c>
      <x:c r="J1809" s="7" t="str">
        <x:f>IF(AND(ISNUMBER(H1809),'요약'!$B$19),H1809-'요약'!$B$15,"")</x:f>
      </x:c>
      <x:c r="K1809" t="str">
        <x:f>IF(ISNUMBER(B1809),IF('Hill'!$B$4=1,IF(B1809&lt;0,-B1809,""),IF('Hill'!$B$4=2,IF(B1809&gt;0,B1809,""),IF('Hill'!$B$4=3,IF(B1809&lt;&gt;0,ABS(B1809),""),""))),"")</x:f>
      </x:c>
    </x:row>
    <x:row r="1810">
      <x:c r="A1810" t="n">
        <x:f>1809</x:f>
        <x:v>1809</x:v>
      </x:c>
      <x:c r="B1810" s="7" t="str">
        <x:f>IF('요약'!$B$4=4,IF(ISNUMBER('input'!A1810),'input'!A1810,""),IF(1809&lt;=1000,CHOOSE('요약'!$B$4,'input'!B1810,'input'!C1810,'input'!D1810),""))</x:f>
      </x:c>
      <x:c r="C1810" s="7" t="str">
        <x:f>IF(AND(ISNUMBER(B1810),'요약'!$B$19),B1810-'요약'!$B$7,"")</x:f>
      </x:c>
      <x:c r="D1810" s="7" t="str">
        <x:f>IF(ISNUMBER(C1810),C1810^2,"")</x:f>
      </x:c>
      <x:c r="E1810" s="15" t="str">
        <x:f>IF(ISNUMBER(C1810),C1810^3,"")</x:f>
      </x:c>
      <x:c r="F1810" s="15" t="str">
        <x:f>IF(ISNUMBER(C1810),C1810^4,"")</x:f>
      </x:c>
      <x:c r="G1810" s="7" t="str">
        <x:f>IF(ISNUMBER(B1810),ABS(B1810),"")</x:f>
      </x:c>
      <x:c r="H1810" s="7" t="str">
        <x:f>IF(ISNUMBER(B1810),B1810^2,"")</x:f>
      </x:c>
      <x:c r="I1810" s="7" t="str">
        <x:f>IF(AND(ISNUMBER(G1810),'요약'!$B$19),G1810-'요약'!$B$14,"")</x:f>
      </x:c>
      <x:c r="J1810" s="7" t="str">
        <x:f>IF(AND(ISNUMBER(H1810),'요약'!$B$19),H1810-'요약'!$B$15,"")</x:f>
      </x:c>
      <x:c r="K1810" t="str">
        <x:f>IF(ISNUMBER(B1810),IF('Hill'!$B$4=1,IF(B1810&lt;0,-B1810,""),IF('Hill'!$B$4=2,IF(B1810&gt;0,B1810,""),IF('Hill'!$B$4=3,IF(B1810&lt;&gt;0,ABS(B1810),""),""))),"")</x:f>
      </x:c>
    </x:row>
    <x:row r="1811">
      <x:c r="A1811" t="n">
        <x:f>1810</x:f>
        <x:v>1810</x:v>
      </x:c>
      <x:c r="B1811" s="7" t="str">
        <x:f>IF('요약'!$B$4=4,IF(ISNUMBER('input'!A1811),'input'!A1811,""),IF(1810&lt;=1000,CHOOSE('요약'!$B$4,'input'!B1811,'input'!C1811,'input'!D1811),""))</x:f>
      </x:c>
      <x:c r="C1811" s="7" t="str">
        <x:f>IF(AND(ISNUMBER(B1811),'요약'!$B$19),B1811-'요약'!$B$7,"")</x:f>
      </x:c>
      <x:c r="D1811" s="7" t="str">
        <x:f>IF(ISNUMBER(C1811),C1811^2,"")</x:f>
      </x:c>
      <x:c r="E1811" s="15" t="str">
        <x:f>IF(ISNUMBER(C1811),C1811^3,"")</x:f>
      </x:c>
      <x:c r="F1811" s="15" t="str">
        <x:f>IF(ISNUMBER(C1811),C1811^4,"")</x:f>
      </x:c>
      <x:c r="G1811" s="7" t="str">
        <x:f>IF(ISNUMBER(B1811),ABS(B1811),"")</x:f>
      </x:c>
      <x:c r="H1811" s="7" t="str">
        <x:f>IF(ISNUMBER(B1811),B1811^2,"")</x:f>
      </x:c>
      <x:c r="I1811" s="7" t="str">
        <x:f>IF(AND(ISNUMBER(G1811),'요약'!$B$19),G1811-'요약'!$B$14,"")</x:f>
      </x:c>
      <x:c r="J1811" s="7" t="str">
        <x:f>IF(AND(ISNUMBER(H1811),'요약'!$B$19),H1811-'요약'!$B$15,"")</x:f>
      </x:c>
      <x:c r="K1811" t="str">
        <x:f>IF(ISNUMBER(B1811),IF('Hill'!$B$4=1,IF(B1811&lt;0,-B1811,""),IF('Hill'!$B$4=2,IF(B1811&gt;0,B1811,""),IF('Hill'!$B$4=3,IF(B1811&lt;&gt;0,ABS(B1811),""),""))),"")</x:f>
      </x:c>
    </x:row>
    <x:row r="1812">
      <x:c r="A1812" t="n">
        <x:f>1811</x:f>
        <x:v>1811</x:v>
      </x:c>
      <x:c r="B1812" s="7" t="str">
        <x:f>IF('요약'!$B$4=4,IF(ISNUMBER('input'!A1812),'input'!A1812,""),IF(1811&lt;=1000,CHOOSE('요약'!$B$4,'input'!B1812,'input'!C1812,'input'!D1812),""))</x:f>
      </x:c>
      <x:c r="C1812" s="7" t="str">
        <x:f>IF(AND(ISNUMBER(B1812),'요약'!$B$19),B1812-'요약'!$B$7,"")</x:f>
      </x:c>
      <x:c r="D1812" s="7" t="str">
        <x:f>IF(ISNUMBER(C1812),C1812^2,"")</x:f>
      </x:c>
      <x:c r="E1812" s="15" t="str">
        <x:f>IF(ISNUMBER(C1812),C1812^3,"")</x:f>
      </x:c>
      <x:c r="F1812" s="15" t="str">
        <x:f>IF(ISNUMBER(C1812),C1812^4,"")</x:f>
      </x:c>
      <x:c r="G1812" s="7" t="str">
        <x:f>IF(ISNUMBER(B1812),ABS(B1812),"")</x:f>
      </x:c>
      <x:c r="H1812" s="7" t="str">
        <x:f>IF(ISNUMBER(B1812),B1812^2,"")</x:f>
      </x:c>
      <x:c r="I1812" s="7" t="str">
        <x:f>IF(AND(ISNUMBER(G1812),'요약'!$B$19),G1812-'요약'!$B$14,"")</x:f>
      </x:c>
      <x:c r="J1812" s="7" t="str">
        <x:f>IF(AND(ISNUMBER(H1812),'요약'!$B$19),H1812-'요약'!$B$15,"")</x:f>
      </x:c>
      <x:c r="K1812" t="str">
        <x:f>IF(ISNUMBER(B1812),IF('Hill'!$B$4=1,IF(B1812&lt;0,-B1812,""),IF('Hill'!$B$4=2,IF(B1812&gt;0,B1812,""),IF('Hill'!$B$4=3,IF(B1812&lt;&gt;0,ABS(B1812),""),""))),"")</x:f>
      </x:c>
    </x:row>
    <x:row r="1813">
      <x:c r="A1813" t="n">
        <x:f>1812</x:f>
        <x:v>1812</x:v>
      </x:c>
      <x:c r="B1813" s="7" t="str">
        <x:f>IF('요약'!$B$4=4,IF(ISNUMBER('input'!A1813),'input'!A1813,""),IF(1812&lt;=1000,CHOOSE('요약'!$B$4,'input'!B1813,'input'!C1813,'input'!D1813),""))</x:f>
      </x:c>
      <x:c r="C1813" s="7" t="str">
        <x:f>IF(AND(ISNUMBER(B1813),'요약'!$B$19),B1813-'요약'!$B$7,"")</x:f>
      </x:c>
      <x:c r="D1813" s="7" t="str">
        <x:f>IF(ISNUMBER(C1813),C1813^2,"")</x:f>
      </x:c>
      <x:c r="E1813" s="15" t="str">
        <x:f>IF(ISNUMBER(C1813),C1813^3,"")</x:f>
      </x:c>
      <x:c r="F1813" s="15" t="str">
        <x:f>IF(ISNUMBER(C1813),C1813^4,"")</x:f>
      </x:c>
      <x:c r="G1813" s="7" t="str">
        <x:f>IF(ISNUMBER(B1813),ABS(B1813),"")</x:f>
      </x:c>
      <x:c r="H1813" s="7" t="str">
        <x:f>IF(ISNUMBER(B1813),B1813^2,"")</x:f>
      </x:c>
      <x:c r="I1813" s="7" t="str">
        <x:f>IF(AND(ISNUMBER(G1813),'요약'!$B$19),G1813-'요약'!$B$14,"")</x:f>
      </x:c>
      <x:c r="J1813" s="7" t="str">
        <x:f>IF(AND(ISNUMBER(H1813),'요약'!$B$19),H1813-'요약'!$B$15,"")</x:f>
      </x:c>
      <x:c r="K1813" t="str">
        <x:f>IF(ISNUMBER(B1813),IF('Hill'!$B$4=1,IF(B1813&lt;0,-B1813,""),IF('Hill'!$B$4=2,IF(B1813&gt;0,B1813,""),IF('Hill'!$B$4=3,IF(B1813&lt;&gt;0,ABS(B1813),""),""))),"")</x:f>
      </x:c>
    </x:row>
    <x:row r="1814">
      <x:c r="A1814" t="n">
        <x:f>1813</x:f>
        <x:v>1813</x:v>
      </x:c>
      <x:c r="B1814" s="7" t="str">
        <x:f>IF('요약'!$B$4=4,IF(ISNUMBER('input'!A1814),'input'!A1814,""),IF(1813&lt;=1000,CHOOSE('요약'!$B$4,'input'!B1814,'input'!C1814,'input'!D1814),""))</x:f>
      </x:c>
      <x:c r="C1814" s="7" t="str">
        <x:f>IF(AND(ISNUMBER(B1814),'요약'!$B$19),B1814-'요약'!$B$7,"")</x:f>
      </x:c>
      <x:c r="D1814" s="7" t="str">
        <x:f>IF(ISNUMBER(C1814),C1814^2,"")</x:f>
      </x:c>
      <x:c r="E1814" s="15" t="str">
        <x:f>IF(ISNUMBER(C1814),C1814^3,"")</x:f>
      </x:c>
      <x:c r="F1814" s="15" t="str">
        <x:f>IF(ISNUMBER(C1814),C1814^4,"")</x:f>
      </x:c>
      <x:c r="G1814" s="7" t="str">
        <x:f>IF(ISNUMBER(B1814),ABS(B1814),"")</x:f>
      </x:c>
      <x:c r="H1814" s="7" t="str">
        <x:f>IF(ISNUMBER(B1814),B1814^2,"")</x:f>
      </x:c>
      <x:c r="I1814" s="7" t="str">
        <x:f>IF(AND(ISNUMBER(G1814),'요약'!$B$19),G1814-'요약'!$B$14,"")</x:f>
      </x:c>
      <x:c r="J1814" s="7" t="str">
        <x:f>IF(AND(ISNUMBER(H1814),'요약'!$B$19),H1814-'요약'!$B$15,"")</x:f>
      </x:c>
      <x:c r="K1814" t="str">
        <x:f>IF(ISNUMBER(B1814),IF('Hill'!$B$4=1,IF(B1814&lt;0,-B1814,""),IF('Hill'!$B$4=2,IF(B1814&gt;0,B1814,""),IF('Hill'!$B$4=3,IF(B1814&lt;&gt;0,ABS(B1814),""),""))),"")</x:f>
      </x:c>
    </x:row>
    <x:row r="1815">
      <x:c r="A1815" t="n">
        <x:f>1814</x:f>
        <x:v>1814</x:v>
      </x:c>
      <x:c r="B1815" s="7" t="str">
        <x:f>IF('요약'!$B$4=4,IF(ISNUMBER('input'!A1815),'input'!A1815,""),IF(1814&lt;=1000,CHOOSE('요약'!$B$4,'input'!B1815,'input'!C1815,'input'!D1815),""))</x:f>
      </x:c>
      <x:c r="C1815" s="7" t="str">
        <x:f>IF(AND(ISNUMBER(B1815),'요약'!$B$19),B1815-'요약'!$B$7,"")</x:f>
      </x:c>
      <x:c r="D1815" s="7" t="str">
        <x:f>IF(ISNUMBER(C1815),C1815^2,"")</x:f>
      </x:c>
      <x:c r="E1815" s="15" t="str">
        <x:f>IF(ISNUMBER(C1815),C1815^3,"")</x:f>
      </x:c>
      <x:c r="F1815" s="15" t="str">
        <x:f>IF(ISNUMBER(C1815),C1815^4,"")</x:f>
      </x:c>
      <x:c r="G1815" s="7" t="str">
        <x:f>IF(ISNUMBER(B1815),ABS(B1815),"")</x:f>
      </x:c>
      <x:c r="H1815" s="7" t="str">
        <x:f>IF(ISNUMBER(B1815),B1815^2,"")</x:f>
      </x:c>
      <x:c r="I1815" s="7" t="str">
        <x:f>IF(AND(ISNUMBER(G1815),'요약'!$B$19),G1815-'요약'!$B$14,"")</x:f>
      </x:c>
      <x:c r="J1815" s="7" t="str">
        <x:f>IF(AND(ISNUMBER(H1815),'요약'!$B$19),H1815-'요약'!$B$15,"")</x:f>
      </x:c>
      <x:c r="K1815" t="str">
        <x:f>IF(ISNUMBER(B1815),IF('Hill'!$B$4=1,IF(B1815&lt;0,-B1815,""),IF('Hill'!$B$4=2,IF(B1815&gt;0,B1815,""),IF('Hill'!$B$4=3,IF(B1815&lt;&gt;0,ABS(B1815),""),""))),"")</x:f>
      </x:c>
    </x:row>
    <x:row r="1816">
      <x:c r="A1816" t="n">
        <x:f>1815</x:f>
        <x:v>1815</x:v>
      </x:c>
      <x:c r="B1816" s="7" t="str">
        <x:f>IF('요약'!$B$4=4,IF(ISNUMBER('input'!A1816),'input'!A1816,""),IF(1815&lt;=1000,CHOOSE('요약'!$B$4,'input'!B1816,'input'!C1816,'input'!D1816),""))</x:f>
      </x:c>
      <x:c r="C1816" s="7" t="str">
        <x:f>IF(AND(ISNUMBER(B1816),'요약'!$B$19),B1816-'요약'!$B$7,"")</x:f>
      </x:c>
      <x:c r="D1816" s="7" t="str">
        <x:f>IF(ISNUMBER(C1816),C1816^2,"")</x:f>
      </x:c>
      <x:c r="E1816" s="15" t="str">
        <x:f>IF(ISNUMBER(C1816),C1816^3,"")</x:f>
      </x:c>
      <x:c r="F1816" s="15" t="str">
        <x:f>IF(ISNUMBER(C1816),C1816^4,"")</x:f>
      </x:c>
      <x:c r="G1816" s="7" t="str">
        <x:f>IF(ISNUMBER(B1816),ABS(B1816),"")</x:f>
      </x:c>
      <x:c r="H1816" s="7" t="str">
        <x:f>IF(ISNUMBER(B1816),B1816^2,"")</x:f>
      </x:c>
      <x:c r="I1816" s="7" t="str">
        <x:f>IF(AND(ISNUMBER(G1816),'요약'!$B$19),G1816-'요약'!$B$14,"")</x:f>
      </x:c>
      <x:c r="J1816" s="7" t="str">
        <x:f>IF(AND(ISNUMBER(H1816),'요약'!$B$19),H1816-'요약'!$B$15,"")</x:f>
      </x:c>
      <x:c r="K1816" t="str">
        <x:f>IF(ISNUMBER(B1816),IF('Hill'!$B$4=1,IF(B1816&lt;0,-B1816,""),IF('Hill'!$B$4=2,IF(B1816&gt;0,B1816,""),IF('Hill'!$B$4=3,IF(B1816&lt;&gt;0,ABS(B1816),""),""))),"")</x:f>
      </x:c>
    </x:row>
    <x:row r="1817">
      <x:c r="A1817" t="n">
        <x:f>1816</x:f>
        <x:v>1816</x:v>
      </x:c>
      <x:c r="B1817" s="7" t="str">
        <x:f>IF('요약'!$B$4=4,IF(ISNUMBER('input'!A1817),'input'!A1817,""),IF(1816&lt;=1000,CHOOSE('요약'!$B$4,'input'!B1817,'input'!C1817,'input'!D1817),""))</x:f>
      </x:c>
      <x:c r="C1817" s="7" t="str">
        <x:f>IF(AND(ISNUMBER(B1817),'요약'!$B$19),B1817-'요약'!$B$7,"")</x:f>
      </x:c>
      <x:c r="D1817" s="7" t="str">
        <x:f>IF(ISNUMBER(C1817),C1817^2,"")</x:f>
      </x:c>
      <x:c r="E1817" s="15" t="str">
        <x:f>IF(ISNUMBER(C1817),C1817^3,"")</x:f>
      </x:c>
      <x:c r="F1817" s="15" t="str">
        <x:f>IF(ISNUMBER(C1817),C1817^4,"")</x:f>
      </x:c>
      <x:c r="G1817" s="7" t="str">
        <x:f>IF(ISNUMBER(B1817),ABS(B1817),"")</x:f>
      </x:c>
      <x:c r="H1817" s="7" t="str">
        <x:f>IF(ISNUMBER(B1817),B1817^2,"")</x:f>
      </x:c>
      <x:c r="I1817" s="7" t="str">
        <x:f>IF(AND(ISNUMBER(G1817),'요약'!$B$19),G1817-'요약'!$B$14,"")</x:f>
      </x:c>
      <x:c r="J1817" s="7" t="str">
        <x:f>IF(AND(ISNUMBER(H1817),'요약'!$B$19),H1817-'요약'!$B$15,"")</x:f>
      </x:c>
      <x:c r="K1817" t="str">
        <x:f>IF(ISNUMBER(B1817),IF('Hill'!$B$4=1,IF(B1817&lt;0,-B1817,""),IF('Hill'!$B$4=2,IF(B1817&gt;0,B1817,""),IF('Hill'!$B$4=3,IF(B1817&lt;&gt;0,ABS(B1817),""),""))),"")</x:f>
      </x:c>
    </x:row>
    <x:row r="1818">
      <x:c r="A1818" t="n">
        <x:f>1817</x:f>
        <x:v>1817</x:v>
      </x:c>
      <x:c r="B1818" s="7" t="str">
        <x:f>IF('요약'!$B$4=4,IF(ISNUMBER('input'!A1818),'input'!A1818,""),IF(1817&lt;=1000,CHOOSE('요약'!$B$4,'input'!B1818,'input'!C1818,'input'!D1818),""))</x:f>
      </x:c>
      <x:c r="C1818" s="7" t="str">
        <x:f>IF(AND(ISNUMBER(B1818),'요약'!$B$19),B1818-'요약'!$B$7,"")</x:f>
      </x:c>
      <x:c r="D1818" s="7" t="str">
        <x:f>IF(ISNUMBER(C1818),C1818^2,"")</x:f>
      </x:c>
      <x:c r="E1818" s="15" t="str">
        <x:f>IF(ISNUMBER(C1818),C1818^3,"")</x:f>
      </x:c>
      <x:c r="F1818" s="15" t="str">
        <x:f>IF(ISNUMBER(C1818),C1818^4,"")</x:f>
      </x:c>
      <x:c r="G1818" s="7" t="str">
        <x:f>IF(ISNUMBER(B1818),ABS(B1818),"")</x:f>
      </x:c>
      <x:c r="H1818" s="7" t="str">
        <x:f>IF(ISNUMBER(B1818),B1818^2,"")</x:f>
      </x:c>
      <x:c r="I1818" s="7" t="str">
        <x:f>IF(AND(ISNUMBER(G1818),'요약'!$B$19),G1818-'요약'!$B$14,"")</x:f>
      </x:c>
      <x:c r="J1818" s="7" t="str">
        <x:f>IF(AND(ISNUMBER(H1818),'요약'!$B$19),H1818-'요약'!$B$15,"")</x:f>
      </x:c>
      <x:c r="K1818" t="str">
        <x:f>IF(ISNUMBER(B1818),IF('Hill'!$B$4=1,IF(B1818&lt;0,-B1818,""),IF('Hill'!$B$4=2,IF(B1818&gt;0,B1818,""),IF('Hill'!$B$4=3,IF(B1818&lt;&gt;0,ABS(B1818),""),""))),"")</x:f>
      </x:c>
    </x:row>
    <x:row r="1819">
      <x:c r="A1819" t="n">
        <x:f>1818</x:f>
        <x:v>1818</x:v>
      </x:c>
      <x:c r="B1819" s="7" t="str">
        <x:f>IF('요약'!$B$4=4,IF(ISNUMBER('input'!A1819),'input'!A1819,""),IF(1818&lt;=1000,CHOOSE('요약'!$B$4,'input'!B1819,'input'!C1819,'input'!D1819),""))</x:f>
      </x:c>
      <x:c r="C1819" s="7" t="str">
        <x:f>IF(AND(ISNUMBER(B1819),'요약'!$B$19),B1819-'요약'!$B$7,"")</x:f>
      </x:c>
      <x:c r="D1819" s="7" t="str">
        <x:f>IF(ISNUMBER(C1819),C1819^2,"")</x:f>
      </x:c>
      <x:c r="E1819" s="15" t="str">
        <x:f>IF(ISNUMBER(C1819),C1819^3,"")</x:f>
      </x:c>
      <x:c r="F1819" s="15" t="str">
        <x:f>IF(ISNUMBER(C1819),C1819^4,"")</x:f>
      </x:c>
      <x:c r="G1819" s="7" t="str">
        <x:f>IF(ISNUMBER(B1819),ABS(B1819),"")</x:f>
      </x:c>
      <x:c r="H1819" s="7" t="str">
        <x:f>IF(ISNUMBER(B1819),B1819^2,"")</x:f>
      </x:c>
      <x:c r="I1819" s="7" t="str">
        <x:f>IF(AND(ISNUMBER(G1819),'요약'!$B$19),G1819-'요약'!$B$14,"")</x:f>
      </x:c>
      <x:c r="J1819" s="7" t="str">
        <x:f>IF(AND(ISNUMBER(H1819),'요약'!$B$19),H1819-'요약'!$B$15,"")</x:f>
      </x:c>
      <x:c r="K1819" t="str">
        <x:f>IF(ISNUMBER(B1819),IF('Hill'!$B$4=1,IF(B1819&lt;0,-B1819,""),IF('Hill'!$B$4=2,IF(B1819&gt;0,B1819,""),IF('Hill'!$B$4=3,IF(B1819&lt;&gt;0,ABS(B1819),""),""))),"")</x:f>
      </x:c>
    </x:row>
    <x:row r="1820">
      <x:c r="A1820" t="n">
        <x:f>1819</x:f>
        <x:v>1819</x:v>
      </x:c>
      <x:c r="B1820" s="7" t="str">
        <x:f>IF('요약'!$B$4=4,IF(ISNUMBER('input'!A1820),'input'!A1820,""),IF(1819&lt;=1000,CHOOSE('요약'!$B$4,'input'!B1820,'input'!C1820,'input'!D1820),""))</x:f>
      </x:c>
      <x:c r="C1820" s="7" t="str">
        <x:f>IF(AND(ISNUMBER(B1820),'요약'!$B$19),B1820-'요약'!$B$7,"")</x:f>
      </x:c>
      <x:c r="D1820" s="7" t="str">
        <x:f>IF(ISNUMBER(C1820),C1820^2,"")</x:f>
      </x:c>
      <x:c r="E1820" s="15" t="str">
        <x:f>IF(ISNUMBER(C1820),C1820^3,"")</x:f>
      </x:c>
      <x:c r="F1820" s="15" t="str">
        <x:f>IF(ISNUMBER(C1820),C1820^4,"")</x:f>
      </x:c>
      <x:c r="G1820" s="7" t="str">
        <x:f>IF(ISNUMBER(B1820),ABS(B1820),"")</x:f>
      </x:c>
      <x:c r="H1820" s="7" t="str">
        <x:f>IF(ISNUMBER(B1820),B1820^2,"")</x:f>
      </x:c>
      <x:c r="I1820" s="7" t="str">
        <x:f>IF(AND(ISNUMBER(G1820),'요약'!$B$19),G1820-'요약'!$B$14,"")</x:f>
      </x:c>
      <x:c r="J1820" s="7" t="str">
        <x:f>IF(AND(ISNUMBER(H1820),'요약'!$B$19),H1820-'요약'!$B$15,"")</x:f>
      </x:c>
      <x:c r="K1820" t="str">
        <x:f>IF(ISNUMBER(B1820),IF('Hill'!$B$4=1,IF(B1820&lt;0,-B1820,""),IF('Hill'!$B$4=2,IF(B1820&gt;0,B1820,""),IF('Hill'!$B$4=3,IF(B1820&lt;&gt;0,ABS(B1820),""),""))),"")</x:f>
      </x:c>
    </x:row>
    <x:row r="1821">
      <x:c r="A1821" t="n">
        <x:f>1820</x:f>
        <x:v>1820</x:v>
      </x:c>
      <x:c r="B1821" s="7" t="str">
        <x:f>IF('요약'!$B$4=4,IF(ISNUMBER('input'!A1821),'input'!A1821,""),IF(1820&lt;=1000,CHOOSE('요약'!$B$4,'input'!B1821,'input'!C1821,'input'!D1821),""))</x:f>
      </x:c>
      <x:c r="C1821" s="7" t="str">
        <x:f>IF(AND(ISNUMBER(B1821),'요약'!$B$19),B1821-'요약'!$B$7,"")</x:f>
      </x:c>
      <x:c r="D1821" s="7" t="str">
        <x:f>IF(ISNUMBER(C1821),C1821^2,"")</x:f>
      </x:c>
      <x:c r="E1821" s="15" t="str">
        <x:f>IF(ISNUMBER(C1821),C1821^3,"")</x:f>
      </x:c>
      <x:c r="F1821" s="15" t="str">
        <x:f>IF(ISNUMBER(C1821),C1821^4,"")</x:f>
      </x:c>
      <x:c r="G1821" s="7" t="str">
        <x:f>IF(ISNUMBER(B1821),ABS(B1821),"")</x:f>
      </x:c>
      <x:c r="H1821" s="7" t="str">
        <x:f>IF(ISNUMBER(B1821),B1821^2,"")</x:f>
      </x:c>
      <x:c r="I1821" s="7" t="str">
        <x:f>IF(AND(ISNUMBER(G1821),'요약'!$B$19),G1821-'요약'!$B$14,"")</x:f>
      </x:c>
      <x:c r="J1821" s="7" t="str">
        <x:f>IF(AND(ISNUMBER(H1821),'요약'!$B$19),H1821-'요약'!$B$15,"")</x:f>
      </x:c>
      <x:c r="K1821" t="str">
        <x:f>IF(ISNUMBER(B1821),IF('Hill'!$B$4=1,IF(B1821&lt;0,-B1821,""),IF('Hill'!$B$4=2,IF(B1821&gt;0,B1821,""),IF('Hill'!$B$4=3,IF(B1821&lt;&gt;0,ABS(B1821),""),""))),"")</x:f>
      </x:c>
    </x:row>
    <x:row r="1822">
      <x:c r="A1822" t="n">
        <x:f>1821</x:f>
        <x:v>1821</x:v>
      </x:c>
      <x:c r="B1822" s="7" t="str">
        <x:f>IF('요약'!$B$4=4,IF(ISNUMBER('input'!A1822),'input'!A1822,""),IF(1821&lt;=1000,CHOOSE('요약'!$B$4,'input'!B1822,'input'!C1822,'input'!D1822),""))</x:f>
      </x:c>
      <x:c r="C1822" s="7" t="str">
        <x:f>IF(AND(ISNUMBER(B1822),'요약'!$B$19),B1822-'요약'!$B$7,"")</x:f>
      </x:c>
      <x:c r="D1822" s="7" t="str">
        <x:f>IF(ISNUMBER(C1822),C1822^2,"")</x:f>
      </x:c>
      <x:c r="E1822" s="15" t="str">
        <x:f>IF(ISNUMBER(C1822),C1822^3,"")</x:f>
      </x:c>
      <x:c r="F1822" s="15" t="str">
        <x:f>IF(ISNUMBER(C1822),C1822^4,"")</x:f>
      </x:c>
      <x:c r="G1822" s="7" t="str">
        <x:f>IF(ISNUMBER(B1822),ABS(B1822),"")</x:f>
      </x:c>
      <x:c r="H1822" s="7" t="str">
        <x:f>IF(ISNUMBER(B1822),B1822^2,"")</x:f>
      </x:c>
      <x:c r="I1822" s="7" t="str">
        <x:f>IF(AND(ISNUMBER(G1822),'요약'!$B$19),G1822-'요약'!$B$14,"")</x:f>
      </x:c>
      <x:c r="J1822" s="7" t="str">
        <x:f>IF(AND(ISNUMBER(H1822),'요약'!$B$19),H1822-'요약'!$B$15,"")</x:f>
      </x:c>
      <x:c r="K1822" t="str">
        <x:f>IF(ISNUMBER(B1822),IF('Hill'!$B$4=1,IF(B1822&lt;0,-B1822,""),IF('Hill'!$B$4=2,IF(B1822&gt;0,B1822,""),IF('Hill'!$B$4=3,IF(B1822&lt;&gt;0,ABS(B1822),""),""))),"")</x:f>
      </x:c>
    </x:row>
    <x:row r="1823">
      <x:c r="A1823" t="n">
        <x:f>1822</x:f>
        <x:v>1822</x:v>
      </x:c>
      <x:c r="B1823" s="7" t="str">
        <x:f>IF('요약'!$B$4=4,IF(ISNUMBER('input'!A1823),'input'!A1823,""),IF(1822&lt;=1000,CHOOSE('요약'!$B$4,'input'!B1823,'input'!C1823,'input'!D1823),""))</x:f>
      </x:c>
      <x:c r="C1823" s="7" t="str">
        <x:f>IF(AND(ISNUMBER(B1823),'요약'!$B$19),B1823-'요약'!$B$7,"")</x:f>
      </x:c>
      <x:c r="D1823" s="7" t="str">
        <x:f>IF(ISNUMBER(C1823),C1823^2,"")</x:f>
      </x:c>
      <x:c r="E1823" s="15" t="str">
        <x:f>IF(ISNUMBER(C1823),C1823^3,"")</x:f>
      </x:c>
      <x:c r="F1823" s="15" t="str">
        <x:f>IF(ISNUMBER(C1823),C1823^4,"")</x:f>
      </x:c>
      <x:c r="G1823" s="7" t="str">
        <x:f>IF(ISNUMBER(B1823),ABS(B1823),"")</x:f>
      </x:c>
      <x:c r="H1823" s="7" t="str">
        <x:f>IF(ISNUMBER(B1823),B1823^2,"")</x:f>
      </x:c>
      <x:c r="I1823" s="7" t="str">
        <x:f>IF(AND(ISNUMBER(G1823),'요약'!$B$19),G1823-'요약'!$B$14,"")</x:f>
      </x:c>
      <x:c r="J1823" s="7" t="str">
        <x:f>IF(AND(ISNUMBER(H1823),'요약'!$B$19),H1823-'요약'!$B$15,"")</x:f>
      </x:c>
      <x:c r="K1823" t="str">
        <x:f>IF(ISNUMBER(B1823),IF('Hill'!$B$4=1,IF(B1823&lt;0,-B1823,""),IF('Hill'!$B$4=2,IF(B1823&gt;0,B1823,""),IF('Hill'!$B$4=3,IF(B1823&lt;&gt;0,ABS(B1823),""),""))),"")</x:f>
      </x:c>
    </x:row>
    <x:row r="1824">
      <x:c r="A1824" t="n">
        <x:f>1823</x:f>
        <x:v>1823</x:v>
      </x:c>
      <x:c r="B1824" s="7" t="str">
        <x:f>IF('요약'!$B$4=4,IF(ISNUMBER('input'!A1824),'input'!A1824,""),IF(1823&lt;=1000,CHOOSE('요약'!$B$4,'input'!B1824,'input'!C1824,'input'!D1824),""))</x:f>
      </x:c>
      <x:c r="C1824" s="7" t="str">
        <x:f>IF(AND(ISNUMBER(B1824),'요약'!$B$19),B1824-'요약'!$B$7,"")</x:f>
      </x:c>
      <x:c r="D1824" s="7" t="str">
        <x:f>IF(ISNUMBER(C1824),C1824^2,"")</x:f>
      </x:c>
      <x:c r="E1824" s="15" t="str">
        <x:f>IF(ISNUMBER(C1824),C1824^3,"")</x:f>
      </x:c>
      <x:c r="F1824" s="15" t="str">
        <x:f>IF(ISNUMBER(C1824),C1824^4,"")</x:f>
      </x:c>
      <x:c r="G1824" s="7" t="str">
        <x:f>IF(ISNUMBER(B1824),ABS(B1824),"")</x:f>
      </x:c>
      <x:c r="H1824" s="7" t="str">
        <x:f>IF(ISNUMBER(B1824),B1824^2,"")</x:f>
      </x:c>
      <x:c r="I1824" s="7" t="str">
        <x:f>IF(AND(ISNUMBER(G1824),'요약'!$B$19),G1824-'요약'!$B$14,"")</x:f>
      </x:c>
      <x:c r="J1824" s="7" t="str">
        <x:f>IF(AND(ISNUMBER(H1824),'요약'!$B$19),H1824-'요약'!$B$15,"")</x:f>
      </x:c>
      <x:c r="K1824" t="str">
        <x:f>IF(ISNUMBER(B1824),IF('Hill'!$B$4=1,IF(B1824&lt;0,-B1824,""),IF('Hill'!$B$4=2,IF(B1824&gt;0,B1824,""),IF('Hill'!$B$4=3,IF(B1824&lt;&gt;0,ABS(B1824),""),""))),"")</x:f>
      </x:c>
    </x:row>
    <x:row r="1825">
      <x:c r="A1825" t="n">
        <x:f>1824</x:f>
        <x:v>1824</x:v>
      </x:c>
      <x:c r="B1825" s="7" t="str">
        <x:f>IF('요약'!$B$4=4,IF(ISNUMBER('input'!A1825),'input'!A1825,""),IF(1824&lt;=1000,CHOOSE('요약'!$B$4,'input'!B1825,'input'!C1825,'input'!D1825),""))</x:f>
      </x:c>
      <x:c r="C1825" s="7" t="str">
        <x:f>IF(AND(ISNUMBER(B1825),'요약'!$B$19),B1825-'요약'!$B$7,"")</x:f>
      </x:c>
      <x:c r="D1825" s="7" t="str">
        <x:f>IF(ISNUMBER(C1825),C1825^2,"")</x:f>
      </x:c>
      <x:c r="E1825" s="15" t="str">
        <x:f>IF(ISNUMBER(C1825),C1825^3,"")</x:f>
      </x:c>
      <x:c r="F1825" s="15" t="str">
        <x:f>IF(ISNUMBER(C1825),C1825^4,"")</x:f>
      </x:c>
      <x:c r="G1825" s="7" t="str">
        <x:f>IF(ISNUMBER(B1825),ABS(B1825),"")</x:f>
      </x:c>
      <x:c r="H1825" s="7" t="str">
        <x:f>IF(ISNUMBER(B1825),B1825^2,"")</x:f>
      </x:c>
      <x:c r="I1825" s="7" t="str">
        <x:f>IF(AND(ISNUMBER(G1825),'요약'!$B$19),G1825-'요약'!$B$14,"")</x:f>
      </x:c>
      <x:c r="J1825" s="7" t="str">
        <x:f>IF(AND(ISNUMBER(H1825),'요약'!$B$19),H1825-'요약'!$B$15,"")</x:f>
      </x:c>
      <x:c r="K1825" t="str">
        <x:f>IF(ISNUMBER(B1825),IF('Hill'!$B$4=1,IF(B1825&lt;0,-B1825,""),IF('Hill'!$B$4=2,IF(B1825&gt;0,B1825,""),IF('Hill'!$B$4=3,IF(B1825&lt;&gt;0,ABS(B1825),""),""))),"")</x:f>
      </x:c>
    </x:row>
    <x:row r="1826">
      <x:c r="A1826" t="n">
        <x:f>1825</x:f>
        <x:v>1825</x:v>
      </x:c>
      <x:c r="B1826" s="7" t="str">
        <x:f>IF('요약'!$B$4=4,IF(ISNUMBER('input'!A1826),'input'!A1826,""),IF(1825&lt;=1000,CHOOSE('요약'!$B$4,'input'!B1826,'input'!C1826,'input'!D1826),""))</x:f>
      </x:c>
      <x:c r="C1826" s="7" t="str">
        <x:f>IF(AND(ISNUMBER(B1826),'요약'!$B$19),B1826-'요약'!$B$7,"")</x:f>
      </x:c>
      <x:c r="D1826" s="7" t="str">
        <x:f>IF(ISNUMBER(C1826),C1826^2,"")</x:f>
      </x:c>
      <x:c r="E1826" s="15" t="str">
        <x:f>IF(ISNUMBER(C1826),C1826^3,"")</x:f>
      </x:c>
      <x:c r="F1826" s="15" t="str">
        <x:f>IF(ISNUMBER(C1826),C1826^4,"")</x:f>
      </x:c>
      <x:c r="G1826" s="7" t="str">
        <x:f>IF(ISNUMBER(B1826),ABS(B1826),"")</x:f>
      </x:c>
      <x:c r="H1826" s="7" t="str">
        <x:f>IF(ISNUMBER(B1826),B1826^2,"")</x:f>
      </x:c>
      <x:c r="I1826" s="7" t="str">
        <x:f>IF(AND(ISNUMBER(G1826),'요약'!$B$19),G1826-'요약'!$B$14,"")</x:f>
      </x:c>
      <x:c r="J1826" s="7" t="str">
        <x:f>IF(AND(ISNUMBER(H1826),'요약'!$B$19),H1826-'요약'!$B$15,"")</x:f>
      </x:c>
      <x:c r="K1826" t="str">
        <x:f>IF(ISNUMBER(B1826),IF('Hill'!$B$4=1,IF(B1826&lt;0,-B1826,""),IF('Hill'!$B$4=2,IF(B1826&gt;0,B1826,""),IF('Hill'!$B$4=3,IF(B1826&lt;&gt;0,ABS(B1826),""),""))),"")</x:f>
      </x:c>
    </x:row>
    <x:row r="1827">
      <x:c r="A1827" t="n">
        <x:f>1826</x:f>
        <x:v>1826</x:v>
      </x:c>
      <x:c r="B1827" s="7" t="str">
        <x:f>IF('요약'!$B$4=4,IF(ISNUMBER('input'!A1827),'input'!A1827,""),IF(1826&lt;=1000,CHOOSE('요약'!$B$4,'input'!B1827,'input'!C1827,'input'!D1827),""))</x:f>
      </x:c>
      <x:c r="C1827" s="7" t="str">
        <x:f>IF(AND(ISNUMBER(B1827),'요약'!$B$19),B1827-'요약'!$B$7,"")</x:f>
      </x:c>
      <x:c r="D1827" s="7" t="str">
        <x:f>IF(ISNUMBER(C1827),C1827^2,"")</x:f>
      </x:c>
      <x:c r="E1827" s="15" t="str">
        <x:f>IF(ISNUMBER(C1827),C1827^3,"")</x:f>
      </x:c>
      <x:c r="F1827" s="15" t="str">
        <x:f>IF(ISNUMBER(C1827),C1827^4,"")</x:f>
      </x:c>
      <x:c r="G1827" s="7" t="str">
        <x:f>IF(ISNUMBER(B1827),ABS(B1827),"")</x:f>
      </x:c>
      <x:c r="H1827" s="7" t="str">
        <x:f>IF(ISNUMBER(B1827),B1827^2,"")</x:f>
      </x:c>
      <x:c r="I1827" s="7" t="str">
        <x:f>IF(AND(ISNUMBER(G1827),'요약'!$B$19),G1827-'요약'!$B$14,"")</x:f>
      </x:c>
      <x:c r="J1827" s="7" t="str">
        <x:f>IF(AND(ISNUMBER(H1827),'요약'!$B$19),H1827-'요약'!$B$15,"")</x:f>
      </x:c>
      <x:c r="K1827" t="str">
        <x:f>IF(ISNUMBER(B1827),IF('Hill'!$B$4=1,IF(B1827&lt;0,-B1827,""),IF('Hill'!$B$4=2,IF(B1827&gt;0,B1827,""),IF('Hill'!$B$4=3,IF(B1827&lt;&gt;0,ABS(B1827),""),""))),"")</x:f>
      </x:c>
    </x:row>
    <x:row r="1828">
      <x:c r="A1828" t="n">
        <x:f>1827</x:f>
        <x:v>1827</x:v>
      </x:c>
      <x:c r="B1828" s="7" t="str">
        <x:f>IF('요약'!$B$4=4,IF(ISNUMBER('input'!A1828),'input'!A1828,""),IF(1827&lt;=1000,CHOOSE('요약'!$B$4,'input'!B1828,'input'!C1828,'input'!D1828),""))</x:f>
      </x:c>
      <x:c r="C1828" s="7" t="str">
        <x:f>IF(AND(ISNUMBER(B1828),'요약'!$B$19),B1828-'요약'!$B$7,"")</x:f>
      </x:c>
      <x:c r="D1828" s="7" t="str">
        <x:f>IF(ISNUMBER(C1828),C1828^2,"")</x:f>
      </x:c>
      <x:c r="E1828" s="15" t="str">
        <x:f>IF(ISNUMBER(C1828),C1828^3,"")</x:f>
      </x:c>
      <x:c r="F1828" s="15" t="str">
        <x:f>IF(ISNUMBER(C1828),C1828^4,"")</x:f>
      </x:c>
      <x:c r="G1828" s="7" t="str">
        <x:f>IF(ISNUMBER(B1828),ABS(B1828),"")</x:f>
      </x:c>
      <x:c r="H1828" s="7" t="str">
        <x:f>IF(ISNUMBER(B1828),B1828^2,"")</x:f>
      </x:c>
      <x:c r="I1828" s="7" t="str">
        <x:f>IF(AND(ISNUMBER(G1828),'요약'!$B$19),G1828-'요약'!$B$14,"")</x:f>
      </x:c>
      <x:c r="J1828" s="7" t="str">
        <x:f>IF(AND(ISNUMBER(H1828),'요약'!$B$19),H1828-'요약'!$B$15,"")</x:f>
      </x:c>
      <x:c r="K1828" t="str">
        <x:f>IF(ISNUMBER(B1828),IF('Hill'!$B$4=1,IF(B1828&lt;0,-B1828,""),IF('Hill'!$B$4=2,IF(B1828&gt;0,B1828,""),IF('Hill'!$B$4=3,IF(B1828&lt;&gt;0,ABS(B1828),""),""))),"")</x:f>
      </x:c>
    </x:row>
    <x:row r="1829">
      <x:c r="A1829" t="n">
        <x:f>1828</x:f>
        <x:v>1828</x:v>
      </x:c>
      <x:c r="B1829" s="7" t="str">
        <x:f>IF('요약'!$B$4=4,IF(ISNUMBER('input'!A1829),'input'!A1829,""),IF(1828&lt;=1000,CHOOSE('요약'!$B$4,'input'!B1829,'input'!C1829,'input'!D1829),""))</x:f>
      </x:c>
      <x:c r="C1829" s="7" t="str">
        <x:f>IF(AND(ISNUMBER(B1829),'요약'!$B$19),B1829-'요약'!$B$7,"")</x:f>
      </x:c>
      <x:c r="D1829" s="7" t="str">
        <x:f>IF(ISNUMBER(C1829),C1829^2,"")</x:f>
      </x:c>
      <x:c r="E1829" s="15" t="str">
        <x:f>IF(ISNUMBER(C1829),C1829^3,"")</x:f>
      </x:c>
      <x:c r="F1829" s="15" t="str">
        <x:f>IF(ISNUMBER(C1829),C1829^4,"")</x:f>
      </x:c>
      <x:c r="G1829" s="7" t="str">
        <x:f>IF(ISNUMBER(B1829),ABS(B1829),"")</x:f>
      </x:c>
      <x:c r="H1829" s="7" t="str">
        <x:f>IF(ISNUMBER(B1829),B1829^2,"")</x:f>
      </x:c>
      <x:c r="I1829" s="7" t="str">
        <x:f>IF(AND(ISNUMBER(G1829),'요약'!$B$19),G1829-'요약'!$B$14,"")</x:f>
      </x:c>
      <x:c r="J1829" s="7" t="str">
        <x:f>IF(AND(ISNUMBER(H1829),'요약'!$B$19),H1829-'요약'!$B$15,"")</x:f>
      </x:c>
      <x:c r="K1829" t="str">
        <x:f>IF(ISNUMBER(B1829),IF('Hill'!$B$4=1,IF(B1829&lt;0,-B1829,""),IF('Hill'!$B$4=2,IF(B1829&gt;0,B1829,""),IF('Hill'!$B$4=3,IF(B1829&lt;&gt;0,ABS(B1829),""),""))),"")</x:f>
      </x:c>
    </x:row>
    <x:row r="1830">
      <x:c r="A1830" t="n">
        <x:f>1829</x:f>
        <x:v>1829</x:v>
      </x:c>
      <x:c r="B1830" s="7" t="str">
        <x:f>IF('요약'!$B$4=4,IF(ISNUMBER('input'!A1830),'input'!A1830,""),IF(1829&lt;=1000,CHOOSE('요약'!$B$4,'input'!B1830,'input'!C1830,'input'!D1830),""))</x:f>
      </x:c>
      <x:c r="C1830" s="7" t="str">
        <x:f>IF(AND(ISNUMBER(B1830),'요약'!$B$19),B1830-'요약'!$B$7,"")</x:f>
      </x:c>
      <x:c r="D1830" s="7" t="str">
        <x:f>IF(ISNUMBER(C1830),C1830^2,"")</x:f>
      </x:c>
      <x:c r="E1830" s="15" t="str">
        <x:f>IF(ISNUMBER(C1830),C1830^3,"")</x:f>
      </x:c>
      <x:c r="F1830" s="15" t="str">
        <x:f>IF(ISNUMBER(C1830),C1830^4,"")</x:f>
      </x:c>
      <x:c r="G1830" s="7" t="str">
        <x:f>IF(ISNUMBER(B1830),ABS(B1830),"")</x:f>
      </x:c>
      <x:c r="H1830" s="7" t="str">
        <x:f>IF(ISNUMBER(B1830),B1830^2,"")</x:f>
      </x:c>
      <x:c r="I1830" s="7" t="str">
        <x:f>IF(AND(ISNUMBER(G1830),'요약'!$B$19),G1830-'요약'!$B$14,"")</x:f>
      </x:c>
      <x:c r="J1830" s="7" t="str">
        <x:f>IF(AND(ISNUMBER(H1830),'요약'!$B$19),H1830-'요약'!$B$15,"")</x:f>
      </x:c>
      <x:c r="K1830" t="str">
        <x:f>IF(ISNUMBER(B1830),IF('Hill'!$B$4=1,IF(B1830&lt;0,-B1830,""),IF('Hill'!$B$4=2,IF(B1830&gt;0,B1830,""),IF('Hill'!$B$4=3,IF(B1830&lt;&gt;0,ABS(B1830),""),""))),"")</x:f>
      </x:c>
    </x:row>
    <x:row r="1831">
      <x:c r="A1831" t="n">
        <x:f>1830</x:f>
        <x:v>1830</x:v>
      </x:c>
      <x:c r="B1831" s="7" t="str">
        <x:f>IF('요약'!$B$4=4,IF(ISNUMBER('input'!A1831),'input'!A1831,""),IF(1830&lt;=1000,CHOOSE('요약'!$B$4,'input'!B1831,'input'!C1831,'input'!D1831),""))</x:f>
      </x:c>
      <x:c r="C1831" s="7" t="str">
        <x:f>IF(AND(ISNUMBER(B1831),'요약'!$B$19),B1831-'요약'!$B$7,"")</x:f>
      </x:c>
      <x:c r="D1831" s="7" t="str">
        <x:f>IF(ISNUMBER(C1831),C1831^2,"")</x:f>
      </x:c>
      <x:c r="E1831" s="15" t="str">
        <x:f>IF(ISNUMBER(C1831),C1831^3,"")</x:f>
      </x:c>
      <x:c r="F1831" s="15" t="str">
        <x:f>IF(ISNUMBER(C1831),C1831^4,"")</x:f>
      </x:c>
      <x:c r="G1831" s="7" t="str">
        <x:f>IF(ISNUMBER(B1831),ABS(B1831),"")</x:f>
      </x:c>
      <x:c r="H1831" s="7" t="str">
        <x:f>IF(ISNUMBER(B1831),B1831^2,"")</x:f>
      </x:c>
      <x:c r="I1831" s="7" t="str">
        <x:f>IF(AND(ISNUMBER(G1831),'요약'!$B$19),G1831-'요약'!$B$14,"")</x:f>
      </x:c>
      <x:c r="J1831" s="7" t="str">
        <x:f>IF(AND(ISNUMBER(H1831),'요약'!$B$19),H1831-'요약'!$B$15,"")</x:f>
      </x:c>
      <x:c r="K1831" t="str">
        <x:f>IF(ISNUMBER(B1831),IF('Hill'!$B$4=1,IF(B1831&lt;0,-B1831,""),IF('Hill'!$B$4=2,IF(B1831&gt;0,B1831,""),IF('Hill'!$B$4=3,IF(B1831&lt;&gt;0,ABS(B1831),""),""))),"")</x:f>
      </x:c>
    </x:row>
    <x:row r="1832">
      <x:c r="A1832" t="n">
        <x:f>1831</x:f>
        <x:v>1831</x:v>
      </x:c>
      <x:c r="B1832" s="7" t="str">
        <x:f>IF('요약'!$B$4=4,IF(ISNUMBER('input'!A1832),'input'!A1832,""),IF(1831&lt;=1000,CHOOSE('요약'!$B$4,'input'!B1832,'input'!C1832,'input'!D1832),""))</x:f>
      </x:c>
      <x:c r="C1832" s="7" t="str">
        <x:f>IF(AND(ISNUMBER(B1832),'요약'!$B$19),B1832-'요약'!$B$7,"")</x:f>
      </x:c>
      <x:c r="D1832" s="7" t="str">
        <x:f>IF(ISNUMBER(C1832),C1832^2,"")</x:f>
      </x:c>
      <x:c r="E1832" s="15" t="str">
        <x:f>IF(ISNUMBER(C1832),C1832^3,"")</x:f>
      </x:c>
      <x:c r="F1832" s="15" t="str">
        <x:f>IF(ISNUMBER(C1832),C1832^4,"")</x:f>
      </x:c>
      <x:c r="G1832" s="7" t="str">
        <x:f>IF(ISNUMBER(B1832),ABS(B1832),"")</x:f>
      </x:c>
      <x:c r="H1832" s="7" t="str">
        <x:f>IF(ISNUMBER(B1832),B1832^2,"")</x:f>
      </x:c>
      <x:c r="I1832" s="7" t="str">
        <x:f>IF(AND(ISNUMBER(G1832),'요약'!$B$19),G1832-'요약'!$B$14,"")</x:f>
      </x:c>
      <x:c r="J1832" s="7" t="str">
        <x:f>IF(AND(ISNUMBER(H1832),'요약'!$B$19),H1832-'요약'!$B$15,"")</x:f>
      </x:c>
      <x:c r="K1832" t="str">
        <x:f>IF(ISNUMBER(B1832),IF('Hill'!$B$4=1,IF(B1832&lt;0,-B1832,""),IF('Hill'!$B$4=2,IF(B1832&gt;0,B1832,""),IF('Hill'!$B$4=3,IF(B1832&lt;&gt;0,ABS(B1832),""),""))),"")</x:f>
      </x:c>
    </x:row>
    <x:row r="1833">
      <x:c r="A1833" t="n">
        <x:f>1832</x:f>
        <x:v>1832</x:v>
      </x:c>
      <x:c r="B1833" s="7" t="str">
        <x:f>IF('요약'!$B$4=4,IF(ISNUMBER('input'!A1833),'input'!A1833,""),IF(1832&lt;=1000,CHOOSE('요약'!$B$4,'input'!B1833,'input'!C1833,'input'!D1833),""))</x:f>
      </x:c>
      <x:c r="C1833" s="7" t="str">
        <x:f>IF(AND(ISNUMBER(B1833),'요약'!$B$19),B1833-'요약'!$B$7,"")</x:f>
      </x:c>
      <x:c r="D1833" s="7" t="str">
        <x:f>IF(ISNUMBER(C1833),C1833^2,"")</x:f>
      </x:c>
      <x:c r="E1833" s="15" t="str">
        <x:f>IF(ISNUMBER(C1833),C1833^3,"")</x:f>
      </x:c>
      <x:c r="F1833" s="15" t="str">
        <x:f>IF(ISNUMBER(C1833),C1833^4,"")</x:f>
      </x:c>
      <x:c r="G1833" s="7" t="str">
        <x:f>IF(ISNUMBER(B1833),ABS(B1833),"")</x:f>
      </x:c>
      <x:c r="H1833" s="7" t="str">
        <x:f>IF(ISNUMBER(B1833),B1833^2,"")</x:f>
      </x:c>
      <x:c r="I1833" s="7" t="str">
        <x:f>IF(AND(ISNUMBER(G1833),'요약'!$B$19),G1833-'요약'!$B$14,"")</x:f>
      </x:c>
      <x:c r="J1833" s="7" t="str">
        <x:f>IF(AND(ISNUMBER(H1833),'요약'!$B$19),H1833-'요약'!$B$15,"")</x:f>
      </x:c>
      <x:c r="K1833" t="str">
        <x:f>IF(ISNUMBER(B1833),IF('Hill'!$B$4=1,IF(B1833&lt;0,-B1833,""),IF('Hill'!$B$4=2,IF(B1833&gt;0,B1833,""),IF('Hill'!$B$4=3,IF(B1833&lt;&gt;0,ABS(B1833),""),""))),"")</x:f>
      </x:c>
    </x:row>
    <x:row r="1834">
      <x:c r="A1834" t="n">
        <x:f>1833</x:f>
        <x:v>1833</x:v>
      </x:c>
      <x:c r="B1834" s="7" t="str">
        <x:f>IF('요약'!$B$4=4,IF(ISNUMBER('input'!A1834),'input'!A1834,""),IF(1833&lt;=1000,CHOOSE('요약'!$B$4,'input'!B1834,'input'!C1834,'input'!D1834),""))</x:f>
      </x:c>
      <x:c r="C1834" s="7" t="str">
        <x:f>IF(AND(ISNUMBER(B1834),'요약'!$B$19),B1834-'요약'!$B$7,"")</x:f>
      </x:c>
      <x:c r="D1834" s="7" t="str">
        <x:f>IF(ISNUMBER(C1834),C1834^2,"")</x:f>
      </x:c>
      <x:c r="E1834" s="15" t="str">
        <x:f>IF(ISNUMBER(C1834),C1834^3,"")</x:f>
      </x:c>
      <x:c r="F1834" s="15" t="str">
        <x:f>IF(ISNUMBER(C1834),C1834^4,"")</x:f>
      </x:c>
      <x:c r="G1834" s="7" t="str">
        <x:f>IF(ISNUMBER(B1834),ABS(B1834),"")</x:f>
      </x:c>
      <x:c r="H1834" s="7" t="str">
        <x:f>IF(ISNUMBER(B1834),B1834^2,"")</x:f>
      </x:c>
      <x:c r="I1834" s="7" t="str">
        <x:f>IF(AND(ISNUMBER(G1834),'요약'!$B$19),G1834-'요약'!$B$14,"")</x:f>
      </x:c>
      <x:c r="J1834" s="7" t="str">
        <x:f>IF(AND(ISNUMBER(H1834),'요약'!$B$19),H1834-'요약'!$B$15,"")</x:f>
      </x:c>
      <x:c r="K1834" t="str">
        <x:f>IF(ISNUMBER(B1834),IF('Hill'!$B$4=1,IF(B1834&lt;0,-B1834,""),IF('Hill'!$B$4=2,IF(B1834&gt;0,B1834,""),IF('Hill'!$B$4=3,IF(B1834&lt;&gt;0,ABS(B1834),""),""))),"")</x:f>
      </x:c>
    </x:row>
    <x:row r="1835">
      <x:c r="A1835" t="n">
        <x:f>1834</x:f>
        <x:v>1834</x:v>
      </x:c>
      <x:c r="B1835" s="7" t="str">
        <x:f>IF('요약'!$B$4=4,IF(ISNUMBER('input'!A1835),'input'!A1835,""),IF(1834&lt;=1000,CHOOSE('요약'!$B$4,'input'!B1835,'input'!C1835,'input'!D1835),""))</x:f>
      </x:c>
      <x:c r="C1835" s="7" t="str">
        <x:f>IF(AND(ISNUMBER(B1835),'요약'!$B$19),B1835-'요약'!$B$7,"")</x:f>
      </x:c>
      <x:c r="D1835" s="7" t="str">
        <x:f>IF(ISNUMBER(C1835),C1835^2,"")</x:f>
      </x:c>
      <x:c r="E1835" s="15" t="str">
        <x:f>IF(ISNUMBER(C1835),C1835^3,"")</x:f>
      </x:c>
      <x:c r="F1835" s="15" t="str">
        <x:f>IF(ISNUMBER(C1835),C1835^4,"")</x:f>
      </x:c>
      <x:c r="G1835" s="7" t="str">
        <x:f>IF(ISNUMBER(B1835),ABS(B1835),"")</x:f>
      </x:c>
      <x:c r="H1835" s="7" t="str">
        <x:f>IF(ISNUMBER(B1835),B1835^2,"")</x:f>
      </x:c>
      <x:c r="I1835" s="7" t="str">
        <x:f>IF(AND(ISNUMBER(G1835),'요약'!$B$19),G1835-'요약'!$B$14,"")</x:f>
      </x:c>
      <x:c r="J1835" s="7" t="str">
        <x:f>IF(AND(ISNUMBER(H1835),'요약'!$B$19),H1835-'요약'!$B$15,"")</x:f>
      </x:c>
      <x:c r="K1835" t="str">
        <x:f>IF(ISNUMBER(B1835),IF('Hill'!$B$4=1,IF(B1835&lt;0,-B1835,""),IF('Hill'!$B$4=2,IF(B1835&gt;0,B1835,""),IF('Hill'!$B$4=3,IF(B1835&lt;&gt;0,ABS(B1835),""),""))),"")</x:f>
      </x:c>
    </x:row>
    <x:row r="1836">
      <x:c r="A1836" t="n">
        <x:f>1835</x:f>
        <x:v>1835</x:v>
      </x:c>
      <x:c r="B1836" s="7" t="str">
        <x:f>IF('요약'!$B$4=4,IF(ISNUMBER('input'!A1836),'input'!A1836,""),IF(1835&lt;=1000,CHOOSE('요약'!$B$4,'input'!B1836,'input'!C1836,'input'!D1836),""))</x:f>
      </x:c>
      <x:c r="C1836" s="7" t="str">
        <x:f>IF(AND(ISNUMBER(B1836),'요약'!$B$19),B1836-'요약'!$B$7,"")</x:f>
      </x:c>
      <x:c r="D1836" s="7" t="str">
        <x:f>IF(ISNUMBER(C1836),C1836^2,"")</x:f>
      </x:c>
      <x:c r="E1836" s="15" t="str">
        <x:f>IF(ISNUMBER(C1836),C1836^3,"")</x:f>
      </x:c>
      <x:c r="F1836" s="15" t="str">
        <x:f>IF(ISNUMBER(C1836),C1836^4,"")</x:f>
      </x:c>
      <x:c r="G1836" s="7" t="str">
        <x:f>IF(ISNUMBER(B1836),ABS(B1836),"")</x:f>
      </x:c>
      <x:c r="H1836" s="7" t="str">
        <x:f>IF(ISNUMBER(B1836),B1836^2,"")</x:f>
      </x:c>
      <x:c r="I1836" s="7" t="str">
        <x:f>IF(AND(ISNUMBER(G1836),'요약'!$B$19),G1836-'요약'!$B$14,"")</x:f>
      </x:c>
      <x:c r="J1836" s="7" t="str">
        <x:f>IF(AND(ISNUMBER(H1836),'요약'!$B$19),H1836-'요약'!$B$15,"")</x:f>
      </x:c>
      <x:c r="K1836" t="str">
        <x:f>IF(ISNUMBER(B1836),IF('Hill'!$B$4=1,IF(B1836&lt;0,-B1836,""),IF('Hill'!$B$4=2,IF(B1836&gt;0,B1836,""),IF('Hill'!$B$4=3,IF(B1836&lt;&gt;0,ABS(B1836),""),""))),"")</x:f>
      </x:c>
    </x:row>
    <x:row r="1837">
      <x:c r="A1837" t="n">
        <x:f>1836</x:f>
        <x:v>1836</x:v>
      </x:c>
      <x:c r="B1837" s="7" t="str">
        <x:f>IF('요약'!$B$4=4,IF(ISNUMBER('input'!A1837),'input'!A1837,""),IF(1836&lt;=1000,CHOOSE('요약'!$B$4,'input'!B1837,'input'!C1837,'input'!D1837),""))</x:f>
      </x:c>
      <x:c r="C1837" s="7" t="str">
        <x:f>IF(AND(ISNUMBER(B1837),'요약'!$B$19),B1837-'요약'!$B$7,"")</x:f>
      </x:c>
      <x:c r="D1837" s="7" t="str">
        <x:f>IF(ISNUMBER(C1837),C1837^2,"")</x:f>
      </x:c>
      <x:c r="E1837" s="15" t="str">
        <x:f>IF(ISNUMBER(C1837),C1837^3,"")</x:f>
      </x:c>
      <x:c r="F1837" s="15" t="str">
        <x:f>IF(ISNUMBER(C1837),C1837^4,"")</x:f>
      </x:c>
      <x:c r="G1837" s="7" t="str">
        <x:f>IF(ISNUMBER(B1837),ABS(B1837),"")</x:f>
      </x:c>
      <x:c r="H1837" s="7" t="str">
        <x:f>IF(ISNUMBER(B1837),B1837^2,"")</x:f>
      </x:c>
      <x:c r="I1837" s="7" t="str">
        <x:f>IF(AND(ISNUMBER(G1837),'요약'!$B$19),G1837-'요약'!$B$14,"")</x:f>
      </x:c>
      <x:c r="J1837" s="7" t="str">
        <x:f>IF(AND(ISNUMBER(H1837),'요약'!$B$19),H1837-'요약'!$B$15,"")</x:f>
      </x:c>
      <x:c r="K1837" t="str">
        <x:f>IF(ISNUMBER(B1837),IF('Hill'!$B$4=1,IF(B1837&lt;0,-B1837,""),IF('Hill'!$B$4=2,IF(B1837&gt;0,B1837,""),IF('Hill'!$B$4=3,IF(B1837&lt;&gt;0,ABS(B1837),""),""))),"")</x:f>
      </x:c>
    </x:row>
    <x:row r="1838">
      <x:c r="A1838" t="n">
        <x:f>1837</x:f>
        <x:v>1837</x:v>
      </x:c>
      <x:c r="B1838" s="7" t="str">
        <x:f>IF('요약'!$B$4=4,IF(ISNUMBER('input'!A1838),'input'!A1838,""),IF(1837&lt;=1000,CHOOSE('요약'!$B$4,'input'!B1838,'input'!C1838,'input'!D1838),""))</x:f>
      </x:c>
      <x:c r="C1838" s="7" t="str">
        <x:f>IF(AND(ISNUMBER(B1838),'요약'!$B$19),B1838-'요약'!$B$7,"")</x:f>
      </x:c>
      <x:c r="D1838" s="7" t="str">
        <x:f>IF(ISNUMBER(C1838),C1838^2,"")</x:f>
      </x:c>
      <x:c r="E1838" s="15" t="str">
        <x:f>IF(ISNUMBER(C1838),C1838^3,"")</x:f>
      </x:c>
      <x:c r="F1838" s="15" t="str">
        <x:f>IF(ISNUMBER(C1838),C1838^4,"")</x:f>
      </x:c>
      <x:c r="G1838" s="7" t="str">
        <x:f>IF(ISNUMBER(B1838),ABS(B1838),"")</x:f>
      </x:c>
      <x:c r="H1838" s="7" t="str">
        <x:f>IF(ISNUMBER(B1838),B1838^2,"")</x:f>
      </x:c>
      <x:c r="I1838" s="7" t="str">
        <x:f>IF(AND(ISNUMBER(G1838),'요약'!$B$19),G1838-'요약'!$B$14,"")</x:f>
      </x:c>
      <x:c r="J1838" s="7" t="str">
        <x:f>IF(AND(ISNUMBER(H1838),'요약'!$B$19),H1838-'요약'!$B$15,"")</x:f>
      </x:c>
      <x:c r="K1838" t="str">
        <x:f>IF(ISNUMBER(B1838),IF('Hill'!$B$4=1,IF(B1838&lt;0,-B1838,""),IF('Hill'!$B$4=2,IF(B1838&gt;0,B1838,""),IF('Hill'!$B$4=3,IF(B1838&lt;&gt;0,ABS(B1838),""),""))),"")</x:f>
      </x:c>
    </x:row>
    <x:row r="1839">
      <x:c r="A1839" t="n">
        <x:f>1838</x:f>
        <x:v>1838</x:v>
      </x:c>
      <x:c r="B1839" s="7" t="str">
        <x:f>IF('요약'!$B$4=4,IF(ISNUMBER('input'!A1839),'input'!A1839,""),IF(1838&lt;=1000,CHOOSE('요약'!$B$4,'input'!B1839,'input'!C1839,'input'!D1839),""))</x:f>
      </x:c>
      <x:c r="C1839" s="7" t="str">
        <x:f>IF(AND(ISNUMBER(B1839),'요약'!$B$19),B1839-'요약'!$B$7,"")</x:f>
      </x:c>
      <x:c r="D1839" s="7" t="str">
        <x:f>IF(ISNUMBER(C1839),C1839^2,"")</x:f>
      </x:c>
      <x:c r="E1839" s="15" t="str">
        <x:f>IF(ISNUMBER(C1839),C1839^3,"")</x:f>
      </x:c>
      <x:c r="F1839" s="15" t="str">
        <x:f>IF(ISNUMBER(C1839),C1839^4,"")</x:f>
      </x:c>
      <x:c r="G1839" s="7" t="str">
        <x:f>IF(ISNUMBER(B1839),ABS(B1839),"")</x:f>
      </x:c>
      <x:c r="H1839" s="7" t="str">
        <x:f>IF(ISNUMBER(B1839),B1839^2,"")</x:f>
      </x:c>
      <x:c r="I1839" s="7" t="str">
        <x:f>IF(AND(ISNUMBER(G1839),'요약'!$B$19),G1839-'요약'!$B$14,"")</x:f>
      </x:c>
      <x:c r="J1839" s="7" t="str">
        <x:f>IF(AND(ISNUMBER(H1839),'요약'!$B$19),H1839-'요약'!$B$15,"")</x:f>
      </x:c>
      <x:c r="K1839" t="str">
        <x:f>IF(ISNUMBER(B1839),IF('Hill'!$B$4=1,IF(B1839&lt;0,-B1839,""),IF('Hill'!$B$4=2,IF(B1839&gt;0,B1839,""),IF('Hill'!$B$4=3,IF(B1839&lt;&gt;0,ABS(B1839),""),""))),"")</x:f>
      </x:c>
    </x:row>
    <x:row r="1840">
      <x:c r="A1840" t="n">
        <x:f>1839</x:f>
        <x:v>1839</x:v>
      </x:c>
      <x:c r="B1840" s="7" t="str">
        <x:f>IF('요약'!$B$4=4,IF(ISNUMBER('input'!A1840),'input'!A1840,""),IF(1839&lt;=1000,CHOOSE('요약'!$B$4,'input'!B1840,'input'!C1840,'input'!D1840),""))</x:f>
      </x:c>
      <x:c r="C1840" s="7" t="str">
        <x:f>IF(AND(ISNUMBER(B1840),'요약'!$B$19),B1840-'요약'!$B$7,"")</x:f>
      </x:c>
      <x:c r="D1840" s="7" t="str">
        <x:f>IF(ISNUMBER(C1840),C1840^2,"")</x:f>
      </x:c>
      <x:c r="E1840" s="15" t="str">
        <x:f>IF(ISNUMBER(C1840),C1840^3,"")</x:f>
      </x:c>
      <x:c r="F1840" s="15" t="str">
        <x:f>IF(ISNUMBER(C1840),C1840^4,"")</x:f>
      </x:c>
      <x:c r="G1840" s="7" t="str">
        <x:f>IF(ISNUMBER(B1840),ABS(B1840),"")</x:f>
      </x:c>
      <x:c r="H1840" s="7" t="str">
        <x:f>IF(ISNUMBER(B1840),B1840^2,"")</x:f>
      </x:c>
      <x:c r="I1840" s="7" t="str">
        <x:f>IF(AND(ISNUMBER(G1840),'요약'!$B$19),G1840-'요약'!$B$14,"")</x:f>
      </x:c>
      <x:c r="J1840" s="7" t="str">
        <x:f>IF(AND(ISNUMBER(H1840),'요약'!$B$19),H1840-'요약'!$B$15,"")</x:f>
      </x:c>
      <x:c r="K1840" t="str">
        <x:f>IF(ISNUMBER(B1840),IF('Hill'!$B$4=1,IF(B1840&lt;0,-B1840,""),IF('Hill'!$B$4=2,IF(B1840&gt;0,B1840,""),IF('Hill'!$B$4=3,IF(B1840&lt;&gt;0,ABS(B1840),""),""))),"")</x:f>
      </x:c>
    </x:row>
    <x:row r="1841">
      <x:c r="A1841" t="n">
        <x:f>1840</x:f>
        <x:v>1840</x:v>
      </x:c>
      <x:c r="B1841" s="7" t="str">
        <x:f>IF('요약'!$B$4=4,IF(ISNUMBER('input'!A1841),'input'!A1841,""),IF(1840&lt;=1000,CHOOSE('요약'!$B$4,'input'!B1841,'input'!C1841,'input'!D1841),""))</x:f>
      </x:c>
      <x:c r="C1841" s="7" t="str">
        <x:f>IF(AND(ISNUMBER(B1841),'요약'!$B$19),B1841-'요약'!$B$7,"")</x:f>
      </x:c>
      <x:c r="D1841" s="7" t="str">
        <x:f>IF(ISNUMBER(C1841),C1841^2,"")</x:f>
      </x:c>
      <x:c r="E1841" s="15" t="str">
        <x:f>IF(ISNUMBER(C1841),C1841^3,"")</x:f>
      </x:c>
      <x:c r="F1841" s="15" t="str">
        <x:f>IF(ISNUMBER(C1841),C1841^4,"")</x:f>
      </x:c>
      <x:c r="G1841" s="7" t="str">
        <x:f>IF(ISNUMBER(B1841),ABS(B1841),"")</x:f>
      </x:c>
      <x:c r="H1841" s="7" t="str">
        <x:f>IF(ISNUMBER(B1841),B1841^2,"")</x:f>
      </x:c>
      <x:c r="I1841" s="7" t="str">
        <x:f>IF(AND(ISNUMBER(G1841),'요약'!$B$19),G1841-'요약'!$B$14,"")</x:f>
      </x:c>
      <x:c r="J1841" s="7" t="str">
        <x:f>IF(AND(ISNUMBER(H1841),'요약'!$B$19),H1841-'요약'!$B$15,"")</x:f>
      </x:c>
      <x:c r="K1841" t="str">
        <x:f>IF(ISNUMBER(B1841),IF('Hill'!$B$4=1,IF(B1841&lt;0,-B1841,""),IF('Hill'!$B$4=2,IF(B1841&gt;0,B1841,""),IF('Hill'!$B$4=3,IF(B1841&lt;&gt;0,ABS(B1841),""),""))),"")</x:f>
      </x:c>
    </x:row>
    <x:row r="1842">
      <x:c r="A1842" t="n">
        <x:f>1841</x:f>
        <x:v>1841</x:v>
      </x:c>
      <x:c r="B1842" s="7" t="str">
        <x:f>IF('요약'!$B$4=4,IF(ISNUMBER('input'!A1842),'input'!A1842,""),IF(1841&lt;=1000,CHOOSE('요약'!$B$4,'input'!B1842,'input'!C1842,'input'!D1842),""))</x:f>
      </x:c>
      <x:c r="C1842" s="7" t="str">
        <x:f>IF(AND(ISNUMBER(B1842),'요약'!$B$19),B1842-'요약'!$B$7,"")</x:f>
      </x:c>
      <x:c r="D1842" s="7" t="str">
        <x:f>IF(ISNUMBER(C1842),C1842^2,"")</x:f>
      </x:c>
      <x:c r="E1842" s="15" t="str">
        <x:f>IF(ISNUMBER(C1842),C1842^3,"")</x:f>
      </x:c>
      <x:c r="F1842" s="15" t="str">
        <x:f>IF(ISNUMBER(C1842),C1842^4,"")</x:f>
      </x:c>
      <x:c r="G1842" s="7" t="str">
        <x:f>IF(ISNUMBER(B1842),ABS(B1842),"")</x:f>
      </x:c>
      <x:c r="H1842" s="7" t="str">
        <x:f>IF(ISNUMBER(B1842),B1842^2,"")</x:f>
      </x:c>
      <x:c r="I1842" s="7" t="str">
        <x:f>IF(AND(ISNUMBER(G1842),'요약'!$B$19),G1842-'요약'!$B$14,"")</x:f>
      </x:c>
      <x:c r="J1842" s="7" t="str">
        <x:f>IF(AND(ISNUMBER(H1842),'요약'!$B$19),H1842-'요약'!$B$15,"")</x:f>
      </x:c>
      <x:c r="K1842" t="str">
        <x:f>IF(ISNUMBER(B1842),IF('Hill'!$B$4=1,IF(B1842&lt;0,-B1842,""),IF('Hill'!$B$4=2,IF(B1842&gt;0,B1842,""),IF('Hill'!$B$4=3,IF(B1842&lt;&gt;0,ABS(B1842),""),""))),"")</x:f>
      </x:c>
    </x:row>
    <x:row r="1843">
      <x:c r="A1843" t="n">
        <x:f>1842</x:f>
        <x:v>1842</x:v>
      </x:c>
      <x:c r="B1843" s="7" t="str">
        <x:f>IF('요약'!$B$4=4,IF(ISNUMBER('input'!A1843),'input'!A1843,""),IF(1842&lt;=1000,CHOOSE('요약'!$B$4,'input'!B1843,'input'!C1843,'input'!D1843),""))</x:f>
      </x:c>
      <x:c r="C1843" s="7" t="str">
        <x:f>IF(AND(ISNUMBER(B1843),'요약'!$B$19),B1843-'요약'!$B$7,"")</x:f>
      </x:c>
      <x:c r="D1843" s="7" t="str">
        <x:f>IF(ISNUMBER(C1843),C1843^2,"")</x:f>
      </x:c>
      <x:c r="E1843" s="15" t="str">
        <x:f>IF(ISNUMBER(C1843),C1843^3,"")</x:f>
      </x:c>
      <x:c r="F1843" s="15" t="str">
        <x:f>IF(ISNUMBER(C1843),C1843^4,"")</x:f>
      </x:c>
      <x:c r="G1843" s="7" t="str">
        <x:f>IF(ISNUMBER(B1843),ABS(B1843),"")</x:f>
      </x:c>
      <x:c r="H1843" s="7" t="str">
        <x:f>IF(ISNUMBER(B1843),B1843^2,"")</x:f>
      </x:c>
      <x:c r="I1843" s="7" t="str">
        <x:f>IF(AND(ISNUMBER(G1843),'요약'!$B$19),G1843-'요약'!$B$14,"")</x:f>
      </x:c>
      <x:c r="J1843" s="7" t="str">
        <x:f>IF(AND(ISNUMBER(H1843),'요약'!$B$19),H1843-'요약'!$B$15,"")</x:f>
      </x:c>
      <x:c r="K1843" t="str">
        <x:f>IF(ISNUMBER(B1843),IF('Hill'!$B$4=1,IF(B1843&lt;0,-B1843,""),IF('Hill'!$B$4=2,IF(B1843&gt;0,B1843,""),IF('Hill'!$B$4=3,IF(B1843&lt;&gt;0,ABS(B1843),""),""))),"")</x:f>
      </x:c>
    </x:row>
    <x:row r="1844">
      <x:c r="A1844" t="n">
        <x:f>1843</x:f>
        <x:v>1843</x:v>
      </x:c>
      <x:c r="B1844" s="7" t="str">
        <x:f>IF('요약'!$B$4=4,IF(ISNUMBER('input'!A1844),'input'!A1844,""),IF(1843&lt;=1000,CHOOSE('요약'!$B$4,'input'!B1844,'input'!C1844,'input'!D1844),""))</x:f>
      </x:c>
      <x:c r="C1844" s="7" t="str">
        <x:f>IF(AND(ISNUMBER(B1844),'요약'!$B$19),B1844-'요약'!$B$7,"")</x:f>
      </x:c>
      <x:c r="D1844" s="7" t="str">
        <x:f>IF(ISNUMBER(C1844),C1844^2,"")</x:f>
      </x:c>
      <x:c r="E1844" s="15" t="str">
        <x:f>IF(ISNUMBER(C1844),C1844^3,"")</x:f>
      </x:c>
      <x:c r="F1844" s="15" t="str">
        <x:f>IF(ISNUMBER(C1844),C1844^4,"")</x:f>
      </x:c>
      <x:c r="G1844" s="7" t="str">
        <x:f>IF(ISNUMBER(B1844),ABS(B1844),"")</x:f>
      </x:c>
      <x:c r="H1844" s="7" t="str">
        <x:f>IF(ISNUMBER(B1844),B1844^2,"")</x:f>
      </x:c>
      <x:c r="I1844" s="7" t="str">
        <x:f>IF(AND(ISNUMBER(G1844),'요약'!$B$19),G1844-'요약'!$B$14,"")</x:f>
      </x:c>
      <x:c r="J1844" s="7" t="str">
        <x:f>IF(AND(ISNUMBER(H1844),'요약'!$B$19),H1844-'요약'!$B$15,"")</x:f>
      </x:c>
      <x:c r="K1844" t="str">
        <x:f>IF(ISNUMBER(B1844),IF('Hill'!$B$4=1,IF(B1844&lt;0,-B1844,""),IF('Hill'!$B$4=2,IF(B1844&gt;0,B1844,""),IF('Hill'!$B$4=3,IF(B1844&lt;&gt;0,ABS(B1844),""),""))),"")</x:f>
      </x:c>
    </x:row>
    <x:row r="1845">
      <x:c r="A1845" t="n">
        <x:f>1844</x:f>
        <x:v>1844</x:v>
      </x:c>
      <x:c r="B1845" s="7" t="str">
        <x:f>IF('요약'!$B$4=4,IF(ISNUMBER('input'!A1845),'input'!A1845,""),IF(1844&lt;=1000,CHOOSE('요약'!$B$4,'input'!B1845,'input'!C1845,'input'!D1845),""))</x:f>
      </x:c>
      <x:c r="C1845" s="7" t="str">
        <x:f>IF(AND(ISNUMBER(B1845),'요약'!$B$19),B1845-'요약'!$B$7,"")</x:f>
      </x:c>
      <x:c r="D1845" s="7" t="str">
        <x:f>IF(ISNUMBER(C1845),C1845^2,"")</x:f>
      </x:c>
      <x:c r="E1845" s="15" t="str">
        <x:f>IF(ISNUMBER(C1845),C1845^3,"")</x:f>
      </x:c>
      <x:c r="F1845" s="15" t="str">
        <x:f>IF(ISNUMBER(C1845),C1845^4,"")</x:f>
      </x:c>
      <x:c r="G1845" s="7" t="str">
        <x:f>IF(ISNUMBER(B1845),ABS(B1845),"")</x:f>
      </x:c>
      <x:c r="H1845" s="7" t="str">
        <x:f>IF(ISNUMBER(B1845),B1845^2,"")</x:f>
      </x:c>
      <x:c r="I1845" s="7" t="str">
        <x:f>IF(AND(ISNUMBER(G1845),'요약'!$B$19),G1845-'요약'!$B$14,"")</x:f>
      </x:c>
      <x:c r="J1845" s="7" t="str">
        <x:f>IF(AND(ISNUMBER(H1845),'요약'!$B$19),H1845-'요약'!$B$15,"")</x:f>
      </x:c>
      <x:c r="K1845" t="str">
        <x:f>IF(ISNUMBER(B1845),IF('Hill'!$B$4=1,IF(B1845&lt;0,-B1845,""),IF('Hill'!$B$4=2,IF(B1845&gt;0,B1845,""),IF('Hill'!$B$4=3,IF(B1845&lt;&gt;0,ABS(B1845),""),""))),"")</x:f>
      </x:c>
    </x:row>
    <x:row r="1846">
      <x:c r="A1846" t="n">
        <x:f>1845</x:f>
        <x:v>1845</x:v>
      </x:c>
      <x:c r="B1846" s="7" t="str">
        <x:f>IF('요약'!$B$4=4,IF(ISNUMBER('input'!A1846),'input'!A1846,""),IF(1845&lt;=1000,CHOOSE('요약'!$B$4,'input'!B1846,'input'!C1846,'input'!D1846),""))</x:f>
      </x:c>
      <x:c r="C1846" s="7" t="str">
        <x:f>IF(AND(ISNUMBER(B1846),'요약'!$B$19),B1846-'요약'!$B$7,"")</x:f>
      </x:c>
      <x:c r="D1846" s="7" t="str">
        <x:f>IF(ISNUMBER(C1846),C1846^2,"")</x:f>
      </x:c>
      <x:c r="E1846" s="15" t="str">
        <x:f>IF(ISNUMBER(C1846),C1846^3,"")</x:f>
      </x:c>
      <x:c r="F1846" s="15" t="str">
        <x:f>IF(ISNUMBER(C1846),C1846^4,"")</x:f>
      </x:c>
      <x:c r="G1846" s="7" t="str">
        <x:f>IF(ISNUMBER(B1846),ABS(B1846),"")</x:f>
      </x:c>
      <x:c r="H1846" s="7" t="str">
        <x:f>IF(ISNUMBER(B1846),B1846^2,"")</x:f>
      </x:c>
      <x:c r="I1846" s="7" t="str">
        <x:f>IF(AND(ISNUMBER(G1846),'요약'!$B$19),G1846-'요약'!$B$14,"")</x:f>
      </x:c>
      <x:c r="J1846" s="7" t="str">
        <x:f>IF(AND(ISNUMBER(H1846),'요약'!$B$19),H1846-'요약'!$B$15,"")</x:f>
      </x:c>
      <x:c r="K1846" t="str">
        <x:f>IF(ISNUMBER(B1846),IF('Hill'!$B$4=1,IF(B1846&lt;0,-B1846,""),IF('Hill'!$B$4=2,IF(B1846&gt;0,B1846,""),IF('Hill'!$B$4=3,IF(B1846&lt;&gt;0,ABS(B1846),""),""))),"")</x:f>
      </x:c>
    </x:row>
    <x:row r="1847">
      <x:c r="A1847" t="n">
        <x:f>1846</x:f>
        <x:v>1846</x:v>
      </x:c>
      <x:c r="B1847" s="7" t="str">
        <x:f>IF('요약'!$B$4=4,IF(ISNUMBER('input'!A1847),'input'!A1847,""),IF(1846&lt;=1000,CHOOSE('요약'!$B$4,'input'!B1847,'input'!C1847,'input'!D1847),""))</x:f>
      </x:c>
      <x:c r="C1847" s="7" t="str">
        <x:f>IF(AND(ISNUMBER(B1847),'요약'!$B$19),B1847-'요약'!$B$7,"")</x:f>
      </x:c>
      <x:c r="D1847" s="7" t="str">
        <x:f>IF(ISNUMBER(C1847),C1847^2,"")</x:f>
      </x:c>
      <x:c r="E1847" s="15" t="str">
        <x:f>IF(ISNUMBER(C1847),C1847^3,"")</x:f>
      </x:c>
      <x:c r="F1847" s="15" t="str">
        <x:f>IF(ISNUMBER(C1847),C1847^4,"")</x:f>
      </x:c>
      <x:c r="G1847" s="7" t="str">
        <x:f>IF(ISNUMBER(B1847),ABS(B1847),"")</x:f>
      </x:c>
      <x:c r="H1847" s="7" t="str">
        <x:f>IF(ISNUMBER(B1847),B1847^2,"")</x:f>
      </x:c>
      <x:c r="I1847" s="7" t="str">
        <x:f>IF(AND(ISNUMBER(G1847),'요약'!$B$19),G1847-'요약'!$B$14,"")</x:f>
      </x:c>
      <x:c r="J1847" s="7" t="str">
        <x:f>IF(AND(ISNUMBER(H1847),'요약'!$B$19),H1847-'요약'!$B$15,"")</x:f>
      </x:c>
      <x:c r="K1847" t="str">
        <x:f>IF(ISNUMBER(B1847),IF('Hill'!$B$4=1,IF(B1847&lt;0,-B1847,""),IF('Hill'!$B$4=2,IF(B1847&gt;0,B1847,""),IF('Hill'!$B$4=3,IF(B1847&lt;&gt;0,ABS(B1847),""),""))),"")</x:f>
      </x:c>
    </x:row>
    <x:row r="1848">
      <x:c r="A1848" t="n">
        <x:f>1847</x:f>
        <x:v>1847</x:v>
      </x:c>
      <x:c r="B1848" s="7" t="str">
        <x:f>IF('요약'!$B$4=4,IF(ISNUMBER('input'!A1848),'input'!A1848,""),IF(1847&lt;=1000,CHOOSE('요약'!$B$4,'input'!B1848,'input'!C1848,'input'!D1848),""))</x:f>
      </x:c>
      <x:c r="C1848" s="7" t="str">
        <x:f>IF(AND(ISNUMBER(B1848),'요약'!$B$19),B1848-'요약'!$B$7,"")</x:f>
      </x:c>
      <x:c r="D1848" s="7" t="str">
        <x:f>IF(ISNUMBER(C1848),C1848^2,"")</x:f>
      </x:c>
      <x:c r="E1848" s="15" t="str">
        <x:f>IF(ISNUMBER(C1848),C1848^3,"")</x:f>
      </x:c>
      <x:c r="F1848" s="15" t="str">
        <x:f>IF(ISNUMBER(C1848),C1848^4,"")</x:f>
      </x:c>
      <x:c r="G1848" s="7" t="str">
        <x:f>IF(ISNUMBER(B1848),ABS(B1848),"")</x:f>
      </x:c>
      <x:c r="H1848" s="7" t="str">
        <x:f>IF(ISNUMBER(B1848),B1848^2,"")</x:f>
      </x:c>
      <x:c r="I1848" s="7" t="str">
        <x:f>IF(AND(ISNUMBER(G1848),'요약'!$B$19),G1848-'요약'!$B$14,"")</x:f>
      </x:c>
      <x:c r="J1848" s="7" t="str">
        <x:f>IF(AND(ISNUMBER(H1848),'요약'!$B$19),H1848-'요약'!$B$15,"")</x:f>
      </x:c>
      <x:c r="K1848" t="str">
        <x:f>IF(ISNUMBER(B1848),IF('Hill'!$B$4=1,IF(B1848&lt;0,-B1848,""),IF('Hill'!$B$4=2,IF(B1848&gt;0,B1848,""),IF('Hill'!$B$4=3,IF(B1848&lt;&gt;0,ABS(B1848),""),""))),"")</x:f>
      </x:c>
    </x:row>
    <x:row r="1849">
      <x:c r="A1849" t="n">
        <x:f>1848</x:f>
        <x:v>1848</x:v>
      </x:c>
      <x:c r="B1849" s="7" t="str">
        <x:f>IF('요약'!$B$4=4,IF(ISNUMBER('input'!A1849),'input'!A1849,""),IF(1848&lt;=1000,CHOOSE('요약'!$B$4,'input'!B1849,'input'!C1849,'input'!D1849),""))</x:f>
      </x:c>
      <x:c r="C1849" s="7" t="str">
        <x:f>IF(AND(ISNUMBER(B1849),'요약'!$B$19),B1849-'요약'!$B$7,"")</x:f>
      </x:c>
      <x:c r="D1849" s="7" t="str">
        <x:f>IF(ISNUMBER(C1849),C1849^2,"")</x:f>
      </x:c>
      <x:c r="E1849" s="15" t="str">
        <x:f>IF(ISNUMBER(C1849),C1849^3,"")</x:f>
      </x:c>
      <x:c r="F1849" s="15" t="str">
        <x:f>IF(ISNUMBER(C1849),C1849^4,"")</x:f>
      </x:c>
      <x:c r="G1849" s="7" t="str">
        <x:f>IF(ISNUMBER(B1849),ABS(B1849),"")</x:f>
      </x:c>
      <x:c r="H1849" s="7" t="str">
        <x:f>IF(ISNUMBER(B1849),B1849^2,"")</x:f>
      </x:c>
      <x:c r="I1849" s="7" t="str">
        <x:f>IF(AND(ISNUMBER(G1849),'요약'!$B$19),G1849-'요약'!$B$14,"")</x:f>
      </x:c>
      <x:c r="J1849" s="7" t="str">
        <x:f>IF(AND(ISNUMBER(H1849),'요약'!$B$19),H1849-'요약'!$B$15,"")</x:f>
      </x:c>
      <x:c r="K1849" t="str">
        <x:f>IF(ISNUMBER(B1849),IF('Hill'!$B$4=1,IF(B1849&lt;0,-B1849,""),IF('Hill'!$B$4=2,IF(B1849&gt;0,B1849,""),IF('Hill'!$B$4=3,IF(B1849&lt;&gt;0,ABS(B1849),""),""))),"")</x:f>
      </x:c>
    </x:row>
    <x:row r="1850">
      <x:c r="A1850" t="n">
        <x:f>1849</x:f>
        <x:v>1849</x:v>
      </x:c>
      <x:c r="B1850" s="7" t="str">
        <x:f>IF('요약'!$B$4=4,IF(ISNUMBER('input'!A1850),'input'!A1850,""),IF(1849&lt;=1000,CHOOSE('요약'!$B$4,'input'!B1850,'input'!C1850,'input'!D1850),""))</x:f>
      </x:c>
      <x:c r="C1850" s="7" t="str">
        <x:f>IF(AND(ISNUMBER(B1850),'요약'!$B$19),B1850-'요약'!$B$7,"")</x:f>
      </x:c>
      <x:c r="D1850" s="7" t="str">
        <x:f>IF(ISNUMBER(C1850),C1850^2,"")</x:f>
      </x:c>
      <x:c r="E1850" s="15" t="str">
        <x:f>IF(ISNUMBER(C1850),C1850^3,"")</x:f>
      </x:c>
      <x:c r="F1850" s="15" t="str">
        <x:f>IF(ISNUMBER(C1850),C1850^4,"")</x:f>
      </x:c>
      <x:c r="G1850" s="7" t="str">
        <x:f>IF(ISNUMBER(B1850),ABS(B1850),"")</x:f>
      </x:c>
      <x:c r="H1850" s="7" t="str">
        <x:f>IF(ISNUMBER(B1850),B1850^2,"")</x:f>
      </x:c>
      <x:c r="I1850" s="7" t="str">
        <x:f>IF(AND(ISNUMBER(G1850),'요약'!$B$19),G1850-'요약'!$B$14,"")</x:f>
      </x:c>
      <x:c r="J1850" s="7" t="str">
        <x:f>IF(AND(ISNUMBER(H1850),'요약'!$B$19),H1850-'요약'!$B$15,"")</x:f>
      </x:c>
      <x:c r="K1850" t="str">
        <x:f>IF(ISNUMBER(B1850),IF('Hill'!$B$4=1,IF(B1850&lt;0,-B1850,""),IF('Hill'!$B$4=2,IF(B1850&gt;0,B1850,""),IF('Hill'!$B$4=3,IF(B1850&lt;&gt;0,ABS(B1850),""),""))),"")</x:f>
      </x:c>
    </x:row>
    <x:row r="1851">
      <x:c r="A1851" t="n">
        <x:f>1850</x:f>
        <x:v>1850</x:v>
      </x:c>
      <x:c r="B1851" s="7" t="str">
        <x:f>IF('요약'!$B$4=4,IF(ISNUMBER('input'!A1851),'input'!A1851,""),IF(1850&lt;=1000,CHOOSE('요약'!$B$4,'input'!B1851,'input'!C1851,'input'!D1851),""))</x:f>
      </x:c>
      <x:c r="C1851" s="7" t="str">
        <x:f>IF(AND(ISNUMBER(B1851),'요약'!$B$19),B1851-'요약'!$B$7,"")</x:f>
      </x:c>
      <x:c r="D1851" s="7" t="str">
        <x:f>IF(ISNUMBER(C1851),C1851^2,"")</x:f>
      </x:c>
      <x:c r="E1851" s="15" t="str">
        <x:f>IF(ISNUMBER(C1851),C1851^3,"")</x:f>
      </x:c>
      <x:c r="F1851" s="15" t="str">
        <x:f>IF(ISNUMBER(C1851),C1851^4,"")</x:f>
      </x:c>
      <x:c r="G1851" s="7" t="str">
        <x:f>IF(ISNUMBER(B1851),ABS(B1851),"")</x:f>
      </x:c>
      <x:c r="H1851" s="7" t="str">
        <x:f>IF(ISNUMBER(B1851),B1851^2,"")</x:f>
      </x:c>
      <x:c r="I1851" s="7" t="str">
        <x:f>IF(AND(ISNUMBER(G1851),'요약'!$B$19),G1851-'요약'!$B$14,"")</x:f>
      </x:c>
      <x:c r="J1851" s="7" t="str">
        <x:f>IF(AND(ISNUMBER(H1851),'요약'!$B$19),H1851-'요약'!$B$15,"")</x:f>
      </x:c>
      <x:c r="K1851" t="str">
        <x:f>IF(ISNUMBER(B1851),IF('Hill'!$B$4=1,IF(B1851&lt;0,-B1851,""),IF('Hill'!$B$4=2,IF(B1851&gt;0,B1851,""),IF('Hill'!$B$4=3,IF(B1851&lt;&gt;0,ABS(B1851),""),""))),"")</x:f>
      </x:c>
    </x:row>
    <x:row r="1852">
      <x:c r="A1852" t="n">
        <x:f>1851</x:f>
        <x:v>1851</x:v>
      </x:c>
      <x:c r="B1852" s="7" t="str">
        <x:f>IF('요약'!$B$4=4,IF(ISNUMBER('input'!A1852),'input'!A1852,""),IF(1851&lt;=1000,CHOOSE('요약'!$B$4,'input'!B1852,'input'!C1852,'input'!D1852),""))</x:f>
      </x:c>
      <x:c r="C1852" s="7" t="str">
        <x:f>IF(AND(ISNUMBER(B1852),'요약'!$B$19),B1852-'요약'!$B$7,"")</x:f>
      </x:c>
      <x:c r="D1852" s="7" t="str">
        <x:f>IF(ISNUMBER(C1852),C1852^2,"")</x:f>
      </x:c>
      <x:c r="E1852" s="15" t="str">
        <x:f>IF(ISNUMBER(C1852),C1852^3,"")</x:f>
      </x:c>
      <x:c r="F1852" s="15" t="str">
        <x:f>IF(ISNUMBER(C1852),C1852^4,"")</x:f>
      </x:c>
      <x:c r="G1852" s="7" t="str">
        <x:f>IF(ISNUMBER(B1852),ABS(B1852),"")</x:f>
      </x:c>
      <x:c r="H1852" s="7" t="str">
        <x:f>IF(ISNUMBER(B1852),B1852^2,"")</x:f>
      </x:c>
      <x:c r="I1852" s="7" t="str">
        <x:f>IF(AND(ISNUMBER(G1852),'요약'!$B$19),G1852-'요약'!$B$14,"")</x:f>
      </x:c>
      <x:c r="J1852" s="7" t="str">
        <x:f>IF(AND(ISNUMBER(H1852),'요약'!$B$19),H1852-'요약'!$B$15,"")</x:f>
      </x:c>
      <x:c r="K1852" t="str">
        <x:f>IF(ISNUMBER(B1852),IF('Hill'!$B$4=1,IF(B1852&lt;0,-B1852,""),IF('Hill'!$B$4=2,IF(B1852&gt;0,B1852,""),IF('Hill'!$B$4=3,IF(B1852&lt;&gt;0,ABS(B1852),""),""))),"")</x:f>
      </x:c>
    </x:row>
    <x:row r="1853">
      <x:c r="A1853" t="n">
        <x:f>1852</x:f>
        <x:v>1852</x:v>
      </x:c>
      <x:c r="B1853" s="7" t="str">
        <x:f>IF('요약'!$B$4=4,IF(ISNUMBER('input'!A1853),'input'!A1853,""),IF(1852&lt;=1000,CHOOSE('요약'!$B$4,'input'!B1853,'input'!C1853,'input'!D1853),""))</x:f>
      </x:c>
      <x:c r="C1853" s="7" t="str">
        <x:f>IF(AND(ISNUMBER(B1853),'요약'!$B$19),B1853-'요약'!$B$7,"")</x:f>
      </x:c>
      <x:c r="D1853" s="7" t="str">
        <x:f>IF(ISNUMBER(C1853),C1853^2,"")</x:f>
      </x:c>
      <x:c r="E1853" s="15" t="str">
        <x:f>IF(ISNUMBER(C1853),C1853^3,"")</x:f>
      </x:c>
      <x:c r="F1853" s="15" t="str">
        <x:f>IF(ISNUMBER(C1853),C1853^4,"")</x:f>
      </x:c>
      <x:c r="G1853" s="7" t="str">
        <x:f>IF(ISNUMBER(B1853),ABS(B1853),"")</x:f>
      </x:c>
      <x:c r="H1853" s="7" t="str">
        <x:f>IF(ISNUMBER(B1853),B1853^2,"")</x:f>
      </x:c>
      <x:c r="I1853" s="7" t="str">
        <x:f>IF(AND(ISNUMBER(G1853),'요약'!$B$19),G1853-'요약'!$B$14,"")</x:f>
      </x:c>
      <x:c r="J1853" s="7" t="str">
        <x:f>IF(AND(ISNUMBER(H1853),'요약'!$B$19),H1853-'요약'!$B$15,"")</x:f>
      </x:c>
      <x:c r="K1853" t="str">
        <x:f>IF(ISNUMBER(B1853),IF('Hill'!$B$4=1,IF(B1853&lt;0,-B1853,""),IF('Hill'!$B$4=2,IF(B1853&gt;0,B1853,""),IF('Hill'!$B$4=3,IF(B1853&lt;&gt;0,ABS(B1853),""),""))),"")</x:f>
      </x:c>
    </x:row>
    <x:row r="1854">
      <x:c r="A1854" t="n">
        <x:f>1853</x:f>
        <x:v>1853</x:v>
      </x:c>
      <x:c r="B1854" s="7" t="str">
        <x:f>IF('요약'!$B$4=4,IF(ISNUMBER('input'!A1854),'input'!A1854,""),IF(1853&lt;=1000,CHOOSE('요약'!$B$4,'input'!B1854,'input'!C1854,'input'!D1854),""))</x:f>
      </x:c>
      <x:c r="C1854" s="7" t="str">
        <x:f>IF(AND(ISNUMBER(B1854),'요약'!$B$19),B1854-'요약'!$B$7,"")</x:f>
      </x:c>
      <x:c r="D1854" s="7" t="str">
        <x:f>IF(ISNUMBER(C1854),C1854^2,"")</x:f>
      </x:c>
      <x:c r="E1854" s="15" t="str">
        <x:f>IF(ISNUMBER(C1854),C1854^3,"")</x:f>
      </x:c>
      <x:c r="F1854" s="15" t="str">
        <x:f>IF(ISNUMBER(C1854),C1854^4,"")</x:f>
      </x:c>
      <x:c r="G1854" s="7" t="str">
        <x:f>IF(ISNUMBER(B1854),ABS(B1854),"")</x:f>
      </x:c>
      <x:c r="H1854" s="7" t="str">
        <x:f>IF(ISNUMBER(B1854),B1854^2,"")</x:f>
      </x:c>
      <x:c r="I1854" s="7" t="str">
        <x:f>IF(AND(ISNUMBER(G1854),'요약'!$B$19),G1854-'요약'!$B$14,"")</x:f>
      </x:c>
      <x:c r="J1854" s="7" t="str">
        <x:f>IF(AND(ISNUMBER(H1854),'요약'!$B$19),H1854-'요약'!$B$15,"")</x:f>
      </x:c>
      <x:c r="K1854" t="str">
        <x:f>IF(ISNUMBER(B1854),IF('Hill'!$B$4=1,IF(B1854&lt;0,-B1854,""),IF('Hill'!$B$4=2,IF(B1854&gt;0,B1854,""),IF('Hill'!$B$4=3,IF(B1854&lt;&gt;0,ABS(B1854),""),""))),"")</x:f>
      </x:c>
    </x:row>
    <x:row r="1855">
      <x:c r="A1855" t="n">
        <x:f>1854</x:f>
        <x:v>1854</x:v>
      </x:c>
      <x:c r="B1855" s="7" t="str">
        <x:f>IF('요약'!$B$4=4,IF(ISNUMBER('input'!A1855),'input'!A1855,""),IF(1854&lt;=1000,CHOOSE('요약'!$B$4,'input'!B1855,'input'!C1855,'input'!D1855),""))</x:f>
      </x:c>
      <x:c r="C1855" s="7" t="str">
        <x:f>IF(AND(ISNUMBER(B1855),'요약'!$B$19),B1855-'요약'!$B$7,"")</x:f>
      </x:c>
      <x:c r="D1855" s="7" t="str">
        <x:f>IF(ISNUMBER(C1855),C1855^2,"")</x:f>
      </x:c>
      <x:c r="E1855" s="15" t="str">
        <x:f>IF(ISNUMBER(C1855),C1855^3,"")</x:f>
      </x:c>
      <x:c r="F1855" s="15" t="str">
        <x:f>IF(ISNUMBER(C1855),C1855^4,"")</x:f>
      </x:c>
      <x:c r="G1855" s="7" t="str">
        <x:f>IF(ISNUMBER(B1855),ABS(B1855),"")</x:f>
      </x:c>
      <x:c r="H1855" s="7" t="str">
        <x:f>IF(ISNUMBER(B1855),B1855^2,"")</x:f>
      </x:c>
      <x:c r="I1855" s="7" t="str">
        <x:f>IF(AND(ISNUMBER(G1855),'요약'!$B$19),G1855-'요약'!$B$14,"")</x:f>
      </x:c>
      <x:c r="J1855" s="7" t="str">
        <x:f>IF(AND(ISNUMBER(H1855),'요약'!$B$19),H1855-'요약'!$B$15,"")</x:f>
      </x:c>
      <x:c r="K1855" t="str">
        <x:f>IF(ISNUMBER(B1855),IF('Hill'!$B$4=1,IF(B1855&lt;0,-B1855,""),IF('Hill'!$B$4=2,IF(B1855&gt;0,B1855,""),IF('Hill'!$B$4=3,IF(B1855&lt;&gt;0,ABS(B1855),""),""))),"")</x:f>
      </x:c>
    </x:row>
    <x:row r="1856">
      <x:c r="A1856" t="n">
        <x:f>1855</x:f>
        <x:v>1855</x:v>
      </x:c>
      <x:c r="B1856" s="7" t="str">
        <x:f>IF('요약'!$B$4=4,IF(ISNUMBER('input'!A1856),'input'!A1856,""),IF(1855&lt;=1000,CHOOSE('요약'!$B$4,'input'!B1856,'input'!C1856,'input'!D1856),""))</x:f>
      </x:c>
      <x:c r="C1856" s="7" t="str">
        <x:f>IF(AND(ISNUMBER(B1856),'요약'!$B$19),B1856-'요약'!$B$7,"")</x:f>
      </x:c>
      <x:c r="D1856" s="7" t="str">
        <x:f>IF(ISNUMBER(C1856),C1856^2,"")</x:f>
      </x:c>
      <x:c r="E1856" s="15" t="str">
        <x:f>IF(ISNUMBER(C1856),C1856^3,"")</x:f>
      </x:c>
      <x:c r="F1856" s="15" t="str">
        <x:f>IF(ISNUMBER(C1856),C1856^4,"")</x:f>
      </x:c>
      <x:c r="G1856" s="7" t="str">
        <x:f>IF(ISNUMBER(B1856),ABS(B1856),"")</x:f>
      </x:c>
      <x:c r="H1856" s="7" t="str">
        <x:f>IF(ISNUMBER(B1856),B1856^2,"")</x:f>
      </x:c>
      <x:c r="I1856" s="7" t="str">
        <x:f>IF(AND(ISNUMBER(G1856),'요약'!$B$19),G1856-'요약'!$B$14,"")</x:f>
      </x:c>
      <x:c r="J1856" s="7" t="str">
        <x:f>IF(AND(ISNUMBER(H1856),'요약'!$B$19),H1856-'요약'!$B$15,"")</x:f>
      </x:c>
      <x:c r="K1856" t="str">
        <x:f>IF(ISNUMBER(B1856),IF('Hill'!$B$4=1,IF(B1856&lt;0,-B1856,""),IF('Hill'!$B$4=2,IF(B1856&gt;0,B1856,""),IF('Hill'!$B$4=3,IF(B1856&lt;&gt;0,ABS(B1856),""),""))),"")</x:f>
      </x:c>
    </x:row>
    <x:row r="1857">
      <x:c r="A1857" t="n">
        <x:f>1856</x:f>
        <x:v>1856</x:v>
      </x:c>
      <x:c r="B1857" s="7" t="str">
        <x:f>IF('요약'!$B$4=4,IF(ISNUMBER('input'!A1857),'input'!A1857,""),IF(1856&lt;=1000,CHOOSE('요약'!$B$4,'input'!B1857,'input'!C1857,'input'!D1857),""))</x:f>
      </x:c>
      <x:c r="C1857" s="7" t="str">
        <x:f>IF(AND(ISNUMBER(B1857),'요약'!$B$19),B1857-'요약'!$B$7,"")</x:f>
      </x:c>
      <x:c r="D1857" s="7" t="str">
        <x:f>IF(ISNUMBER(C1857),C1857^2,"")</x:f>
      </x:c>
      <x:c r="E1857" s="15" t="str">
        <x:f>IF(ISNUMBER(C1857),C1857^3,"")</x:f>
      </x:c>
      <x:c r="F1857" s="15" t="str">
        <x:f>IF(ISNUMBER(C1857),C1857^4,"")</x:f>
      </x:c>
      <x:c r="G1857" s="7" t="str">
        <x:f>IF(ISNUMBER(B1857),ABS(B1857),"")</x:f>
      </x:c>
      <x:c r="H1857" s="7" t="str">
        <x:f>IF(ISNUMBER(B1857),B1857^2,"")</x:f>
      </x:c>
      <x:c r="I1857" s="7" t="str">
        <x:f>IF(AND(ISNUMBER(G1857),'요약'!$B$19),G1857-'요약'!$B$14,"")</x:f>
      </x:c>
      <x:c r="J1857" s="7" t="str">
        <x:f>IF(AND(ISNUMBER(H1857),'요약'!$B$19),H1857-'요약'!$B$15,"")</x:f>
      </x:c>
      <x:c r="K1857" t="str">
        <x:f>IF(ISNUMBER(B1857),IF('Hill'!$B$4=1,IF(B1857&lt;0,-B1857,""),IF('Hill'!$B$4=2,IF(B1857&gt;0,B1857,""),IF('Hill'!$B$4=3,IF(B1857&lt;&gt;0,ABS(B1857),""),""))),"")</x:f>
      </x:c>
    </x:row>
    <x:row r="1858">
      <x:c r="A1858" t="n">
        <x:f>1857</x:f>
        <x:v>1857</x:v>
      </x:c>
      <x:c r="B1858" s="7" t="str">
        <x:f>IF('요약'!$B$4=4,IF(ISNUMBER('input'!A1858),'input'!A1858,""),IF(1857&lt;=1000,CHOOSE('요약'!$B$4,'input'!B1858,'input'!C1858,'input'!D1858),""))</x:f>
      </x:c>
      <x:c r="C1858" s="7" t="str">
        <x:f>IF(AND(ISNUMBER(B1858),'요약'!$B$19),B1858-'요약'!$B$7,"")</x:f>
      </x:c>
      <x:c r="D1858" s="7" t="str">
        <x:f>IF(ISNUMBER(C1858),C1858^2,"")</x:f>
      </x:c>
      <x:c r="E1858" s="15" t="str">
        <x:f>IF(ISNUMBER(C1858),C1858^3,"")</x:f>
      </x:c>
      <x:c r="F1858" s="15" t="str">
        <x:f>IF(ISNUMBER(C1858),C1858^4,"")</x:f>
      </x:c>
      <x:c r="G1858" s="7" t="str">
        <x:f>IF(ISNUMBER(B1858),ABS(B1858),"")</x:f>
      </x:c>
      <x:c r="H1858" s="7" t="str">
        <x:f>IF(ISNUMBER(B1858),B1858^2,"")</x:f>
      </x:c>
      <x:c r="I1858" s="7" t="str">
        <x:f>IF(AND(ISNUMBER(G1858),'요약'!$B$19),G1858-'요약'!$B$14,"")</x:f>
      </x:c>
      <x:c r="J1858" s="7" t="str">
        <x:f>IF(AND(ISNUMBER(H1858),'요약'!$B$19),H1858-'요약'!$B$15,"")</x:f>
      </x:c>
      <x:c r="K1858" t="str">
        <x:f>IF(ISNUMBER(B1858),IF('Hill'!$B$4=1,IF(B1858&lt;0,-B1858,""),IF('Hill'!$B$4=2,IF(B1858&gt;0,B1858,""),IF('Hill'!$B$4=3,IF(B1858&lt;&gt;0,ABS(B1858),""),""))),"")</x:f>
      </x:c>
    </x:row>
    <x:row r="1859">
      <x:c r="A1859" t="n">
        <x:f>1858</x:f>
        <x:v>1858</x:v>
      </x:c>
      <x:c r="B1859" s="7" t="str">
        <x:f>IF('요약'!$B$4=4,IF(ISNUMBER('input'!A1859),'input'!A1859,""),IF(1858&lt;=1000,CHOOSE('요약'!$B$4,'input'!B1859,'input'!C1859,'input'!D1859),""))</x:f>
      </x:c>
      <x:c r="C1859" s="7" t="str">
        <x:f>IF(AND(ISNUMBER(B1859),'요약'!$B$19),B1859-'요약'!$B$7,"")</x:f>
      </x:c>
      <x:c r="D1859" s="7" t="str">
        <x:f>IF(ISNUMBER(C1859),C1859^2,"")</x:f>
      </x:c>
      <x:c r="E1859" s="15" t="str">
        <x:f>IF(ISNUMBER(C1859),C1859^3,"")</x:f>
      </x:c>
      <x:c r="F1859" s="15" t="str">
        <x:f>IF(ISNUMBER(C1859),C1859^4,"")</x:f>
      </x:c>
      <x:c r="G1859" s="7" t="str">
        <x:f>IF(ISNUMBER(B1859),ABS(B1859),"")</x:f>
      </x:c>
      <x:c r="H1859" s="7" t="str">
        <x:f>IF(ISNUMBER(B1859),B1859^2,"")</x:f>
      </x:c>
      <x:c r="I1859" s="7" t="str">
        <x:f>IF(AND(ISNUMBER(G1859),'요약'!$B$19),G1859-'요약'!$B$14,"")</x:f>
      </x:c>
      <x:c r="J1859" s="7" t="str">
        <x:f>IF(AND(ISNUMBER(H1859),'요약'!$B$19),H1859-'요약'!$B$15,"")</x:f>
      </x:c>
      <x:c r="K1859" t="str">
        <x:f>IF(ISNUMBER(B1859),IF('Hill'!$B$4=1,IF(B1859&lt;0,-B1859,""),IF('Hill'!$B$4=2,IF(B1859&gt;0,B1859,""),IF('Hill'!$B$4=3,IF(B1859&lt;&gt;0,ABS(B1859),""),""))),"")</x:f>
      </x:c>
    </x:row>
    <x:row r="1860">
      <x:c r="A1860" t="n">
        <x:f>1859</x:f>
        <x:v>1859</x:v>
      </x:c>
      <x:c r="B1860" s="7" t="str">
        <x:f>IF('요약'!$B$4=4,IF(ISNUMBER('input'!A1860),'input'!A1860,""),IF(1859&lt;=1000,CHOOSE('요약'!$B$4,'input'!B1860,'input'!C1860,'input'!D1860),""))</x:f>
      </x:c>
      <x:c r="C1860" s="7" t="str">
        <x:f>IF(AND(ISNUMBER(B1860),'요약'!$B$19),B1860-'요약'!$B$7,"")</x:f>
      </x:c>
      <x:c r="D1860" s="7" t="str">
        <x:f>IF(ISNUMBER(C1860),C1860^2,"")</x:f>
      </x:c>
      <x:c r="E1860" s="15" t="str">
        <x:f>IF(ISNUMBER(C1860),C1860^3,"")</x:f>
      </x:c>
      <x:c r="F1860" s="15" t="str">
        <x:f>IF(ISNUMBER(C1860),C1860^4,"")</x:f>
      </x:c>
      <x:c r="G1860" s="7" t="str">
        <x:f>IF(ISNUMBER(B1860),ABS(B1860),"")</x:f>
      </x:c>
      <x:c r="H1860" s="7" t="str">
        <x:f>IF(ISNUMBER(B1860),B1860^2,"")</x:f>
      </x:c>
      <x:c r="I1860" s="7" t="str">
        <x:f>IF(AND(ISNUMBER(G1860),'요약'!$B$19),G1860-'요약'!$B$14,"")</x:f>
      </x:c>
      <x:c r="J1860" s="7" t="str">
        <x:f>IF(AND(ISNUMBER(H1860),'요약'!$B$19),H1860-'요약'!$B$15,"")</x:f>
      </x:c>
      <x:c r="K1860" t="str">
        <x:f>IF(ISNUMBER(B1860),IF('Hill'!$B$4=1,IF(B1860&lt;0,-B1860,""),IF('Hill'!$B$4=2,IF(B1860&gt;0,B1860,""),IF('Hill'!$B$4=3,IF(B1860&lt;&gt;0,ABS(B1860),""),""))),"")</x:f>
      </x:c>
    </x:row>
    <x:row r="1861">
      <x:c r="A1861" t="n">
        <x:f>1860</x:f>
        <x:v>1860</x:v>
      </x:c>
      <x:c r="B1861" s="7" t="str">
        <x:f>IF('요약'!$B$4=4,IF(ISNUMBER('input'!A1861),'input'!A1861,""),IF(1860&lt;=1000,CHOOSE('요약'!$B$4,'input'!B1861,'input'!C1861,'input'!D1861),""))</x:f>
      </x:c>
      <x:c r="C1861" s="7" t="str">
        <x:f>IF(AND(ISNUMBER(B1861),'요약'!$B$19),B1861-'요약'!$B$7,"")</x:f>
      </x:c>
      <x:c r="D1861" s="7" t="str">
        <x:f>IF(ISNUMBER(C1861),C1861^2,"")</x:f>
      </x:c>
      <x:c r="E1861" s="15" t="str">
        <x:f>IF(ISNUMBER(C1861),C1861^3,"")</x:f>
      </x:c>
      <x:c r="F1861" s="15" t="str">
        <x:f>IF(ISNUMBER(C1861),C1861^4,"")</x:f>
      </x:c>
      <x:c r="G1861" s="7" t="str">
        <x:f>IF(ISNUMBER(B1861),ABS(B1861),"")</x:f>
      </x:c>
      <x:c r="H1861" s="7" t="str">
        <x:f>IF(ISNUMBER(B1861),B1861^2,"")</x:f>
      </x:c>
      <x:c r="I1861" s="7" t="str">
        <x:f>IF(AND(ISNUMBER(G1861),'요약'!$B$19),G1861-'요약'!$B$14,"")</x:f>
      </x:c>
      <x:c r="J1861" s="7" t="str">
        <x:f>IF(AND(ISNUMBER(H1861),'요약'!$B$19),H1861-'요약'!$B$15,"")</x:f>
      </x:c>
      <x:c r="K1861" t="str">
        <x:f>IF(ISNUMBER(B1861),IF('Hill'!$B$4=1,IF(B1861&lt;0,-B1861,""),IF('Hill'!$B$4=2,IF(B1861&gt;0,B1861,""),IF('Hill'!$B$4=3,IF(B1861&lt;&gt;0,ABS(B1861),""),""))),"")</x:f>
      </x:c>
    </x:row>
    <x:row r="1862">
      <x:c r="A1862" t="n">
        <x:f>1861</x:f>
        <x:v>1861</x:v>
      </x:c>
      <x:c r="B1862" s="7" t="str">
        <x:f>IF('요약'!$B$4=4,IF(ISNUMBER('input'!A1862),'input'!A1862,""),IF(1861&lt;=1000,CHOOSE('요약'!$B$4,'input'!B1862,'input'!C1862,'input'!D1862),""))</x:f>
      </x:c>
      <x:c r="C1862" s="7" t="str">
        <x:f>IF(AND(ISNUMBER(B1862),'요약'!$B$19),B1862-'요약'!$B$7,"")</x:f>
      </x:c>
      <x:c r="D1862" s="7" t="str">
        <x:f>IF(ISNUMBER(C1862),C1862^2,"")</x:f>
      </x:c>
      <x:c r="E1862" s="15" t="str">
        <x:f>IF(ISNUMBER(C1862),C1862^3,"")</x:f>
      </x:c>
      <x:c r="F1862" s="15" t="str">
        <x:f>IF(ISNUMBER(C1862),C1862^4,"")</x:f>
      </x:c>
      <x:c r="G1862" s="7" t="str">
        <x:f>IF(ISNUMBER(B1862),ABS(B1862),"")</x:f>
      </x:c>
      <x:c r="H1862" s="7" t="str">
        <x:f>IF(ISNUMBER(B1862),B1862^2,"")</x:f>
      </x:c>
      <x:c r="I1862" s="7" t="str">
        <x:f>IF(AND(ISNUMBER(G1862),'요약'!$B$19),G1862-'요약'!$B$14,"")</x:f>
      </x:c>
      <x:c r="J1862" s="7" t="str">
        <x:f>IF(AND(ISNUMBER(H1862),'요약'!$B$19),H1862-'요약'!$B$15,"")</x:f>
      </x:c>
      <x:c r="K1862" t="str">
        <x:f>IF(ISNUMBER(B1862),IF('Hill'!$B$4=1,IF(B1862&lt;0,-B1862,""),IF('Hill'!$B$4=2,IF(B1862&gt;0,B1862,""),IF('Hill'!$B$4=3,IF(B1862&lt;&gt;0,ABS(B1862),""),""))),"")</x:f>
      </x:c>
    </x:row>
    <x:row r="1863">
      <x:c r="A1863" t="n">
        <x:f>1862</x:f>
        <x:v>1862</x:v>
      </x:c>
      <x:c r="B1863" s="7" t="str">
        <x:f>IF('요약'!$B$4=4,IF(ISNUMBER('input'!A1863),'input'!A1863,""),IF(1862&lt;=1000,CHOOSE('요약'!$B$4,'input'!B1863,'input'!C1863,'input'!D1863),""))</x:f>
      </x:c>
      <x:c r="C1863" s="7" t="str">
        <x:f>IF(AND(ISNUMBER(B1863),'요약'!$B$19),B1863-'요약'!$B$7,"")</x:f>
      </x:c>
      <x:c r="D1863" s="7" t="str">
        <x:f>IF(ISNUMBER(C1863),C1863^2,"")</x:f>
      </x:c>
      <x:c r="E1863" s="15" t="str">
        <x:f>IF(ISNUMBER(C1863),C1863^3,"")</x:f>
      </x:c>
      <x:c r="F1863" s="15" t="str">
        <x:f>IF(ISNUMBER(C1863),C1863^4,"")</x:f>
      </x:c>
      <x:c r="G1863" s="7" t="str">
        <x:f>IF(ISNUMBER(B1863),ABS(B1863),"")</x:f>
      </x:c>
      <x:c r="H1863" s="7" t="str">
        <x:f>IF(ISNUMBER(B1863),B1863^2,"")</x:f>
      </x:c>
      <x:c r="I1863" s="7" t="str">
        <x:f>IF(AND(ISNUMBER(G1863),'요약'!$B$19),G1863-'요약'!$B$14,"")</x:f>
      </x:c>
      <x:c r="J1863" s="7" t="str">
        <x:f>IF(AND(ISNUMBER(H1863),'요약'!$B$19),H1863-'요약'!$B$15,"")</x:f>
      </x:c>
      <x:c r="K1863" t="str">
        <x:f>IF(ISNUMBER(B1863),IF('Hill'!$B$4=1,IF(B1863&lt;0,-B1863,""),IF('Hill'!$B$4=2,IF(B1863&gt;0,B1863,""),IF('Hill'!$B$4=3,IF(B1863&lt;&gt;0,ABS(B1863),""),""))),"")</x:f>
      </x:c>
    </x:row>
    <x:row r="1864">
      <x:c r="A1864" t="n">
        <x:f>1863</x:f>
        <x:v>1863</x:v>
      </x:c>
      <x:c r="B1864" s="7" t="str">
        <x:f>IF('요약'!$B$4=4,IF(ISNUMBER('input'!A1864),'input'!A1864,""),IF(1863&lt;=1000,CHOOSE('요약'!$B$4,'input'!B1864,'input'!C1864,'input'!D1864),""))</x:f>
      </x:c>
      <x:c r="C1864" s="7" t="str">
        <x:f>IF(AND(ISNUMBER(B1864),'요약'!$B$19),B1864-'요약'!$B$7,"")</x:f>
      </x:c>
      <x:c r="D1864" s="7" t="str">
        <x:f>IF(ISNUMBER(C1864),C1864^2,"")</x:f>
      </x:c>
      <x:c r="E1864" s="15" t="str">
        <x:f>IF(ISNUMBER(C1864),C1864^3,"")</x:f>
      </x:c>
      <x:c r="F1864" s="15" t="str">
        <x:f>IF(ISNUMBER(C1864),C1864^4,"")</x:f>
      </x:c>
      <x:c r="G1864" s="7" t="str">
        <x:f>IF(ISNUMBER(B1864),ABS(B1864),"")</x:f>
      </x:c>
      <x:c r="H1864" s="7" t="str">
        <x:f>IF(ISNUMBER(B1864),B1864^2,"")</x:f>
      </x:c>
      <x:c r="I1864" s="7" t="str">
        <x:f>IF(AND(ISNUMBER(G1864),'요약'!$B$19),G1864-'요약'!$B$14,"")</x:f>
      </x:c>
      <x:c r="J1864" s="7" t="str">
        <x:f>IF(AND(ISNUMBER(H1864),'요약'!$B$19),H1864-'요약'!$B$15,"")</x:f>
      </x:c>
      <x:c r="K1864" t="str">
        <x:f>IF(ISNUMBER(B1864),IF('Hill'!$B$4=1,IF(B1864&lt;0,-B1864,""),IF('Hill'!$B$4=2,IF(B1864&gt;0,B1864,""),IF('Hill'!$B$4=3,IF(B1864&lt;&gt;0,ABS(B1864),""),""))),"")</x:f>
      </x:c>
    </x:row>
    <x:row r="1865">
      <x:c r="A1865" t="n">
        <x:f>1864</x:f>
        <x:v>1864</x:v>
      </x:c>
      <x:c r="B1865" s="7" t="str">
        <x:f>IF('요약'!$B$4=4,IF(ISNUMBER('input'!A1865),'input'!A1865,""),IF(1864&lt;=1000,CHOOSE('요약'!$B$4,'input'!B1865,'input'!C1865,'input'!D1865),""))</x:f>
      </x:c>
      <x:c r="C1865" s="7" t="str">
        <x:f>IF(AND(ISNUMBER(B1865),'요약'!$B$19),B1865-'요약'!$B$7,"")</x:f>
      </x:c>
      <x:c r="D1865" s="7" t="str">
        <x:f>IF(ISNUMBER(C1865),C1865^2,"")</x:f>
      </x:c>
      <x:c r="E1865" s="15" t="str">
        <x:f>IF(ISNUMBER(C1865),C1865^3,"")</x:f>
      </x:c>
      <x:c r="F1865" s="15" t="str">
        <x:f>IF(ISNUMBER(C1865),C1865^4,"")</x:f>
      </x:c>
      <x:c r="G1865" s="7" t="str">
        <x:f>IF(ISNUMBER(B1865),ABS(B1865),"")</x:f>
      </x:c>
      <x:c r="H1865" s="7" t="str">
        <x:f>IF(ISNUMBER(B1865),B1865^2,"")</x:f>
      </x:c>
      <x:c r="I1865" s="7" t="str">
        <x:f>IF(AND(ISNUMBER(G1865),'요약'!$B$19),G1865-'요약'!$B$14,"")</x:f>
      </x:c>
      <x:c r="J1865" s="7" t="str">
        <x:f>IF(AND(ISNUMBER(H1865),'요약'!$B$19),H1865-'요약'!$B$15,"")</x:f>
      </x:c>
      <x:c r="K1865" t="str">
        <x:f>IF(ISNUMBER(B1865),IF('Hill'!$B$4=1,IF(B1865&lt;0,-B1865,""),IF('Hill'!$B$4=2,IF(B1865&gt;0,B1865,""),IF('Hill'!$B$4=3,IF(B1865&lt;&gt;0,ABS(B1865),""),""))),"")</x:f>
      </x:c>
    </x:row>
    <x:row r="1866">
      <x:c r="A1866" t="n">
        <x:f>1865</x:f>
        <x:v>1865</x:v>
      </x:c>
      <x:c r="B1866" s="7" t="str">
        <x:f>IF('요약'!$B$4=4,IF(ISNUMBER('input'!A1866),'input'!A1866,""),IF(1865&lt;=1000,CHOOSE('요약'!$B$4,'input'!B1866,'input'!C1866,'input'!D1866),""))</x:f>
      </x:c>
      <x:c r="C1866" s="7" t="str">
        <x:f>IF(AND(ISNUMBER(B1866),'요약'!$B$19),B1866-'요약'!$B$7,"")</x:f>
      </x:c>
      <x:c r="D1866" s="7" t="str">
        <x:f>IF(ISNUMBER(C1866),C1866^2,"")</x:f>
      </x:c>
      <x:c r="E1866" s="15" t="str">
        <x:f>IF(ISNUMBER(C1866),C1866^3,"")</x:f>
      </x:c>
      <x:c r="F1866" s="15" t="str">
        <x:f>IF(ISNUMBER(C1866),C1866^4,"")</x:f>
      </x:c>
      <x:c r="G1866" s="7" t="str">
        <x:f>IF(ISNUMBER(B1866),ABS(B1866),"")</x:f>
      </x:c>
      <x:c r="H1866" s="7" t="str">
        <x:f>IF(ISNUMBER(B1866),B1866^2,"")</x:f>
      </x:c>
      <x:c r="I1866" s="7" t="str">
        <x:f>IF(AND(ISNUMBER(G1866),'요약'!$B$19),G1866-'요약'!$B$14,"")</x:f>
      </x:c>
      <x:c r="J1866" s="7" t="str">
        <x:f>IF(AND(ISNUMBER(H1866),'요약'!$B$19),H1866-'요약'!$B$15,"")</x:f>
      </x:c>
      <x:c r="K1866" t="str">
        <x:f>IF(ISNUMBER(B1866),IF('Hill'!$B$4=1,IF(B1866&lt;0,-B1866,""),IF('Hill'!$B$4=2,IF(B1866&gt;0,B1866,""),IF('Hill'!$B$4=3,IF(B1866&lt;&gt;0,ABS(B1866),""),""))),"")</x:f>
      </x:c>
    </x:row>
    <x:row r="1867">
      <x:c r="A1867" t="n">
        <x:f>1866</x:f>
        <x:v>1866</x:v>
      </x:c>
      <x:c r="B1867" s="7" t="str">
        <x:f>IF('요약'!$B$4=4,IF(ISNUMBER('input'!A1867),'input'!A1867,""),IF(1866&lt;=1000,CHOOSE('요약'!$B$4,'input'!B1867,'input'!C1867,'input'!D1867),""))</x:f>
      </x:c>
      <x:c r="C1867" s="7" t="str">
        <x:f>IF(AND(ISNUMBER(B1867),'요약'!$B$19),B1867-'요약'!$B$7,"")</x:f>
      </x:c>
      <x:c r="D1867" s="7" t="str">
        <x:f>IF(ISNUMBER(C1867),C1867^2,"")</x:f>
      </x:c>
      <x:c r="E1867" s="15" t="str">
        <x:f>IF(ISNUMBER(C1867),C1867^3,"")</x:f>
      </x:c>
      <x:c r="F1867" s="15" t="str">
        <x:f>IF(ISNUMBER(C1867),C1867^4,"")</x:f>
      </x:c>
      <x:c r="G1867" s="7" t="str">
        <x:f>IF(ISNUMBER(B1867),ABS(B1867),"")</x:f>
      </x:c>
      <x:c r="H1867" s="7" t="str">
        <x:f>IF(ISNUMBER(B1867),B1867^2,"")</x:f>
      </x:c>
      <x:c r="I1867" s="7" t="str">
        <x:f>IF(AND(ISNUMBER(G1867),'요약'!$B$19),G1867-'요약'!$B$14,"")</x:f>
      </x:c>
      <x:c r="J1867" s="7" t="str">
        <x:f>IF(AND(ISNUMBER(H1867),'요약'!$B$19),H1867-'요약'!$B$15,"")</x:f>
      </x:c>
      <x:c r="K1867" t="str">
        <x:f>IF(ISNUMBER(B1867),IF('Hill'!$B$4=1,IF(B1867&lt;0,-B1867,""),IF('Hill'!$B$4=2,IF(B1867&gt;0,B1867,""),IF('Hill'!$B$4=3,IF(B1867&lt;&gt;0,ABS(B1867),""),""))),"")</x:f>
      </x:c>
    </x:row>
    <x:row r="1868">
      <x:c r="A1868" t="n">
        <x:f>1867</x:f>
        <x:v>1867</x:v>
      </x:c>
      <x:c r="B1868" s="7" t="str">
        <x:f>IF('요약'!$B$4=4,IF(ISNUMBER('input'!A1868),'input'!A1868,""),IF(1867&lt;=1000,CHOOSE('요약'!$B$4,'input'!B1868,'input'!C1868,'input'!D1868),""))</x:f>
      </x:c>
      <x:c r="C1868" s="7" t="str">
        <x:f>IF(AND(ISNUMBER(B1868),'요약'!$B$19),B1868-'요약'!$B$7,"")</x:f>
      </x:c>
      <x:c r="D1868" s="7" t="str">
        <x:f>IF(ISNUMBER(C1868),C1868^2,"")</x:f>
      </x:c>
      <x:c r="E1868" s="15" t="str">
        <x:f>IF(ISNUMBER(C1868),C1868^3,"")</x:f>
      </x:c>
      <x:c r="F1868" s="15" t="str">
        <x:f>IF(ISNUMBER(C1868),C1868^4,"")</x:f>
      </x:c>
      <x:c r="G1868" s="7" t="str">
        <x:f>IF(ISNUMBER(B1868),ABS(B1868),"")</x:f>
      </x:c>
      <x:c r="H1868" s="7" t="str">
        <x:f>IF(ISNUMBER(B1868),B1868^2,"")</x:f>
      </x:c>
      <x:c r="I1868" s="7" t="str">
        <x:f>IF(AND(ISNUMBER(G1868),'요약'!$B$19),G1868-'요약'!$B$14,"")</x:f>
      </x:c>
      <x:c r="J1868" s="7" t="str">
        <x:f>IF(AND(ISNUMBER(H1868),'요약'!$B$19),H1868-'요약'!$B$15,"")</x:f>
      </x:c>
      <x:c r="K1868" t="str">
        <x:f>IF(ISNUMBER(B1868),IF('Hill'!$B$4=1,IF(B1868&lt;0,-B1868,""),IF('Hill'!$B$4=2,IF(B1868&gt;0,B1868,""),IF('Hill'!$B$4=3,IF(B1868&lt;&gt;0,ABS(B1868),""),""))),"")</x:f>
      </x:c>
    </x:row>
    <x:row r="1869">
      <x:c r="A1869" t="n">
        <x:f>1868</x:f>
        <x:v>1868</x:v>
      </x:c>
      <x:c r="B1869" s="7" t="str">
        <x:f>IF('요약'!$B$4=4,IF(ISNUMBER('input'!A1869),'input'!A1869,""),IF(1868&lt;=1000,CHOOSE('요약'!$B$4,'input'!B1869,'input'!C1869,'input'!D1869),""))</x:f>
      </x:c>
      <x:c r="C1869" s="7" t="str">
        <x:f>IF(AND(ISNUMBER(B1869),'요약'!$B$19),B1869-'요약'!$B$7,"")</x:f>
      </x:c>
      <x:c r="D1869" s="7" t="str">
        <x:f>IF(ISNUMBER(C1869),C1869^2,"")</x:f>
      </x:c>
      <x:c r="E1869" s="15" t="str">
        <x:f>IF(ISNUMBER(C1869),C1869^3,"")</x:f>
      </x:c>
      <x:c r="F1869" s="15" t="str">
        <x:f>IF(ISNUMBER(C1869),C1869^4,"")</x:f>
      </x:c>
      <x:c r="G1869" s="7" t="str">
        <x:f>IF(ISNUMBER(B1869),ABS(B1869),"")</x:f>
      </x:c>
      <x:c r="H1869" s="7" t="str">
        <x:f>IF(ISNUMBER(B1869),B1869^2,"")</x:f>
      </x:c>
      <x:c r="I1869" s="7" t="str">
        <x:f>IF(AND(ISNUMBER(G1869),'요약'!$B$19),G1869-'요약'!$B$14,"")</x:f>
      </x:c>
      <x:c r="J1869" s="7" t="str">
        <x:f>IF(AND(ISNUMBER(H1869),'요약'!$B$19),H1869-'요약'!$B$15,"")</x:f>
      </x:c>
      <x:c r="K1869" t="str">
        <x:f>IF(ISNUMBER(B1869),IF('Hill'!$B$4=1,IF(B1869&lt;0,-B1869,""),IF('Hill'!$B$4=2,IF(B1869&gt;0,B1869,""),IF('Hill'!$B$4=3,IF(B1869&lt;&gt;0,ABS(B1869),""),""))),"")</x:f>
      </x:c>
    </x:row>
    <x:row r="1870">
      <x:c r="A1870" t="n">
        <x:f>1869</x:f>
        <x:v>1869</x:v>
      </x:c>
      <x:c r="B1870" s="7" t="str">
        <x:f>IF('요약'!$B$4=4,IF(ISNUMBER('input'!A1870),'input'!A1870,""),IF(1869&lt;=1000,CHOOSE('요약'!$B$4,'input'!B1870,'input'!C1870,'input'!D1870),""))</x:f>
      </x:c>
      <x:c r="C1870" s="7" t="str">
        <x:f>IF(AND(ISNUMBER(B1870),'요약'!$B$19),B1870-'요약'!$B$7,"")</x:f>
      </x:c>
      <x:c r="D1870" s="7" t="str">
        <x:f>IF(ISNUMBER(C1870),C1870^2,"")</x:f>
      </x:c>
      <x:c r="E1870" s="15" t="str">
        <x:f>IF(ISNUMBER(C1870),C1870^3,"")</x:f>
      </x:c>
      <x:c r="F1870" s="15" t="str">
        <x:f>IF(ISNUMBER(C1870),C1870^4,"")</x:f>
      </x:c>
      <x:c r="G1870" s="7" t="str">
        <x:f>IF(ISNUMBER(B1870),ABS(B1870),"")</x:f>
      </x:c>
      <x:c r="H1870" s="7" t="str">
        <x:f>IF(ISNUMBER(B1870),B1870^2,"")</x:f>
      </x:c>
      <x:c r="I1870" s="7" t="str">
        <x:f>IF(AND(ISNUMBER(G1870),'요약'!$B$19),G1870-'요약'!$B$14,"")</x:f>
      </x:c>
      <x:c r="J1870" s="7" t="str">
        <x:f>IF(AND(ISNUMBER(H1870),'요약'!$B$19),H1870-'요약'!$B$15,"")</x:f>
      </x:c>
      <x:c r="K1870" t="str">
        <x:f>IF(ISNUMBER(B1870),IF('Hill'!$B$4=1,IF(B1870&lt;0,-B1870,""),IF('Hill'!$B$4=2,IF(B1870&gt;0,B1870,""),IF('Hill'!$B$4=3,IF(B1870&lt;&gt;0,ABS(B1870),""),""))),"")</x:f>
      </x:c>
    </x:row>
    <x:row r="1871">
      <x:c r="A1871" t="n">
        <x:f>1870</x:f>
        <x:v>1870</x:v>
      </x:c>
      <x:c r="B1871" s="7" t="str">
        <x:f>IF('요약'!$B$4=4,IF(ISNUMBER('input'!A1871),'input'!A1871,""),IF(1870&lt;=1000,CHOOSE('요약'!$B$4,'input'!B1871,'input'!C1871,'input'!D1871),""))</x:f>
      </x:c>
      <x:c r="C1871" s="7" t="str">
        <x:f>IF(AND(ISNUMBER(B1871),'요약'!$B$19),B1871-'요약'!$B$7,"")</x:f>
      </x:c>
      <x:c r="D1871" s="7" t="str">
        <x:f>IF(ISNUMBER(C1871),C1871^2,"")</x:f>
      </x:c>
      <x:c r="E1871" s="15" t="str">
        <x:f>IF(ISNUMBER(C1871),C1871^3,"")</x:f>
      </x:c>
      <x:c r="F1871" s="15" t="str">
        <x:f>IF(ISNUMBER(C1871),C1871^4,"")</x:f>
      </x:c>
      <x:c r="G1871" s="7" t="str">
        <x:f>IF(ISNUMBER(B1871),ABS(B1871),"")</x:f>
      </x:c>
      <x:c r="H1871" s="7" t="str">
        <x:f>IF(ISNUMBER(B1871),B1871^2,"")</x:f>
      </x:c>
      <x:c r="I1871" s="7" t="str">
        <x:f>IF(AND(ISNUMBER(G1871),'요약'!$B$19),G1871-'요약'!$B$14,"")</x:f>
      </x:c>
      <x:c r="J1871" s="7" t="str">
        <x:f>IF(AND(ISNUMBER(H1871),'요약'!$B$19),H1871-'요약'!$B$15,"")</x:f>
      </x:c>
      <x:c r="K1871" t="str">
        <x:f>IF(ISNUMBER(B1871),IF('Hill'!$B$4=1,IF(B1871&lt;0,-B1871,""),IF('Hill'!$B$4=2,IF(B1871&gt;0,B1871,""),IF('Hill'!$B$4=3,IF(B1871&lt;&gt;0,ABS(B1871),""),""))),"")</x:f>
      </x:c>
    </x:row>
    <x:row r="1872">
      <x:c r="A1872" t="n">
        <x:f>1871</x:f>
        <x:v>1871</x:v>
      </x:c>
      <x:c r="B1872" s="7" t="str">
        <x:f>IF('요약'!$B$4=4,IF(ISNUMBER('input'!A1872),'input'!A1872,""),IF(1871&lt;=1000,CHOOSE('요약'!$B$4,'input'!B1872,'input'!C1872,'input'!D1872),""))</x:f>
      </x:c>
      <x:c r="C1872" s="7" t="str">
        <x:f>IF(AND(ISNUMBER(B1872),'요약'!$B$19),B1872-'요약'!$B$7,"")</x:f>
      </x:c>
      <x:c r="D1872" s="7" t="str">
        <x:f>IF(ISNUMBER(C1872),C1872^2,"")</x:f>
      </x:c>
      <x:c r="E1872" s="15" t="str">
        <x:f>IF(ISNUMBER(C1872),C1872^3,"")</x:f>
      </x:c>
      <x:c r="F1872" s="15" t="str">
        <x:f>IF(ISNUMBER(C1872),C1872^4,"")</x:f>
      </x:c>
      <x:c r="G1872" s="7" t="str">
        <x:f>IF(ISNUMBER(B1872),ABS(B1872),"")</x:f>
      </x:c>
      <x:c r="H1872" s="7" t="str">
        <x:f>IF(ISNUMBER(B1872),B1872^2,"")</x:f>
      </x:c>
      <x:c r="I1872" s="7" t="str">
        <x:f>IF(AND(ISNUMBER(G1872),'요약'!$B$19),G1872-'요약'!$B$14,"")</x:f>
      </x:c>
      <x:c r="J1872" s="7" t="str">
        <x:f>IF(AND(ISNUMBER(H1872),'요약'!$B$19),H1872-'요약'!$B$15,"")</x:f>
      </x:c>
      <x:c r="K1872" t="str">
        <x:f>IF(ISNUMBER(B1872),IF('Hill'!$B$4=1,IF(B1872&lt;0,-B1872,""),IF('Hill'!$B$4=2,IF(B1872&gt;0,B1872,""),IF('Hill'!$B$4=3,IF(B1872&lt;&gt;0,ABS(B1872),""),""))),"")</x:f>
      </x:c>
    </x:row>
    <x:row r="1873">
      <x:c r="A1873" t="n">
        <x:f>1872</x:f>
        <x:v>1872</x:v>
      </x:c>
      <x:c r="B1873" s="7" t="str">
        <x:f>IF('요약'!$B$4=4,IF(ISNUMBER('input'!A1873),'input'!A1873,""),IF(1872&lt;=1000,CHOOSE('요약'!$B$4,'input'!B1873,'input'!C1873,'input'!D1873),""))</x:f>
      </x:c>
      <x:c r="C1873" s="7" t="str">
        <x:f>IF(AND(ISNUMBER(B1873),'요약'!$B$19),B1873-'요약'!$B$7,"")</x:f>
      </x:c>
      <x:c r="D1873" s="7" t="str">
        <x:f>IF(ISNUMBER(C1873),C1873^2,"")</x:f>
      </x:c>
      <x:c r="E1873" s="15" t="str">
        <x:f>IF(ISNUMBER(C1873),C1873^3,"")</x:f>
      </x:c>
      <x:c r="F1873" s="15" t="str">
        <x:f>IF(ISNUMBER(C1873),C1873^4,"")</x:f>
      </x:c>
      <x:c r="G1873" s="7" t="str">
        <x:f>IF(ISNUMBER(B1873),ABS(B1873),"")</x:f>
      </x:c>
      <x:c r="H1873" s="7" t="str">
        <x:f>IF(ISNUMBER(B1873),B1873^2,"")</x:f>
      </x:c>
      <x:c r="I1873" s="7" t="str">
        <x:f>IF(AND(ISNUMBER(G1873),'요약'!$B$19),G1873-'요약'!$B$14,"")</x:f>
      </x:c>
      <x:c r="J1873" s="7" t="str">
        <x:f>IF(AND(ISNUMBER(H1873),'요약'!$B$19),H1873-'요약'!$B$15,"")</x:f>
      </x:c>
      <x:c r="K1873" t="str">
        <x:f>IF(ISNUMBER(B1873),IF('Hill'!$B$4=1,IF(B1873&lt;0,-B1873,""),IF('Hill'!$B$4=2,IF(B1873&gt;0,B1873,""),IF('Hill'!$B$4=3,IF(B1873&lt;&gt;0,ABS(B1873),""),""))),"")</x:f>
      </x:c>
    </x:row>
    <x:row r="1874">
      <x:c r="A1874" t="n">
        <x:f>1873</x:f>
        <x:v>1873</x:v>
      </x:c>
      <x:c r="B1874" s="7" t="str">
        <x:f>IF('요약'!$B$4=4,IF(ISNUMBER('input'!A1874),'input'!A1874,""),IF(1873&lt;=1000,CHOOSE('요약'!$B$4,'input'!B1874,'input'!C1874,'input'!D1874),""))</x:f>
      </x:c>
      <x:c r="C1874" s="7" t="str">
        <x:f>IF(AND(ISNUMBER(B1874),'요약'!$B$19),B1874-'요약'!$B$7,"")</x:f>
      </x:c>
      <x:c r="D1874" s="7" t="str">
        <x:f>IF(ISNUMBER(C1874),C1874^2,"")</x:f>
      </x:c>
      <x:c r="E1874" s="15" t="str">
        <x:f>IF(ISNUMBER(C1874),C1874^3,"")</x:f>
      </x:c>
      <x:c r="F1874" s="15" t="str">
        <x:f>IF(ISNUMBER(C1874),C1874^4,"")</x:f>
      </x:c>
      <x:c r="G1874" s="7" t="str">
        <x:f>IF(ISNUMBER(B1874),ABS(B1874),"")</x:f>
      </x:c>
      <x:c r="H1874" s="7" t="str">
        <x:f>IF(ISNUMBER(B1874),B1874^2,"")</x:f>
      </x:c>
      <x:c r="I1874" s="7" t="str">
        <x:f>IF(AND(ISNUMBER(G1874),'요약'!$B$19),G1874-'요약'!$B$14,"")</x:f>
      </x:c>
      <x:c r="J1874" s="7" t="str">
        <x:f>IF(AND(ISNUMBER(H1874),'요약'!$B$19),H1874-'요약'!$B$15,"")</x:f>
      </x:c>
      <x:c r="K1874" t="str">
        <x:f>IF(ISNUMBER(B1874),IF('Hill'!$B$4=1,IF(B1874&lt;0,-B1874,""),IF('Hill'!$B$4=2,IF(B1874&gt;0,B1874,""),IF('Hill'!$B$4=3,IF(B1874&lt;&gt;0,ABS(B1874),""),""))),"")</x:f>
      </x:c>
    </x:row>
    <x:row r="1875">
      <x:c r="A1875" t="n">
        <x:f>1874</x:f>
        <x:v>1874</x:v>
      </x:c>
      <x:c r="B1875" s="7" t="str">
        <x:f>IF('요약'!$B$4=4,IF(ISNUMBER('input'!A1875),'input'!A1875,""),IF(1874&lt;=1000,CHOOSE('요약'!$B$4,'input'!B1875,'input'!C1875,'input'!D1875),""))</x:f>
      </x:c>
      <x:c r="C1875" s="7" t="str">
        <x:f>IF(AND(ISNUMBER(B1875),'요약'!$B$19),B1875-'요약'!$B$7,"")</x:f>
      </x:c>
      <x:c r="D1875" s="7" t="str">
        <x:f>IF(ISNUMBER(C1875),C1875^2,"")</x:f>
      </x:c>
      <x:c r="E1875" s="15" t="str">
        <x:f>IF(ISNUMBER(C1875),C1875^3,"")</x:f>
      </x:c>
      <x:c r="F1875" s="15" t="str">
        <x:f>IF(ISNUMBER(C1875),C1875^4,"")</x:f>
      </x:c>
      <x:c r="G1875" s="7" t="str">
        <x:f>IF(ISNUMBER(B1875),ABS(B1875),"")</x:f>
      </x:c>
      <x:c r="H1875" s="7" t="str">
        <x:f>IF(ISNUMBER(B1875),B1875^2,"")</x:f>
      </x:c>
      <x:c r="I1875" s="7" t="str">
        <x:f>IF(AND(ISNUMBER(G1875),'요약'!$B$19),G1875-'요약'!$B$14,"")</x:f>
      </x:c>
      <x:c r="J1875" s="7" t="str">
        <x:f>IF(AND(ISNUMBER(H1875),'요약'!$B$19),H1875-'요약'!$B$15,"")</x:f>
      </x:c>
      <x:c r="K1875" t="str">
        <x:f>IF(ISNUMBER(B1875),IF('Hill'!$B$4=1,IF(B1875&lt;0,-B1875,""),IF('Hill'!$B$4=2,IF(B1875&gt;0,B1875,""),IF('Hill'!$B$4=3,IF(B1875&lt;&gt;0,ABS(B1875),""),""))),"")</x:f>
      </x:c>
    </x:row>
    <x:row r="1876">
      <x:c r="A1876" t="n">
        <x:f>1875</x:f>
        <x:v>1875</x:v>
      </x:c>
      <x:c r="B1876" s="7" t="str">
        <x:f>IF('요약'!$B$4=4,IF(ISNUMBER('input'!A1876),'input'!A1876,""),IF(1875&lt;=1000,CHOOSE('요약'!$B$4,'input'!B1876,'input'!C1876,'input'!D1876),""))</x:f>
      </x:c>
      <x:c r="C1876" s="7" t="str">
        <x:f>IF(AND(ISNUMBER(B1876),'요약'!$B$19),B1876-'요약'!$B$7,"")</x:f>
      </x:c>
      <x:c r="D1876" s="7" t="str">
        <x:f>IF(ISNUMBER(C1876),C1876^2,"")</x:f>
      </x:c>
      <x:c r="E1876" s="15" t="str">
        <x:f>IF(ISNUMBER(C1876),C1876^3,"")</x:f>
      </x:c>
      <x:c r="F1876" s="15" t="str">
        <x:f>IF(ISNUMBER(C1876),C1876^4,"")</x:f>
      </x:c>
      <x:c r="G1876" s="7" t="str">
        <x:f>IF(ISNUMBER(B1876),ABS(B1876),"")</x:f>
      </x:c>
      <x:c r="H1876" s="7" t="str">
        <x:f>IF(ISNUMBER(B1876),B1876^2,"")</x:f>
      </x:c>
      <x:c r="I1876" s="7" t="str">
        <x:f>IF(AND(ISNUMBER(G1876),'요약'!$B$19),G1876-'요약'!$B$14,"")</x:f>
      </x:c>
      <x:c r="J1876" s="7" t="str">
        <x:f>IF(AND(ISNUMBER(H1876),'요약'!$B$19),H1876-'요약'!$B$15,"")</x:f>
      </x:c>
      <x:c r="K1876" t="str">
        <x:f>IF(ISNUMBER(B1876),IF('Hill'!$B$4=1,IF(B1876&lt;0,-B1876,""),IF('Hill'!$B$4=2,IF(B1876&gt;0,B1876,""),IF('Hill'!$B$4=3,IF(B1876&lt;&gt;0,ABS(B1876),""),""))),"")</x:f>
      </x:c>
    </x:row>
    <x:row r="1877">
      <x:c r="A1877" t="n">
        <x:f>1876</x:f>
        <x:v>1876</x:v>
      </x:c>
      <x:c r="B1877" s="7" t="str">
        <x:f>IF('요약'!$B$4=4,IF(ISNUMBER('input'!A1877),'input'!A1877,""),IF(1876&lt;=1000,CHOOSE('요약'!$B$4,'input'!B1877,'input'!C1877,'input'!D1877),""))</x:f>
      </x:c>
      <x:c r="C1877" s="7" t="str">
        <x:f>IF(AND(ISNUMBER(B1877),'요약'!$B$19),B1877-'요약'!$B$7,"")</x:f>
      </x:c>
      <x:c r="D1877" s="7" t="str">
        <x:f>IF(ISNUMBER(C1877),C1877^2,"")</x:f>
      </x:c>
      <x:c r="E1877" s="15" t="str">
        <x:f>IF(ISNUMBER(C1877),C1877^3,"")</x:f>
      </x:c>
      <x:c r="F1877" s="15" t="str">
        <x:f>IF(ISNUMBER(C1877),C1877^4,"")</x:f>
      </x:c>
      <x:c r="G1877" s="7" t="str">
        <x:f>IF(ISNUMBER(B1877),ABS(B1877),"")</x:f>
      </x:c>
      <x:c r="H1877" s="7" t="str">
        <x:f>IF(ISNUMBER(B1877),B1877^2,"")</x:f>
      </x:c>
      <x:c r="I1877" s="7" t="str">
        <x:f>IF(AND(ISNUMBER(G1877),'요약'!$B$19),G1877-'요약'!$B$14,"")</x:f>
      </x:c>
      <x:c r="J1877" s="7" t="str">
        <x:f>IF(AND(ISNUMBER(H1877),'요약'!$B$19),H1877-'요약'!$B$15,"")</x:f>
      </x:c>
      <x:c r="K1877" t="str">
        <x:f>IF(ISNUMBER(B1877),IF('Hill'!$B$4=1,IF(B1877&lt;0,-B1877,""),IF('Hill'!$B$4=2,IF(B1877&gt;0,B1877,""),IF('Hill'!$B$4=3,IF(B1877&lt;&gt;0,ABS(B1877),""),""))),"")</x:f>
      </x:c>
    </x:row>
    <x:row r="1878">
      <x:c r="A1878" t="n">
        <x:f>1877</x:f>
        <x:v>1877</x:v>
      </x:c>
      <x:c r="B1878" s="7" t="str">
        <x:f>IF('요약'!$B$4=4,IF(ISNUMBER('input'!A1878),'input'!A1878,""),IF(1877&lt;=1000,CHOOSE('요약'!$B$4,'input'!B1878,'input'!C1878,'input'!D1878),""))</x:f>
      </x:c>
      <x:c r="C1878" s="7" t="str">
        <x:f>IF(AND(ISNUMBER(B1878),'요약'!$B$19),B1878-'요약'!$B$7,"")</x:f>
      </x:c>
      <x:c r="D1878" s="7" t="str">
        <x:f>IF(ISNUMBER(C1878),C1878^2,"")</x:f>
      </x:c>
      <x:c r="E1878" s="15" t="str">
        <x:f>IF(ISNUMBER(C1878),C1878^3,"")</x:f>
      </x:c>
      <x:c r="F1878" s="15" t="str">
        <x:f>IF(ISNUMBER(C1878),C1878^4,"")</x:f>
      </x:c>
      <x:c r="G1878" s="7" t="str">
        <x:f>IF(ISNUMBER(B1878),ABS(B1878),"")</x:f>
      </x:c>
      <x:c r="H1878" s="7" t="str">
        <x:f>IF(ISNUMBER(B1878),B1878^2,"")</x:f>
      </x:c>
      <x:c r="I1878" s="7" t="str">
        <x:f>IF(AND(ISNUMBER(G1878),'요약'!$B$19),G1878-'요약'!$B$14,"")</x:f>
      </x:c>
      <x:c r="J1878" s="7" t="str">
        <x:f>IF(AND(ISNUMBER(H1878),'요약'!$B$19),H1878-'요약'!$B$15,"")</x:f>
      </x:c>
      <x:c r="K1878" t="str">
        <x:f>IF(ISNUMBER(B1878),IF('Hill'!$B$4=1,IF(B1878&lt;0,-B1878,""),IF('Hill'!$B$4=2,IF(B1878&gt;0,B1878,""),IF('Hill'!$B$4=3,IF(B1878&lt;&gt;0,ABS(B1878),""),""))),"")</x:f>
      </x:c>
    </x:row>
    <x:row r="1879">
      <x:c r="A1879" t="n">
        <x:f>1878</x:f>
        <x:v>1878</x:v>
      </x:c>
      <x:c r="B1879" s="7" t="str">
        <x:f>IF('요약'!$B$4=4,IF(ISNUMBER('input'!A1879),'input'!A1879,""),IF(1878&lt;=1000,CHOOSE('요약'!$B$4,'input'!B1879,'input'!C1879,'input'!D1879),""))</x:f>
      </x:c>
      <x:c r="C1879" s="7" t="str">
        <x:f>IF(AND(ISNUMBER(B1879),'요약'!$B$19),B1879-'요약'!$B$7,"")</x:f>
      </x:c>
      <x:c r="D1879" s="7" t="str">
        <x:f>IF(ISNUMBER(C1879),C1879^2,"")</x:f>
      </x:c>
      <x:c r="E1879" s="15" t="str">
        <x:f>IF(ISNUMBER(C1879),C1879^3,"")</x:f>
      </x:c>
      <x:c r="F1879" s="15" t="str">
        <x:f>IF(ISNUMBER(C1879),C1879^4,"")</x:f>
      </x:c>
      <x:c r="G1879" s="7" t="str">
        <x:f>IF(ISNUMBER(B1879),ABS(B1879),"")</x:f>
      </x:c>
      <x:c r="H1879" s="7" t="str">
        <x:f>IF(ISNUMBER(B1879),B1879^2,"")</x:f>
      </x:c>
      <x:c r="I1879" s="7" t="str">
        <x:f>IF(AND(ISNUMBER(G1879),'요약'!$B$19),G1879-'요약'!$B$14,"")</x:f>
      </x:c>
      <x:c r="J1879" s="7" t="str">
        <x:f>IF(AND(ISNUMBER(H1879),'요약'!$B$19),H1879-'요약'!$B$15,"")</x:f>
      </x:c>
      <x:c r="K1879" t="str">
        <x:f>IF(ISNUMBER(B1879),IF('Hill'!$B$4=1,IF(B1879&lt;0,-B1879,""),IF('Hill'!$B$4=2,IF(B1879&gt;0,B1879,""),IF('Hill'!$B$4=3,IF(B1879&lt;&gt;0,ABS(B1879),""),""))),"")</x:f>
      </x:c>
    </x:row>
    <x:row r="1880">
      <x:c r="A1880" t="n">
        <x:f>1879</x:f>
        <x:v>1879</x:v>
      </x:c>
      <x:c r="B1880" s="7" t="str">
        <x:f>IF('요약'!$B$4=4,IF(ISNUMBER('input'!A1880),'input'!A1880,""),IF(1879&lt;=1000,CHOOSE('요약'!$B$4,'input'!B1880,'input'!C1880,'input'!D1880),""))</x:f>
      </x:c>
      <x:c r="C1880" s="7" t="str">
        <x:f>IF(AND(ISNUMBER(B1880),'요약'!$B$19),B1880-'요약'!$B$7,"")</x:f>
      </x:c>
      <x:c r="D1880" s="7" t="str">
        <x:f>IF(ISNUMBER(C1880),C1880^2,"")</x:f>
      </x:c>
      <x:c r="E1880" s="15" t="str">
        <x:f>IF(ISNUMBER(C1880),C1880^3,"")</x:f>
      </x:c>
      <x:c r="F1880" s="15" t="str">
        <x:f>IF(ISNUMBER(C1880),C1880^4,"")</x:f>
      </x:c>
      <x:c r="G1880" s="7" t="str">
        <x:f>IF(ISNUMBER(B1880),ABS(B1880),"")</x:f>
      </x:c>
      <x:c r="H1880" s="7" t="str">
        <x:f>IF(ISNUMBER(B1880),B1880^2,"")</x:f>
      </x:c>
      <x:c r="I1880" s="7" t="str">
        <x:f>IF(AND(ISNUMBER(G1880),'요약'!$B$19),G1880-'요약'!$B$14,"")</x:f>
      </x:c>
      <x:c r="J1880" s="7" t="str">
        <x:f>IF(AND(ISNUMBER(H1880),'요약'!$B$19),H1880-'요약'!$B$15,"")</x:f>
      </x:c>
      <x:c r="K1880" t="str">
        <x:f>IF(ISNUMBER(B1880),IF('Hill'!$B$4=1,IF(B1880&lt;0,-B1880,""),IF('Hill'!$B$4=2,IF(B1880&gt;0,B1880,""),IF('Hill'!$B$4=3,IF(B1880&lt;&gt;0,ABS(B1880),""),""))),"")</x:f>
      </x:c>
    </x:row>
    <x:row r="1881">
      <x:c r="A1881" t="n">
        <x:f>1880</x:f>
        <x:v>1880</x:v>
      </x:c>
      <x:c r="B1881" s="7" t="str">
        <x:f>IF('요약'!$B$4=4,IF(ISNUMBER('input'!A1881),'input'!A1881,""),IF(1880&lt;=1000,CHOOSE('요약'!$B$4,'input'!B1881,'input'!C1881,'input'!D1881),""))</x:f>
      </x:c>
      <x:c r="C1881" s="7" t="str">
        <x:f>IF(AND(ISNUMBER(B1881),'요약'!$B$19),B1881-'요약'!$B$7,"")</x:f>
      </x:c>
      <x:c r="D1881" s="7" t="str">
        <x:f>IF(ISNUMBER(C1881),C1881^2,"")</x:f>
      </x:c>
      <x:c r="E1881" s="15" t="str">
        <x:f>IF(ISNUMBER(C1881),C1881^3,"")</x:f>
      </x:c>
      <x:c r="F1881" s="15" t="str">
        <x:f>IF(ISNUMBER(C1881),C1881^4,"")</x:f>
      </x:c>
      <x:c r="G1881" s="7" t="str">
        <x:f>IF(ISNUMBER(B1881),ABS(B1881),"")</x:f>
      </x:c>
      <x:c r="H1881" s="7" t="str">
        <x:f>IF(ISNUMBER(B1881),B1881^2,"")</x:f>
      </x:c>
      <x:c r="I1881" s="7" t="str">
        <x:f>IF(AND(ISNUMBER(G1881),'요약'!$B$19),G1881-'요약'!$B$14,"")</x:f>
      </x:c>
      <x:c r="J1881" s="7" t="str">
        <x:f>IF(AND(ISNUMBER(H1881),'요약'!$B$19),H1881-'요약'!$B$15,"")</x:f>
      </x:c>
      <x:c r="K1881" t="str">
        <x:f>IF(ISNUMBER(B1881),IF('Hill'!$B$4=1,IF(B1881&lt;0,-B1881,""),IF('Hill'!$B$4=2,IF(B1881&gt;0,B1881,""),IF('Hill'!$B$4=3,IF(B1881&lt;&gt;0,ABS(B1881),""),""))),"")</x:f>
      </x:c>
    </x:row>
    <x:row r="1882">
      <x:c r="A1882" t="n">
        <x:f>1881</x:f>
        <x:v>1881</x:v>
      </x:c>
      <x:c r="B1882" s="7" t="str">
        <x:f>IF('요약'!$B$4=4,IF(ISNUMBER('input'!A1882),'input'!A1882,""),IF(1881&lt;=1000,CHOOSE('요약'!$B$4,'input'!B1882,'input'!C1882,'input'!D1882),""))</x:f>
      </x:c>
      <x:c r="C1882" s="7" t="str">
        <x:f>IF(AND(ISNUMBER(B1882),'요약'!$B$19),B1882-'요약'!$B$7,"")</x:f>
      </x:c>
      <x:c r="D1882" s="7" t="str">
        <x:f>IF(ISNUMBER(C1882),C1882^2,"")</x:f>
      </x:c>
      <x:c r="E1882" s="15" t="str">
        <x:f>IF(ISNUMBER(C1882),C1882^3,"")</x:f>
      </x:c>
      <x:c r="F1882" s="15" t="str">
        <x:f>IF(ISNUMBER(C1882),C1882^4,"")</x:f>
      </x:c>
      <x:c r="G1882" s="7" t="str">
        <x:f>IF(ISNUMBER(B1882),ABS(B1882),"")</x:f>
      </x:c>
      <x:c r="H1882" s="7" t="str">
        <x:f>IF(ISNUMBER(B1882),B1882^2,"")</x:f>
      </x:c>
      <x:c r="I1882" s="7" t="str">
        <x:f>IF(AND(ISNUMBER(G1882),'요약'!$B$19),G1882-'요약'!$B$14,"")</x:f>
      </x:c>
      <x:c r="J1882" s="7" t="str">
        <x:f>IF(AND(ISNUMBER(H1882),'요약'!$B$19),H1882-'요약'!$B$15,"")</x:f>
      </x:c>
      <x:c r="K1882" t="str">
        <x:f>IF(ISNUMBER(B1882),IF('Hill'!$B$4=1,IF(B1882&lt;0,-B1882,""),IF('Hill'!$B$4=2,IF(B1882&gt;0,B1882,""),IF('Hill'!$B$4=3,IF(B1882&lt;&gt;0,ABS(B1882),""),""))),"")</x:f>
      </x:c>
    </x:row>
    <x:row r="1883">
      <x:c r="A1883" t="n">
        <x:f>1882</x:f>
        <x:v>1882</x:v>
      </x:c>
      <x:c r="B1883" s="7" t="str">
        <x:f>IF('요약'!$B$4=4,IF(ISNUMBER('input'!A1883),'input'!A1883,""),IF(1882&lt;=1000,CHOOSE('요약'!$B$4,'input'!B1883,'input'!C1883,'input'!D1883),""))</x:f>
      </x:c>
      <x:c r="C1883" s="7" t="str">
        <x:f>IF(AND(ISNUMBER(B1883),'요약'!$B$19),B1883-'요약'!$B$7,"")</x:f>
      </x:c>
      <x:c r="D1883" s="7" t="str">
        <x:f>IF(ISNUMBER(C1883),C1883^2,"")</x:f>
      </x:c>
      <x:c r="E1883" s="15" t="str">
        <x:f>IF(ISNUMBER(C1883),C1883^3,"")</x:f>
      </x:c>
      <x:c r="F1883" s="15" t="str">
        <x:f>IF(ISNUMBER(C1883),C1883^4,"")</x:f>
      </x:c>
      <x:c r="G1883" s="7" t="str">
        <x:f>IF(ISNUMBER(B1883),ABS(B1883),"")</x:f>
      </x:c>
      <x:c r="H1883" s="7" t="str">
        <x:f>IF(ISNUMBER(B1883),B1883^2,"")</x:f>
      </x:c>
      <x:c r="I1883" s="7" t="str">
        <x:f>IF(AND(ISNUMBER(G1883),'요약'!$B$19),G1883-'요약'!$B$14,"")</x:f>
      </x:c>
      <x:c r="J1883" s="7" t="str">
        <x:f>IF(AND(ISNUMBER(H1883),'요약'!$B$19),H1883-'요약'!$B$15,"")</x:f>
      </x:c>
      <x:c r="K1883" t="str">
        <x:f>IF(ISNUMBER(B1883),IF('Hill'!$B$4=1,IF(B1883&lt;0,-B1883,""),IF('Hill'!$B$4=2,IF(B1883&gt;0,B1883,""),IF('Hill'!$B$4=3,IF(B1883&lt;&gt;0,ABS(B1883),""),""))),"")</x:f>
      </x:c>
    </x:row>
    <x:row r="1884">
      <x:c r="A1884" t="n">
        <x:f>1883</x:f>
        <x:v>1883</x:v>
      </x:c>
      <x:c r="B1884" s="7" t="str">
        <x:f>IF('요약'!$B$4=4,IF(ISNUMBER('input'!A1884),'input'!A1884,""),IF(1883&lt;=1000,CHOOSE('요약'!$B$4,'input'!B1884,'input'!C1884,'input'!D1884),""))</x:f>
      </x:c>
      <x:c r="C1884" s="7" t="str">
        <x:f>IF(AND(ISNUMBER(B1884),'요약'!$B$19),B1884-'요약'!$B$7,"")</x:f>
      </x:c>
      <x:c r="D1884" s="7" t="str">
        <x:f>IF(ISNUMBER(C1884),C1884^2,"")</x:f>
      </x:c>
      <x:c r="E1884" s="15" t="str">
        <x:f>IF(ISNUMBER(C1884),C1884^3,"")</x:f>
      </x:c>
      <x:c r="F1884" s="15" t="str">
        <x:f>IF(ISNUMBER(C1884),C1884^4,"")</x:f>
      </x:c>
      <x:c r="G1884" s="7" t="str">
        <x:f>IF(ISNUMBER(B1884),ABS(B1884),"")</x:f>
      </x:c>
      <x:c r="H1884" s="7" t="str">
        <x:f>IF(ISNUMBER(B1884),B1884^2,"")</x:f>
      </x:c>
      <x:c r="I1884" s="7" t="str">
        <x:f>IF(AND(ISNUMBER(G1884),'요약'!$B$19),G1884-'요약'!$B$14,"")</x:f>
      </x:c>
      <x:c r="J1884" s="7" t="str">
        <x:f>IF(AND(ISNUMBER(H1884),'요약'!$B$19),H1884-'요약'!$B$15,"")</x:f>
      </x:c>
      <x:c r="K1884" t="str">
        <x:f>IF(ISNUMBER(B1884),IF('Hill'!$B$4=1,IF(B1884&lt;0,-B1884,""),IF('Hill'!$B$4=2,IF(B1884&gt;0,B1884,""),IF('Hill'!$B$4=3,IF(B1884&lt;&gt;0,ABS(B1884),""),""))),"")</x:f>
      </x:c>
    </x:row>
    <x:row r="1885">
      <x:c r="A1885" t="n">
        <x:f>1884</x:f>
        <x:v>1884</x:v>
      </x:c>
      <x:c r="B1885" s="7" t="str">
        <x:f>IF('요약'!$B$4=4,IF(ISNUMBER('input'!A1885),'input'!A1885,""),IF(1884&lt;=1000,CHOOSE('요약'!$B$4,'input'!B1885,'input'!C1885,'input'!D1885),""))</x:f>
      </x:c>
      <x:c r="C1885" s="7" t="str">
        <x:f>IF(AND(ISNUMBER(B1885),'요약'!$B$19),B1885-'요약'!$B$7,"")</x:f>
      </x:c>
      <x:c r="D1885" s="7" t="str">
        <x:f>IF(ISNUMBER(C1885),C1885^2,"")</x:f>
      </x:c>
      <x:c r="E1885" s="15" t="str">
        <x:f>IF(ISNUMBER(C1885),C1885^3,"")</x:f>
      </x:c>
      <x:c r="F1885" s="15" t="str">
        <x:f>IF(ISNUMBER(C1885),C1885^4,"")</x:f>
      </x:c>
      <x:c r="G1885" s="7" t="str">
        <x:f>IF(ISNUMBER(B1885),ABS(B1885),"")</x:f>
      </x:c>
      <x:c r="H1885" s="7" t="str">
        <x:f>IF(ISNUMBER(B1885),B1885^2,"")</x:f>
      </x:c>
      <x:c r="I1885" s="7" t="str">
        <x:f>IF(AND(ISNUMBER(G1885),'요약'!$B$19),G1885-'요약'!$B$14,"")</x:f>
      </x:c>
      <x:c r="J1885" s="7" t="str">
        <x:f>IF(AND(ISNUMBER(H1885),'요약'!$B$19),H1885-'요약'!$B$15,"")</x:f>
      </x:c>
      <x:c r="K1885" t="str">
        <x:f>IF(ISNUMBER(B1885),IF('Hill'!$B$4=1,IF(B1885&lt;0,-B1885,""),IF('Hill'!$B$4=2,IF(B1885&gt;0,B1885,""),IF('Hill'!$B$4=3,IF(B1885&lt;&gt;0,ABS(B1885),""),""))),"")</x:f>
      </x:c>
    </x:row>
    <x:row r="1886">
      <x:c r="A1886" t="n">
        <x:f>1885</x:f>
        <x:v>1885</x:v>
      </x:c>
      <x:c r="B1886" s="7" t="str">
        <x:f>IF('요약'!$B$4=4,IF(ISNUMBER('input'!A1886),'input'!A1886,""),IF(1885&lt;=1000,CHOOSE('요약'!$B$4,'input'!B1886,'input'!C1886,'input'!D1886),""))</x:f>
      </x:c>
      <x:c r="C1886" s="7" t="str">
        <x:f>IF(AND(ISNUMBER(B1886),'요약'!$B$19),B1886-'요약'!$B$7,"")</x:f>
      </x:c>
      <x:c r="D1886" s="7" t="str">
        <x:f>IF(ISNUMBER(C1886),C1886^2,"")</x:f>
      </x:c>
      <x:c r="E1886" s="15" t="str">
        <x:f>IF(ISNUMBER(C1886),C1886^3,"")</x:f>
      </x:c>
      <x:c r="F1886" s="15" t="str">
        <x:f>IF(ISNUMBER(C1886),C1886^4,"")</x:f>
      </x:c>
      <x:c r="G1886" s="7" t="str">
        <x:f>IF(ISNUMBER(B1886),ABS(B1886),"")</x:f>
      </x:c>
      <x:c r="H1886" s="7" t="str">
        <x:f>IF(ISNUMBER(B1886),B1886^2,"")</x:f>
      </x:c>
      <x:c r="I1886" s="7" t="str">
        <x:f>IF(AND(ISNUMBER(G1886),'요약'!$B$19),G1886-'요약'!$B$14,"")</x:f>
      </x:c>
      <x:c r="J1886" s="7" t="str">
        <x:f>IF(AND(ISNUMBER(H1886),'요약'!$B$19),H1886-'요약'!$B$15,"")</x:f>
      </x:c>
      <x:c r="K1886" t="str">
        <x:f>IF(ISNUMBER(B1886),IF('Hill'!$B$4=1,IF(B1886&lt;0,-B1886,""),IF('Hill'!$B$4=2,IF(B1886&gt;0,B1886,""),IF('Hill'!$B$4=3,IF(B1886&lt;&gt;0,ABS(B1886),""),""))),"")</x:f>
      </x:c>
    </x:row>
    <x:row r="1887">
      <x:c r="A1887" t="n">
        <x:f>1886</x:f>
        <x:v>1886</x:v>
      </x:c>
      <x:c r="B1887" s="7" t="str">
        <x:f>IF('요약'!$B$4=4,IF(ISNUMBER('input'!A1887),'input'!A1887,""),IF(1886&lt;=1000,CHOOSE('요약'!$B$4,'input'!B1887,'input'!C1887,'input'!D1887),""))</x:f>
      </x:c>
      <x:c r="C1887" s="7" t="str">
        <x:f>IF(AND(ISNUMBER(B1887),'요약'!$B$19),B1887-'요약'!$B$7,"")</x:f>
      </x:c>
      <x:c r="D1887" s="7" t="str">
        <x:f>IF(ISNUMBER(C1887),C1887^2,"")</x:f>
      </x:c>
      <x:c r="E1887" s="15" t="str">
        <x:f>IF(ISNUMBER(C1887),C1887^3,"")</x:f>
      </x:c>
      <x:c r="F1887" s="15" t="str">
        <x:f>IF(ISNUMBER(C1887),C1887^4,"")</x:f>
      </x:c>
      <x:c r="G1887" s="7" t="str">
        <x:f>IF(ISNUMBER(B1887),ABS(B1887),"")</x:f>
      </x:c>
      <x:c r="H1887" s="7" t="str">
        <x:f>IF(ISNUMBER(B1887),B1887^2,"")</x:f>
      </x:c>
      <x:c r="I1887" s="7" t="str">
        <x:f>IF(AND(ISNUMBER(G1887),'요약'!$B$19),G1887-'요약'!$B$14,"")</x:f>
      </x:c>
      <x:c r="J1887" s="7" t="str">
        <x:f>IF(AND(ISNUMBER(H1887),'요약'!$B$19),H1887-'요약'!$B$15,"")</x:f>
      </x:c>
      <x:c r="K1887" t="str">
        <x:f>IF(ISNUMBER(B1887),IF('Hill'!$B$4=1,IF(B1887&lt;0,-B1887,""),IF('Hill'!$B$4=2,IF(B1887&gt;0,B1887,""),IF('Hill'!$B$4=3,IF(B1887&lt;&gt;0,ABS(B1887),""),""))),"")</x:f>
      </x:c>
    </x:row>
    <x:row r="1888">
      <x:c r="A1888" t="n">
        <x:f>1887</x:f>
        <x:v>1887</x:v>
      </x:c>
      <x:c r="B1888" s="7" t="str">
        <x:f>IF('요약'!$B$4=4,IF(ISNUMBER('input'!A1888),'input'!A1888,""),IF(1887&lt;=1000,CHOOSE('요약'!$B$4,'input'!B1888,'input'!C1888,'input'!D1888),""))</x:f>
      </x:c>
      <x:c r="C1888" s="7" t="str">
        <x:f>IF(AND(ISNUMBER(B1888),'요약'!$B$19),B1888-'요약'!$B$7,"")</x:f>
      </x:c>
      <x:c r="D1888" s="7" t="str">
        <x:f>IF(ISNUMBER(C1888),C1888^2,"")</x:f>
      </x:c>
      <x:c r="E1888" s="15" t="str">
        <x:f>IF(ISNUMBER(C1888),C1888^3,"")</x:f>
      </x:c>
      <x:c r="F1888" s="15" t="str">
        <x:f>IF(ISNUMBER(C1888),C1888^4,"")</x:f>
      </x:c>
      <x:c r="G1888" s="7" t="str">
        <x:f>IF(ISNUMBER(B1888),ABS(B1888),"")</x:f>
      </x:c>
      <x:c r="H1888" s="7" t="str">
        <x:f>IF(ISNUMBER(B1888),B1888^2,"")</x:f>
      </x:c>
      <x:c r="I1888" s="7" t="str">
        <x:f>IF(AND(ISNUMBER(G1888),'요약'!$B$19),G1888-'요약'!$B$14,"")</x:f>
      </x:c>
      <x:c r="J1888" s="7" t="str">
        <x:f>IF(AND(ISNUMBER(H1888),'요약'!$B$19),H1888-'요약'!$B$15,"")</x:f>
      </x:c>
      <x:c r="K1888" t="str">
        <x:f>IF(ISNUMBER(B1888),IF('Hill'!$B$4=1,IF(B1888&lt;0,-B1888,""),IF('Hill'!$B$4=2,IF(B1888&gt;0,B1888,""),IF('Hill'!$B$4=3,IF(B1888&lt;&gt;0,ABS(B1888),""),""))),"")</x:f>
      </x:c>
    </x:row>
    <x:row r="1889">
      <x:c r="A1889" t="n">
        <x:f>1888</x:f>
        <x:v>1888</x:v>
      </x:c>
      <x:c r="B1889" s="7" t="str">
        <x:f>IF('요약'!$B$4=4,IF(ISNUMBER('input'!A1889),'input'!A1889,""),IF(1888&lt;=1000,CHOOSE('요약'!$B$4,'input'!B1889,'input'!C1889,'input'!D1889),""))</x:f>
      </x:c>
      <x:c r="C1889" s="7" t="str">
        <x:f>IF(AND(ISNUMBER(B1889),'요약'!$B$19),B1889-'요약'!$B$7,"")</x:f>
      </x:c>
      <x:c r="D1889" s="7" t="str">
        <x:f>IF(ISNUMBER(C1889),C1889^2,"")</x:f>
      </x:c>
      <x:c r="E1889" s="15" t="str">
        <x:f>IF(ISNUMBER(C1889),C1889^3,"")</x:f>
      </x:c>
      <x:c r="F1889" s="15" t="str">
        <x:f>IF(ISNUMBER(C1889),C1889^4,"")</x:f>
      </x:c>
      <x:c r="G1889" s="7" t="str">
        <x:f>IF(ISNUMBER(B1889),ABS(B1889),"")</x:f>
      </x:c>
      <x:c r="H1889" s="7" t="str">
        <x:f>IF(ISNUMBER(B1889),B1889^2,"")</x:f>
      </x:c>
      <x:c r="I1889" s="7" t="str">
        <x:f>IF(AND(ISNUMBER(G1889),'요약'!$B$19),G1889-'요약'!$B$14,"")</x:f>
      </x:c>
      <x:c r="J1889" s="7" t="str">
        <x:f>IF(AND(ISNUMBER(H1889),'요약'!$B$19),H1889-'요약'!$B$15,"")</x:f>
      </x:c>
      <x:c r="K1889" t="str">
        <x:f>IF(ISNUMBER(B1889),IF('Hill'!$B$4=1,IF(B1889&lt;0,-B1889,""),IF('Hill'!$B$4=2,IF(B1889&gt;0,B1889,""),IF('Hill'!$B$4=3,IF(B1889&lt;&gt;0,ABS(B1889),""),""))),"")</x:f>
      </x:c>
    </x:row>
    <x:row r="1890">
      <x:c r="A1890" t="n">
        <x:f>1889</x:f>
        <x:v>1889</x:v>
      </x:c>
      <x:c r="B1890" s="7" t="str">
        <x:f>IF('요약'!$B$4=4,IF(ISNUMBER('input'!A1890),'input'!A1890,""),IF(1889&lt;=1000,CHOOSE('요약'!$B$4,'input'!B1890,'input'!C1890,'input'!D1890),""))</x:f>
      </x:c>
      <x:c r="C1890" s="7" t="str">
        <x:f>IF(AND(ISNUMBER(B1890),'요약'!$B$19),B1890-'요약'!$B$7,"")</x:f>
      </x:c>
      <x:c r="D1890" s="7" t="str">
        <x:f>IF(ISNUMBER(C1890),C1890^2,"")</x:f>
      </x:c>
      <x:c r="E1890" s="15" t="str">
        <x:f>IF(ISNUMBER(C1890),C1890^3,"")</x:f>
      </x:c>
      <x:c r="F1890" s="15" t="str">
        <x:f>IF(ISNUMBER(C1890),C1890^4,"")</x:f>
      </x:c>
      <x:c r="G1890" s="7" t="str">
        <x:f>IF(ISNUMBER(B1890),ABS(B1890),"")</x:f>
      </x:c>
      <x:c r="H1890" s="7" t="str">
        <x:f>IF(ISNUMBER(B1890),B1890^2,"")</x:f>
      </x:c>
      <x:c r="I1890" s="7" t="str">
        <x:f>IF(AND(ISNUMBER(G1890),'요약'!$B$19),G1890-'요약'!$B$14,"")</x:f>
      </x:c>
      <x:c r="J1890" s="7" t="str">
        <x:f>IF(AND(ISNUMBER(H1890),'요약'!$B$19),H1890-'요약'!$B$15,"")</x:f>
      </x:c>
      <x:c r="K1890" t="str">
        <x:f>IF(ISNUMBER(B1890),IF('Hill'!$B$4=1,IF(B1890&lt;0,-B1890,""),IF('Hill'!$B$4=2,IF(B1890&gt;0,B1890,""),IF('Hill'!$B$4=3,IF(B1890&lt;&gt;0,ABS(B1890),""),""))),"")</x:f>
      </x:c>
    </x:row>
    <x:row r="1891">
      <x:c r="A1891" t="n">
        <x:f>1890</x:f>
        <x:v>1890</x:v>
      </x:c>
      <x:c r="B1891" s="7" t="str">
        <x:f>IF('요약'!$B$4=4,IF(ISNUMBER('input'!A1891),'input'!A1891,""),IF(1890&lt;=1000,CHOOSE('요약'!$B$4,'input'!B1891,'input'!C1891,'input'!D1891),""))</x:f>
      </x:c>
      <x:c r="C1891" s="7" t="str">
        <x:f>IF(AND(ISNUMBER(B1891),'요약'!$B$19),B1891-'요약'!$B$7,"")</x:f>
      </x:c>
      <x:c r="D1891" s="7" t="str">
        <x:f>IF(ISNUMBER(C1891),C1891^2,"")</x:f>
      </x:c>
      <x:c r="E1891" s="15" t="str">
        <x:f>IF(ISNUMBER(C1891),C1891^3,"")</x:f>
      </x:c>
      <x:c r="F1891" s="15" t="str">
        <x:f>IF(ISNUMBER(C1891),C1891^4,"")</x:f>
      </x:c>
      <x:c r="G1891" s="7" t="str">
        <x:f>IF(ISNUMBER(B1891),ABS(B1891),"")</x:f>
      </x:c>
      <x:c r="H1891" s="7" t="str">
        <x:f>IF(ISNUMBER(B1891),B1891^2,"")</x:f>
      </x:c>
      <x:c r="I1891" s="7" t="str">
        <x:f>IF(AND(ISNUMBER(G1891),'요약'!$B$19),G1891-'요약'!$B$14,"")</x:f>
      </x:c>
      <x:c r="J1891" s="7" t="str">
        <x:f>IF(AND(ISNUMBER(H1891),'요약'!$B$19),H1891-'요약'!$B$15,"")</x:f>
      </x:c>
      <x:c r="K1891" t="str">
        <x:f>IF(ISNUMBER(B1891),IF('Hill'!$B$4=1,IF(B1891&lt;0,-B1891,""),IF('Hill'!$B$4=2,IF(B1891&gt;0,B1891,""),IF('Hill'!$B$4=3,IF(B1891&lt;&gt;0,ABS(B1891),""),""))),"")</x:f>
      </x:c>
    </x:row>
    <x:row r="1892">
      <x:c r="A1892" t="n">
        <x:f>1891</x:f>
        <x:v>1891</x:v>
      </x:c>
      <x:c r="B1892" s="7" t="str">
        <x:f>IF('요약'!$B$4=4,IF(ISNUMBER('input'!A1892),'input'!A1892,""),IF(1891&lt;=1000,CHOOSE('요약'!$B$4,'input'!B1892,'input'!C1892,'input'!D1892),""))</x:f>
      </x:c>
      <x:c r="C1892" s="7" t="str">
        <x:f>IF(AND(ISNUMBER(B1892),'요약'!$B$19),B1892-'요약'!$B$7,"")</x:f>
      </x:c>
      <x:c r="D1892" s="7" t="str">
        <x:f>IF(ISNUMBER(C1892),C1892^2,"")</x:f>
      </x:c>
      <x:c r="E1892" s="15" t="str">
        <x:f>IF(ISNUMBER(C1892),C1892^3,"")</x:f>
      </x:c>
      <x:c r="F1892" s="15" t="str">
        <x:f>IF(ISNUMBER(C1892),C1892^4,"")</x:f>
      </x:c>
      <x:c r="G1892" s="7" t="str">
        <x:f>IF(ISNUMBER(B1892),ABS(B1892),"")</x:f>
      </x:c>
      <x:c r="H1892" s="7" t="str">
        <x:f>IF(ISNUMBER(B1892),B1892^2,"")</x:f>
      </x:c>
      <x:c r="I1892" s="7" t="str">
        <x:f>IF(AND(ISNUMBER(G1892),'요약'!$B$19),G1892-'요약'!$B$14,"")</x:f>
      </x:c>
      <x:c r="J1892" s="7" t="str">
        <x:f>IF(AND(ISNUMBER(H1892),'요약'!$B$19),H1892-'요약'!$B$15,"")</x:f>
      </x:c>
      <x:c r="K1892" t="str">
        <x:f>IF(ISNUMBER(B1892),IF('Hill'!$B$4=1,IF(B1892&lt;0,-B1892,""),IF('Hill'!$B$4=2,IF(B1892&gt;0,B1892,""),IF('Hill'!$B$4=3,IF(B1892&lt;&gt;0,ABS(B1892),""),""))),"")</x:f>
      </x:c>
    </x:row>
    <x:row r="1893">
      <x:c r="A1893" t="n">
        <x:f>1892</x:f>
        <x:v>1892</x:v>
      </x:c>
      <x:c r="B1893" s="7" t="str">
        <x:f>IF('요약'!$B$4=4,IF(ISNUMBER('input'!A1893),'input'!A1893,""),IF(1892&lt;=1000,CHOOSE('요약'!$B$4,'input'!B1893,'input'!C1893,'input'!D1893),""))</x:f>
      </x:c>
      <x:c r="C1893" s="7" t="str">
        <x:f>IF(AND(ISNUMBER(B1893),'요약'!$B$19),B1893-'요약'!$B$7,"")</x:f>
      </x:c>
      <x:c r="D1893" s="7" t="str">
        <x:f>IF(ISNUMBER(C1893),C1893^2,"")</x:f>
      </x:c>
      <x:c r="E1893" s="15" t="str">
        <x:f>IF(ISNUMBER(C1893),C1893^3,"")</x:f>
      </x:c>
      <x:c r="F1893" s="15" t="str">
        <x:f>IF(ISNUMBER(C1893),C1893^4,"")</x:f>
      </x:c>
      <x:c r="G1893" s="7" t="str">
        <x:f>IF(ISNUMBER(B1893),ABS(B1893),"")</x:f>
      </x:c>
      <x:c r="H1893" s="7" t="str">
        <x:f>IF(ISNUMBER(B1893),B1893^2,"")</x:f>
      </x:c>
      <x:c r="I1893" s="7" t="str">
        <x:f>IF(AND(ISNUMBER(G1893),'요약'!$B$19),G1893-'요약'!$B$14,"")</x:f>
      </x:c>
      <x:c r="J1893" s="7" t="str">
        <x:f>IF(AND(ISNUMBER(H1893),'요약'!$B$19),H1893-'요약'!$B$15,"")</x:f>
      </x:c>
      <x:c r="K1893" t="str">
        <x:f>IF(ISNUMBER(B1893),IF('Hill'!$B$4=1,IF(B1893&lt;0,-B1893,""),IF('Hill'!$B$4=2,IF(B1893&gt;0,B1893,""),IF('Hill'!$B$4=3,IF(B1893&lt;&gt;0,ABS(B1893),""),""))),"")</x:f>
      </x:c>
    </x:row>
    <x:row r="1894">
      <x:c r="A1894" t="n">
        <x:f>1893</x:f>
        <x:v>1893</x:v>
      </x:c>
      <x:c r="B1894" s="7" t="str">
        <x:f>IF('요약'!$B$4=4,IF(ISNUMBER('input'!A1894),'input'!A1894,""),IF(1893&lt;=1000,CHOOSE('요약'!$B$4,'input'!B1894,'input'!C1894,'input'!D1894),""))</x:f>
      </x:c>
      <x:c r="C1894" s="7" t="str">
        <x:f>IF(AND(ISNUMBER(B1894),'요약'!$B$19),B1894-'요약'!$B$7,"")</x:f>
      </x:c>
      <x:c r="D1894" s="7" t="str">
        <x:f>IF(ISNUMBER(C1894),C1894^2,"")</x:f>
      </x:c>
      <x:c r="E1894" s="15" t="str">
        <x:f>IF(ISNUMBER(C1894),C1894^3,"")</x:f>
      </x:c>
      <x:c r="F1894" s="15" t="str">
        <x:f>IF(ISNUMBER(C1894),C1894^4,"")</x:f>
      </x:c>
      <x:c r="G1894" s="7" t="str">
        <x:f>IF(ISNUMBER(B1894),ABS(B1894),"")</x:f>
      </x:c>
      <x:c r="H1894" s="7" t="str">
        <x:f>IF(ISNUMBER(B1894),B1894^2,"")</x:f>
      </x:c>
      <x:c r="I1894" s="7" t="str">
        <x:f>IF(AND(ISNUMBER(G1894),'요약'!$B$19),G1894-'요약'!$B$14,"")</x:f>
      </x:c>
      <x:c r="J1894" s="7" t="str">
        <x:f>IF(AND(ISNUMBER(H1894),'요약'!$B$19),H1894-'요약'!$B$15,"")</x:f>
      </x:c>
      <x:c r="K1894" t="str">
        <x:f>IF(ISNUMBER(B1894),IF('Hill'!$B$4=1,IF(B1894&lt;0,-B1894,""),IF('Hill'!$B$4=2,IF(B1894&gt;0,B1894,""),IF('Hill'!$B$4=3,IF(B1894&lt;&gt;0,ABS(B1894),""),""))),"")</x:f>
      </x:c>
    </x:row>
    <x:row r="1895">
      <x:c r="A1895" t="n">
        <x:f>1894</x:f>
        <x:v>1894</x:v>
      </x:c>
      <x:c r="B1895" s="7" t="str">
        <x:f>IF('요약'!$B$4=4,IF(ISNUMBER('input'!A1895),'input'!A1895,""),IF(1894&lt;=1000,CHOOSE('요약'!$B$4,'input'!B1895,'input'!C1895,'input'!D1895),""))</x:f>
      </x:c>
      <x:c r="C1895" s="7" t="str">
        <x:f>IF(AND(ISNUMBER(B1895),'요약'!$B$19),B1895-'요약'!$B$7,"")</x:f>
      </x:c>
      <x:c r="D1895" s="7" t="str">
        <x:f>IF(ISNUMBER(C1895),C1895^2,"")</x:f>
      </x:c>
      <x:c r="E1895" s="15" t="str">
        <x:f>IF(ISNUMBER(C1895),C1895^3,"")</x:f>
      </x:c>
      <x:c r="F1895" s="15" t="str">
        <x:f>IF(ISNUMBER(C1895),C1895^4,"")</x:f>
      </x:c>
      <x:c r="G1895" s="7" t="str">
        <x:f>IF(ISNUMBER(B1895),ABS(B1895),"")</x:f>
      </x:c>
      <x:c r="H1895" s="7" t="str">
        <x:f>IF(ISNUMBER(B1895),B1895^2,"")</x:f>
      </x:c>
      <x:c r="I1895" s="7" t="str">
        <x:f>IF(AND(ISNUMBER(G1895),'요약'!$B$19),G1895-'요약'!$B$14,"")</x:f>
      </x:c>
      <x:c r="J1895" s="7" t="str">
        <x:f>IF(AND(ISNUMBER(H1895),'요약'!$B$19),H1895-'요약'!$B$15,"")</x:f>
      </x:c>
      <x:c r="K1895" t="str">
        <x:f>IF(ISNUMBER(B1895),IF('Hill'!$B$4=1,IF(B1895&lt;0,-B1895,""),IF('Hill'!$B$4=2,IF(B1895&gt;0,B1895,""),IF('Hill'!$B$4=3,IF(B1895&lt;&gt;0,ABS(B1895),""),""))),"")</x:f>
      </x:c>
    </x:row>
    <x:row r="1896">
      <x:c r="A1896" t="n">
        <x:f>1895</x:f>
        <x:v>1895</x:v>
      </x:c>
      <x:c r="B1896" s="7" t="str">
        <x:f>IF('요약'!$B$4=4,IF(ISNUMBER('input'!A1896),'input'!A1896,""),IF(1895&lt;=1000,CHOOSE('요약'!$B$4,'input'!B1896,'input'!C1896,'input'!D1896),""))</x:f>
      </x:c>
      <x:c r="C1896" s="7" t="str">
        <x:f>IF(AND(ISNUMBER(B1896),'요약'!$B$19),B1896-'요약'!$B$7,"")</x:f>
      </x:c>
      <x:c r="D1896" s="7" t="str">
        <x:f>IF(ISNUMBER(C1896),C1896^2,"")</x:f>
      </x:c>
      <x:c r="E1896" s="15" t="str">
        <x:f>IF(ISNUMBER(C1896),C1896^3,"")</x:f>
      </x:c>
      <x:c r="F1896" s="15" t="str">
        <x:f>IF(ISNUMBER(C1896),C1896^4,"")</x:f>
      </x:c>
      <x:c r="G1896" s="7" t="str">
        <x:f>IF(ISNUMBER(B1896),ABS(B1896),"")</x:f>
      </x:c>
      <x:c r="H1896" s="7" t="str">
        <x:f>IF(ISNUMBER(B1896),B1896^2,"")</x:f>
      </x:c>
      <x:c r="I1896" s="7" t="str">
        <x:f>IF(AND(ISNUMBER(G1896),'요약'!$B$19),G1896-'요약'!$B$14,"")</x:f>
      </x:c>
      <x:c r="J1896" s="7" t="str">
        <x:f>IF(AND(ISNUMBER(H1896),'요약'!$B$19),H1896-'요약'!$B$15,"")</x:f>
      </x:c>
      <x:c r="K1896" t="str">
        <x:f>IF(ISNUMBER(B1896),IF('Hill'!$B$4=1,IF(B1896&lt;0,-B1896,""),IF('Hill'!$B$4=2,IF(B1896&gt;0,B1896,""),IF('Hill'!$B$4=3,IF(B1896&lt;&gt;0,ABS(B1896),""),""))),"")</x:f>
      </x:c>
    </x:row>
    <x:row r="1897">
      <x:c r="A1897" t="n">
        <x:f>1896</x:f>
        <x:v>1896</x:v>
      </x:c>
      <x:c r="B1897" s="7" t="str">
        <x:f>IF('요약'!$B$4=4,IF(ISNUMBER('input'!A1897),'input'!A1897,""),IF(1896&lt;=1000,CHOOSE('요약'!$B$4,'input'!B1897,'input'!C1897,'input'!D1897),""))</x:f>
      </x:c>
      <x:c r="C1897" s="7" t="str">
        <x:f>IF(AND(ISNUMBER(B1897),'요약'!$B$19),B1897-'요약'!$B$7,"")</x:f>
      </x:c>
      <x:c r="D1897" s="7" t="str">
        <x:f>IF(ISNUMBER(C1897),C1897^2,"")</x:f>
      </x:c>
      <x:c r="E1897" s="15" t="str">
        <x:f>IF(ISNUMBER(C1897),C1897^3,"")</x:f>
      </x:c>
      <x:c r="F1897" s="15" t="str">
        <x:f>IF(ISNUMBER(C1897),C1897^4,"")</x:f>
      </x:c>
      <x:c r="G1897" s="7" t="str">
        <x:f>IF(ISNUMBER(B1897),ABS(B1897),"")</x:f>
      </x:c>
      <x:c r="H1897" s="7" t="str">
        <x:f>IF(ISNUMBER(B1897),B1897^2,"")</x:f>
      </x:c>
      <x:c r="I1897" s="7" t="str">
        <x:f>IF(AND(ISNUMBER(G1897),'요약'!$B$19),G1897-'요약'!$B$14,"")</x:f>
      </x:c>
      <x:c r="J1897" s="7" t="str">
        <x:f>IF(AND(ISNUMBER(H1897),'요약'!$B$19),H1897-'요약'!$B$15,"")</x:f>
      </x:c>
      <x:c r="K1897" t="str">
        <x:f>IF(ISNUMBER(B1897),IF('Hill'!$B$4=1,IF(B1897&lt;0,-B1897,""),IF('Hill'!$B$4=2,IF(B1897&gt;0,B1897,""),IF('Hill'!$B$4=3,IF(B1897&lt;&gt;0,ABS(B1897),""),""))),"")</x:f>
      </x:c>
    </x:row>
    <x:row r="1898">
      <x:c r="A1898" t="n">
        <x:f>1897</x:f>
        <x:v>1897</x:v>
      </x:c>
      <x:c r="B1898" s="7" t="str">
        <x:f>IF('요약'!$B$4=4,IF(ISNUMBER('input'!A1898),'input'!A1898,""),IF(1897&lt;=1000,CHOOSE('요약'!$B$4,'input'!B1898,'input'!C1898,'input'!D1898),""))</x:f>
      </x:c>
      <x:c r="C1898" s="7" t="str">
        <x:f>IF(AND(ISNUMBER(B1898),'요약'!$B$19),B1898-'요약'!$B$7,"")</x:f>
      </x:c>
      <x:c r="D1898" s="7" t="str">
        <x:f>IF(ISNUMBER(C1898),C1898^2,"")</x:f>
      </x:c>
      <x:c r="E1898" s="15" t="str">
        <x:f>IF(ISNUMBER(C1898),C1898^3,"")</x:f>
      </x:c>
      <x:c r="F1898" s="15" t="str">
        <x:f>IF(ISNUMBER(C1898),C1898^4,"")</x:f>
      </x:c>
      <x:c r="G1898" s="7" t="str">
        <x:f>IF(ISNUMBER(B1898),ABS(B1898),"")</x:f>
      </x:c>
      <x:c r="H1898" s="7" t="str">
        <x:f>IF(ISNUMBER(B1898),B1898^2,"")</x:f>
      </x:c>
      <x:c r="I1898" s="7" t="str">
        <x:f>IF(AND(ISNUMBER(G1898),'요약'!$B$19),G1898-'요약'!$B$14,"")</x:f>
      </x:c>
      <x:c r="J1898" s="7" t="str">
        <x:f>IF(AND(ISNUMBER(H1898),'요약'!$B$19),H1898-'요약'!$B$15,"")</x:f>
      </x:c>
      <x:c r="K1898" t="str">
        <x:f>IF(ISNUMBER(B1898),IF('Hill'!$B$4=1,IF(B1898&lt;0,-B1898,""),IF('Hill'!$B$4=2,IF(B1898&gt;0,B1898,""),IF('Hill'!$B$4=3,IF(B1898&lt;&gt;0,ABS(B1898),""),""))),"")</x:f>
      </x:c>
    </x:row>
    <x:row r="1899">
      <x:c r="A1899" t="n">
        <x:f>1898</x:f>
        <x:v>1898</x:v>
      </x:c>
      <x:c r="B1899" s="7" t="str">
        <x:f>IF('요약'!$B$4=4,IF(ISNUMBER('input'!A1899),'input'!A1899,""),IF(1898&lt;=1000,CHOOSE('요약'!$B$4,'input'!B1899,'input'!C1899,'input'!D1899),""))</x:f>
      </x:c>
      <x:c r="C1899" s="7" t="str">
        <x:f>IF(AND(ISNUMBER(B1899),'요약'!$B$19),B1899-'요약'!$B$7,"")</x:f>
      </x:c>
      <x:c r="D1899" s="7" t="str">
        <x:f>IF(ISNUMBER(C1899),C1899^2,"")</x:f>
      </x:c>
      <x:c r="E1899" s="15" t="str">
        <x:f>IF(ISNUMBER(C1899),C1899^3,"")</x:f>
      </x:c>
      <x:c r="F1899" s="15" t="str">
        <x:f>IF(ISNUMBER(C1899),C1899^4,"")</x:f>
      </x:c>
      <x:c r="G1899" s="7" t="str">
        <x:f>IF(ISNUMBER(B1899),ABS(B1899),"")</x:f>
      </x:c>
      <x:c r="H1899" s="7" t="str">
        <x:f>IF(ISNUMBER(B1899),B1899^2,"")</x:f>
      </x:c>
      <x:c r="I1899" s="7" t="str">
        <x:f>IF(AND(ISNUMBER(G1899),'요약'!$B$19),G1899-'요약'!$B$14,"")</x:f>
      </x:c>
      <x:c r="J1899" s="7" t="str">
        <x:f>IF(AND(ISNUMBER(H1899),'요약'!$B$19),H1899-'요약'!$B$15,"")</x:f>
      </x:c>
      <x:c r="K1899" t="str">
        <x:f>IF(ISNUMBER(B1899),IF('Hill'!$B$4=1,IF(B1899&lt;0,-B1899,""),IF('Hill'!$B$4=2,IF(B1899&gt;0,B1899,""),IF('Hill'!$B$4=3,IF(B1899&lt;&gt;0,ABS(B1899),""),""))),"")</x:f>
      </x:c>
    </x:row>
    <x:row r="1900">
      <x:c r="A1900" t="n">
        <x:f>1899</x:f>
        <x:v>1899</x:v>
      </x:c>
      <x:c r="B1900" s="7" t="str">
        <x:f>IF('요약'!$B$4=4,IF(ISNUMBER('input'!A1900),'input'!A1900,""),IF(1899&lt;=1000,CHOOSE('요약'!$B$4,'input'!B1900,'input'!C1900,'input'!D1900),""))</x:f>
      </x:c>
      <x:c r="C1900" s="7" t="str">
        <x:f>IF(AND(ISNUMBER(B1900),'요약'!$B$19),B1900-'요약'!$B$7,"")</x:f>
      </x:c>
      <x:c r="D1900" s="7" t="str">
        <x:f>IF(ISNUMBER(C1900),C1900^2,"")</x:f>
      </x:c>
      <x:c r="E1900" s="15" t="str">
        <x:f>IF(ISNUMBER(C1900),C1900^3,"")</x:f>
      </x:c>
      <x:c r="F1900" s="15" t="str">
        <x:f>IF(ISNUMBER(C1900),C1900^4,"")</x:f>
      </x:c>
      <x:c r="G1900" s="7" t="str">
        <x:f>IF(ISNUMBER(B1900),ABS(B1900),"")</x:f>
      </x:c>
      <x:c r="H1900" s="7" t="str">
        <x:f>IF(ISNUMBER(B1900),B1900^2,"")</x:f>
      </x:c>
      <x:c r="I1900" s="7" t="str">
        <x:f>IF(AND(ISNUMBER(G1900),'요약'!$B$19),G1900-'요약'!$B$14,"")</x:f>
      </x:c>
      <x:c r="J1900" s="7" t="str">
        <x:f>IF(AND(ISNUMBER(H1900),'요약'!$B$19),H1900-'요약'!$B$15,"")</x:f>
      </x:c>
      <x:c r="K1900" t="str">
        <x:f>IF(ISNUMBER(B1900),IF('Hill'!$B$4=1,IF(B1900&lt;0,-B1900,""),IF('Hill'!$B$4=2,IF(B1900&gt;0,B1900,""),IF('Hill'!$B$4=3,IF(B1900&lt;&gt;0,ABS(B1900),""),""))),"")</x:f>
      </x:c>
    </x:row>
    <x:row r="1901">
      <x:c r="A1901" t="n">
        <x:f>1900</x:f>
        <x:v>1900</x:v>
      </x:c>
      <x:c r="B1901" s="7" t="str">
        <x:f>IF('요약'!$B$4=4,IF(ISNUMBER('input'!A1901),'input'!A1901,""),IF(1900&lt;=1000,CHOOSE('요약'!$B$4,'input'!B1901,'input'!C1901,'input'!D1901),""))</x:f>
      </x:c>
      <x:c r="C1901" s="7" t="str">
        <x:f>IF(AND(ISNUMBER(B1901),'요약'!$B$19),B1901-'요약'!$B$7,"")</x:f>
      </x:c>
      <x:c r="D1901" s="7" t="str">
        <x:f>IF(ISNUMBER(C1901),C1901^2,"")</x:f>
      </x:c>
      <x:c r="E1901" s="15" t="str">
        <x:f>IF(ISNUMBER(C1901),C1901^3,"")</x:f>
      </x:c>
      <x:c r="F1901" s="15" t="str">
        <x:f>IF(ISNUMBER(C1901),C1901^4,"")</x:f>
      </x:c>
      <x:c r="G1901" s="7" t="str">
        <x:f>IF(ISNUMBER(B1901),ABS(B1901),"")</x:f>
      </x:c>
      <x:c r="H1901" s="7" t="str">
        <x:f>IF(ISNUMBER(B1901),B1901^2,"")</x:f>
      </x:c>
      <x:c r="I1901" s="7" t="str">
        <x:f>IF(AND(ISNUMBER(G1901),'요약'!$B$19),G1901-'요약'!$B$14,"")</x:f>
      </x:c>
      <x:c r="J1901" s="7" t="str">
        <x:f>IF(AND(ISNUMBER(H1901),'요약'!$B$19),H1901-'요약'!$B$15,"")</x:f>
      </x:c>
      <x:c r="K1901" t="str">
        <x:f>IF(ISNUMBER(B1901),IF('Hill'!$B$4=1,IF(B1901&lt;0,-B1901,""),IF('Hill'!$B$4=2,IF(B1901&gt;0,B1901,""),IF('Hill'!$B$4=3,IF(B1901&lt;&gt;0,ABS(B1901),""),""))),"")</x:f>
      </x:c>
    </x:row>
    <x:row r="1902">
      <x:c r="A1902" t="n">
        <x:f>1901</x:f>
        <x:v>1901</x:v>
      </x:c>
      <x:c r="B1902" s="7" t="str">
        <x:f>IF('요약'!$B$4=4,IF(ISNUMBER('input'!A1902),'input'!A1902,""),IF(1901&lt;=1000,CHOOSE('요약'!$B$4,'input'!B1902,'input'!C1902,'input'!D1902),""))</x:f>
      </x:c>
      <x:c r="C1902" s="7" t="str">
        <x:f>IF(AND(ISNUMBER(B1902),'요약'!$B$19),B1902-'요약'!$B$7,"")</x:f>
      </x:c>
      <x:c r="D1902" s="7" t="str">
        <x:f>IF(ISNUMBER(C1902),C1902^2,"")</x:f>
      </x:c>
      <x:c r="E1902" s="15" t="str">
        <x:f>IF(ISNUMBER(C1902),C1902^3,"")</x:f>
      </x:c>
      <x:c r="F1902" s="15" t="str">
        <x:f>IF(ISNUMBER(C1902),C1902^4,"")</x:f>
      </x:c>
      <x:c r="G1902" s="7" t="str">
        <x:f>IF(ISNUMBER(B1902),ABS(B1902),"")</x:f>
      </x:c>
      <x:c r="H1902" s="7" t="str">
        <x:f>IF(ISNUMBER(B1902),B1902^2,"")</x:f>
      </x:c>
      <x:c r="I1902" s="7" t="str">
        <x:f>IF(AND(ISNUMBER(G1902),'요약'!$B$19),G1902-'요약'!$B$14,"")</x:f>
      </x:c>
      <x:c r="J1902" s="7" t="str">
        <x:f>IF(AND(ISNUMBER(H1902),'요약'!$B$19),H1902-'요약'!$B$15,"")</x:f>
      </x:c>
      <x:c r="K1902" t="str">
        <x:f>IF(ISNUMBER(B1902),IF('Hill'!$B$4=1,IF(B1902&lt;0,-B1902,""),IF('Hill'!$B$4=2,IF(B1902&gt;0,B1902,""),IF('Hill'!$B$4=3,IF(B1902&lt;&gt;0,ABS(B1902),""),""))),"")</x:f>
      </x:c>
    </x:row>
    <x:row r="1903">
      <x:c r="A1903" t="n">
        <x:f>1902</x:f>
        <x:v>1902</x:v>
      </x:c>
      <x:c r="B1903" s="7" t="str">
        <x:f>IF('요약'!$B$4=4,IF(ISNUMBER('input'!A1903),'input'!A1903,""),IF(1902&lt;=1000,CHOOSE('요약'!$B$4,'input'!B1903,'input'!C1903,'input'!D1903),""))</x:f>
      </x:c>
      <x:c r="C1903" s="7" t="str">
        <x:f>IF(AND(ISNUMBER(B1903),'요약'!$B$19),B1903-'요약'!$B$7,"")</x:f>
      </x:c>
      <x:c r="D1903" s="7" t="str">
        <x:f>IF(ISNUMBER(C1903),C1903^2,"")</x:f>
      </x:c>
      <x:c r="E1903" s="15" t="str">
        <x:f>IF(ISNUMBER(C1903),C1903^3,"")</x:f>
      </x:c>
      <x:c r="F1903" s="15" t="str">
        <x:f>IF(ISNUMBER(C1903),C1903^4,"")</x:f>
      </x:c>
      <x:c r="G1903" s="7" t="str">
        <x:f>IF(ISNUMBER(B1903),ABS(B1903),"")</x:f>
      </x:c>
      <x:c r="H1903" s="7" t="str">
        <x:f>IF(ISNUMBER(B1903),B1903^2,"")</x:f>
      </x:c>
      <x:c r="I1903" s="7" t="str">
        <x:f>IF(AND(ISNUMBER(G1903),'요약'!$B$19),G1903-'요약'!$B$14,"")</x:f>
      </x:c>
      <x:c r="J1903" s="7" t="str">
        <x:f>IF(AND(ISNUMBER(H1903),'요약'!$B$19),H1903-'요약'!$B$15,"")</x:f>
      </x:c>
      <x:c r="K1903" t="str">
        <x:f>IF(ISNUMBER(B1903),IF('Hill'!$B$4=1,IF(B1903&lt;0,-B1903,""),IF('Hill'!$B$4=2,IF(B1903&gt;0,B1903,""),IF('Hill'!$B$4=3,IF(B1903&lt;&gt;0,ABS(B1903),""),""))),"")</x:f>
      </x:c>
    </x:row>
    <x:row r="1904">
      <x:c r="A1904" t="n">
        <x:f>1903</x:f>
        <x:v>1903</x:v>
      </x:c>
      <x:c r="B1904" s="7" t="str">
        <x:f>IF('요약'!$B$4=4,IF(ISNUMBER('input'!A1904),'input'!A1904,""),IF(1903&lt;=1000,CHOOSE('요약'!$B$4,'input'!B1904,'input'!C1904,'input'!D1904),""))</x:f>
      </x:c>
      <x:c r="C1904" s="7" t="str">
        <x:f>IF(AND(ISNUMBER(B1904),'요약'!$B$19),B1904-'요약'!$B$7,"")</x:f>
      </x:c>
      <x:c r="D1904" s="7" t="str">
        <x:f>IF(ISNUMBER(C1904),C1904^2,"")</x:f>
      </x:c>
      <x:c r="E1904" s="15" t="str">
        <x:f>IF(ISNUMBER(C1904),C1904^3,"")</x:f>
      </x:c>
      <x:c r="F1904" s="15" t="str">
        <x:f>IF(ISNUMBER(C1904),C1904^4,"")</x:f>
      </x:c>
      <x:c r="G1904" s="7" t="str">
        <x:f>IF(ISNUMBER(B1904),ABS(B1904),"")</x:f>
      </x:c>
      <x:c r="H1904" s="7" t="str">
        <x:f>IF(ISNUMBER(B1904),B1904^2,"")</x:f>
      </x:c>
      <x:c r="I1904" s="7" t="str">
        <x:f>IF(AND(ISNUMBER(G1904),'요약'!$B$19),G1904-'요약'!$B$14,"")</x:f>
      </x:c>
      <x:c r="J1904" s="7" t="str">
        <x:f>IF(AND(ISNUMBER(H1904),'요약'!$B$19),H1904-'요약'!$B$15,"")</x:f>
      </x:c>
      <x:c r="K1904" t="str">
        <x:f>IF(ISNUMBER(B1904),IF('Hill'!$B$4=1,IF(B1904&lt;0,-B1904,""),IF('Hill'!$B$4=2,IF(B1904&gt;0,B1904,""),IF('Hill'!$B$4=3,IF(B1904&lt;&gt;0,ABS(B1904),""),""))),"")</x:f>
      </x:c>
    </x:row>
    <x:row r="1905">
      <x:c r="A1905" t="n">
        <x:f>1904</x:f>
        <x:v>1904</x:v>
      </x:c>
      <x:c r="B1905" s="7" t="str">
        <x:f>IF('요약'!$B$4=4,IF(ISNUMBER('input'!A1905),'input'!A1905,""),IF(1904&lt;=1000,CHOOSE('요약'!$B$4,'input'!B1905,'input'!C1905,'input'!D1905),""))</x:f>
      </x:c>
      <x:c r="C1905" s="7" t="str">
        <x:f>IF(AND(ISNUMBER(B1905),'요약'!$B$19),B1905-'요약'!$B$7,"")</x:f>
      </x:c>
      <x:c r="D1905" s="7" t="str">
        <x:f>IF(ISNUMBER(C1905),C1905^2,"")</x:f>
      </x:c>
      <x:c r="E1905" s="15" t="str">
        <x:f>IF(ISNUMBER(C1905),C1905^3,"")</x:f>
      </x:c>
      <x:c r="F1905" s="15" t="str">
        <x:f>IF(ISNUMBER(C1905),C1905^4,"")</x:f>
      </x:c>
      <x:c r="G1905" s="7" t="str">
        <x:f>IF(ISNUMBER(B1905),ABS(B1905),"")</x:f>
      </x:c>
      <x:c r="H1905" s="7" t="str">
        <x:f>IF(ISNUMBER(B1905),B1905^2,"")</x:f>
      </x:c>
      <x:c r="I1905" s="7" t="str">
        <x:f>IF(AND(ISNUMBER(G1905),'요약'!$B$19),G1905-'요약'!$B$14,"")</x:f>
      </x:c>
      <x:c r="J1905" s="7" t="str">
        <x:f>IF(AND(ISNUMBER(H1905),'요약'!$B$19),H1905-'요약'!$B$15,"")</x:f>
      </x:c>
      <x:c r="K1905" t="str">
        <x:f>IF(ISNUMBER(B1905),IF('Hill'!$B$4=1,IF(B1905&lt;0,-B1905,""),IF('Hill'!$B$4=2,IF(B1905&gt;0,B1905,""),IF('Hill'!$B$4=3,IF(B1905&lt;&gt;0,ABS(B1905),""),""))),"")</x:f>
      </x:c>
    </x:row>
    <x:row r="1906">
      <x:c r="A1906" t="n">
        <x:f>1905</x:f>
        <x:v>1905</x:v>
      </x:c>
      <x:c r="B1906" s="7" t="str">
        <x:f>IF('요약'!$B$4=4,IF(ISNUMBER('input'!A1906),'input'!A1906,""),IF(1905&lt;=1000,CHOOSE('요약'!$B$4,'input'!B1906,'input'!C1906,'input'!D1906),""))</x:f>
      </x:c>
      <x:c r="C1906" s="7" t="str">
        <x:f>IF(AND(ISNUMBER(B1906),'요약'!$B$19),B1906-'요약'!$B$7,"")</x:f>
      </x:c>
      <x:c r="D1906" s="7" t="str">
        <x:f>IF(ISNUMBER(C1906),C1906^2,"")</x:f>
      </x:c>
      <x:c r="E1906" s="15" t="str">
        <x:f>IF(ISNUMBER(C1906),C1906^3,"")</x:f>
      </x:c>
      <x:c r="F1906" s="15" t="str">
        <x:f>IF(ISNUMBER(C1906),C1906^4,"")</x:f>
      </x:c>
      <x:c r="G1906" s="7" t="str">
        <x:f>IF(ISNUMBER(B1906),ABS(B1906),"")</x:f>
      </x:c>
      <x:c r="H1906" s="7" t="str">
        <x:f>IF(ISNUMBER(B1906),B1906^2,"")</x:f>
      </x:c>
      <x:c r="I1906" s="7" t="str">
        <x:f>IF(AND(ISNUMBER(G1906),'요약'!$B$19),G1906-'요약'!$B$14,"")</x:f>
      </x:c>
      <x:c r="J1906" s="7" t="str">
        <x:f>IF(AND(ISNUMBER(H1906),'요약'!$B$19),H1906-'요약'!$B$15,"")</x:f>
      </x:c>
      <x:c r="K1906" t="str">
        <x:f>IF(ISNUMBER(B1906),IF('Hill'!$B$4=1,IF(B1906&lt;0,-B1906,""),IF('Hill'!$B$4=2,IF(B1906&gt;0,B1906,""),IF('Hill'!$B$4=3,IF(B1906&lt;&gt;0,ABS(B1906),""),""))),"")</x:f>
      </x:c>
    </x:row>
    <x:row r="1907">
      <x:c r="A1907" t="n">
        <x:f>1906</x:f>
        <x:v>1906</x:v>
      </x:c>
      <x:c r="B1907" s="7" t="str">
        <x:f>IF('요약'!$B$4=4,IF(ISNUMBER('input'!A1907),'input'!A1907,""),IF(1906&lt;=1000,CHOOSE('요약'!$B$4,'input'!B1907,'input'!C1907,'input'!D1907),""))</x:f>
      </x:c>
      <x:c r="C1907" s="7" t="str">
        <x:f>IF(AND(ISNUMBER(B1907),'요약'!$B$19),B1907-'요약'!$B$7,"")</x:f>
      </x:c>
      <x:c r="D1907" s="7" t="str">
        <x:f>IF(ISNUMBER(C1907),C1907^2,"")</x:f>
      </x:c>
      <x:c r="E1907" s="15" t="str">
        <x:f>IF(ISNUMBER(C1907),C1907^3,"")</x:f>
      </x:c>
      <x:c r="F1907" s="15" t="str">
        <x:f>IF(ISNUMBER(C1907),C1907^4,"")</x:f>
      </x:c>
      <x:c r="G1907" s="7" t="str">
        <x:f>IF(ISNUMBER(B1907),ABS(B1907),"")</x:f>
      </x:c>
      <x:c r="H1907" s="7" t="str">
        <x:f>IF(ISNUMBER(B1907),B1907^2,"")</x:f>
      </x:c>
      <x:c r="I1907" s="7" t="str">
        <x:f>IF(AND(ISNUMBER(G1907),'요약'!$B$19),G1907-'요약'!$B$14,"")</x:f>
      </x:c>
      <x:c r="J1907" s="7" t="str">
        <x:f>IF(AND(ISNUMBER(H1907),'요약'!$B$19),H1907-'요약'!$B$15,"")</x:f>
      </x:c>
      <x:c r="K1907" t="str">
        <x:f>IF(ISNUMBER(B1907),IF('Hill'!$B$4=1,IF(B1907&lt;0,-B1907,""),IF('Hill'!$B$4=2,IF(B1907&gt;0,B1907,""),IF('Hill'!$B$4=3,IF(B1907&lt;&gt;0,ABS(B1907),""),""))),"")</x:f>
      </x:c>
    </x:row>
    <x:row r="1908">
      <x:c r="A1908" t="n">
        <x:f>1907</x:f>
        <x:v>1907</x:v>
      </x:c>
      <x:c r="B1908" s="7" t="str">
        <x:f>IF('요약'!$B$4=4,IF(ISNUMBER('input'!A1908),'input'!A1908,""),IF(1907&lt;=1000,CHOOSE('요약'!$B$4,'input'!B1908,'input'!C1908,'input'!D1908),""))</x:f>
      </x:c>
      <x:c r="C1908" s="7" t="str">
        <x:f>IF(AND(ISNUMBER(B1908),'요약'!$B$19),B1908-'요약'!$B$7,"")</x:f>
      </x:c>
      <x:c r="D1908" s="7" t="str">
        <x:f>IF(ISNUMBER(C1908),C1908^2,"")</x:f>
      </x:c>
      <x:c r="E1908" s="15" t="str">
        <x:f>IF(ISNUMBER(C1908),C1908^3,"")</x:f>
      </x:c>
      <x:c r="F1908" s="15" t="str">
        <x:f>IF(ISNUMBER(C1908),C1908^4,"")</x:f>
      </x:c>
      <x:c r="G1908" s="7" t="str">
        <x:f>IF(ISNUMBER(B1908),ABS(B1908),"")</x:f>
      </x:c>
      <x:c r="H1908" s="7" t="str">
        <x:f>IF(ISNUMBER(B1908),B1908^2,"")</x:f>
      </x:c>
      <x:c r="I1908" s="7" t="str">
        <x:f>IF(AND(ISNUMBER(G1908),'요약'!$B$19),G1908-'요약'!$B$14,"")</x:f>
      </x:c>
      <x:c r="J1908" s="7" t="str">
        <x:f>IF(AND(ISNUMBER(H1908),'요약'!$B$19),H1908-'요약'!$B$15,"")</x:f>
      </x:c>
      <x:c r="K1908" t="str">
        <x:f>IF(ISNUMBER(B1908),IF('Hill'!$B$4=1,IF(B1908&lt;0,-B1908,""),IF('Hill'!$B$4=2,IF(B1908&gt;0,B1908,""),IF('Hill'!$B$4=3,IF(B1908&lt;&gt;0,ABS(B1908),""),""))),"")</x:f>
      </x:c>
    </x:row>
    <x:row r="1909">
      <x:c r="A1909" t="n">
        <x:f>1908</x:f>
        <x:v>1908</x:v>
      </x:c>
      <x:c r="B1909" s="7" t="str">
        <x:f>IF('요약'!$B$4=4,IF(ISNUMBER('input'!A1909),'input'!A1909,""),IF(1908&lt;=1000,CHOOSE('요약'!$B$4,'input'!B1909,'input'!C1909,'input'!D1909),""))</x:f>
      </x:c>
      <x:c r="C1909" s="7" t="str">
        <x:f>IF(AND(ISNUMBER(B1909),'요약'!$B$19),B1909-'요약'!$B$7,"")</x:f>
      </x:c>
      <x:c r="D1909" s="7" t="str">
        <x:f>IF(ISNUMBER(C1909),C1909^2,"")</x:f>
      </x:c>
      <x:c r="E1909" s="15" t="str">
        <x:f>IF(ISNUMBER(C1909),C1909^3,"")</x:f>
      </x:c>
      <x:c r="F1909" s="15" t="str">
        <x:f>IF(ISNUMBER(C1909),C1909^4,"")</x:f>
      </x:c>
      <x:c r="G1909" s="7" t="str">
        <x:f>IF(ISNUMBER(B1909),ABS(B1909),"")</x:f>
      </x:c>
      <x:c r="H1909" s="7" t="str">
        <x:f>IF(ISNUMBER(B1909),B1909^2,"")</x:f>
      </x:c>
      <x:c r="I1909" s="7" t="str">
        <x:f>IF(AND(ISNUMBER(G1909),'요약'!$B$19),G1909-'요약'!$B$14,"")</x:f>
      </x:c>
      <x:c r="J1909" s="7" t="str">
        <x:f>IF(AND(ISNUMBER(H1909),'요약'!$B$19),H1909-'요약'!$B$15,"")</x:f>
      </x:c>
      <x:c r="K1909" t="str">
        <x:f>IF(ISNUMBER(B1909),IF('Hill'!$B$4=1,IF(B1909&lt;0,-B1909,""),IF('Hill'!$B$4=2,IF(B1909&gt;0,B1909,""),IF('Hill'!$B$4=3,IF(B1909&lt;&gt;0,ABS(B1909),""),""))),"")</x:f>
      </x:c>
    </x:row>
    <x:row r="1910">
      <x:c r="A1910" t="n">
        <x:f>1909</x:f>
        <x:v>1909</x:v>
      </x:c>
      <x:c r="B1910" s="7" t="str">
        <x:f>IF('요약'!$B$4=4,IF(ISNUMBER('input'!A1910),'input'!A1910,""),IF(1909&lt;=1000,CHOOSE('요약'!$B$4,'input'!B1910,'input'!C1910,'input'!D1910),""))</x:f>
      </x:c>
      <x:c r="C1910" s="7" t="str">
        <x:f>IF(AND(ISNUMBER(B1910),'요약'!$B$19),B1910-'요약'!$B$7,"")</x:f>
      </x:c>
      <x:c r="D1910" s="7" t="str">
        <x:f>IF(ISNUMBER(C1910),C1910^2,"")</x:f>
      </x:c>
      <x:c r="E1910" s="15" t="str">
        <x:f>IF(ISNUMBER(C1910),C1910^3,"")</x:f>
      </x:c>
      <x:c r="F1910" s="15" t="str">
        <x:f>IF(ISNUMBER(C1910),C1910^4,"")</x:f>
      </x:c>
      <x:c r="G1910" s="7" t="str">
        <x:f>IF(ISNUMBER(B1910),ABS(B1910),"")</x:f>
      </x:c>
      <x:c r="H1910" s="7" t="str">
        <x:f>IF(ISNUMBER(B1910),B1910^2,"")</x:f>
      </x:c>
      <x:c r="I1910" s="7" t="str">
        <x:f>IF(AND(ISNUMBER(G1910),'요약'!$B$19),G1910-'요약'!$B$14,"")</x:f>
      </x:c>
      <x:c r="J1910" s="7" t="str">
        <x:f>IF(AND(ISNUMBER(H1910),'요약'!$B$19),H1910-'요약'!$B$15,"")</x:f>
      </x:c>
      <x:c r="K1910" t="str">
        <x:f>IF(ISNUMBER(B1910),IF('Hill'!$B$4=1,IF(B1910&lt;0,-B1910,""),IF('Hill'!$B$4=2,IF(B1910&gt;0,B1910,""),IF('Hill'!$B$4=3,IF(B1910&lt;&gt;0,ABS(B1910),""),""))),"")</x:f>
      </x:c>
    </x:row>
    <x:row r="1911">
      <x:c r="A1911" t="n">
        <x:f>1910</x:f>
        <x:v>1910</x:v>
      </x:c>
      <x:c r="B1911" s="7" t="str">
        <x:f>IF('요약'!$B$4=4,IF(ISNUMBER('input'!A1911),'input'!A1911,""),IF(1910&lt;=1000,CHOOSE('요약'!$B$4,'input'!B1911,'input'!C1911,'input'!D1911),""))</x:f>
      </x:c>
      <x:c r="C1911" s="7" t="str">
        <x:f>IF(AND(ISNUMBER(B1911),'요약'!$B$19),B1911-'요약'!$B$7,"")</x:f>
      </x:c>
      <x:c r="D1911" s="7" t="str">
        <x:f>IF(ISNUMBER(C1911),C1911^2,"")</x:f>
      </x:c>
      <x:c r="E1911" s="15" t="str">
        <x:f>IF(ISNUMBER(C1911),C1911^3,"")</x:f>
      </x:c>
      <x:c r="F1911" s="15" t="str">
        <x:f>IF(ISNUMBER(C1911),C1911^4,"")</x:f>
      </x:c>
      <x:c r="G1911" s="7" t="str">
        <x:f>IF(ISNUMBER(B1911),ABS(B1911),"")</x:f>
      </x:c>
      <x:c r="H1911" s="7" t="str">
        <x:f>IF(ISNUMBER(B1911),B1911^2,"")</x:f>
      </x:c>
      <x:c r="I1911" s="7" t="str">
        <x:f>IF(AND(ISNUMBER(G1911),'요약'!$B$19),G1911-'요약'!$B$14,"")</x:f>
      </x:c>
      <x:c r="J1911" s="7" t="str">
        <x:f>IF(AND(ISNUMBER(H1911),'요약'!$B$19),H1911-'요약'!$B$15,"")</x:f>
      </x:c>
      <x:c r="K1911" t="str">
        <x:f>IF(ISNUMBER(B1911),IF('Hill'!$B$4=1,IF(B1911&lt;0,-B1911,""),IF('Hill'!$B$4=2,IF(B1911&gt;0,B1911,""),IF('Hill'!$B$4=3,IF(B1911&lt;&gt;0,ABS(B1911),""),""))),"")</x:f>
      </x:c>
    </x:row>
    <x:row r="1912">
      <x:c r="A1912" t="n">
        <x:f>1911</x:f>
        <x:v>1911</x:v>
      </x:c>
      <x:c r="B1912" s="7" t="str">
        <x:f>IF('요약'!$B$4=4,IF(ISNUMBER('input'!A1912),'input'!A1912,""),IF(1911&lt;=1000,CHOOSE('요약'!$B$4,'input'!B1912,'input'!C1912,'input'!D1912),""))</x:f>
      </x:c>
      <x:c r="C1912" s="7" t="str">
        <x:f>IF(AND(ISNUMBER(B1912),'요약'!$B$19),B1912-'요약'!$B$7,"")</x:f>
      </x:c>
      <x:c r="D1912" s="7" t="str">
        <x:f>IF(ISNUMBER(C1912),C1912^2,"")</x:f>
      </x:c>
      <x:c r="E1912" s="15" t="str">
        <x:f>IF(ISNUMBER(C1912),C1912^3,"")</x:f>
      </x:c>
      <x:c r="F1912" s="15" t="str">
        <x:f>IF(ISNUMBER(C1912),C1912^4,"")</x:f>
      </x:c>
      <x:c r="G1912" s="7" t="str">
        <x:f>IF(ISNUMBER(B1912),ABS(B1912),"")</x:f>
      </x:c>
      <x:c r="H1912" s="7" t="str">
        <x:f>IF(ISNUMBER(B1912),B1912^2,"")</x:f>
      </x:c>
      <x:c r="I1912" s="7" t="str">
        <x:f>IF(AND(ISNUMBER(G1912),'요약'!$B$19),G1912-'요약'!$B$14,"")</x:f>
      </x:c>
      <x:c r="J1912" s="7" t="str">
        <x:f>IF(AND(ISNUMBER(H1912),'요약'!$B$19),H1912-'요약'!$B$15,"")</x:f>
      </x:c>
      <x:c r="K1912" t="str">
        <x:f>IF(ISNUMBER(B1912),IF('Hill'!$B$4=1,IF(B1912&lt;0,-B1912,""),IF('Hill'!$B$4=2,IF(B1912&gt;0,B1912,""),IF('Hill'!$B$4=3,IF(B1912&lt;&gt;0,ABS(B1912),""),""))),"")</x:f>
      </x:c>
    </x:row>
    <x:row r="1913">
      <x:c r="A1913" t="n">
        <x:f>1912</x:f>
        <x:v>1912</x:v>
      </x:c>
      <x:c r="B1913" s="7" t="str">
        <x:f>IF('요약'!$B$4=4,IF(ISNUMBER('input'!A1913),'input'!A1913,""),IF(1912&lt;=1000,CHOOSE('요약'!$B$4,'input'!B1913,'input'!C1913,'input'!D1913),""))</x:f>
      </x:c>
      <x:c r="C1913" s="7" t="str">
        <x:f>IF(AND(ISNUMBER(B1913),'요약'!$B$19),B1913-'요약'!$B$7,"")</x:f>
      </x:c>
      <x:c r="D1913" s="7" t="str">
        <x:f>IF(ISNUMBER(C1913),C1913^2,"")</x:f>
      </x:c>
      <x:c r="E1913" s="15" t="str">
        <x:f>IF(ISNUMBER(C1913),C1913^3,"")</x:f>
      </x:c>
      <x:c r="F1913" s="15" t="str">
        <x:f>IF(ISNUMBER(C1913),C1913^4,"")</x:f>
      </x:c>
      <x:c r="G1913" s="7" t="str">
        <x:f>IF(ISNUMBER(B1913),ABS(B1913),"")</x:f>
      </x:c>
      <x:c r="H1913" s="7" t="str">
        <x:f>IF(ISNUMBER(B1913),B1913^2,"")</x:f>
      </x:c>
      <x:c r="I1913" s="7" t="str">
        <x:f>IF(AND(ISNUMBER(G1913),'요약'!$B$19),G1913-'요약'!$B$14,"")</x:f>
      </x:c>
      <x:c r="J1913" s="7" t="str">
        <x:f>IF(AND(ISNUMBER(H1913),'요약'!$B$19),H1913-'요약'!$B$15,"")</x:f>
      </x:c>
      <x:c r="K1913" t="str">
        <x:f>IF(ISNUMBER(B1913),IF('Hill'!$B$4=1,IF(B1913&lt;0,-B1913,""),IF('Hill'!$B$4=2,IF(B1913&gt;0,B1913,""),IF('Hill'!$B$4=3,IF(B1913&lt;&gt;0,ABS(B1913),""),""))),"")</x:f>
      </x:c>
    </x:row>
    <x:row r="1914">
      <x:c r="A1914" t="n">
        <x:f>1913</x:f>
        <x:v>1913</x:v>
      </x:c>
      <x:c r="B1914" s="7" t="str">
        <x:f>IF('요약'!$B$4=4,IF(ISNUMBER('input'!A1914),'input'!A1914,""),IF(1913&lt;=1000,CHOOSE('요약'!$B$4,'input'!B1914,'input'!C1914,'input'!D1914),""))</x:f>
      </x:c>
      <x:c r="C1914" s="7" t="str">
        <x:f>IF(AND(ISNUMBER(B1914),'요약'!$B$19),B1914-'요약'!$B$7,"")</x:f>
      </x:c>
      <x:c r="D1914" s="7" t="str">
        <x:f>IF(ISNUMBER(C1914),C1914^2,"")</x:f>
      </x:c>
      <x:c r="E1914" s="15" t="str">
        <x:f>IF(ISNUMBER(C1914),C1914^3,"")</x:f>
      </x:c>
      <x:c r="F1914" s="15" t="str">
        <x:f>IF(ISNUMBER(C1914),C1914^4,"")</x:f>
      </x:c>
      <x:c r="G1914" s="7" t="str">
        <x:f>IF(ISNUMBER(B1914),ABS(B1914),"")</x:f>
      </x:c>
      <x:c r="H1914" s="7" t="str">
        <x:f>IF(ISNUMBER(B1914),B1914^2,"")</x:f>
      </x:c>
      <x:c r="I1914" s="7" t="str">
        <x:f>IF(AND(ISNUMBER(G1914),'요약'!$B$19),G1914-'요약'!$B$14,"")</x:f>
      </x:c>
      <x:c r="J1914" s="7" t="str">
        <x:f>IF(AND(ISNUMBER(H1914),'요약'!$B$19),H1914-'요약'!$B$15,"")</x:f>
      </x:c>
      <x:c r="K1914" t="str">
        <x:f>IF(ISNUMBER(B1914),IF('Hill'!$B$4=1,IF(B1914&lt;0,-B1914,""),IF('Hill'!$B$4=2,IF(B1914&gt;0,B1914,""),IF('Hill'!$B$4=3,IF(B1914&lt;&gt;0,ABS(B1914),""),""))),"")</x:f>
      </x:c>
    </x:row>
    <x:row r="1915">
      <x:c r="A1915" t="n">
        <x:f>1914</x:f>
        <x:v>1914</x:v>
      </x:c>
      <x:c r="B1915" s="7" t="str">
        <x:f>IF('요약'!$B$4=4,IF(ISNUMBER('input'!A1915),'input'!A1915,""),IF(1914&lt;=1000,CHOOSE('요약'!$B$4,'input'!B1915,'input'!C1915,'input'!D1915),""))</x:f>
      </x:c>
      <x:c r="C1915" s="7" t="str">
        <x:f>IF(AND(ISNUMBER(B1915),'요약'!$B$19),B1915-'요약'!$B$7,"")</x:f>
      </x:c>
      <x:c r="D1915" s="7" t="str">
        <x:f>IF(ISNUMBER(C1915),C1915^2,"")</x:f>
      </x:c>
      <x:c r="E1915" s="15" t="str">
        <x:f>IF(ISNUMBER(C1915),C1915^3,"")</x:f>
      </x:c>
      <x:c r="F1915" s="15" t="str">
        <x:f>IF(ISNUMBER(C1915),C1915^4,"")</x:f>
      </x:c>
      <x:c r="G1915" s="7" t="str">
        <x:f>IF(ISNUMBER(B1915),ABS(B1915),"")</x:f>
      </x:c>
      <x:c r="H1915" s="7" t="str">
        <x:f>IF(ISNUMBER(B1915),B1915^2,"")</x:f>
      </x:c>
      <x:c r="I1915" s="7" t="str">
        <x:f>IF(AND(ISNUMBER(G1915),'요약'!$B$19),G1915-'요약'!$B$14,"")</x:f>
      </x:c>
      <x:c r="J1915" s="7" t="str">
        <x:f>IF(AND(ISNUMBER(H1915),'요약'!$B$19),H1915-'요약'!$B$15,"")</x:f>
      </x:c>
      <x:c r="K1915" t="str">
        <x:f>IF(ISNUMBER(B1915),IF('Hill'!$B$4=1,IF(B1915&lt;0,-B1915,""),IF('Hill'!$B$4=2,IF(B1915&gt;0,B1915,""),IF('Hill'!$B$4=3,IF(B1915&lt;&gt;0,ABS(B1915),""),""))),"")</x:f>
      </x:c>
    </x:row>
    <x:row r="1916">
      <x:c r="A1916" t="n">
        <x:f>1915</x:f>
        <x:v>1915</x:v>
      </x:c>
      <x:c r="B1916" s="7" t="str">
        <x:f>IF('요약'!$B$4=4,IF(ISNUMBER('input'!A1916),'input'!A1916,""),IF(1915&lt;=1000,CHOOSE('요약'!$B$4,'input'!B1916,'input'!C1916,'input'!D1916),""))</x:f>
      </x:c>
      <x:c r="C1916" s="7" t="str">
        <x:f>IF(AND(ISNUMBER(B1916),'요약'!$B$19),B1916-'요약'!$B$7,"")</x:f>
      </x:c>
      <x:c r="D1916" s="7" t="str">
        <x:f>IF(ISNUMBER(C1916),C1916^2,"")</x:f>
      </x:c>
      <x:c r="E1916" s="15" t="str">
        <x:f>IF(ISNUMBER(C1916),C1916^3,"")</x:f>
      </x:c>
      <x:c r="F1916" s="15" t="str">
        <x:f>IF(ISNUMBER(C1916),C1916^4,"")</x:f>
      </x:c>
      <x:c r="G1916" s="7" t="str">
        <x:f>IF(ISNUMBER(B1916),ABS(B1916),"")</x:f>
      </x:c>
      <x:c r="H1916" s="7" t="str">
        <x:f>IF(ISNUMBER(B1916),B1916^2,"")</x:f>
      </x:c>
      <x:c r="I1916" s="7" t="str">
        <x:f>IF(AND(ISNUMBER(G1916),'요약'!$B$19),G1916-'요약'!$B$14,"")</x:f>
      </x:c>
      <x:c r="J1916" s="7" t="str">
        <x:f>IF(AND(ISNUMBER(H1916),'요약'!$B$19),H1916-'요약'!$B$15,"")</x:f>
      </x:c>
      <x:c r="K1916" t="str">
        <x:f>IF(ISNUMBER(B1916),IF('Hill'!$B$4=1,IF(B1916&lt;0,-B1916,""),IF('Hill'!$B$4=2,IF(B1916&gt;0,B1916,""),IF('Hill'!$B$4=3,IF(B1916&lt;&gt;0,ABS(B1916),""),""))),"")</x:f>
      </x:c>
    </x:row>
    <x:row r="1917">
      <x:c r="A1917" t="n">
        <x:f>1916</x:f>
        <x:v>1916</x:v>
      </x:c>
      <x:c r="B1917" s="7" t="str">
        <x:f>IF('요약'!$B$4=4,IF(ISNUMBER('input'!A1917),'input'!A1917,""),IF(1916&lt;=1000,CHOOSE('요약'!$B$4,'input'!B1917,'input'!C1917,'input'!D1917),""))</x:f>
      </x:c>
      <x:c r="C1917" s="7" t="str">
        <x:f>IF(AND(ISNUMBER(B1917),'요약'!$B$19),B1917-'요약'!$B$7,"")</x:f>
      </x:c>
      <x:c r="D1917" s="7" t="str">
        <x:f>IF(ISNUMBER(C1917),C1917^2,"")</x:f>
      </x:c>
      <x:c r="E1917" s="15" t="str">
        <x:f>IF(ISNUMBER(C1917),C1917^3,"")</x:f>
      </x:c>
      <x:c r="F1917" s="15" t="str">
        <x:f>IF(ISNUMBER(C1917),C1917^4,"")</x:f>
      </x:c>
      <x:c r="G1917" s="7" t="str">
        <x:f>IF(ISNUMBER(B1917),ABS(B1917),"")</x:f>
      </x:c>
      <x:c r="H1917" s="7" t="str">
        <x:f>IF(ISNUMBER(B1917),B1917^2,"")</x:f>
      </x:c>
      <x:c r="I1917" s="7" t="str">
        <x:f>IF(AND(ISNUMBER(G1917),'요약'!$B$19),G1917-'요약'!$B$14,"")</x:f>
      </x:c>
      <x:c r="J1917" s="7" t="str">
        <x:f>IF(AND(ISNUMBER(H1917),'요약'!$B$19),H1917-'요약'!$B$15,"")</x:f>
      </x:c>
      <x:c r="K1917" t="str">
        <x:f>IF(ISNUMBER(B1917),IF('Hill'!$B$4=1,IF(B1917&lt;0,-B1917,""),IF('Hill'!$B$4=2,IF(B1917&gt;0,B1917,""),IF('Hill'!$B$4=3,IF(B1917&lt;&gt;0,ABS(B1917),""),""))),"")</x:f>
      </x:c>
    </x:row>
    <x:row r="1918">
      <x:c r="A1918" t="n">
        <x:f>1917</x:f>
        <x:v>1917</x:v>
      </x:c>
      <x:c r="B1918" s="7" t="str">
        <x:f>IF('요약'!$B$4=4,IF(ISNUMBER('input'!A1918),'input'!A1918,""),IF(1917&lt;=1000,CHOOSE('요약'!$B$4,'input'!B1918,'input'!C1918,'input'!D1918),""))</x:f>
      </x:c>
      <x:c r="C1918" s="7" t="str">
        <x:f>IF(AND(ISNUMBER(B1918),'요약'!$B$19),B1918-'요약'!$B$7,"")</x:f>
      </x:c>
      <x:c r="D1918" s="7" t="str">
        <x:f>IF(ISNUMBER(C1918),C1918^2,"")</x:f>
      </x:c>
      <x:c r="E1918" s="15" t="str">
        <x:f>IF(ISNUMBER(C1918),C1918^3,"")</x:f>
      </x:c>
      <x:c r="F1918" s="15" t="str">
        <x:f>IF(ISNUMBER(C1918),C1918^4,"")</x:f>
      </x:c>
      <x:c r="G1918" s="7" t="str">
        <x:f>IF(ISNUMBER(B1918),ABS(B1918),"")</x:f>
      </x:c>
      <x:c r="H1918" s="7" t="str">
        <x:f>IF(ISNUMBER(B1918),B1918^2,"")</x:f>
      </x:c>
      <x:c r="I1918" s="7" t="str">
        <x:f>IF(AND(ISNUMBER(G1918),'요약'!$B$19),G1918-'요약'!$B$14,"")</x:f>
      </x:c>
      <x:c r="J1918" s="7" t="str">
        <x:f>IF(AND(ISNUMBER(H1918),'요약'!$B$19),H1918-'요약'!$B$15,"")</x:f>
      </x:c>
      <x:c r="K1918" t="str">
        <x:f>IF(ISNUMBER(B1918),IF('Hill'!$B$4=1,IF(B1918&lt;0,-B1918,""),IF('Hill'!$B$4=2,IF(B1918&gt;0,B1918,""),IF('Hill'!$B$4=3,IF(B1918&lt;&gt;0,ABS(B1918),""),""))),"")</x:f>
      </x:c>
    </x:row>
    <x:row r="1919">
      <x:c r="A1919" t="n">
        <x:f>1918</x:f>
        <x:v>1918</x:v>
      </x:c>
      <x:c r="B1919" s="7" t="str">
        <x:f>IF('요약'!$B$4=4,IF(ISNUMBER('input'!A1919),'input'!A1919,""),IF(1918&lt;=1000,CHOOSE('요약'!$B$4,'input'!B1919,'input'!C1919,'input'!D1919),""))</x:f>
      </x:c>
      <x:c r="C1919" s="7" t="str">
        <x:f>IF(AND(ISNUMBER(B1919),'요약'!$B$19),B1919-'요약'!$B$7,"")</x:f>
      </x:c>
      <x:c r="D1919" s="7" t="str">
        <x:f>IF(ISNUMBER(C1919),C1919^2,"")</x:f>
      </x:c>
      <x:c r="E1919" s="15" t="str">
        <x:f>IF(ISNUMBER(C1919),C1919^3,"")</x:f>
      </x:c>
      <x:c r="F1919" s="15" t="str">
        <x:f>IF(ISNUMBER(C1919),C1919^4,"")</x:f>
      </x:c>
      <x:c r="G1919" s="7" t="str">
        <x:f>IF(ISNUMBER(B1919),ABS(B1919),"")</x:f>
      </x:c>
      <x:c r="H1919" s="7" t="str">
        <x:f>IF(ISNUMBER(B1919),B1919^2,"")</x:f>
      </x:c>
      <x:c r="I1919" s="7" t="str">
        <x:f>IF(AND(ISNUMBER(G1919),'요약'!$B$19),G1919-'요약'!$B$14,"")</x:f>
      </x:c>
      <x:c r="J1919" s="7" t="str">
        <x:f>IF(AND(ISNUMBER(H1919),'요약'!$B$19),H1919-'요약'!$B$15,"")</x:f>
      </x:c>
      <x:c r="K1919" t="str">
        <x:f>IF(ISNUMBER(B1919),IF('Hill'!$B$4=1,IF(B1919&lt;0,-B1919,""),IF('Hill'!$B$4=2,IF(B1919&gt;0,B1919,""),IF('Hill'!$B$4=3,IF(B1919&lt;&gt;0,ABS(B1919),""),""))),"")</x:f>
      </x:c>
    </x:row>
    <x:row r="1920">
      <x:c r="A1920" t="n">
        <x:f>1919</x:f>
        <x:v>1919</x:v>
      </x:c>
      <x:c r="B1920" s="7" t="str">
        <x:f>IF('요약'!$B$4=4,IF(ISNUMBER('input'!A1920),'input'!A1920,""),IF(1919&lt;=1000,CHOOSE('요약'!$B$4,'input'!B1920,'input'!C1920,'input'!D1920),""))</x:f>
      </x:c>
      <x:c r="C1920" s="7" t="str">
        <x:f>IF(AND(ISNUMBER(B1920),'요약'!$B$19),B1920-'요약'!$B$7,"")</x:f>
      </x:c>
      <x:c r="D1920" s="7" t="str">
        <x:f>IF(ISNUMBER(C1920),C1920^2,"")</x:f>
      </x:c>
      <x:c r="E1920" s="15" t="str">
        <x:f>IF(ISNUMBER(C1920),C1920^3,"")</x:f>
      </x:c>
      <x:c r="F1920" s="15" t="str">
        <x:f>IF(ISNUMBER(C1920),C1920^4,"")</x:f>
      </x:c>
      <x:c r="G1920" s="7" t="str">
        <x:f>IF(ISNUMBER(B1920),ABS(B1920),"")</x:f>
      </x:c>
      <x:c r="H1920" s="7" t="str">
        <x:f>IF(ISNUMBER(B1920),B1920^2,"")</x:f>
      </x:c>
      <x:c r="I1920" s="7" t="str">
        <x:f>IF(AND(ISNUMBER(G1920),'요약'!$B$19),G1920-'요약'!$B$14,"")</x:f>
      </x:c>
      <x:c r="J1920" s="7" t="str">
        <x:f>IF(AND(ISNUMBER(H1920),'요약'!$B$19),H1920-'요약'!$B$15,"")</x:f>
      </x:c>
      <x:c r="K1920" t="str">
        <x:f>IF(ISNUMBER(B1920),IF('Hill'!$B$4=1,IF(B1920&lt;0,-B1920,""),IF('Hill'!$B$4=2,IF(B1920&gt;0,B1920,""),IF('Hill'!$B$4=3,IF(B1920&lt;&gt;0,ABS(B1920),""),""))),"")</x:f>
      </x:c>
    </x:row>
    <x:row r="1921">
      <x:c r="A1921" t="n">
        <x:f>1920</x:f>
        <x:v>1920</x:v>
      </x:c>
      <x:c r="B1921" s="7" t="str">
        <x:f>IF('요약'!$B$4=4,IF(ISNUMBER('input'!A1921),'input'!A1921,""),IF(1920&lt;=1000,CHOOSE('요약'!$B$4,'input'!B1921,'input'!C1921,'input'!D1921),""))</x:f>
      </x:c>
      <x:c r="C1921" s="7" t="str">
        <x:f>IF(AND(ISNUMBER(B1921),'요약'!$B$19),B1921-'요약'!$B$7,"")</x:f>
      </x:c>
      <x:c r="D1921" s="7" t="str">
        <x:f>IF(ISNUMBER(C1921),C1921^2,"")</x:f>
      </x:c>
      <x:c r="E1921" s="15" t="str">
        <x:f>IF(ISNUMBER(C1921),C1921^3,"")</x:f>
      </x:c>
      <x:c r="F1921" s="15" t="str">
        <x:f>IF(ISNUMBER(C1921),C1921^4,"")</x:f>
      </x:c>
      <x:c r="G1921" s="7" t="str">
        <x:f>IF(ISNUMBER(B1921),ABS(B1921),"")</x:f>
      </x:c>
      <x:c r="H1921" s="7" t="str">
        <x:f>IF(ISNUMBER(B1921),B1921^2,"")</x:f>
      </x:c>
      <x:c r="I1921" s="7" t="str">
        <x:f>IF(AND(ISNUMBER(G1921),'요약'!$B$19),G1921-'요약'!$B$14,"")</x:f>
      </x:c>
      <x:c r="J1921" s="7" t="str">
        <x:f>IF(AND(ISNUMBER(H1921),'요약'!$B$19),H1921-'요약'!$B$15,"")</x:f>
      </x:c>
      <x:c r="K1921" t="str">
        <x:f>IF(ISNUMBER(B1921),IF('Hill'!$B$4=1,IF(B1921&lt;0,-B1921,""),IF('Hill'!$B$4=2,IF(B1921&gt;0,B1921,""),IF('Hill'!$B$4=3,IF(B1921&lt;&gt;0,ABS(B1921),""),""))),"")</x:f>
      </x:c>
    </x:row>
    <x:row r="1922">
      <x:c r="A1922" t="n">
        <x:f>1921</x:f>
        <x:v>1921</x:v>
      </x:c>
      <x:c r="B1922" s="7" t="str">
        <x:f>IF('요약'!$B$4=4,IF(ISNUMBER('input'!A1922),'input'!A1922,""),IF(1921&lt;=1000,CHOOSE('요약'!$B$4,'input'!B1922,'input'!C1922,'input'!D1922),""))</x:f>
      </x:c>
      <x:c r="C1922" s="7" t="str">
        <x:f>IF(AND(ISNUMBER(B1922),'요약'!$B$19),B1922-'요약'!$B$7,"")</x:f>
      </x:c>
      <x:c r="D1922" s="7" t="str">
        <x:f>IF(ISNUMBER(C1922),C1922^2,"")</x:f>
      </x:c>
      <x:c r="E1922" s="15" t="str">
        <x:f>IF(ISNUMBER(C1922),C1922^3,"")</x:f>
      </x:c>
      <x:c r="F1922" s="15" t="str">
        <x:f>IF(ISNUMBER(C1922),C1922^4,"")</x:f>
      </x:c>
      <x:c r="G1922" s="7" t="str">
        <x:f>IF(ISNUMBER(B1922),ABS(B1922),"")</x:f>
      </x:c>
      <x:c r="H1922" s="7" t="str">
        <x:f>IF(ISNUMBER(B1922),B1922^2,"")</x:f>
      </x:c>
      <x:c r="I1922" s="7" t="str">
        <x:f>IF(AND(ISNUMBER(G1922),'요약'!$B$19),G1922-'요약'!$B$14,"")</x:f>
      </x:c>
      <x:c r="J1922" s="7" t="str">
        <x:f>IF(AND(ISNUMBER(H1922),'요약'!$B$19),H1922-'요약'!$B$15,"")</x:f>
      </x:c>
      <x:c r="K1922" t="str">
        <x:f>IF(ISNUMBER(B1922),IF('Hill'!$B$4=1,IF(B1922&lt;0,-B1922,""),IF('Hill'!$B$4=2,IF(B1922&gt;0,B1922,""),IF('Hill'!$B$4=3,IF(B1922&lt;&gt;0,ABS(B1922),""),""))),"")</x:f>
      </x:c>
    </x:row>
    <x:row r="1923">
      <x:c r="A1923" t="n">
        <x:f>1922</x:f>
        <x:v>1922</x:v>
      </x:c>
      <x:c r="B1923" s="7" t="str">
        <x:f>IF('요약'!$B$4=4,IF(ISNUMBER('input'!A1923),'input'!A1923,""),IF(1922&lt;=1000,CHOOSE('요약'!$B$4,'input'!B1923,'input'!C1923,'input'!D1923),""))</x:f>
      </x:c>
      <x:c r="C1923" s="7" t="str">
        <x:f>IF(AND(ISNUMBER(B1923),'요약'!$B$19),B1923-'요약'!$B$7,"")</x:f>
      </x:c>
      <x:c r="D1923" s="7" t="str">
        <x:f>IF(ISNUMBER(C1923),C1923^2,"")</x:f>
      </x:c>
      <x:c r="E1923" s="15" t="str">
        <x:f>IF(ISNUMBER(C1923),C1923^3,"")</x:f>
      </x:c>
      <x:c r="F1923" s="15" t="str">
        <x:f>IF(ISNUMBER(C1923),C1923^4,"")</x:f>
      </x:c>
      <x:c r="G1923" s="7" t="str">
        <x:f>IF(ISNUMBER(B1923),ABS(B1923),"")</x:f>
      </x:c>
      <x:c r="H1923" s="7" t="str">
        <x:f>IF(ISNUMBER(B1923),B1923^2,"")</x:f>
      </x:c>
      <x:c r="I1923" s="7" t="str">
        <x:f>IF(AND(ISNUMBER(G1923),'요약'!$B$19),G1923-'요약'!$B$14,"")</x:f>
      </x:c>
      <x:c r="J1923" s="7" t="str">
        <x:f>IF(AND(ISNUMBER(H1923),'요약'!$B$19),H1923-'요약'!$B$15,"")</x:f>
      </x:c>
      <x:c r="K1923" t="str">
        <x:f>IF(ISNUMBER(B1923),IF('Hill'!$B$4=1,IF(B1923&lt;0,-B1923,""),IF('Hill'!$B$4=2,IF(B1923&gt;0,B1923,""),IF('Hill'!$B$4=3,IF(B1923&lt;&gt;0,ABS(B1923),""),""))),"")</x:f>
      </x:c>
    </x:row>
    <x:row r="1924">
      <x:c r="A1924" t="n">
        <x:f>1923</x:f>
        <x:v>1923</x:v>
      </x:c>
      <x:c r="B1924" s="7" t="str">
        <x:f>IF('요약'!$B$4=4,IF(ISNUMBER('input'!A1924),'input'!A1924,""),IF(1923&lt;=1000,CHOOSE('요약'!$B$4,'input'!B1924,'input'!C1924,'input'!D1924),""))</x:f>
      </x:c>
      <x:c r="C1924" s="7" t="str">
        <x:f>IF(AND(ISNUMBER(B1924),'요약'!$B$19),B1924-'요약'!$B$7,"")</x:f>
      </x:c>
      <x:c r="D1924" s="7" t="str">
        <x:f>IF(ISNUMBER(C1924),C1924^2,"")</x:f>
      </x:c>
      <x:c r="E1924" s="15" t="str">
        <x:f>IF(ISNUMBER(C1924),C1924^3,"")</x:f>
      </x:c>
      <x:c r="F1924" s="15" t="str">
        <x:f>IF(ISNUMBER(C1924),C1924^4,"")</x:f>
      </x:c>
      <x:c r="G1924" s="7" t="str">
        <x:f>IF(ISNUMBER(B1924),ABS(B1924),"")</x:f>
      </x:c>
      <x:c r="H1924" s="7" t="str">
        <x:f>IF(ISNUMBER(B1924),B1924^2,"")</x:f>
      </x:c>
      <x:c r="I1924" s="7" t="str">
        <x:f>IF(AND(ISNUMBER(G1924),'요약'!$B$19),G1924-'요약'!$B$14,"")</x:f>
      </x:c>
      <x:c r="J1924" s="7" t="str">
        <x:f>IF(AND(ISNUMBER(H1924),'요약'!$B$19),H1924-'요약'!$B$15,"")</x:f>
      </x:c>
      <x:c r="K1924" t="str">
        <x:f>IF(ISNUMBER(B1924),IF('Hill'!$B$4=1,IF(B1924&lt;0,-B1924,""),IF('Hill'!$B$4=2,IF(B1924&gt;0,B1924,""),IF('Hill'!$B$4=3,IF(B1924&lt;&gt;0,ABS(B1924),""),""))),"")</x:f>
      </x:c>
    </x:row>
    <x:row r="1925">
      <x:c r="A1925" t="n">
        <x:f>1924</x:f>
        <x:v>1924</x:v>
      </x:c>
      <x:c r="B1925" s="7" t="str">
        <x:f>IF('요약'!$B$4=4,IF(ISNUMBER('input'!A1925),'input'!A1925,""),IF(1924&lt;=1000,CHOOSE('요약'!$B$4,'input'!B1925,'input'!C1925,'input'!D1925),""))</x:f>
      </x:c>
      <x:c r="C1925" s="7" t="str">
        <x:f>IF(AND(ISNUMBER(B1925),'요약'!$B$19),B1925-'요약'!$B$7,"")</x:f>
      </x:c>
      <x:c r="D1925" s="7" t="str">
        <x:f>IF(ISNUMBER(C1925),C1925^2,"")</x:f>
      </x:c>
      <x:c r="E1925" s="15" t="str">
        <x:f>IF(ISNUMBER(C1925),C1925^3,"")</x:f>
      </x:c>
      <x:c r="F1925" s="15" t="str">
        <x:f>IF(ISNUMBER(C1925),C1925^4,"")</x:f>
      </x:c>
      <x:c r="G1925" s="7" t="str">
        <x:f>IF(ISNUMBER(B1925),ABS(B1925),"")</x:f>
      </x:c>
      <x:c r="H1925" s="7" t="str">
        <x:f>IF(ISNUMBER(B1925),B1925^2,"")</x:f>
      </x:c>
      <x:c r="I1925" s="7" t="str">
        <x:f>IF(AND(ISNUMBER(G1925),'요약'!$B$19),G1925-'요약'!$B$14,"")</x:f>
      </x:c>
      <x:c r="J1925" s="7" t="str">
        <x:f>IF(AND(ISNUMBER(H1925),'요약'!$B$19),H1925-'요약'!$B$15,"")</x:f>
      </x:c>
      <x:c r="K1925" t="str">
        <x:f>IF(ISNUMBER(B1925),IF('Hill'!$B$4=1,IF(B1925&lt;0,-B1925,""),IF('Hill'!$B$4=2,IF(B1925&gt;0,B1925,""),IF('Hill'!$B$4=3,IF(B1925&lt;&gt;0,ABS(B1925),""),""))),"")</x:f>
      </x:c>
    </x:row>
    <x:row r="1926">
      <x:c r="A1926" t="n">
        <x:f>1925</x:f>
        <x:v>1925</x:v>
      </x:c>
      <x:c r="B1926" s="7" t="str">
        <x:f>IF('요약'!$B$4=4,IF(ISNUMBER('input'!A1926),'input'!A1926,""),IF(1925&lt;=1000,CHOOSE('요약'!$B$4,'input'!B1926,'input'!C1926,'input'!D1926),""))</x:f>
      </x:c>
      <x:c r="C1926" s="7" t="str">
        <x:f>IF(AND(ISNUMBER(B1926),'요약'!$B$19),B1926-'요약'!$B$7,"")</x:f>
      </x:c>
      <x:c r="D1926" s="7" t="str">
        <x:f>IF(ISNUMBER(C1926),C1926^2,"")</x:f>
      </x:c>
      <x:c r="E1926" s="15" t="str">
        <x:f>IF(ISNUMBER(C1926),C1926^3,"")</x:f>
      </x:c>
      <x:c r="F1926" s="15" t="str">
        <x:f>IF(ISNUMBER(C1926),C1926^4,"")</x:f>
      </x:c>
      <x:c r="G1926" s="7" t="str">
        <x:f>IF(ISNUMBER(B1926),ABS(B1926),"")</x:f>
      </x:c>
      <x:c r="H1926" s="7" t="str">
        <x:f>IF(ISNUMBER(B1926),B1926^2,"")</x:f>
      </x:c>
      <x:c r="I1926" s="7" t="str">
        <x:f>IF(AND(ISNUMBER(G1926),'요약'!$B$19),G1926-'요약'!$B$14,"")</x:f>
      </x:c>
      <x:c r="J1926" s="7" t="str">
        <x:f>IF(AND(ISNUMBER(H1926),'요약'!$B$19),H1926-'요약'!$B$15,"")</x:f>
      </x:c>
      <x:c r="K1926" t="str">
        <x:f>IF(ISNUMBER(B1926),IF('Hill'!$B$4=1,IF(B1926&lt;0,-B1926,""),IF('Hill'!$B$4=2,IF(B1926&gt;0,B1926,""),IF('Hill'!$B$4=3,IF(B1926&lt;&gt;0,ABS(B1926),""),""))),"")</x:f>
      </x:c>
    </x:row>
    <x:row r="1927">
      <x:c r="A1927" t="n">
        <x:f>1926</x:f>
        <x:v>1926</x:v>
      </x:c>
      <x:c r="B1927" s="7" t="str">
        <x:f>IF('요약'!$B$4=4,IF(ISNUMBER('input'!A1927),'input'!A1927,""),IF(1926&lt;=1000,CHOOSE('요약'!$B$4,'input'!B1927,'input'!C1927,'input'!D1927),""))</x:f>
      </x:c>
      <x:c r="C1927" s="7" t="str">
        <x:f>IF(AND(ISNUMBER(B1927),'요약'!$B$19),B1927-'요약'!$B$7,"")</x:f>
      </x:c>
      <x:c r="D1927" s="7" t="str">
        <x:f>IF(ISNUMBER(C1927),C1927^2,"")</x:f>
      </x:c>
      <x:c r="E1927" s="15" t="str">
        <x:f>IF(ISNUMBER(C1927),C1927^3,"")</x:f>
      </x:c>
      <x:c r="F1927" s="15" t="str">
        <x:f>IF(ISNUMBER(C1927),C1927^4,"")</x:f>
      </x:c>
      <x:c r="G1927" s="7" t="str">
        <x:f>IF(ISNUMBER(B1927),ABS(B1927),"")</x:f>
      </x:c>
      <x:c r="H1927" s="7" t="str">
        <x:f>IF(ISNUMBER(B1927),B1927^2,"")</x:f>
      </x:c>
      <x:c r="I1927" s="7" t="str">
        <x:f>IF(AND(ISNUMBER(G1927),'요약'!$B$19),G1927-'요약'!$B$14,"")</x:f>
      </x:c>
      <x:c r="J1927" s="7" t="str">
        <x:f>IF(AND(ISNUMBER(H1927),'요약'!$B$19),H1927-'요약'!$B$15,"")</x:f>
      </x:c>
      <x:c r="K1927" t="str">
        <x:f>IF(ISNUMBER(B1927),IF('Hill'!$B$4=1,IF(B1927&lt;0,-B1927,""),IF('Hill'!$B$4=2,IF(B1927&gt;0,B1927,""),IF('Hill'!$B$4=3,IF(B1927&lt;&gt;0,ABS(B1927),""),""))),"")</x:f>
      </x:c>
    </x:row>
    <x:row r="1928">
      <x:c r="A1928" t="n">
        <x:f>1927</x:f>
        <x:v>1927</x:v>
      </x:c>
      <x:c r="B1928" s="7" t="str">
        <x:f>IF('요약'!$B$4=4,IF(ISNUMBER('input'!A1928),'input'!A1928,""),IF(1927&lt;=1000,CHOOSE('요약'!$B$4,'input'!B1928,'input'!C1928,'input'!D1928),""))</x:f>
      </x:c>
      <x:c r="C1928" s="7" t="str">
        <x:f>IF(AND(ISNUMBER(B1928),'요약'!$B$19),B1928-'요약'!$B$7,"")</x:f>
      </x:c>
      <x:c r="D1928" s="7" t="str">
        <x:f>IF(ISNUMBER(C1928),C1928^2,"")</x:f>
      </x:c>
      <x:c r="E1928" s="15" t="str">
        <x:f>IF(ISNUMBER(C1928),C1928^3,"")</x:f>
      </x:c>
      <x:c r="F1928" s="15" t="str">
        <x:f>IF(ISNUMBER(C1928),C1928^4,"")</x:f>
      </x:c>
      <x:c r="G1928" s="7" t="str">
        <x:f>IF(ISNUMBER(B1928),ABS(B1928),"")</x:f>
      </x:c>
      <x:c r="H1928" s="7" t="str">
        <x:f>IF(ISNUMBER(B1928),B1928^2,"")</x:f>
      </x:c>
      <x:c r="I1928" s="7" t="str">
        <x:f>IF(AND(ISNUMBER(G1928),'요약'!$B$19),G1928-'요약'!$B$14,"")</x:f>
      </x:c>
      <x:c r="J1928" s="7" t="str">
        <x:f>IF(AND(ISNUMBER(H1928),'요약'!$B$19),H1928-'요약'!$B$15,"")</x:f>
      </x:c>
      <x:c r="K1928" t="str">
        <x:f>IF(ISNUMBER(B1928),IF('Hill'!$B$4=1,IF(B1928&lt;0,-B1928,""),IF('Hill'!$B$4=2,IF(B1928&gt;0,B1928,""),IF('Hill'!$B$4=3,IF(B1928&lt;&gt;0,ABS(B1928),""),""))),"")</x:f>
      </x:c>
    </x:row>
    <x:row r="1929">
      <x:c r="A1929" t="n">
        <x:f>1928</x:f>
        <x:v>1928</x:v>
      </x:c>
      <x:c r="B1929" s="7" t="str">
        <x:f>IF('요약'!$B$4=4,IF(ISNUMBER('input'!A1929),'input'!A1929,""),IF(1928&lt;=1000,CHOOSE('요약'!$B$4,'input'!B1929,'input'!C1929,'input'!D1929),""))</x:f>
      </x:c>
      <x:c r="C1929" s="7" t="str">
        <x:f>IF(AND(ISNUMBER(B1929),'요약'!$B$19),B1929-'요약'!$B$7,"")</x:f>
      </x:c>
      <x:c r="D1929" s="7" t="str">
        <x:f>IF(ISNUMBER(C1929),C1929^2,"")</x:f>
      </x:c>
      <x:c r="E1929" s="15" t="str">
        <x:f>IF(ISNUMBER(C1929),C1929^3,"")</x:f>
      </x:c>
      <x:c r="F1929" s="15" t="str">
        <x:f>IF(ISNUMBER(C1929),C1929^4,"")</x:f>
      </x:c>
      <x:c r="G1929" s="7" t="str">
        <x:f>IF(ISNUMBER(B1929),ABS(B1929),"")</x:f>
      </x:c>
      <x:c r="H1929" s="7" t="str">
        <x:f>IF(ISNUMBER(B1929),B1929^2,"")</x:f>
      </x:c>
      <x:c r="I1929" s="7" t="str">
        <x:f>IF(AND(ISNUMBER(G1929),'요약'!$B$19),G1929-'요약'!$B$14,"")</x:f>
      </x:c>
      <x:c r="J1929" s="7" t="str">
        <x:f>IF(AND(ISNUMBER(H1929),'요약'!$B$19),H1929-'요약'!$B$15,"")</x:f>
      </x:c>
      <x:c r="K1929" t="str">
        <x:f>IF(ISNUMBER(B1929),IF('Hill'!$B$4=1,IF(B1929&lt;0,-B1929,""),IF('Hill'!$B$4=2,IF(B1929&gt;0,B1929,""),IF('Hill'!$B$4=3,IF(B1929&lt;&gt;0,ABS(B1929),""),""))),"")</x:f>
      </x:c>
    </x:row>
    <x:row r="1930">
      <x:c r="A1930" t="n">
        <x:f>1929</x:f>
        <x:v>1929</x:v>
      </x:c>
      <x:c r="B1930" s="7" t="str">
        <x:f>IF('요약'!$B$4=4,IF(ISNUMBER('input'!A1930),'input'!A1930,""),IF(1929&lt;=1000,CHOOSE('요약'!$B$4,'input'!B1930,'input'!C1930,'input'!D1930),""))</x:f>
      </x:c>
      <x:c r="C1930" s="7" t="str">
        <x:f>IF(AND(ISNUMBER(B1930),'요약'!$B$19),B1930-'요약'!$B$7,"")</x:f>
      </x:c>
      <x:c r="D1930" s="7" t="str">
        <x:f>IF(ISNUMBER(C1930),C1930^2,"")</x:f>
      </x:c>
      <x:c r="E1930" s="15" t="str">
        <x:f>IF(ISNUMBER(C1930),C1930^3,"")</x:f>
      </x:c>
      <x:c r="F1930" s="15" t="str">
        <x:f>IF(ISNUMBER(C1930),C1930^4,"")</x:f>
      </x:c>
      <x:c r="G1930" s="7" t="str">
        <x:f>IF(ISNUMBER(B1930),ABS(B1930),"")</x:f>
      </x:c>
      <x:c r="H1930" s="7" t="str">
        <x:f>IF(ISNUMBER(B1930),B1930^2,"")</x:f>
      </x:c>
      <x:c r="I1930" s="7" t="str">
        <x:f>IF(AND(ISNUMBER(G1930),'요약'!$B$19),G1930-'요약'!$B$14,"")</x:f>
      </x:c>
      <x:c r="J1930" s="7" t="str">
        <x:f>IF(AND(ISNUMBER(H1930),'요약'!$B$19),H1930-'요약'!$B$15,"")</x:f>
      </x:c>
      <x:c r="K1930" t="str">
        <x:f>IF(ISNUMBER(B1930),IF('Hill'!$B$4=1,IF(B1930&lt;0,-B1930,""),IF('Hill'!$B$4=2,IF(B1930&gt;0,B1930,""),IF('Hill'!$B$4=3,IF(B1930&lt;&gt;0,ABS(B1930),""),""))),"")</x:f>
      </x:c>
    </x:row>
    <x:row r="1931">
      <x:c r="A1931" t="n">
        <x:f>1930</x:f>
        <x:v>1930</x:v>
      </x:c>
      <x:c r="B1931" s="7" t="str">
        <x:f>IF('요약'!$B$4=4,IF(ISNUMBER('input'!A1931),'input'!A1931,""),IF(1930&lt;=1000,CHOOSE('요약'!$B$4,'input'!B1931,'input'!C1931,'input'!D1931),""))</x:f>
      </x:c>
      <x:c r="C1931" s="7" t="str">
        <x:f>IF(AND(ISNUMBER(B1931),'요약'!$B$19),B1931-'요약'!$B$7,"")</x:f>
      </x:c>
      <x:c r="D1931" s="7" t="str">
        <x:f>IF(ISNUMBER(C1931),C1931^2,"")</x:f>
      </x:c>
      <x:c r="E1931" s="15" t="str">
        <x:f>IF(ISNUMBER(C1931),C1931^3,"")</x:f>
      </x:c>
      <x:c r="F1931" s="15" t="str">
        <x:f>IF(ISNUMBER(C1931),C1931^4,"")</x:f>
      </x:c>
      <x:c r="G1931" s="7" t="str">
        <x:f>IF(ISNUMBER(B1931),ABS(B1931),"")</x:f>
      </x:c>
      <x:c r="H1931" s="7" t="str">
        <x:f>IF(ISNUMBER(B1931),B1931^2,"")</x:f>
      </x:c>
      <x:c r="I1931" s="7" t="str">
        <x:f>IF(AND(ISNUMBER(G1931),'요약'!$B$19),G1931-'요약'!$B$14,"")</x:f>
      </x:c>
      <x:c r="J1931" s="7" t="str">
        <x:f>IF(AND(ISNUMBER(H1931),'요약'!$B$19),H1931-'요약'!$B$15,"")</x:f>
      </x:c>
      <x:c r="K1931" t="str">
        <x:f>IF(ISNUMBER(B1931),IF('Hill'!$B$4=1,IF(B1931&lt;0,-B1931,""),IF('Hill'!$B$4=2,IF(B1931&gt;0,B1931,""),IF('Hill'!$B$4=3,IF(B1931&lt;&gt;0,ABS(B1931),""),""))),"")</x:f>
      </x:c>
    </x:row>
    <x:row r="1932">
      <x:c r="A1932" t="n">
        <x:f>1931</x:f>
        <x:v>1931</x:v>
      </x:c>
      <x:c r="B1932" s="7" t="str">
        <x:f>IF('요약'!$B$4=4,IF(ISNUMBER('input'!A1932),'input'!A1932,""),IF(1931&lt;=1000,CHOOSE('요약'!$B$4,'input'!B1932,'input'!C1932,'input'!D1932),""))</x:f>
      </x:c>
      <x:c r="C1932" s="7" t="str">
        <x:f>IF(AND(ISNUMBER(B1932),'요약'!$B$19),B1932-'요약'!$B$7,"")</x:f>
      </x:c>
      <x:c r="D1932" s="7" t="str">
        <x:f>IF(ISNUMBER(C1932),C1932^2,"")</x:f>
      </x:c>
      <x:c r="E1932" s="15" t="str">
        <x:f>IF(ISNUMBER(C1932),C1932^3,"")</x:f>
      </x:c>
      <x:c r="F1932" s="15" t="str">
        <x:f>IF(ISNUMBER(C1932),C1932^4,"")</x:f>
      </x:c>
      <x:c r="G1932" s="7" t="str">
        <x:f>IF(ISNUMBER(B1932),ABS(B1932),"")</x:f>
      </x:c>
      <x:c r="H1932" s="7" t="str">
        <x:f>IF(ISNUMBER(B1932),B1932^2,"")</x:f>
      </x:c>
      <x:c r="I1932" s="7" t="str">
        <x:f>IF(AND(ISNUMBER(G1932),'요약'!$B$19),G1932-'요약'!$B$14,"")</x:f>
      </x:c>
      <x:c r="J1932" s="7" t="str">
        <x:f>IF(AND(ISNUMBER(H1932),'요약'!$B$19),H1932-'요약'!$B$15,"")</x:f>
      </x:c>
      <x:c r="K1932" t="str">
        <x:f>IF(ISNUMBER(B1932),IF('Hill'!$B$4=1,IF(B1932&lt;0,-B1932,""),IF('Hill'!$B$4=2,IF(B1932&gt;0,B1932,""),IF('Hill'!$B$4=3,IF(B1932&lt;&gt;0,ABS(B1932),""),""))),"")</x:f>
      </x:c>
    </x:row>
    <x:row r="1933">
      <x:c r="A1933" t="n">
        <x:f>1932</x:f>
        <x:v>1932</x:v>
      </x:c>
      <x:c r="B1933" s="7" t="str">
        <x:f>IF('요약'!$B$4=4,IF(ISNUMBER('input'!A1933),'input'!A1933,""),IF(1932&lt;=1000,CHOOSE('요약'!$B$4,'input'!B1933,'input'!C1933,'input'!D1933),""))</x:f>
      </x:c>
      <x:c r="C1933" s="7" t="str">
        <x:f>IF(AND(ISNUMBER(B1933),'요약'!$B$19),B1933-'요약'!$B$7,"")</x:f>
      </x:c>
      <x:c r="D1933" s="7" t="str">
        <x:f>IF(ISNUMBER(C1933),C1933^2,"")</x:f>
      </x:c>
      <x:c r="E1933" s="15" t="str">
        <x:f>IF(ISNUMBER(C1933),C1933^3,"")</x:f>
      </x:c>
      <x:c r="F1933" s="15" t="str">
        <x:f>IF(ISNUMBER(C1933),C1933^4,"")</x:f>
      </x:c>
      <x:c r="G1933" s="7" t="str">
        <x:f>IF(ISNUMBER(B1933),ABS(B1933),"")</x:f>
      </x:c>
      <x:c r="H1933" s="7" t="str">
        <x:f>IF(ISNUMBER(B1933),B1933^2,"")</x:f>
      </x:c>
      <x:c r="I1933" s="7" t="str">
        <x:f>IF(AND(ISNUMBER(G1933),'요약'!$B$19),G1933-'요약'!$B$14,"")</x:f>
      </x:c>
      <x:c r="J1933" s="7" t="str">
        <x:f>IF(AND(ISNUMBER(H1933),'요약'!$B$19),H1933-'요약'!$B$15,"")</x:f>
      </x:c>
      <x:c r="K1933" t="str">
        <x:f>IF(ISNUMBER(B1933),IF('Hill'!$B$4=1,IF(B1933&lt;0,-B1933,""),IF('Hill'!$B$4=2,IF(B1933&gt;0,B1933,""),IF('Hill'!$B$4=3,IF(B1933&lt;&gt;0,ABS(B1933),""),""))),"")</x:f>
      </x:c>
    </x:row>
    <x:row r="1934">
      <x:c r="A1934" t="n">
        <x:f>1933</x:f>
        <x:v>1933</x:v>
      </x:c>
      <x:c r="B1934" s="7" t="str">
        <x:f>IF('요약'!$B$4=4,IF(ISNUMBER('input'!A1934),'input'!A1934,""),IF(1933&lt;=1000,CHOOSE('요약'!$B$4,'input'!B1934,'input'!C1934,'input'!D1934),""))</x:f>
      </x:c>
      <x:c r="C1934" s="7" t="str">
        <x:f>IF(AND(ISNUMBER(B1934),'요약'!$B$19),B1934-'요약'!$B$7,"")</x:f>
      </x:c>
      <x:c r="D1934" s="7" t="str">
        <x:f>IF(ISNUMBER(C1934),C1934^2,"")</x:f>
      </x:c>
      <x:c r="E1934" s="15" t="str">
        <x:f>IF(ISNUMBER(C1934),C1934^3,"")</x:f>
      </x:c>
      <x:c r="F1934" s="15" t="str">
        <x:f>IF(ISNUMBER(C1934),C1934^4,"")</x:f>
      </x:c>
      <x:c r="G1934" s="7" t="str">
        <x:f>IF(ISNUMBER(B1934),ABS(B1934),"")</x:f>
      </x:c>
      <x:c r="H1934" s="7" t="str">
        <x:f>IF(ISNUMBER(B1934),B1934^2,"")</x:f>
      </x:c>
      <x:c r="I1934" s="7" t="str">
        <x:f>IF(AND(ISNUMBER(G1934),'요약'!$B$19),G1934-'요약'!$B$14,"")</x:f>
      </x:c>
      <x:c r="J1934" s="7" t="str">
        <x:f>IF(AND(ISNUMBER(H1934),'요약'!$B$19),H1934-'요약'!$B$15,"")</x:f>
      </x:c>
      <x:c r="K1934" t="str">
        <x:f>IF(ISNUMBER(B1934),IF('Hill'!$B$4=1,IF(B1934&lt;0,-B1934,""),IF('Hill'!$B$4=2,IF(B1934&gt;0,B1934,""),IF('Hill'!$B$4=3,IF(B1934&lt;&gt;0,ABS(B1934),""),""))),"")</x:f>
      </x:c>
    </x:row>
    <x:row r="1935">
      <x:c r="A1935" t="n">
        <x:f>1934</x:f>
        <x:v>1934</x:v>
      </x:c>
      <x:c r="B1935" s="7" t="str">
        <x:f>IF('요약'!$B$4=4,IF(ISNUMBER('input'!A1935),'input'!A1935,""),IF(1934&lt;=1000,CHOOSE('요약'!$B$4,'input'!B1935,'input'!C1935,'input'!D1935),""))</x:f>
      </x:c>
      <x:c r="C1935" s="7" t="str">
        <x:f>IF(AND(ISNUMBER(B1935),'요약'!$B$19),B1935-'요약'!$B$7,"")</x:f>
      </x:c>
      <x:c r="D1935" s="7" t="str">
        <x:f>IF(ISNUMBER(C1935),C1935^2,"")</x:f>
      </x:c>
      <x:c r="E1935" s="15" t="str">
        <x:f>IF(ISNUMBER(C1935),C1935^3,"")</x:f>
      </x:c>
      <x:c r="F1935" s="15" t="str">
        <x:f>IF(ISNUMBER(C1935),C1935^4,"")</x:f>
      </x:c>
      <x:c r="G1935" s="7" t="str">
        <x:f>IF(ISNUMBER(B1935),ABS(B1935),"")</x:f>
      </x:c>
      <x:c r="H1935" s="7" t="str">
        <x:f>IF(ISNUMBER(B1935),B1935^2,"")</x:f>
      </x:c>
      <x:c r="I1935" s="7" t="str">
        <x:f>IF(AND(ISNUMBER(G1935),'요약'!$B$19),G1935-'요약'!$B$14,"")</x:f>
      </x:c>
      <x:c r="J1935" s="7" t="str">
        <x:f>IF(AND(ISNUMBER(H1935),'요약'!$B$19),H1935-'요약'!$B$15,"")</x:f>
      </x:c>
      <x:c r="K1935" t="str">
        <x:f>IF(ISNUMBER(B1935),IF('Hill'!$B$4=1,IF(B1935&lt;0,-B1935,""),IF('Hill'!$B$4=2,IF(B1935&gt;0,B1935,""),IF('Hill'!$B$4=3,IF(B1935&lt;&gt;0,ABS(B1935),""),""))),"")</x:f>
      </x:c>
    </x:row>
    <x:row r="1936">
      <x:c r="A1936" t="n">
        <x:f>1935</x:f>
        <x:v>1935</x:v>
      </x:c>
      <x:c r="B1936" s="7" t="str">
        <x:f>IF('요약'!$B$4=4,IF(ISNUMBER('input'!A1936),'input'!A1936,""),IF(1935&lt;=1000,CHOOSE('요약'!$B$4,'input'!B1936,'input'!C1936,'input'!D1936),""))</x:f>
      </x:c>
      <x:c r="C1936" s="7" t="str">
        <x:f>IF(AND(ISNUMBER(B1936),'요약'!$B$19),B1936-'요약'!$B$7,"")</x:f>
      </x:c>
      <x:c r="D1936" s="7" t="str">
        <x:f>IF(ISNUMBER(C1936),C1936^2,"")</x:f>
      </x:c>
      <x:c r="E1936" s="15" t="str">
        <x:f>IF(ISNUMBER(C1936),C1936^3,"")</x:f>
      </x:c>
      <x:c r="F1936" s="15" t="str">
        <x:f>IF(ISNUMBER(C1936),C1936^4,"")</x:f>
      </x:c>
      <x:c r="G1936" s="7" t="str">
        <x:f>IF(ISNUMBER(B1936),ABS(B1936),"")</x:f>
      </x:c>
      <x:c r="H1936" s="7" t="str">
        <x:f>IF(ISNUMBER(B1936),B1936^2,"")</x:f>
      </x:c>
      <x:c r="I1936" s="7" t="str">
        <x:f>IF(AND(ISNUMBER(G1936),'요약'!$B$19),G1936-'요약'!$B$14,"")</x:f>
      </x:c>
      <x:c r="J1936" s="7" t="str">
        <x:f>IF(AND(ISNUMBER(H1936),'요약'!$B$19),H1936-'요약'!$B$15,"")</x:f>
      </x:c>
      <x:c r="K1936" t="str">
        <x:f>IF(ISNUMBER(B1936),IF('Hill'!$B$4=1,IF(B1936&lt;0,-B1936,""),IF('Hill'!$B$4=2,IF(B1936&gt;0,B1936,""),IF('Hill'!$B$4=3,IF(B1936&lt;&gt;0,ABS(B1936),""),""))),"")</x:f>
      </x:c>
    </x:row>
    <x:row r="1937">
      <x:c r="A1937" t="n">
        <x:f>1936</x:f>
        <x:v>1936</x:v>
      </x:c>
      <x:c r="B1937" s="7" t="str">
        <x:f>IF('요약'!$B$4=4,IF(ISNUMBER('input'!A1937),'input'!A1937,""),IF(1936&lt;=1000,CHOOSE('요약'!$B$4,'input'!B1937,'input'!C1937,'input'!D1937),""))</x:f>
      </x:c>
      <x:c r="C1937" s="7" t="str">
        <x:f>IF(AND(ISNUMBER(B1937),'요약'!$B$19),B1937-'요약'!$B$7,"")</x:f>
      </x:c>
      <x:c r="D1937" s="7" t="str">
        <x:f>IF(ISNUMBER(C1937),C1937^2,"")</x:f>
      </x:c>
      <x:c r="E1937" s="15" t="str">
        <x:f>IF(ISNUMBER(C1937),C1937^3,"")</x:f>
      </x:c>
      <x:c r="F1937" s="15" t="str">
        <x:f>IF(ISNUMBER(C1937),C1937^4,"")</x:f>
      </x:c>
      <x:c r="G1937" s="7" t="str">
        <x:f>IF(ISNUMBER(B1937),ABS(B1937),"")</x:f>
      </x:c>
      <x:c r="H1937" s="7" t="str">
        <x:f>IF(ISNUMBER(B1937),B1937^2,"")</x:f>
      </x:c>
      <x:c r="I1937" s="7" t="str">
        <x:f>IF(AND(ISNUMBER(G1937),'요약'!$B$19),G1937-'요약'!$B$14,"")</x:f>
      </x:c>
      <x:c r="J1937" s="7" t="str">
        <x:f>IF(AND(ISNUMBER(H1937),'요약'!$B$19),H1937-'요약'!$B$15,"")</x:f>
      </x:c>
      <x:c r="K1937" t="str">
        <x:f>IF(ISNUMBER(B1937),IF('Hill'!$B$4=1,IF(B1937&lt;0,-B1937,""),IF('Hill'!$B$4=2,IF(B1937&gt;0,B1937,""),IF('Hill'!$B$4=3,IF(B1937&lt;&gt;0,ABS(B1937),""),""))),"")</x:f>
      </x:c>
    </x:row>
    <x:row r="1938">
      <x:c r="A1938" t="n">
        <x:f>1937</x:f>
        <x:v>1937</x:v>
      </x:c>
      <x:c r="B1938" s="7" t="str">
        <x:f>IF('요약'!$B$4=4,IF(ISNUMBER('input'!A1938),'input'!A1938,""),IF(1937&lt;=1000,CHOOSE('요약'!$B$4,'input'!B1938,'input'!C1938,'input'!D1938),""))</x:f>
      </x:c>
      <x:c r="C1938" s="7" t="str">
        <x:f>IF(AND(ISNUMBER(B1938),'요약'!$B$19),B1938-'요약'!$B$7,"")</x:f>
      </x:c>
      <x:c r="D1938" s="7" t="str">
        <x:f>IF(ISNUMBER(C1938),C1938^2,"")</x:f>
      </x:c>
      <x:c r="E1938" s="15" t="str">
        <x:f>IF(ISNUMBER(C1938),C1938^3,"")</x:f>
      </x:c>
      <x:c r="F1938" s="15" t="str">
        <x:f>IF(ISNUMBER(C1938),C1938^4,"")</x:f>
      </x:c>
      <x:c r="G1938" s="7" t="str">
        <x:f>IF(ISNUMBER(B1938),ABS(B1938),"")</x:f>
      </x:c>
      <x:c r="H1938" s="7" t="str">
        <x:f>IF(ISNUMBER(B1938),B1938^2,"")</x:f>
      </x:c>
      <x:c r="I1938" s="7" t="str">
        <x:f>IF(AND(ISNUMBER(G1938),'요약'!$B$19),G1938-'요약'!$B$14,"")</x:f>
      </x:c>
      <x:c r="J1938" s="7" t="str">
        <x:f>IF(AND(ISNUMBER(H1938),'요약'!$B$19),H1938-'요약'!$B$15,"")</x:f>
      </x:c>
      <x:c r="K1938" t="str">
        <x:f>IF(ISNUMBER(B1938),IF('Hill'!$B$4=1,IF(B1938&lt;0,-B1938,""),IF('Hill'!$B$4=2,IF(B1938&gt;0,B1938,""),IF('Hill'!$B$4=3,IF(B1938&lt;&gt;0,ABS(B1938),""),""))),"")</x:f>
      </x:c>
    </x:row>
    <x:row r="1939">
      <x:c r="A1939" t="n">
        <x:f>1938</x:f>
        <x:v>1938</x:v>
      </x:c>
      <x:c r="B1939" s="7" t="str">
        <x:f>IF('요약'!$B$4=4,IF(ISNUMBER('input'!A1939),'input'!A1939,""),IF(1938&lt;=1000,CHOOSE('요약'!$B$4,'input'!B1939,'input'!C1939,'input'!D1939),""))</x:f>
      </x:c>
      <x:c r="C1939" s="7" t="str">
        <x:f>IF(AND(ISNUMBER(B1939),'요약'!$B$19),B1939-'요약'!$B$7,"")</x:f>
      </x:c>
      <x:c r="D1939" s="7" t="str">
        <x:f>IF(ISNUMBER(C1939),C1939^2,"")</x:f>
      </x:c>
      <x:c r="E1939" s="15" t="str">
        <x:f>IF(ISNUMBER(C1939),C1939^3,"")</x:f>
      </x:c>
      <x:c r="F1939" s="15" t="str">
        <x:f>IF(ISNUMBER(C1939),C1939^4,"")</x:f>
      </x:c>
      <x:c r="G1939" s="7" t="str">
        <x:f>IF(ISNUMBER(B1939),ABS(B1939),"")</x:f>
      </x:c>
      <x:c r="H1939" s="7" t="str">
        <x:f>IF(ISNUMBER(B1939),B1939^2,"")</x:f>
      </x:c>
      <x:c r="I1939" s="7" t="str">
        <x:f>IF(AND(ISNUMBER(G1939),'요약'!$B$19),G1939-'요약'!$B$14,"")</x:f>
      </x:c>
      <x:c r="J1939" s="7" t="str">
        <x:f>IF(AND(ISNUMBER(H1939),'요약'!$B$19),H1939-'요약'!$B$15,"")</x:f>
      </x:c>
      <x:c r="K1939" t="str">
        <x:f>IF(ISNUMBER(B1939),IF('Hill'!$B$4=1,IF(B1939&lt;0,-B1939,""),IF('Hill'!$B$4=2,IF(B1939&gt;0,B1939,""),IF('Hill'!$B$4=3,IF(B1939&lt;&gt;0,ABS(B1939),""),""))),"")</x:f>
      </x:c>
    </x:row>
    <x:row r="1940">
      <x:c r="A1940" t="n">
        <x:f>1939</x:f>
        <x:v>1939</x:v>
      </x:c>
      <x:c r="B1940" s="7" t="str">
        <x:f>IF('요약'!$B$4=4,IF(ISNUMBER('input'!A1940),'input'!A1940,""),IF(1939&lt;=1000,CHOOSE('요약'!$B$4,'input'!B1940,'input'!C1940,'input'!D1940),""))</x:f>
      </x:c>
      <x:c r="C1940" s="7" t="str">
        <x:f>IF(AND(ISNUMBER(B1940),'요약'!$B$19),B1940-'요약'!$B$7,"")</x:f>
      </x:c>
      <x:c r="D1940" s="7" t="str">
        <x:f>IF(ISNUMBER(C1940),C1940^2,"")</x:f>
      </x:c>
      <x:c r="E1940" s="15" t="str">
        <x:f>IF(ISNUMBER(C1940),C1940^3,"")</x:f>
      </x:c>
      <x:c r="F1940" s="15" t="str">
        <x:f>IF(ISNUMBER(C1940),C1940^4,"")</x:f>
      </x:c>
      <x:c r="G1940" s="7" t="str">
        <x:f>IF(ISNUMBER(B1940),ABS(B1940),"")</x:f>
      </x:c>
      <x:c r="H1940" s="7" t="str">
        <x:f>IF(ISNUMBER(B1940),B1940^2,"")</x:f>
      </x:c>
      <x:c r="I1940" s="7" t="str">
        <x:f>IF(AND(ISNUMBER(G1940),'요약'!$B$19),G1940-'요약'!$B$14,"")</x:f>
      </x:c>
      <x:c r="J1940" s="7" t="str">
        <x:f>IF(AND(ISNUMBER(H1940),'요약'!$B$19),H1940-'요약'!$B$15,"")</x:f>
      </x:c>
      <x:c r="K1940" t="str">
        <x:f>IF(ISNUMBER(B1940),IF('Hill'!$B$4=1,IF(B1940&lt;0,-B1940,""),IF('Hill'!$B$4=2,IF(B1940&gt;0,B1940,""),IF('Hill'!$B$4=3,IF(B1940&lt;&gt;0,ABS(B1940),""),""))),"")</x:f>
      </x:c>
    </x:row>
    <x:row r="1941">
      <x:c r="A1941" t="n">
        <x:f>1940</x:f>
        <x:v>1940</x:v>
      </x:c>
      <x:c r="B1941" s="7" t="str">
        <x:f>IF('요약'!$B$4=4,IF(ISNUMBER('input'!A1941),'input'!A1941,""),IF(1940&lt;=1000,CHOOSE('요약'!$B$4,'input'!B1941,'input'!C1941,'input'!D1941),""))</x:f>
      </x:c>
      <x:c r="C1941" s="7" t="str">
        <x:f>IF(AND(ISNUMBER(B1941),'요약'!$B$19),B1941-'요약'!$B$7,"")</x:f>
      </x:c>
      <x:c r="D1941" s="7" t="str">
        <x:f>IF(ISNUMBER(C1941),C1941^2,"")</x:f>
      </x:c>
      <x:c r="E1941" s="15" t="str">
        <x:f>IF(ISNUMBER(C1941),C1941^3,"")</x:f>
      </x:c>
      <x:c r="F1941" s="15" t="str">
        <x:f>IF(ISNUMBER(C1941),C1941^4,"")</x:f>
      </x:c>
      <x:c r="G1941" s="7" t="str">
        <x:f>IF(ISNUMBER(B1941),ABS(B1941),"")</x:f>
      </x:c>
      <x:c r="H1941" s="7" t="str">
        <x:f>IF(ISNUMBER(B1941),B1941^2,"")</x:f>
      </x:c>
      <x:c r="I1941" s="7" t="str">
        <x:f>IF(AND(ISNUMBER(G1941),'요약'!$B$19),G1941-'요약'!$B$14,"")</x:f>
      </x:c>
      <x:c r="J1941" s="7" t="str">
        <x:f>IF(AND(ISNUMBER(H1941),'요약'!$B$19),H1941-'요약'!$B$15,"")</x:f>
      </x:c>
      <x:c r="K1941" t="str">
        <x:f>IF(ISNUMBER(B1941),IF('Hill'!$B$4=1,IF(B1941&lt;0,-B1941,""),IF('Hill'!$B$4=2,IF(B1941&gt;0,B1941,""),IF('Hill'!$B$4=3,IF(B1941&lt;&gt;0,ABS(B1941),""),""))),"")</x:f>
      </x:c>
    </x:row>
    <x:row r="1942">
      <x:c r="A1942" t="n">
        <x:f>1941</x:f>
        <x:v>1941</x:v>
      </x:c>
      <x:c r="B1942" s="7" t="str">
        <x:f>IF('요약'!$B$4=4,IF(ISNUMBER('input'!A1942),'input'!A1942,""),IF(1941&lt;=1000,CHOOSE('요약'!$B$4,'input'!B1942,'input'!C1942,'input'!D1942),""))</x:f>
      </x:c>
      <x:c r="C1942" s="7" t="str">
        <x:f>IF(AND(ISNUMBER(B1942),'요약'!$B$19),B1942-'요약'!$B$7,"")</x:f>
      </x:c>
      <x:c r="D1942" s="7" t="str">
        <x:f>IF(ISNUMBER(C1942),C1942^2,"")</x:f>
      </x:c>
      <x:c r="E1942" s="15" t="str">
        <x:f>IF(ISNUMBER(C1942),C1942^3,"")</x:f>
      </x:c>
      <x:c r="F1942" s="15" t="str">
        <x:f>IF(ISNUMBER(C1942),C1942^4,"")</x:f>
      </x:c>
      <x:c r="G1942" s="7" t="str">
        <x:f>IF(ISNUMBER(B1942),ABS(B1942),"")</x:f>
      </x:c>
      <x:c r="H1942" s="7" t="str">
        <x:f>IF(ISNUMBER(B1942),B1942^2,"")</x:f>
      </x:c>
      <x:c r="I1942" s="7" t="str">
        <x:f>IF(AND(ISNUMBER(G1942),'요약'!$B$19),G1942-'요약'!$B$14,"")</x:f>
      </x:c>
      <x:c r="J1942" s="7" t="str">
        <x:f>IF(AND(ISNUMBER(H1942),'요약'!$B$19),H1942-'요약'!$B$15,"")</x:f>
      </x:c>
      <x:c r="K1942" t="str">
        <x:f>IF(ISNUMBER(B1942),IF('Hill'!$B$4=1,IF(B1942&lt;0,-B1942,""),IF('Hill'!$B$4=2,IF(B1942&gt;0,B1942,""),IF('Hill'!$B$4=3,IF(B1942&lt;&gt;0,ABS(B1942),""),""))),"")</x:f>
      </x:c>
    </x:row>
    <x:row r="1943">
      <x:c r="A1943" t="n">
        <x:f>1942</x:f>
        <x:v>1942</x:v>
      </x:c>
      <x:c r="B1943" s="7" t="str">
        <x:f>IF('요약'!$B$4=4,IF(ISNUMBER('input'!A1943),'input'!A1943,""),IF(1942&lt;=1000,CHOOSE('요약'!$B$4,'input'!B1943,'input'!C1943,'input'!D1943),""))</x:f>
      </x:c>
      <x:c r="C1943" s="7" t="str">
        <x:f>IF(AND(ISNUMBER(B1943),'요약'!$B$19),B1943-'요약'!$B$7,"")</x:f>
      </x:c>
      <x:c r="D1943" s="7" t="str">
        <x:f>IF(ISNUMBER(C1943),C1943^2,"")</x:f>
      </x:c>
      <x:c r="E1943" s="15" t="str">
        <x:f>IF(ISNUMBER(C1943),C1943^3,"")</x:f>
      </x:c>
      <x:c r="F1943" s="15" t="str">
        <x:f>IF(ISNUMBER(C1943),C1943^4,"")</x:f>
      </x:c>
      <x:c r="G1943" s="7" t="str">
        <x:f>IF(ISNUMBER(B1943),ABS(B1943),"")</x:f>
      </x:c>
      <x:c r="H1943" s="7" t="str">
        <x:f>IF(ISNUMBER(B1943),B1943^2,"")</x:f>
      </x:c>
      <x:c r="I1943" s="7" t="str">
        <x:f>IF(AND(ISNUMBER(G1943),'요약'!$B$19),G1943-'요약'!$B$14,"")</x:f>
      </x:c>
      <x:c r="J1943" s="7" t="str">
        <x:f>IF(AND(ISNUMBER(H1943),'요약'!$B$19),H1943-'요약'!$B$15,"")</x:f>
      </x:c>
      <x:c r="K1943" t="str">
        <x:f>IF(ISNUMBER(B1943),IF('Hill'!$B$4=1,IF(B1943&lt;0,-B1943,""),IF('Hill'!$B$4=2,IF(B1943&gt;0,B1943,""),IF('Hill'!$B$4=3,IF(B1943&lt;&gt;0,ABS(B1943),""),""))),"")</x:f>
      </x:c>
    </x:row>
    <x:row r="1944">
      <x:c r="A1944" t="n">
        <x:f>1943</x:f>
        <x:v>1943</x:v>
      </x:c>
      <x:c r="B1944" s="7" t="str">
        <x:f>IF('요약'!$B$4=4,IF(ISNUMBER('input'!A1944),'input'!A1944,""),IF(1943&lt;=1000,CHOOSE('요약'!$B$4,'input'!B1944,'input'!C1944,'input'!D1944),""))</x:f>
      </x:c>
      <x:c r="C1944" s="7" t="str">
        <x:f>IF(AND(ISNUMBER(B1944),'요약'!$B$19),B1944-'요약'!$B$7,"")</x:f>
      </x:c>
      <x:c r="D1944" s="7" t="str">
        <x:f>IF(ISNUMBER(C1944),C1944^2,"")</x:f>
      </x:c>
      <x:c r="E1944" s="15" t="str">
        <x:f>IF(ISNUMBER(C1944),C1944^3,"")</x:f>
      </x:c>
      <x:c r="F1944" s="15" t="str">
        <x:f>IF(ISNUMBER(C1944),C1944^4,"")</x:f>
      </x:c>
      <x:c r="G1944" s="7" t="str">
        <x:f>IF(ISNUMBER(B1944),ABS(B1944),"")</x:f>
      </x:c>
      <x:c r="H1944" s="7" t="str">
        <x:f>IF(ISNUMBER(B1944),B1944^2,"")</x:f>
      </x:c>
      <x:c r="I1944" s="7" t="str">
        <x:f>IF(AND(ISNUMBER(G1944),'요약'!$B$19),G1944-'요약'!$B$14,"")</x:f>
      </x:c>
      <x:c r="J1944" s="7" t="str">
        <x:f>IF(AND(ISNUMBER(H1944),'요약'!$B$19),H1944-'요약'!$B$15,"")</x:f>
      </x:c>
      <x:c r="K1944" t="str">
        <x:f>IF(ISNUMBER(B1944),IF('Hill'!$B$4=1,IF(B1944&lt;0,-B1944,""),IF('Hill'!$B$4=2,IF(B1944&gt;0,B1944,""),IF('Hill'!$B$4=3,IF(B1944&lt;&gt;0,ABS(B1944),""),""))),"")</x:f>
      </x:c>
    </x:row>
    <x:row r="1945">
      <x:c r="A1945" t="n">
        <x:f>1944</x:f>
        <x:v>1944</x:v>
      </x:c>
      <x:c r="B1945" s="7" t="str">
        <x:f>IF('요약'!$B$4=4,IF(ISNUMBER('input'!A1945),'input'!A1945,""),IF(1944&lt;=1000,CHOOSE('요약'!$B$4,'input'!B1945,'input'!C1945,'input'!D1945),""))</x:f>
      </x:c>
      <x:c r="C1945" s="7" t="str">
        <x:f>IF(AND(ISNUMBER(B1945),'요약'!$B$19),B1945-'요약'!$B$7,"")</x:f>
      </x:c>
      <x:c r="D1945" s="7" t="str">
        <x:f>IF(ISNUMBER(C1945),C1945^2,"")</x:f>
      </x:c>
      <x:c r="E1945" s="15" t="str">
        <x:f>IF(ISNUMBER(C1945),C1945^3,"")</x:f>
      </x:c>
      <x:c r="F1945" s="15" t="str">
        <x:f>IF(ISNUMBER(C1945),C1945^4,"")</x:f>
      </x:c>
      <x:c r="G1945" s="7" t="str">
        <x:f>IF(ISNUMBER(B1945),ABS(B1945),"")</x:f>
      </x:c>
      <x:c r="H1945" s="7" t="str">
        <x:f>IF(ISNUMBER(B1945),B1945^2,"")</x:f>
      </x:c>
      <x:c r="I1945" s="7" t="str">
        <x:f>IF(AND(ISNUMBER(G1945),'요약'!$B$19),G1945-'요약'!$B$14,"")</x:f>
      </x:c>
      <x:c r="J1945" s="7" t="str">
        <x:f>IF(AND(ISNUMBER(H1945),'요약'!$B$19),H1945-'요약'!$B$15,"")</x:f>
      </x:c>
      <x:c r="K1945" t="str">
        <x:f>IF(ISNUMBER(B1945),IF('Hill'!$B$4=1,IF(B1945&lt;0,-B1945,""),IF('Hill'!$B$4=2,IF(B1945&gt;0,B1945,""),IF('Hill'!$B$4=3,IF(B1945&lt;&gt;0,ABS(B1945),""),""))),"")</x:f>
      </x:c>
    </x:row>
    <x:row r="1946">
      <x:c r="A1946" t="n">
        <x:f>1945</x:f>
        <x:v>1945</x:v>
      </x:c>
      <x:c r="B1946" s="7" t="str">
        <x:f>IF('요약'!$B$4=4,IF(ISNUMBER('input'!A1946),'input'!A1946,""),IF(1945&lt;=1000,CHOOSE('요약'!$B$4,'input'!B1946,'input'!C1946,'input'!D1946),""))</x:f>
      </x:c>
      <x:c r="C1946" s="7" t="str">
        <x:f>IF(AND(ISNUMBER(B1946),'요약'!$B$19),B1946-'요약'!$B$7,"")</x:f>
      </x:c>
      <x:c r="D1946" s="7" t="str">
        <x:f>IF(ISNUMBER(C1946),C1946^2,"")</x:f>
      </x:c>
      <x:c r="E1946" s="15" t="str">
        <x:f>IF(ISNUMBER(C1946),C1946^3,"")</x:f>
      </x:c>
      <x:c r="F1946" s="15" t="str">
        <x:f>IF(ISNUMBER(C1946),C1946^4,"")</x:f>
      </x:c>
      <x:c r="G1946" s="7" t="str">
        <x:f>IF(ISNUMBER(B1946),ABS(B1946),"")</x:f>
      </x:c>
      <x:c r="H1946" s="7" t="str">
        <x:f>IF(ISNUMBER(B1946),B1946^2,"")</x:f>
      </x:c>
      <x:c r="I1946" s="7" t="str">
        <x:f>IF(AND(ISNUMBER(G1946),'요약'!$B$19),G1946-'요약'!$B$14,"")</x:f>
      </x:c>
      <x:c r="J1946" s="7" t="str">
        <x:f>IF(AND(ISNUMBER(H1946),'요약'!$B$19),H1946-'요약'!$B$15,"")</x:f>
      </x:c>
      <x:c r="K1946" t="str">
        <x:f>IF(ISNUMBER(B1946),IF('Hill'!$B$4=1,IF(B1946&lt;0,-B1946,""),IF('Hill'!$B$4=2,IF(B1946&gt;0,B1946,""),IF('Hill'!$B$4=3,IF(B1946&lt;&gt;0,ABS(B1946),""),""))),"")</x:f>
      </x:c>
    </x:row>
    <x:row r="1947">
      <x:c r="A1947" t="n">
        <x:f>1946</x:f>
        <x:v>1946</x:v>
      </x:c>
      <x:c r="B1947" s="7" t="str">
        <x:f>IF('요약'!$B$4=4,IF(ISNUMBER('input'!A1947),'input'!A1947,""),IF(1946&lt;=1000,CHOOSE('요약'!$B$4,'input'!B1947,'input'!C1947,'input'!D1947),""))</x:f>
      </x:c>
      <x:c r="C1947" s="7" t="str">
        <x:f>IF(AND(ISNUMBER(B1947),'요약'!$B$19),B1947-'요약'!$B$7,"")</x:f>
      </x:c>
      <x:c r="D1947" s="7" t="str">
        <x:f>IF(ISNUMBER(C1947),C1947^2,"")</x:f>
      </x:c>
      <x:c r="E1947" s="15" t="str">
        <x:f>IF(ISNUMBER(C1947),C1947^3,"")</x:f>
      </x:c>
      <x:c r="F1947" s="15" t="str">
        <x:f>IF(ISNUMBER(C1947),C1947^4,"")</x:f>
      </x:c>
      <x:c r="G1947" s="7" t="str">
        <x:f>IF(ISNUMBER(B1947),ABS(B1947),"")</x:f>
      </x:c>
      <x:c r="H1947" s="7" t="str">
        <x:f>IF(ISNUMBER(B1947),B1947^2,"")</x:f>
      </x:c>
      <x:c r="I1947" s="7" t="str">
        <x:f>IF(AND(ISNUMBER(G1947),'요약'!$B$19),G1947-'요약'!$B$14,"")</x:f>
      </x:c>
      <x:c r="J1947" s="7" t="str">
        <x:f>IF(AND(ISNUMBER(H1947),'요약'!$B$19),H1947-'요약'!$B$15,"")</x:f>
      </x:c>
      <x:c r="K1947" t="str">
        <x:f>IF(ISNUMBER(B1947),IF('Hill'!$B$4=1,IF(B1947&lt;0,-B1947,""),IF('Hill'!$B$4=2,IF(B1947&gt;0,B1947,""),IF('Hill'!$B$4=3,IF(B1947&lt;&gt;0,ABS(B1947),""),""))),"")</x:f>
      </x:c>
    </x:row>
    <x:row r="1948">
      <x:c r="A1948" t="n">
        <x:f>1947</x:f>
        <x:v>1947</x:v>
      </x:c>
      <x:c r="B1948" s="7" t="str">
        <x:f>IF('요약'!$B$4=4,IF(ISNUMBER('input'!A1948),'input'!A1948,""),IF(1947&lt;=1000,CHOOSE('요약'!$B$4,'input'!B1948,'input'!C1948,'input'!D1948),""))</x:f>
      </x:c>
      <x:c r="C1948" s="7" t="str">
        <x:f>IF(AND(ISNUMBER(B1948),'요약'!$B$19),B1948-'요약'!$B$7,"")</x:f>
      </x:c>
      <x:c r="D1948" s="7" t="str">
        <x:f>IF(ISNUMBER(C1948),C1948^2,"")</x:f>
      </x:c>
      <x:c r="E1948" s="15" t="str">
        <x:f>IF(ISNUMBER(C1948),C1948^3,"")</x:f>
      </x:c>
      <x:c r="F1948" s="15" t="str">
        <x:f>IF(ISNUMBER(C1948),C1948^4,"")</x:f>
      </x:c>
      <x:c r="G1948" s="7" t="str">
        <x:f>IF(ISNUMBER(B1948),ABS(B1948),"")</x:f>
      </x:c>
      <x:c r="H1948" s="7" t="str">
        <x:f>IF(ISNUMBER(B1948),B1948^2,"")</x:f>
      </x:c>
      <x:c r="I1948" s="7" t="str">
        <x:f>IF(AND(ISNUMBER(G1948),'요약'!$B$19),G1948-'요약'!$B$14,"")</x:f>
      </x:c>
      <x:c r="J1948" s="7" t="str">
        <x:f>IF(AND(ISNUMBER(H1948),'요약'!$B$19),H1948-'요약'!$B$15,"")</x:f>
      </x:c>
      <x:c r="K1948" t="str">
        <x:f>IF(ISNUMBER(B1948),IF('Hill'!$B$4=1,IF(B1948&lt;0,-B1948,""),IF('Hill'!$B$4=2,IF(B1948&gt;0,B1948,""),IF('Hill'!$B$4=3,IF(B1948&lt;&gt;0,ABS(B1948),""),""))),"")</x:f>
      </x:c>
    </x:row>
    <x:row r="1949">
      <x:c r="A1949" t="n">
        <x:f>1948</x:f>
        <x:v>1948</x:v>
      </x:c>
      <x:c r="B1949" s="7" t="str">
        <x:f>IF('요약'!$B$4=4,IF(ISNUMBER('input'!A1949),'input'!A1949,""),IF(1948&lt;=1000,CHOOSE('요약'!$B$4,'input'!B1949,'input'!C1949,'input'!D1949),""))</x:f>
      </x:c>
      <x:c r="C1949" s="7" t="str">
        <x:f>IF(AND(ISNUMBER(B1949),'요약'!$B$19),B1949-'요약'!$B$7,"")</x:f>
      </x:c>
      <x:c r="D1949" s="7" t="str">
        <x:f>IF(ISNUMBER(C1949),C1949^2,"")</x:f>
      </x:c>
      <x:c r="E1949" s="15" t="str">
        <x:f>IF(ISNUMBER(C1949),C1949^3,"")</x:f>
      </x:c>
      <x:c r="F1949" s="15" t="str">
        <x:f>IF(ISNUMBER(C1949),C1949^4,"")</x:f>
      </x:c>
      <x:c r="G1949" s="7" t="str">
        <x:f>IF(ISNUMBER(B1949),ABS(B1949),"")</x:f>
      </x:c>
      <x:c r="H1949" s="7" t="str">
        <x:f>IF(ISNUMBER(B1949),B1949^2,"")</x:f>
      </x:c>
      <x:c r="I1949" s="7" t="str">
        <x:f>IF(AND(ISNUMBER(G1949),'요약'!$B$19),G1949-'요약'!$B$14,"")</x:f>
      </x:c>
      <x:c r="J1949" s="7" t="str">
        <x:f>IF(AND(ISNUMBER(H1949),'요약'!$B$19),H1949-'요약'!$B$15,"")</x:f>
      </x:c>
      <x:c r="K1949" t="str">
        <x:f>IF(ISNUMBER(B1949),IF('Hill'!$B$4=1,IF(B1949&lt;0,-B1949,""),IF('Hill'!$B$4=2,IF(B1949&gt;0,B1949,""),IF('Hill'!$B$4=3,IF(B1949&lt;&gt;0,ABS(B1949),""),""))),"")</x:f>
      </x:c>
    </x:row>
    <x:row r="1950">
      <x:c r="A1950" t="n">
        <x:f>1949</x:f>
        <x:v>1949</x:v>
      </x:c>
      <x:c r="B1950" s="7" t="str">
        <x:f>IF('요약'!$B$4=4,IF(ISNUMBER('input'!A1950),'input'!A1950,""),IF(1949&lt;=1000,CHOOSE('요약'!$B$4,'input'!B1950,'input'!C1950,'input'!D1950),""))</x:f>
      </x:c>
      <x:c r="C1950" s="7" t="str">
        <x:f>IF(AND(ISNUMBER(B1950),'요약'!$B$19),B1950-'요약'!$B$7,"")</x:f>
      </x:c>
      <x:c r="D1950" s="7" t="str">
        <x:f>IF(ISNUMBER(C1950),C1950^2,"")</x:f>
      </x:c>
      <x:c r="E1950" s="15" t="str">
        <x:f>IF(ISNUMBER(C1950),C1950^3,"")</x:f>
      </x:c>
      <x:c r="F1950" s="15" t="str">
        <x:f>IF(ISNUMBER(C1950),C1950^4,"")</x:f>
      </x:c>
      <x:c r="G1950" s="7" t="str">
        <x:f>IF(ISNUMBER(B1950),ABS(B1950),"")</x:f>
      </x:c>
      <x:c r="H1950" s="7" t="str">
        <x:f>IF(ISNUMBER(B1950),B1950^2,"")</x:f>
      </x:c>
      <x:c r="I1950" s="7" t="str">
        <x:f>IF(AND(ISNUMBER(G1950),'요약'!$B$19),G1950-'요약'!$B$14,"")</x:f>
      </x:c>
      <x:c r="J1950" s="7" t="str">
        <x:f>IF(AND(ISNUMBER(H1950),'요약'!$B$19),H1950-'요약'!$B$15,"")</x:f>
      </x:c>
      <x:c r="K1950" t="str">
        <x:f>IF(ISNUMBER(B1950),IF('Hill'!$B$4=1,IF(B1950&lt;0,-B1950,""),IF('Hill'!$B$4=2,IF(B1950&gt;0,B1950,""),IF('Hill'!$B$4=3,IF(B1950&lt;&gt;0,ABS(B1950),""),""))),"")</x:f>
      </x:c>
    </x:row>
    <x:row r="1951">
      <x:c r="A1951" t="n">
        <x:f>1950</x:f>
        <x:v>1950</x:v>
      </x:c>
      <x:c r="B1951" s="7" t="str">
        <x:f>IF('요약'!$B$4=4,IF(ISNUMBER('input'!A1951),'input'!A1951,""),IF(1950&lt;=1000,CHOOSE('요약'!$B$4,'input'!B1951,'input'!C1951,'input'!D1951),""))</x:f>
      </x:c>
      <x:c r="C1951" s="7" t="str">
        <x:f>IF(AND(ISNUMBER(B1951),'요약'!$B$19),B1951-'요약'!$B$7,"")</x:f>
      </x:c>
      <x:c r="D1951" s="7" t="str">
        <x:f>IF(ISNUMBER(C1951),C1951^2,"")</x:f>
      </x:c>
      <x:c r="E1951" s="15" t="str">
        <x:f>IF(ISNUMBER(C1951),C1951^3,"")</x:f>
      </x:c>
      <x:c r="F1951" s="15" t="str">
        <x:f>IF(ISNUMBER(C1951),C1951^4,"")</x:f>
      </x:c>
      <x:c r="G1951" s="7" t="str">
        <x:f>IF(ISNUMBER(B1951),ABS(B1951),"")</x:f>
      </x:c>
      <x:c r="H1951" s="7" t="str">
        <x:f>IF(ISNUMBER(B1951),B1951^2,"")</x:f>
      </x:c>
      <x:c r="I1951" s="7" t="str">
        <x:f>IF(AND(ISNUMBER(G1951),'요약'!$B$19),G1951-'요약'!$B$14,"")</x:f>
      </x:c>
      <x:c r="J1951" s="7" t="str">
        <x:f>IF(AND(ISNUMBER(H1951),'요약'!$B$19),H1951-'요약'!$B$15,"")</x:f>
      </x:c>
      <x:c r="K1951" t="str">
        <x:f>IF(ISNUMBER(B1951),IF('Hill'!$B$4=1,IF(B1951&lt;0,-B1951,""),IF('Hill'!$B$4=2,IF(B1951&gt;0,B1951,""),IF('Hill'!$B$4=3,IF(B1951&lt;&gt;0,ABS(B1951),""),""))),"")</x:f>
      </x:c>
    </x:row>
    <x:row r="1952">
      <x:c r="A1952" t="n">
        <x:f>1951</x:f>
        <x:v>1951</x:v>
      </x:c>
      <x:c r="B1952" s="7" t="str">
        <x:f>IF('요약'!$B$4=4,IF(ISNUMBER('input'!A1952),'input'!A1952,""),IF(1951&lt;=1000,CHOOSE('요약'!$B$4,'input'!B1952,'input'!C1952,'input'!D1952),""))</x:f>
      </x:c>
      <x:c r="C1952" s="7" t="str">
        <x:f>IF(AND(ISNUMBER(B1952),'요약'!$B$19),B1952-'요약'!$B$7,"")</x:f>
      </x:c>
      <x:c r="D1952" s="7" t="str">
        <x:f>IF(ISNUMBER(C1952),C1952^2,"")</x:f>
      </x:c>
      <x:c r="E1952" s="15" t="str">
        <x:f>IF(ISNUMBER(C1952),C1952^3,"")</x:f>
      </x:c>
      <x:c r="F1952" s="15" t="str">
        <x:f>IF(ISNUMBER(C1952),C1952^4,"")</x:f>
      </x:c>
      <x:c r="G1952" s="7" t="str">
        <x:f>IF(ISNUMBER(B1952),ABS(B1952),"")</x:f>
      </x:c>
      <x:c r="H1952" s="7" t="str">
        <x:f>IF(ISNUMBER(B1952),B1952^2,"")</x:f>
      </x:c>
      <x:c r="I1952" s="7" t="str">
        <x:f>IF(AND(ISNUMBER(G1952),'요약'!$B$19),G1952-'요약'!$B$14,"")</x:f>
      </x:c>
      <x:c r="J1952" s="7" t="str">
        <x:f>IF(AND(ISNUMBER(H1952),'요약'!$B$19),H1952-'요약'!$B$15,"")</x:f>
      </x:c>
      <x:c r="K1952" t="str">
        <x:f>IF(ISNUMBER(B1952),IF('Hill'!$B$4=1,IF(B1952&lt;0,-B1952,""),IF('Hill'!$B$4=2,IF(B1952&gt;0,B1952,""),IF('Hill'!$B$4=3,IF(B1952&lt;&gt;0,ABS(B1952),""),""))),"")</x:f>
      </x:c>
    </x:row>
    <x:row r="1953">
      <x:c r="A1953" t="n">
        <x:f>1952</x:f>
        <x:v>1952</x:v>
      </x:c>
      <x:c r="B1953" s="7" t="str">
        <x:f>IF('요약'!$B$4=4,IF(ISNUMBER('input'!A1953),'input'!A1953,""),IF(1952&lt;=1000,CHOOSE('요약'!$B$4,'input'!B1953,'input'!C1953,'input'!D1953),""))</x:f>
      </x:c>
      <x:c r="C1953" s="7" t="str">
        <x:f>IF(AND(ISNUMBER(B1953),'요약'!$B$19),B1953-'요약'!$B$7,"")</x:f>
      </x:c>
      <x:c r="D1953" s="7" t="str">
        <x:f>IF(ISNUMBER(C1953),C1953^2,"")</x:f>
      </x:c>
      <x:c r="E1953" s="15" t="str">
        <x:f>IF(ISNUMBER(C1953),C1953^3,"")</x:f>
      </x:c>
      <x:c r="F1953" s="15" t="str">
        <x:f>IF(ISNUMBER(C1953),C1953^4,"")</x:f>
      </x:c>
      <x:c r="G1953" s="7" t="str">
        <x:f>IF(ISNUMBER(B1953),ABS(B1953),"")</x:f>
      </x:c>
      <x:c r="H1953" s="7" t="str">
        <x:f>IF(ISNUMBER(B1953),B1953^2,"")</x:f>
      </x:c>
      <x:c r="I1953" s="7" t="str">
        <x:f>IF(AND(ISNUMBER(G1953),'요약'!$B$19),G1953-'요약'!$B$14,"")</x:f>
      </x:c>
      <x:c r="J1953" s="7" t="str">
        <x:f>IF(AND(ISNUMBER(H1953),'요약'!$B$19),H1953-'요약'!$B$15,"")</x:f>
      </x:c>
      <x:c r="K1953" t="str">
        <x:f>IF(ISNUMBER(B1953),IF('Hill'!$B$4=1,IF(B1953&lt;0,-B1953,""),IF('Hill'!$B$4=2,IF(B1953&gt;0,B1953,""),IF('Hill'!$B$4=3,IF(B1953&lt;&gt;0,ABS(B1953),""),""))),"")</x:f>
      </x:c>
    </x:row>
    <x:row r="1954">
      <x:c r="A1954" t="n">
        <x:f>1953</x:f>
        <x:v>1953</x:v>
      </x:c>
      <x:c r="B1954" s="7" t="str">
        <x:f>IF('요약'!$B$4=4,IF(ISNUMBER('input'!A1954),'input'!A1954,""),IF(1953&lt;=1000,CHOOSE('요약'!$B$4,'input'!B1954,'input'!C1954,'input'!D1954),""))</x:f>
      </x:c>
      <x:c r="C1954" s="7" t="str">
        <x:f>IF(AND(ISNUMBER(B1954),'요약'!$B$19),B1954-'요약'!$B$7,"")</x:f>
      </x:c>
      <x:c r="D1954" s="7" t="str">
        <x:f>IF(ISNUMBER(C1954),C1954^2,"")</x:f>
      </x:c>
      <x:c r="E1954" s="15" t="str">
        <x:f>IF(ISNUMBER(C1954),C1954^3,"")</x:f>
      </x:c>
      <x:c r="F1954" s="15" t="str">
        <x:f>IF(ISNUMBER(C1954),C1954^4,"")</x:f>
      </x:c>
      <x:c r="G1954" s="7" t="str">
        <x:f>IF(ISNUMBER(B1954),ABS(B1954),"")</x:f>
      </x:c>
      <x:c r="H1954" s="7" t="str">
        <x:f>IF(ISNUMBER(B1954),B1954^2,"")</x:f>
      </x:c>
      <x:c r="I1954" s="7" t="str">
        <x:f>IF(AND(ISNUMBER(G1954),'요약'!$B$19),G1954-'요약'!$B$14,"")</x:f>
      </x:c>
      <x:c r="J1954" s="7" t="str">
        <x:f>IF(AND(ISNUMBER(H1954),'요약'!$B$19),H1954-'요약'!$B$15,"")</x:f>
      </x:c>
      <x:c r="K1954" t="str">
        <x:f>IF(ISNUMBER(B1954),IF('Hill'!$B$4=1,IF(B1954&lt;0,-B1954,""),IF('Hill'!$B$4=2,IF(B1954&gt;0,B1954,""),IF('Hill'!$B$4=3,IF(B1954&lt;&gt;0,ABS(B1954),""),""))),"")</x:f>
      </x:c>
    </x:row>
    <x:row r="1955">
      <x:c r="A1955" t="n">
        <x:f>1954</x:f>
        <x:v>1954</x:v>
      </x:c>
      <x:c r="B1955" s="7" t="str">
        <x:f>IF('요약'!$B$4=4,IF(ISNUMBER('input'!A1955),'input'!A1955,""),IF(1954&lt;=1000,CHOOSE('요약'!$B$4,'input'!B1955,'input'!C1955,'input'!D1955),""))</x:f>
      </x:c>
      <x:c r="C1955" s="7" t="str">
        <x:f>IF(AND(ISNUMBER(B1955),'요약'!$B$19),B1955-'요약'!$B$7,"")</x:f>
      </x:c>
      <x:c r="D1955" s="7" t="str">
        <x:f>IF(ISNUMBER(C1955),C1955^2,"")</x:f>
      </x:c>
      <x:c r="E1955" s="15" t="str">
        <x:f>IF(ISNUMBER(C1955),C1955^3,"")</x:f>
      </x:c>
      <x:c r="F1955" s="15" t="str">
        <x:f>IF(ISNUMBER(C1955),C1955^4,"")</x:f>
      </x:c>
      <x:c r="G1955" s="7" t="str">
        <x:f>IF(ISNUMBER(B1955),ABS(B1955),"")</x:f>
      </x:c>
      <x:c r="H1955" s="7" t="str">
        <x:f>IF(ISNUMBER(B1955),B1955^2,"")</x:f>
      </x:c>
      <x:c r="I1955" s="7" t="str">
        <x:f>IF(AND(ISNUMBER(G1955),'요약'!$B$19),G1955-'요약'!$B$14,"")</x:f>
      </x:c>
      <x:c r="J1955" s="7" t="str">
        <x:f>IF(AND(ISNUMBER(H1955),'요약'!$B$19),H1955-'요약'!$B$15,"")</x:f>
      </x:c>
      <x:c r="K1955" t="str">
        <x:f>IF(ISNUMBER(B1955),IF('Hill'!$B$4=1,IF(B1955&lt;0,-B1955,""),IF('Hill'!$B$4=2,IF(B1955&gt;0,B1955,""),IF('Hill'!$B$4=3,IF(B1955&lt;&gt;0,ABS(B1955),""),""))),"")</x:f>
      </x:c>
    </x:row>
    <x:row r="1956">
      <x:c r="A1956" t="n">
        <x:f>1955</x:f>
        <x:v>1955</x:v>
      </x:c>
      <x:c r="B1956" s="7" t="str">
        <x:f>IF('요약'!$B$4=4,IF(ISNUMBER('input'!A1956),'input'!A1956,""),IF(1955&lt;=1000,CHOOSE('요약'!$B$4,'input'!B1956,'input'!C1956,'input'!D1956),""))</x:f>
      </x:c>
      <x:c r="C1956" s="7" t="str">
        <x:f>IF(AND(ISNUMBER(B1956),'요약'!$B$19),B1956-'요약'!$B$7,"")</x:f>
      </x:c>
      <x:c r="D1956" s="7" t="str">
        <x:f>IF(ISNUMBER(C1956),C1956^2,"")</x:f>
      </x:c>
      <x:c r="E1956" s="15" t="str">
        <x:f>IF(ISNUMBER(C1956),C1956^3,"")</x:f>
      </x:c>
      <x:c r="F1956" s="15" t="str">
        <x:f>IF(ISNUMBER(C1956),C1956^4,"")</x:f>
      </x:c>
      <x:c r="G1956" s="7" t="str">
        <x:f>IF(ISNUMBER(B1956),ABS(B1956),"")</x:f>
      </x:c>
      <x:c r="H1956" s="7" t="str">
        <x:f>IF(ISNUMBER(B1956),B1956^2,"")</x:f>
      </x:c>
      <x:c r="I1956" s="7" t="str">
        <x:f>IF(AND(ISNUMBER(G1956),'요약'!$B$19),G1956-'요약'!$B$14,"")</x:f>
      </x:c>
      <x:c r="J1956" s="7" t="str">
        <x:f>IF(AND(ISNUMBER(H1956),'요약'!$B$19),H1956-'요약'!$B$15,"")</x:f>
      </x:c>
      <x:c r="K1956" t="str">
        <x:f>IF(ISNUMBER(B1956),IF('Hill'!$B$4=1,IF(B1956&lt;0,-B1956,""),IF('Hill'!$B$4=2,IF(B1956&gt;0,B1956,""),IF('Hill'!$B$4=3,IF(B1956&lt;&gt;0,ABS(B1956),""),""))),"")</x:f>
      </x:c>
    </x:row>
    <x:row r="1957">
      <x:c r="A1957" t="n">
        <x:f>1956</x:f>
        <x:v>1956</x:v>
      </x:c>
      <x:c r="B1957" s="7" t="str">
        <x:f>IF('요약'!$B$4=4,IF(ISNUMBER('input'!A1957),'input'!A1957,""),IF(1956&lt;=1000,CHOOSE('요약'!$B$4,'input'!B1957,'input'!C1957,'input'!D1957),""))</x:f>
      </x:c>
      <x:c r="C1957" s="7" t="str">
        <x:f>IF(AND(ISNUMBER(B1957),'요약'!$B$19),B1957-'요약'!$B$7,"")</x:f>
      </x:c>
      <x:c r="D1957" s="7" t="str">
        <x:f>IF(ISNUMBER(C1957),C1957^2,"")</x:f>
      </x:c>
      <x:c r="E1957" s="15" t="str">
        <x:f>IF(ISNUMBER(C1957),C1957^3,"")</x:f>
      </x:c>
      <x:c r="F1957" s="15" t="str">
        <x:f>IF(ISNUMBER(C1957),C1957^4,"")</x:f>
      </x:c>
      <x:c r="G1957" s="7" t="str">
        <x:f>IF(ISNUMBER(B1957),ABS(B1957),"")</x:f>
      </x:c>
      <x:c r="H1957" s="7" t="str">
        <x:f>IF(ISNUMBER(B1957),B1957^2,"")</x:f>
      </x:c>
      <x:c r="I1957" s="7" t="str">
        <x:f>IF(AND(ISNUMBER(G1957),'요약'!$B$19),G1957-'요약'!$B$14,"")</x:f>
      </x:c>
      <x:c r="J1957" s="7" t="str">
        <x:f>IF(AND(ISNUMBER(H1957),'요약'!$B$19),H1957-'요약'!$B$15,"")</x:f>
      </x:c>
      <x:c r="K1957" t="str">
        <x:f>IF(ISNUMBER(B1957),IF('Hill'!$B$4=1,IF(B1957&lt;0,-B1957,""),IF('Hill'!$B$4=2,IF(B1957&gt;0,B1957,""),IF('Hill'!$B$4=3,IF(B1957&lt;&gt;0,ABS(B1957),""),""))),"")</x:f>
      </x:c>
    </x:row>
    <x:row r="1958">
      <x:c r="A1958" t="n">
        <x:f>1957</x:f>
        <x:v>1957</x:v>
      </x:c>
      <x:c r="B1958" s="7" t="str">
        <x:f>IF('요약'!$B$4=4,IF(ISNUMBER('input'!A1958),'input'!A1958,""),IF(1957&lt;=1000,CHOOSE('요약'!$B$4,'input'!B1958,'input'!C1958,'input'!D1958),""))</x:f>
      </x:c>
      <x:c r="C1958" s="7" t="str">
        <x:f>IF(AND(ISNUMBER(B1958),'요약'!$B$19),B1958-'요약'!$B$7,"")</x:f>
      </x:c>
      <x:c r="D1958" s="7" t="str">
        <x:f>IF(ISNUMBER(C1958),C1958^2,"")</x:f>
      </x:c>
      <x:c r="E1958" s="15" t="str">
        <x:f>IF(ISNUMBER(C1958),C1958^3,"")</x:f>
      </x:c>
      <x:c r="F1958" s="15" t="str">
        <x:f>IF(ISNUMBER(C1958),C1958^4,"")</x:f>
      </x:c>
      <x:c r="G1958" s="7" t="str">
        <x:f>IF(ISNUMBER(B1958),ABS(B1958),"")</x:f>
      </x:c>
      <x:c r="H1958" s="7" t="str">
        <x:f>IF(ISNUMBER(B1958),B1958^2,"")</x:f>
      </x:c>
      <x:c r="I1958" s="7" t="str">
        <x:f>IF(AND(ISNUMBER(G1958),'요약'!$B$19),G1958-'요약'!$B$14,"")</x:f>
      </x:c>
      <x:c r="J1958" s="7" t="str">
        <x:f>IF(AND(ISNUMBER(H1958),'요약'!$B$19),H1958-'요약'!$B$15,"")</x:f>
      </x:c>
      <x:c r="K1958" t="str">
        <x:f>IF(ISNUMBER(B1958),IF('Hill'!$B$4=1,IF(B1958&lt;0,-B1958,""),IF('Hill'!$B$4=2,IF(B1958&gt;0,B1958,""),IF('Hill'!$B$4=3,IF(B1958&lt;&gt;0,ABS(B1958),""),""))),"")</x:f>
      </x:c>
    </x:row>
    <x:row r="1959">
      <x:c r="A1959" t="n">
        <x:f>1958</x:f>
        <x:v>1958</x:v>
      </x:c>
      <x:c r="B1959" s="7" t="str">
        <x:f>IF('요약'!$B$4=4,IF(ISNUMBER('input'!A1959),'input'!A1959,""),IF(1958&lt;=1000,CHOOSE('요약'!$B$4,'input'!B1959,'input'!C1959,'input'!D1959),""))</x:f>
      </x:c>
      <x:c r="C1959" s="7" t="str">
        <x:f>IF(AND(ISNUMBER(B1959),'요약'!$B$19),B1959-'요약'!$B$7,"")</x:f>
      </x:c>
      <x:c r="D1959" s="7" t="str">
        <x:f>IF(ISNUMBER(C1959),C1959^2,"")</x:f>
      </x:c>
      <x:c r="E1959" s="15" t="str">
        <x:f>IF(ISNUMBER(C1959),C1959^3,"")</x:f>
      </x:c>
      <x:c r="F1959" s="15" t="str">
        <x:f>IF(ISNUMBER(C1959),C1959^4,"")</x:f>
      </x:c>
      <x:c r="G1959" s="7" t="str">
        <x:f>IF(ISNUMBER(B1959),ABS(B1959),"")</x:f>
      </x:c>
      <x:c r="H1959" s="7" t="str">
        <x:f>IF(ISNUMBER(B1959),B1959^2,"")</x:f>
      </x:c>
      <x:c r="I1959" s="7" t="str">
        <x:f>IF(AND(ISNUMBER(G1959),'요약'!$B$19),G1959-'요약'!$B$14,"")</x:f>
      </x:c>
      <x:c r="J1959" s="7" t="str">
        <x:f>IF(AND(ISNUMBER(H1959),'요약'!$B$19),H1959-'요약'!$B$15,"")</x:f>
      </x:c>
      <x:c r="K1959" t="str">
        <x:f>IF(ISNUMBER(B1959),IF('Hill'!$B$4=1,IF(B1959&lt;0,-B1959,""),IF('Hill'!$B$4=2,IF(B1959&gt;0,B1959,""),IF('Hill'!$B$4=3,IF(B1959&lt;&gt;0,ABS(B1959),""),""))),"")</x:f>
      </x:c>
    </x:row>
    <x:row r="1960">
      <x:c r="A1960" t="n">
        <x:f>1959</x:f>
        <x:v>1959</x:v>
      </x:c>
      <x:c r="B1960" s="7" t="str">
        <x:f>IF('요약'!$B$4=4,IF(ISNUMBER('input'!A1960),'input'!A1960,""),IF(1959&lt;=1000,CHOOSE('요약'!$B$4,'input'!B1960,'input'!C1960,'input'!D1960),""))</x:f>
      </x:c>
      <x:c r="C1960" s="7" t="str">
        <x:f>IF(AND(ISNUMBER(B1960),'요약'!$B$19),B1960-'요약'!$B$7,"")</x:f>
      </x:c>
      <x:c r="D1960" s="7" t="str">
        <x:f>IF(ISNUMBER(C1960),C1960^2,"")</x:f>
      </x:c>
      <x:c r="E1960" s="15" t="str">
        <x:f>IF(ISNUMBER(C1960),C1960^3,"")</x:f>
      </x:c>
      <x:c r="F1960" s="15" t="str">
        <x:f>IF(ISNUMBER(C1960),C1960^4,"")</x:f>
      </x:c>
      <x:c r="G1960" s="7" t="str">
        <x:f>IF(ISNUMBER(B1960),ABS(B1960),"")</x:f>
      </x:c>
      <x:c r="H1960" s="7" t="str">
        <x:f>IF(ISNUMBER(B1960),B1960^2,"")</x:f>
      </x:c>
      <x:c r="I1960" s="7" t="str">
        <x:f>IF(AND(ISNUMBER(G1960),'요약'!$B$19),G1960-'요약'!$B$14,"")</x:f>
      </x:c>
      <x:c r="J1960" s="7" t="str">
        <x:f>IF(AND(ISNUMBER(H1960),'요약'!$B$19),H1960-'요약'!$B$15,"")</x:f>
      </x:c>
      <x:c r="K1960" t="str">
        <x:f>IF(ISNUMBER(B1960),IF('Hill'!$B$4=1,IF(B1960&lt;0,-B1960,""),IF('Hill'!$B$4=2,IF(B1960&gt;0,B1960,""),IF('Hill'!$B$4=3,IF(B1960&lt;&gt;0,ABS(B1960),""),""))),"")</x:f>
      </x:c>
    </x:row>
    <x:row r="1961">
      <x:c r="A1961" t="n">
        <x:f>1960</x:f>
        <x:v>1960</x:v>
      </x:c>
      <x:c r="B1961" s="7" t="str">
        <x:f>IF('요약'!$B$4=4,IF(ISNUMBER('input'!A1961),'input'!A1961,""),IF(1960&lt;=1000,CHOOSE('요약'!$B$4,'input'!B1961,'input'!C1961,'input'!D1961),""))</x:f>
      </x:c>
      <x:c r="C1961" s="7" t="str">
        <x:f>IF(AND(ISNUMBER(B1961),'요약'!$B$19),B1961-'요약'!$B$7,"")</x:f>
      </x:c>
      <x:c r="D1961" s="7" t="str">
        <x:f>IF(ISNUMBER(C1961),C1961^2,"")</x:f>
      </x:c>
      <x:c r="E1961" s="15" t="str">
        <x:f>IF(ISNUMBER(C1961),C1961^3,"")</x:f>
      </x:c>
      <x:c r="F1961" s="15" t="str">
        <x:f>IF(ISNUMBER(C1961),C1961^4,"")</x:f>
      </x:c>
      <x:c r="G1961" s="7" t="str">
        <x:f>IF(ISNUMBER(B1961),ABS(B1961),"")</x:f>
      </x:c>
      <x:c r="H1961" s="7" t="str">
        <x:f>IF(ISNUMBER(B1961),B1961^2,"")</x:f>
      </x:c>
      <x:c r="I1961" s="7" t="str">
        <x:f>IF(AND(ISNUMBER(G1961),'요약'!$B$19),G1961-'요약'!$B$14,"")</x:f>
      </x:c>
      <x:c r="J1961" s="7" t="str">
        <x:f>IF(AND(ISNUMBER(H1961),'요약'!$B$19),H1961-'요약'!$B$15,"")</x:f>
      </x:c>
      <x:c r="K1961" t="str">
        <x:f>IF(ISNUMBER(B1961),IF('Hill'!$B$4=1,IF(B1961&lt;0,-B1961,""),IF('Hill'!$B$4=2,IF(B1961&gt;0,B1961,""),IF('Hill'!$B$4=3,IF(B1961&lt;&gt;0,ABS(B1961),""),""))),"")</x:f>
      </x:c>
    </x:row>
    <x:row r="1962">
      <x:c r="A1962" t="n">
        <x:f>1961</x:f>
        <x:v>1961</x:v>
      </x:c>
      <x:c r="B1962" s="7" t="str">
        <x:f>IF('요약'!$B$4=4,IF(ISNUMBER('input'!A1962),'input'!A1962,""),IF(1961&lt;=1000,CHOOSE('요약'!$B$4,'input'!B1962,'input'!C1962,'input'!D1962),""))</x:f>
      </x:c>
      <x:c r="C1962" s="7" t="str">
        <x:f>IF(AND(ISNUMBER(B1962),'요약'!$B$19),B1962-'요약'!$B$7,"")</x:f>
      </x:c>
      <x:c r="D1962" s="7" t="str">
        <x:f>IF(ISNUMBER(C1962),C1962^2,"")</x:f>
      </x:c>
      <x:c r="E1962" s="15" t="str">
        <x:f>IF(ISNUMBER(C1962),C1962^3,"")</x:f>
      </x:c>
      <x:c r="F1962" s="15" t="str">
        <x:f>IF(ISNUMBER(C1962),C1962^4,"")</x:f>
      </x:c>
      <x:c r="G1962" s="7" t="str">
        <x:f>IF(ISNUMBER(B1962),ABS(B1962),"")</x:f>
      </x:c>
      <x:c r="H1962" s="7" t="str">
        <x:f>IF(ISNUMBER(B1962),B1962^2,"")</x:f>
      </x:c>
      <x:c r="I1962" s="7" t="str">
        <x:f>IF(AND(ISNUMBER(G1962),'요약'!$B$19),G1962-'요약'!$B$14,"")</x:f>
      </x:c>
      <x:c r="J1962" s="7" t="str">
        <x:f>IF(AND(ISNUMBER(H1962),'요약'!$B$19),H1962-'요약'!$B$15,"")</x:f>
      </x:c>
      <x:c r="K1962" t="str">
        <x:f>IF(ISNUMBER(B1962),IF('Hill'!$B$4=1,IF(B1962&lt;0,-B1962,""),IF('Hill'!$B$4=2,IF(B1962&gt;0,B1962,""),IF('Hill'!$B$4=3,IF(B1962&lt;&gt;0,ABS(B1962),""),""))),"")</x:f>
      </x:c>
    </x:row>
    <x:row r="1963">
      <x:c r="A1963" t="n">
        <x:f>1962</x:f>
        <x:v>1962</x:v>
      </x:c>
      <x:c r="B1963" s="7" t="str">
        <x:f>IF('요약'!$B$4=4,IF(ISNUMBER('input'!A1963),'input'!A1963,""),IF(1962&lt;=1000,CHOOSE('요약'!$B$4,'input'!B1963,'input'!C1963,'input'!D1963),""))</x:f>
      </x:c>
      <x:c r="C1963" s="7" t="str">
        <x:f>IF(AND(ISNUMBER(B1963),'요약'!$B$19),B1963-'요약'!$B$7,"")</x:f>
      </x:c>
      <x:c r="D1963" s="7" t="str">
        <x:f>IF(ISNUMBER(C1963),C1963^2,"")</x:f>
      </x:c>
      <x:c r="E1963" s="15" t="str">
        <x:f>IF(ISNUMBER(C1963),C1963^3,"")</x:f>
      </x:c>
      <x:c r="F1963" s="15" t="str">
        <x:f>IF(ISNUMBER(C1963),C1963^4,"")</x:f>
      </x:c>
      <x:c r="G1963" s="7" t="str">
        <x:f>IF(ISNUMBER(B1963),ABS(B1963),"")</x:f>
      </x:c>
      <x:c r="H1963" s="7" t="str">
        <x:f>IF(ISNUMBER(B1963),B1963^2,"")</x:f>
      </x:c>
      <x:c r="I1963" s="7" t="str">
        <x:f>IF(AND(ISNUMBER(G1963),'요약'!$B$19),G1963-'요약'!$B$14,"")</x:f>
      </x:c>
      <x:c r="J1963" s="7" t="str">
        <x:f>IF(AND(ISNUMBER(H1963),'요약'!$B$19),H1963-'요약'!$B$15,"")</x:f>
      </x:c>
      <x:c r="K1963" t="str">
        <x:f>IF(ISNUMBER(B1963),IF('Hill'!$B$4=1,IF(B1963&lt;0,-B1963,""),IF('Hill'!$B$4=2,IF(B1963&gt;0,B1963,""),IF('Hill'!$B$4=3,IF(B1963&lt;&gt;0,ABS(B1963),""),""))),"")</x:f>
      </x:c>
    </x:row>
    <x:row r="1964">
      <x:c r="A1964" t="n">
        <x:f>1963</x:f>
        <x:v>1963</x:v>
      </x:c>
      <x:c r="B1964" s="7" t="str">
        <x:f>IF('요약'!$B$4=4,IF(ISNUMBER('input'!A1964),'input'!A1964,""),IF(1963&lt;=1000,CHOOSE('요약'!$B$4,'input'!B1964,'input'!C1964,'input'!D1964),""))</x:f>
      </x:c>
      <x:c r="C1964" s="7" t="str">
        <x:f>IF(AND(ISNUMBER(B1964),'요약'!$B$19),B1964-'요약'!$B$7,"")</x:f>
      </x:c>
      <x:c r="D1964" s="7" t="str">
        <x:f>IF(ISNUMBER(C1964),C1964^2,"")</x:f>
      </x:c>
      <x:c r="E1964" s="15" t="str">
        <x:f>IF(ISNUMBER(C1964),C1964^3,"")</x:f>
      </x:c>
      <x:c r="F1964" s="15" t="str">
        <x:f>IF(ISNUMBER(C1964),C1964^4,"")</x:f>
      </x:c>
      <x:c r="G1964" s="7" t="str">
        <x:f>IF(ISNUMBER(B1964),ABS(B1964),"")</x:f>
      </x:c>
      <x:c r="H1964" s="7" t="str">
        <x:f>IF(ISNUMBER(B1964),B1964^2,"")</x:f>
      </x:c>
      <x:c r="I1964" s="7" t="str">
        <x:f>IF(AND(ISNUMBER(G1964),'요약'!$B$19),G1964-'요약'!$B$14,"")</x:f>
      </x:c>
      <x:c r="J1964" s="7" t="str">
        <x:f>IF(AND(ISNUMBER(H1964),'요약'!$B$19),H1964-'요약'!$B$15,"")</x:f>
      </x:c>
      <x:c r="K1964" t="str">
        <x:f>IF(ISNUMBER(B1964),IF('Hill'!$B$4=1,IF(B1964&lt;0,-B1964,""),IF('Hill'!$B$4=2,IF(B1964&gt;0,B1964,""),IF('Hill'!$B$4=3,IF(B1964&lt;&gt;0,ABS(B1964),""),""))),"")</x:f>
      </x:c>
    </x:row>
    <x:row r="1965">
      <x:c r="A1965" t="n">
        <x:f>1964</x:f>
        <x:v>1964</x:v>
      </x:c>
      <x:c r="B1965" s="7" t="str">
        <x:f>IF('요약'!$B$4=4,IF(ISNUMBER('input'!A1965),'input'!A1965,""),IF(1964&lt;=1000,CHOOSE('요약'!$B$4,'input'!B1965,'input'!C1965,'input'!D1965),""))</x:f>
      </x:c>
      <x:c r="C1965" s="7" t="str">
        <x:f>IF(AND(ISNUMBER(B1965),'요약'!$B$19),B1965-'요약'!$B$7,"")</x:f>
      </x:c>
      <x:c r="D1965" s="7" t="str">
        <x:f>IF(ISNUMBER(C1965),C1965^2,"")</x:f>
      </x:c>
      <x:c r="E1965" s="15" t="str">
        <x:f>IF(ISNUMBER(C1965),C1965^3,"")</x:f>
      </x:c>
      <x:c r="F1965" s="15" t="str">
        <x:f>IF(ISNUMBER(C1965),C1965^4,"")</x:f>
      </x:c>
      <x:c r="G1965" s="7" t="str">
        <x:f>IF(ISNUMBER(B1965),ABS(B1965),"")</x:f>
      </x:c>
      <x:c r="H1965" s="7" t="str">
        <x:f>IF(ISNUMBER(B1965),B1965^2,"")</x:f>
      </x:c>
      <x:c r="I1965" s="7" t="str">
        <x:f>IF(AND(ISNUMBER(G1965),'요약'!$B$19),G1965-'요약'!$B$14,"")</x:f>
      </x:c>
      <x:c r="J1965" s="7" t="str">
        <x:f>IF(AND(ISNUMBER(H1965),'요약'!$B$19),H1965-'요약'!$B$15,"")</x:f>
      </x:c>
      <x:c r="K1965" t="str">
        <x:f>IF(ISNUMBER(B1965),IF('Hill'!$B$4=1,IF(B1965&lt;0,-B1965,""),IF('Hill'!$B$4=2,IF(B1965&gt;0,B1965,""),IF('Hill'!$B$4=3,IF(B1965&lt;&gt;0,ABS(B1965),""),""))),"")</x:f>
      </x:c>
    </x:row>
    <x:row r="1966">
      <x:c r="A1966" t="n">
        <x:f>1965</x:f>
        <x:v>1965</x:v>
      </x:c>
      <x:c r="B1966" s="7" t="str">
        <x:f>IF('요약'!$B$4=4,IF(ISNUMBER('input'!A1966),'input'!A1966,""),IF(1965&lt;=1000,CHOOSE('요약'!$B$4,'input'!B1966,'input'!C1966,'input'!D1966),""))</x:f>
      </x:c>
      <x:c r="C1966" s="7" t="str">
        <x:f>IF(AND(ISNUMBER(B1966),'요약'!$B$19),B1966-'요약'!$B$7,"")</x:f>
      </x:c>
      <x:c r="D1966" s="7" t="str">
        <x:f>IF(ISNUMBER(C1966),C1966^2,"")</x:f>
      </x:c>
      <x:c r="E1966" s="15" t="str">
        <x:f>IF(ISNUMBER(C1966),C1966^3,"")</x:f>
      </x:c>
      <x:c r="F1966" s="15" t="str">
        <x:f>IF(ISNUMBER(C1966),C1966^4,"")</x:f>
      </x:c>
      <x:c r="G1966" s="7" t="str">
        <x:f>IF(ISNUMBER(B1966),ABS(B1966),"")</x:f>
      </x:c>
      <x:c r="H1966" s="7" t="str">
        <x:f>IF(ISNUMBER(B1966),B1966^2,"")</x:f>
      </x:c>
      <x:c r="I1966" s="7" t="str">
        <x:f>IF(AND(ISNUMBER(G1966),'요약'!$B$19),G1966-'요약'!$B$14,"")</x:f>
      </x:c>
      <x:c r="J1966" s="7" t="str">
        <x:f>IF(AND(ISNUMBER(H1966),'요약'!$B$19),H1966-'요약'!$B$15,"")</x:f>
      </x:c>
      <x:c r="K1966" t="str">
        <x:f>IF(ISNUMBER(B1966),IF('Hill'!$B$4=1,IF(B1966&lt;0,-B1966,""),IF('Hill'!$B$4=2,IF(B1966&gt;0,B1966,""),IF('Hill'!$B$4=3,IF(B1966&lt;&gt;0,ABS(B1966),""),""))),"")</x:f>
      </x:c>
    </x:row>
    <x:row r="1967">
      <x:c r="A1967" t="n">
        <x:f>1966</x:f>
        <x:v>1966</x:v>
      </x:c>
      <x:c r="B1967" s="7" t="str">
        <x:f>IF('요약'!$B$4=4,IF(ISNUMBER('input'!A1967),'input'!A1967,""),IF(1966&lt;=1000,CHOOSE('요약'!$B$4,'input'!B1967,'input'!C1967,'input'!D1967),""))</x:f>
      </x:c>
      <x:c r="C1967" s="7" t="str">
        <x:f>IF(AND(ISNUMBER(B1967),'요약'!$B$19),B1967-'요약'!$B$7,"")</x:f>
      </x:c>
      <x:c r="D1967" s="7" t="str">
        <x:f>IF(ISNUMBER(C1967),C1967^2,"")</x:f>
      </x:c>
      <x:c r="E1967" s="15" t="str">
        <x:f>IF(ISNUMBER(C1967),C1967^3,"")</x:f>
      </x:c>
      <x:c r="F1967" s="15" t="str">
        <x:f>IF(ISNUMBER(C1967),C1967^4,"")</x:f>
      </x:c>
      <x:c r="G1967" s="7" t="str">
        <x:f>IF(ISNUMBER(B1967),ABS(B1967),"")</x:f>
      </x:c>
      <x:c r="H1967" s="7" t="str">
        <x:f>IF(ISNUMBER(B1967),B1967^2,"")</x:f>
      </x:c>
      <x:c r="I1967" s="7" t="str">
        <x:f>IF(AND(ISNUMBER(G1967),'요약'!$B$19),G1967-'요약'!$B$14,"")</x:f>
      </x:c>
      <x:c r="J1967" s="7" t="str">
        <x:f>IF(AND(ISNUMBER(H1967),'요약'!$B$19),H1967-'요약'!$B$15,"")</x:f>
      </x:c>
      <x:c r="K1967" t="str">
        <x:f>IF(ISNUMBER(B1967),IF('Hill'!$B$4=1,IF(B1967&lt;0,-B1967,""),IF('Hill'!$B$4=2,IF(B1967&gt;0,B1967,""),IF('Hill'!$B$4=3,IF(B1967&lt;&gt;0,ABS(B1967),""),""))),"")</x:f>
      </x:c>
    </x:row>
    <x:row r="1968">
      <x:c r="A1968" t="n">
        <x:f>1967</x:f>
        <x:v>1967</x:v>
      </x:c>
      <x:c r="B1968" s="7" t="str">
        <x:f>IF('요약'!$B$4=4,IF(ISNUMBER('input'!A1968),'input'!A1968,""),IF(1967&lt;=1000,CHOOSE('요약'!$B$4,'input'!B1968,'input'!C1968,'input'!D1968),""))</x:f>
      </x:c>
      <x:c r="C1968" s="7" t="str">
        <x:f>IF(AND(ISNUMBER(B1968),'요약'!$B$19),B1968-'요약'!$B$7,"")</x:f>
      </x:c>
      <x:c r="D1968" s="7" t="str">
        <x:f>IF(ISNUMBER(C1968),C1968^2,"")</x:f>
      </x:c>
      <x:c r="E1968" s="15" t="str">
        <x:f>IF(ISNUMBER(C1968),C1968^3,"")</x:f>
      </x:c>
      <x:c r="F1968" s="15" t="str">
        <x:f>IF(ISNUMBER(C1968),C1968^4,"")</x:f>
      </x:c>
      <x:c r="G1968" s="7" t="str">
        <x:f>IF(ISNUMBER(B1968),ABS(B1968),"")</x:f>
      </x:c>
      <x:c r="H1968" s="7" t="str">
        <x:f>IF(ISNUMBER(B1968),B1968^2,"")</x:f>
      </x:c>
      <x:c r="I1968" s="7" t="str">
        <x:f>IF(AND(ISNUMBER(G1968),'요약'!$B$19),G1968-'요약'!$B$14,"")</x:f>
      </x:c>
      <x:c r="J1968" s="7" t="str">
        <x:f>IF(AND(ISNUMBER(H1968),'요약'!$B$19),H1968-'요약'!$B$15,"")</x:f>
      </x:c>
      <x:c r="K1968" t="str">
        <x:f>IF(ISNUMBER(B1968),IF('Hill'!$B$4=1,IF(B1968&lt;0,-B1968,""),IF('Hill'!$B$4=2,IF(B1968&gt;0,B1968,""),IF('Hill'!$B$4=3,IF(B1968&lt;&gt;0,ABS(B1968),""),""))),"")</x:f>
      </x:c>
    </x:row>
    <x:row r="1969">
      <x:c r="A1969" t="n">
        <x:f>1968</x:f>
        <x:v>1968</x:v>
      </x:c>
      <x:c r="B1969" s="7" t="str">
        <x:f>IF('요약'!$B$4=4,IF(ISNUMBER('input'!A1969),'input'!A1969,""),IF(1968&lt;=1000,CHOOSE('요약'!$B$4,'input'!B1969,'input'!C1969,'input'!D1969),""))</x:f>
      </x:c>
      <x:c r="C1969" s="7" t="str">
        <x:f>IF(AND(ISNUMBER(B1969),'요약'!$B$19),B1969-'요약'!$B$7,"")</x:f>
      </x:c>
      <x:c r="D1969" s="7" t="str">
        <x:f>IF(ISNUMBER(C1969),C1969^2,"")</x:f>
      </x:c>
      <x:c r="E1969" s="15" t="str">
        <x:f>IF(ISNUMBER(C1969),C1969^3,"")</x:f>
      </x:c>
      <x:c r="F1969" s="15" t="str">
        <x:f>IF(ISNUMBER(C1969),C1969^4,"")</x:f>
      </x:c>
      <x:c r="G1969" s="7" t="str">
        <x:f>IF(ISNUMBER(B1969),ABS(B1969),"")</x:f>
      </x:c>
      <x:c r="H1969" s="7" t="str">
        <x:f>IF(ISNUMBER(B1969),B1969^2,"")</x:f>
      </x:c>
      <x:c r="I1969" s="7" t="str">
        <x:f>IF(AND(ISNUMBER(G1969),'요약'!$B$19),G1969-'요약'!$B$14,"")</x:f>
      </x:c>
      <x:c r="J1969" s="7" t="str">
        <x:f>IF(AND(ISNUMBER(H1969),'요약'!$B$19),H1969-'요약'!$B$15,"")</x:f>
      </x:c>
      <x:c r="K1969" t="str">
        <x:f>IF(ISNUMBER(B1969),IF('Hill'!$B$4=1,IF(B1969&lt;0,-B1969,""),IF('Hill'!$B$4=2,IF(B1969&gt;0,B1969,""),IF('Hill'!$B$4=3,IF(B1969&lt;&gt;0,ABS(B1969),""),""))),"")</x:f>
      </x:c>
    </x:row>
    <x:row r="1970">
      <x:c r="A1970" t="n">
        <x:f>1969</x:f>
        <x:v>1969</x:v>
      </x:c>
      <x:c r="B1970" s="7" t="str">
        <x:f>IF('요약'!$B$4=4,IF(ISNUMBER('input'!A1970),'input'!A1970,""),IF(1969&lt;=1000,CHOOSE('요약'!$B$4,'input'!B1970,'input'!C1970,'input'!D1970),""))</x:f>
      </x:c>
      <x:c r="C1970" s="7" t="str">
        <x:f>IF(AND(ISNUMBER(B1970),'요약'!$B$19),B1970-'요약'!$B$7,"")</x:f>
      </x:c>
      <x:c r="D1970" s="7" t="str">
        <x:f>IF(ISNUMBER(C1970),C1970^2,"")</x:f>
      </x:c>
      <x:c r="E1970" s="15" t="str">
        <x:f>IF(ISNUMBER(C1970),C1970^3,"")</x:f>
      </x:c>
      <x:c r="F1970" s="15" t="str">
        <x:f>IF(ISNUMBER(C1970),C1970^4,"")</x:f>
      </x:c>
      <x:c r="G1970" s="7" t="str">
        <x:f>IF(ISNUMBER(B1970),ABS(B1970),"")</x:f>
      </x:c>
      <x:c r="H1970" s="7" t="str">
        <x:f>IF(ISNUMBER(B1970),B1970^2,"")</x:f>
      </x:c>
      <x:c r="I1970" s="7" t="str">
        <x:f>IF(AND(ISNUMBER(G1970),'요약'!$B$19),G1970-'요약'!$B$14,"")</x:f>
      </x:c>
      <x:c r="J1970" s="7" t="str">
        <x:f>IF(AND(ISNUMBER(H1970),'요약'!$B$19),H1970-'요약'!$B$15,"")</x:f>
      </x:c>
      <x:c r="K1970" t="str">
        <x:f>IF(ISNUMBER(B1970),IF('Hill'!$B$4=1,IF(B1970&lt;0,-B1970,""),IF('Hill'!$B$4=2,IF(B1970&gt;0,B1970,""),IF('Hill'!$B$4=3,IF(B1970&lt;&gt;0,ABS(B1970),""),""))),"")</x:f>
      </x:c>
    </x:row>
    <x:row r="1971">
      <x:c r="A1971" t="n">
        <x:f>1970</x:f>
        <x:v>1970</x:v>
      </x:c>
      <x:c r="B1971" s="7" t="str">
        <x:f>IF('요약'!$B$4=4,IF(ISNUMBER('input'!A1971),'input'!A1971,""),IF(1970&lt;=1000,CHOOSE('요약'!$B$4,'input'!B1971,'input'!C1971,'input'!D1971),""))</x:f>
      </x:c>
      <x:c r="C1971" s="7" t="str">
        <x:f>IF(AND(ISNUMBER(B1971),'요약'!$B$19),B1971-'요약'!$B$7,"")</x:f>
      </x:c>
      <x:c r="D1971" s="7" t="str">
        <x:f>IF(ISNUMBER(C1971),C1971^2,"")</x:f>
      </x:c>
      <x:c r="E1971" s="15" t="str">
        <x:f>IF(ISNUMBER(C1971),C1971^3,"")</x:f>
      </x:c>
      <x:c r="F1971" s="15" t="str">
        <x:f>IF(ISNUMBER(C1971),C1971^4,"")</x:f>
      </x:c>
      <x:c r="G1971" s="7" t="str">
        <x:f>IF(ISNUMBER(B1971),ABS(B1971),"")</x:f>
      </x:c>
      <x:c r="H1971" s="7" t="str">
        <x:f>IF(ISNUMBER(B1971),B1971^2,"")</x:f>
      </x:c>
      <x:c r="I1971" s="7" t="str">
        <x:f>IF(AND(ISNUMBER(G1971),'요약'!$B$19),G1971-'요약'!$B$14,"")</x:f>
      </x:c>
      <x:c r="J1971" s="7" t="str">
        <x:f>IF(AND(ISNUMBER(H1971),'요약'!$B$19),H1971-'요약'!$B$15,"")</x:f>
      </x:c>
      <x:c r="K1971" t="str">
        <x:f>IF(ISNUMBER(B1971),IF('Hill'!$B$4=1,IF(B1971&lt;0,-B1971,""),IF('Hill'!$B$4=2,IF(B1971&gt;0,B1971,""),IF('Hill'!$B$4=3,IF(B1971&lt;&gt;0,ABS(B1971),""),""))),"")</x:f>
      </x:c>
    </x:row>
    <x:row r="1972">
      <x:c r="A1972" t="n">
        <x:f>1971</x:f>
        <x:v>1971</x:v>
      </x:c>
      <x:c r="B1972" s="7" t="str">
        <x:f>IF('요약'!$B$4=4,IF(ISNUMBER('input'!A1972),'input'!A1972,""),IF(1971&lt;=1000,CHOOSE('요약'!$B$4,'input'!B1972,'input'!C1972,'input'!D1972),""))</x:f>
      </x:c>
      <x:c r="C1972" s="7" t="str">
        <x:f>IF(AND(ISNUMBER(B1972),'요약'!$B$19),B1972-'요약'!$B$7,"")</x:f>
      </x:c>
      <x:c r="D1972" s="7" t="str">
        <x:f>IF(ISNUMBER(C1972),C1972^2,"")</x:f>
      </x:c>
      <x:c r="E1972" s="15" t="str">
        <x:f>IF(ISNUMBER(C1972),C1972^3,"")</x:f>
      </x:c>
      <x:c r="F1972" s="15" t="str">
        <x:f>IF(ISNUMBER(C1972),C1972^4,"")</x:f>
      </x:c>
      <x:c r="G1972" s="7" t="str">
        <x:f>IF(ISNUMBER(B1972),ABS(B1972),"")</x:f>
      </x:c>
      <x:c r="H1972" s="7" t="str">
        <x:f>IF(ISNUMBER(B1972),B1972^2,"")</x:f>
      </x:c>
      <x:c r="I1972" s="7" t="str">
        <x:f>IF(AND(ISNUMBER(G1972),'요약'!$B$19),G1972-'요약'!$B$14,"")</x:f>
      </x:c>
      <x:c r="J1972" s="7" t="str">
        <x:f>IF(AND(ISNUMBER(H1972),'요약'!$B$19),H1972-'요약'!$B$15,"")</x:f>
      </x:c>
      <x:c r="K1972" t="str">
        <x:f>IF(ISNUMBER(B1972),IF('Hill'!$B$4=1,IF(B1972&lt;0,-B1972,""),IF('Hill'!$B$4=2,IF(B1972&gt;0,B1972,""),IF('Hill'!$B$4=3,IF(B1972&lt;&gt;0,ABS(B1972),""),""))),"")</x:f>
      </x:c>
    </x:row>
    <x:row r="1973">
      <x:c r="A1973" t="n">
        <x:f>1972</x:f>
        <x:v>1972</x:v>
      </x:c>
      <x:c r="B1973" s="7" t="str">
        <x:f>IF('요약'!$B$4=4,IF(ISNUMBER('input'!A1973),'input'!A1973,""),IF(1972&lt;=1000,CHOOSE('요약'!$B$4,'input'!B1973,'input'!C1973,'input'!D1973),""))</x:f>
      </x:c>
      <x:c r="C1973" s="7" t="str">
        <x:f>IF(AND(ISNUMBER(B1973),'요약'!$B$19),B1973-'요약'!$B$7,"")</x:f>
      </x:c>
      <x:c r="D1973" s="7" t="str">
        <x:f>IF(ISNUMBER(C1973),C1973^2,"")</x:f>
      </x:c>
      <x:c r="E1973" s="15" t="str">
        <x:f>IF(ISNUMBER(C1973),C1973^3,"")</x:f>
      </x:c>
      <x:c r="F1973" s="15" t="str">
        <x:f>IF(ISNUMBER(C1973),C1973^4,"")</x:f>
      </x:c>
      <x:c r="G1973" s="7" t="str">
        <x:f>IF(ISNUMBER(B1973),ABS(B1973),"")</x:f>
      </x:c>
      <x:c r="H1973" s="7" t="str">
        <x:f>IF(ISNUMBER(B1973),B1973^2,"")</x:f>
      </x:c>
      <x:c r="I1973" s="7" t="str">
        <x:f>IF(AND(ISNUMBER(G1973),'요약'!$B$19),G1973-'요약'!$B$14,"")</x:f>
      </x:c>
      <x:c r="J1973" s="7" t="str">
        <x:f>IF(AND(ISNUMBER(H1973),'요약'!$B$19),H1973-'요약'!$B$15,"")</x:f>
      </x:c>
      <x:c r="K1973" t="str">
        <x:f>IF(ISNUMBER(B1973),IF('Hill'!$B$4=1,IF(B1973&lt;0,-B1973,""),IF('Hill'!$B$4=2,IF(B1973&gt;0,B1973,""),IF('Hill'!$B$4=3,IF(B1973&lt;&gt;0,ABS(B1973),""),""))),"")</x:f>
      </x:c>
    </x:row>
    <x:row r="1974">
      <x:c r="A1974" t="n">
        <x:f>1973</x:f>
        <x:v>1973</x:v>
      </x:c>
      <x:c r="B1974" s="7" t="str">
        <x:f>IF('요약'!$B$4=4,IF(ISNUMBER('input'!A1974),'input'!A1974,""),IF(1973&lt;=1000,CHOOSE('요약'!$B$4,'input'!B1974,'input'!C1974,'input'!D1974),""))</x:f>
      </x:c>
      <x:c r="C1974" s="7" t="str">
        <x:f>IF(AND(ISNUMBER(B1974),'요약'!$B$19),B1974-'요약'!$B$7,"")</x:f>
      </x:c>
      <x:c r="D1974" s="7" t="str">
        <x:f>IF(ISNUMBER(C1974),C1974^2,"")</x:f>
      </x:c>
      <x:c r="E1974" s="15" t="str">
        <x:f>IF(ISNUMBER(C1974),C1974^3,"")</x:f>
      </x:c>
      <x:c r="F1974" s="15" t="str">
        <x:f>IF(ISNUMBER(C1974),C1974^4,"")</x:f>
      </x:c>
      <x:c r="G1974" s="7" t="str">
        <x:f>IF(ISNUMBER(B1974),ABS(B1974),"")</x:f>
      </x:c>
      <x:c r="H1974" s="7" t="str">
        <x:f>IF(ISNUMBER(B1974),B1974^2,"")</x:f>
      </x:c>
      <x:c r="I1974" s="7" t="str">
        <x:f>IF(AND(ISNUMBER(G1974),'요약'!$B$19),G1974-'요약'!$B$14,"")</x:f>
      </x:c>
      <x:c r="J1974" s="7" t="str">
        <x:f>IF(AND(ISNUMBER(H1974),'요약'!$B$19),H1974-'요약'!$B$15,"")</x:f>
      </x:c>
      <x:c r="K1974" t="str">
        <x:f>IF(ISNUMBER(B1974),IF('Hill'!$B$4=1,IF(B1974&lt;0,-B1974,""),IF('Hill'!$B$4=2,IF(B1974&gt;0,B1974,""),IF('Hill'!$B$4=3,IF(B1974&lt;&gt;0,ABS(B1974),""),""))),"")</x:f>
      </x:c>
    </x:row>
    <x:row r="1975">
      <x:c r="A1975" t="n">
        <x:f>1974</x:f>
        <x:v>1974</x:v>
      </x:c>
      <x:c r="B1975" s="7" t="str">
        <x:f>IF('요약'!$B$4=4,IF(ISNUMBER('input'!A1975),'input'!A1975,""),IF(1974&lt;=1000,CHOOSE('요약'!$B$4,'input'!B1975,'input'!C1975,'input'!D1975),""))</x:f>
      </x:c>
      <x:c r="C1975" s="7" t="str">
        <x:f>IF(AND(ISNUMBER(B1975),'요약'!$B$19),B1975-'요약'!$B$7,"")</x:f>
      </x:c>
      <x:c r="D1975" s="7" t="str">
        <x:f>IF(ISNUMBER(C1975),C1975^2,"")</x:f>
      </x:c>
      <x:c r="E1975" s="15" t="str">
        <x:f>IF(ISNUMBER(C1975),C1975^3,"")</x:f>
      </x:c>
      <x:c r="F1975" s="15" t="str">
        <x:f>IF(ISNUMBER(C1975),C1975^4,"")</x:f>
      </x:c>
      <x:c r="G1975" s="7" t="str">
        <x:f>IF(ISNUMBER(B1975),ABS(B1975),"")</x:f>
      </x:c>
      <x:c r="H1975" s="7" t="str">
        <x:f>IF(ISNUMBER(B1975),B1975^2,"")</x:f>
      </x:c>
      <x:c r="I1975" s="7" t="str">
        <x:f>IF(AND(ISNUMBER(G1975),'요약'!$B$19),G1975-'요약'!$B$14,"")</x:f>
      </x:c>
      <x:c r="J1975" s="7" t="str">
        <x:f>IF(AND(ISNUMBER(H1975),'요약'!$B$19),H1975-'요약'!$B$15,"")</x:f>
      </x:c>
      <x:c r="K1975" t="str">
        <x:f>IF(ISNUMBER(B1975),IF('Hill'!$B$4=1,IF(B1975&lt;0,-B1975,""),IF('Hill'!$B$4=2,IF(B1975&gt;0,B1975,""),IF('Hill'!$B$4=3,IF(B1975&lt;&gt;0,ABS(B1975),""),""))),"")</x:f>
      </x:c>
    </x:row>
    <x:row r="1976">
      <x:c r="A1976" t="n">
        <x:f>1975</x:f>
        <x:v>1975</x:v>
      </x:c>
      <x:c r="B1976" s="7" t="str">
        <x:f>IF('요약'!$B$4=4,IF(ISNUMBER('input'!A1976),'input'!A1976,""),IF(1975&lt;=1000,CHOOSE('요약'!$B$4,'input'!B1976,'input'!C1976,'input'!D1976),""))</x:f>
      </x:c>
      <x:c r="C1976" s="7" t="str">
        <x:f>IF(AND(ISNUMBER(B1976),'요약'!$B$19),B1976-'요약'!$B$7,"")</x:f>
      </x:c>
      <x:c r="D1976" s="7" t="str">
        <x:f>IF(ISNUMBER(C1976),C1976^2,"")</x:f>
      </x:c>
      <x:c r="E1976" s="15" t="str">
        <x:f>IF(ISNUMBER(C1976),C1976^3,"")</x:f>
      </x:c>
      <x:c r="F1976" s="15" t="str">
        <x:f>IF(ISNUMBER(C1976),C1976^4,"")</x:f>
      </x:c>
      <x:c r="G1976" s="7" t="str">
        <x:f>IF(ISNUMBER(B1976),ABS(B1976),"")</x:f>
      </x:c>
      <x:c r="H1976" s="7" t="str">
        <x:f>IF(ISNUMBER(B1976),B1976^2,"")</x:f>
      </x:c>
      <x:c r="I1976" s="7" t="str">
        <x:f>IF(AND(ISNUMBER(G1976),'요약'!$B$19),G1976-'요약'!$B$14,"")</x:f>
      </x:c>
      <x:c r="J1976" s="7" t="str">
        <x:f>IF(AND(ISNUMBER(H1976),'요약'!$B$19),H1976-'요약'!$B$15,"")</x:f>
      </x:c>
      <x:c r="K1976" t="str">
        <x:f>IF(ISNUMBER(B1976),IF('Hill'!$B$4=1,IF(B1976&lt;0,-B1976,""),IF('Hill'!$B$4=2,IF(B1976&gt;0,B1976,""),IF('Hill'!$B$4=3,IF(B1976&lt;&gt;0,ABS(B1976),""),""))),"")</x:f>
      </x:c>
    </x:row>
    <x:row r="1977">
      <x:c r="A1977" t="n">
        <x:f>1976</x:f>
        <x:v>1976</x:v>
      </x:c>
      <x:c r="B1977" s="7" t="str">
        <x:f>IF('요약'!$B$4=4,IF(ISNUMBER('input'!A1977),'input'!A1977,""),IF(1976&lt;=1000,CHOOSE('요약'!$B$4,'input'!B1977,'input'!C1977,'input'!D1977),""))</x:f>
      </x:c>
      <x:c r="C1977" s="7" t="str">
        <x:f>IF(AND(ISNUMBER(B1977),'요약'!$B$19),B1977-'요약'!$B$7,"")</x:f>
      </x:c>
      <x:c r="D1977" s="7" t="str">
        <x:f>IF(ISNUMBER(C1977),C1977^2,"")</x:f>
      </x:c>
      <x:c r="E1977" s="15" t="str">
        <x:f>IF(ISNUMBER(C1977),C1977^3,"")</x:f>
      </x:c>
      <x:c r="F1977" s="15" t="str">
        <x:f>IF(ISNUMBER(C1977),C1977^4,"")</x:f>
      </x:c>
      <x:c r="G1977" s="7" t="str">
        <x:f>IF(ISNUMBER(B1977),ABS(B1977),"")</x:f>
      </x:c>
      <x:c r="H1977" s="7" t="str">
        <x:f>IF(ISNUMBER(B1977),B1977^2,"")</x:f>
      </x:c>
      <x:c r="I1977" s="7" t="str">
        <x:f>IF(AND(ISNUMBER(G1977),'요약'!$B$19),G1977-'요약'!$B$14,"")</x:f>
      </x:c>
      <x:c r="J1977" s="7" t="str">
        <x:f>IF(AND(ISNUMBER(H1977),'요약'!$B$19),H1977-'요약'!$B$15,"")</x:f>
      </x:c>
      <x:c r="K1977" t="str">
        <x:f>IF(ISNUMBER(B1977),IF('Hill'!$B$4=1,IF(B1977&lt;0,-B1977,""),IF('Hill'!$B$4=2,IF(B1977&gt;0,B1977,""),IF('Hill'!$B$4=3,IF(B1977&lt;&gt;0,ABS(B1977),""),""))),"")</x:f>
      </x:c>
    </x:row>
    <x:row r="1978">
      <x:c r="A1978" t="n">
        <x:f>1977</x:f>
        <x:v>1977</x:v>
      </x:c>
      <x:c r="B1978" s="7" t="str">
        <x:f>IF('요약'!$B$4=4,IF(ISNUMBER('input'!A1978),'input'!A1978,""),IF(1977&lt;=1000,CHOOSE('요약'!$B$4,'input'!B1978,'input'!C1978,'input'!D1978),""))</x:f>
      </x:c>
      <x:c r="C1978" s="7" t="str">
        <x:f>IF(AND(ISNUMBER(B1978),'요약'!$B$19),B1978-'요약'!$B$7,"")</x:f>
      </x:c>
      <x:c r="D1978" s="7" t="str">
        <x:f>IF(ISNUMBER(C1978),C1978^2,"")</x:f>
      </x:c>
      <x:c r="E1978" s="15" t="str">
        <x:f>IF(ISNUMBER(C1978),C1978^3,"")</x:f>
      </x:c>
      <x:c r="F1978" s="15" t="str">
        <x:f>IF(ISNUMBER(C1978),C1978^4,"")</x:f>
      </x:c>
      <x:c r="G1978" s="7" t="str">
        <x:f>IF(ISNUMBER(B1978),ABS(B1978),"")</x:f>
      </x:c>
      <x:c r="H1978" s="7" t="str">
        <x:f>IF(ISNUMBER(B1978),B1978^2,"")</x:f>
      </x:c>
      <x:c r="I1978" s="7" t="str">
        <x:f>IF(AND(ISNUMBER(G1978),'요약'!$B$19),G1978-'요약'!$B$14,"")</x:f>
      </x:c>
      <x:c r="J1978" s="7" t="str">
        <x:f>IF(AND(ISNUMBER(H1978),'요약'!$B$19),H1978-'요약'!$B$15,"")</x:f>
      </x:c>
      <x:c r="K1978" t="str">
        <x:f>IF(ISNUMBER(B1978),IF('Hill'!$B$4=1,IF(B1978&lt;0,-B1978,""),IF('Hill'!$B$4=2,IF(B1978&gt;0,B1978,""),IF('Hill'!$B$4=3,IF(B1978&lt;&gt;0,ABS(B1978),""),""))),"")</x:f>
      </x:c>
    </x:row>
    <x:row r="1979">
      <x:c r="A1979" t="n">
        <x:f>1978</x:f>
        <x:v>1978</x:v>
      </x:c>
      <x:c r="B1979" s="7" t="str">
        <x:f>IF('요약'!$B$4=4,IF(ISNUMBER('input'!A1979),'input'!A1979,""),IF(1978&lt;=1000,CHOOSE('요약'!$B$4,'input'!B1979,'input'!C1979,'input'!D1979),""))</x:f>
      </x:c>
      <x:c r="C1979" s="7" t="str">
        <x:f>IF(AND(ISNUMBER(B1979),'요약'!$B$19),B1979-'요약'!$B$7,"")</x:f>
      </x:c>
      <x:c r="D1979" s="7" t="str">
        <x:f>IF(ISNUMBER(C1979),C1979^2,"")</x:f>
      </x:c>
      <x:c r="E1979" s="15" t="str">
        <x:f>IF(ISNUMBER(C1979),C1979^3,"")</x:f>
      </x:c>
      <x:c r="F1979" s="15" t="str">
        <x:f>IF(ISNUMBER(C1979),C1979^4,"")</x:f>
      </x:c>
      <x:c r="G1979" s="7" t="str">
        <x:f>IF(ISNUMBER(B1979),ABS(B1979),"")</x:f>
      </x:c>
      <x:c r="H1979" s="7" t="str">
        <x:f>IF(ISNUMBER(B1979),B1979^2,"")</x:f>
      </x:c>
      <x:c r="I1979" s="7" t="str">
        <x:f>IF(AND(ISNUMBER(G1979),'요약'!$B$19),G1979-'요약'!$B$14,"")</x:f>
      </x:c>
      <x:c r="J1979" s="7" t="str">
        <x:f>IF(AND(ISNUMBER(H1979),'요약'!$B$19),H1979-'요약'!$B$15,"")</x:f>
      </x:c>
      <x:c r="K1979" t="str">
        <x:f>IF(ISNUMBER(B1979),IF('Hill'!$B$4=1,IF(B1979&lt;0,-B1979,""),IF('Hill'!$B$4=2,IF(B1979&gt;0,B1979,""),IF('Hill'!$B$4=3,IF(B1979&lt;&gt;0,ABS(B1979),""),""))),"")</x:f>
      </x:c>
    </x:row>
    <x:row r="1980">
      <x:c r="A1980" t="n">
        <x:f>1979</x:f>
        <x:v>1979</x:v>
      </x:c>
      <x:c r="B1980" s="7" t="str">
        <x:f>IF('요약'!$B$4=4,IF(ISNUMBER('input'!A1980),'input'!A1980,""),IF(1979&lt;=1000,CHOOSE('요약'!$B$4,'input'!B1980,'input'!C1980,'input'!D1980),""))</x:f>
      </x:c>
      <x:c r="C1980" s="7" t="str">
        <x:f>IF(AND(ISNUMBER(B1980),'요약'!$B$19),B1980-'요약'!$B$7,"")</x:f>
      </x:c>
      <x:c r="D1980" s="7" t="str">
        <x:f>IF(ISNUMBER(C1980),C1980^2,"")</x:f>
      </x:c>
      <x:c r="E1980" s="15" t="str">
        <x:f>IF(ISNUMBER(C1980),C1980^3,"")</x:f>
      </x:c>
      <x:c r="F1980" s="15" t="str">
        <x:f>IF(ISNUMBER(C1980),C1980^4,"")</x:f>
      </x:c>
      <x:c r="G1980" s="7" t="str">
        <x:f>IF(ISNUMBER(B1980),ABS(B1980),"")</x:f>
      </x:c>
      <x:c r="H1980" s="7" t="str">
        <x:f>IF(ISNUMBER(B1980),B1980^2,"")</x:f>
      </x:c>
      <x:c r="I1980" s="7" t="str">
        <x:f>IF(AND(ISNUMBER(G1980),'요약'!$B$19),G1980-'요약'!$B$14,"")</x:f>
      </x:c>
      <x:c r="J1980" s="7" t="str">
        <x:f>IF(AND(ISNUMBER(H1980),'요약'!$B$19),H1980-'요약'!$B$15,"")</x:f>
      </x:c>
      <x:c r="K1980" t="str">
        <x:f>IF(ISNUMBER(B1980),IF('Hill'!$B$4=1,IF(B1980&lt;0,-B1980,""),IF('Hill'!$B$4=2,IF(B1980&gt;0,B1980,""),IF('Hill'!$B$4=3,IF(B1980&lt;&gt;0,ABS(B1980),""),""))),"")</x:f>
      </x:c>
    </x:row>
    <x:row r="1981">
      <x:c r="A1981" t="n">
        <x:f>1980</x:f>
        <x:v>1980</x:v>
      </x:c>
      <x:c r="B1981" s="7" t="str">
        <x:f>IF('요약'!$B$4=4,IF(ISNUMBER('input'!A1981),'input'!A1981,""),IF(1980&lt;=1000,CHOOSE('요약'!$B$4,'input'!B1981,'input'!C1981,'input'!D1981),""))</x:f>
      </x:c>
      <x:c r="C1981" s="7" t="str">
        <x:f>IF(AND(ISNUMBER(B1981),'요약'!$B$19),B1981-'요약'!$B$7,"")</x:f>
      </x:c>
      <x:c r="D1981" s="7" t="str">
        <x:f>IF(ISNUMBER(C1981),C1981^2,"")</x:f>
      </x:c>
      <x:c r="E1981" s="15" t="str">
        <x:f>IF(ISNUMBER(C1981),C1981^3,"")</x:f>
      </x:c>
      <x:c r="F1981" s="15" t="str">
        <x:f>IF(ISNUMBER(C1981),C1981^4,"")</x:f>
      </x:c>
      <x:c r="G1981" s="7" t="str">
        <x:f>IF(ISNUMBER(B1981),ABS(B1981),"")</x:f>
      </x:c>
      <x:c r="H1981" s="7" t="str">
        <x:f>IF(ISNUMBER(B1981),B1981^2,"")</x:f>
      </x:c>
      <x:c r="I1981" s="7" t="str">
        <x:f>IF(AND(ISNUMBER(G1981),'요약'!$B$19),G1981-'요약'!$B$14,"")</x:f>
      </x:c>
      <x:c r="J1981" s="7" t="str">
        <x:f>IF(AND(ISNUMBER(H1981),'요약'!$B$19),H1981-'요약'!$B$15,"")</x:f>
      </x:c>
      <x:c r="K1981" t="str">
        <x:f>IF(ISNUMBER(B1981),IF('Hill'!$B$4=1,IF(B1981&lt;0,-B1981,""),IF('Hill'!$B$4=2,IF(B1981&gt;0,B1981,""),IF('Hill'!$B$4=3,IF(B1981&lt;&gt;0,ABS(B1981),""),""))),"")</x:f>
      </x:c>
    </x:row>
    <x:row r="1982">
      <x:c r="A1982" t="n">
        <x:f>1981</x:f>
        <x:v>1981</x:v>
      </x:c>
      <x:c r="B1982" s="7" t="str">
        <x:f>IF('요약'!$B$4=4,IF(ISNUMBER('input'!A1982),'input'!A1982,""),IF(1981&lt;=1000,CHOOSE('요약'!$B$4,'input'!B1982,'input'!C1982,'input'!D1982),""))</x:f>
      </x:c>
      <x:c r="C1982" s="7" t="str">
        <x:f>IF(AND(ISNUMBER(B1982),'요약'!$B$19),B1982-'요약'!$B$7,"")</x:f>
      </x:c>
      <x:c r="D1982" s="7" t="str">
        <x:f>IF(ISNUMBER(C1982),C1982^2,"")</x:f>
      </x:c>
      <x:c r="E1982" s="15" t="str">
        <x:f>IF(ISNUMBER(C1982),C1982^3,"")</x:f>
      </x:c>
      <x:c r="F1982" s="15" t="str">
        <x:f>IF(ISNUMBER(C1982),C1982^4,"")</x:f>
      </x:c>
      <x:c r="G1982" s="7" t="str">
        <x:f>IF(ISNUMBER(B1982),ABS(B1982),"")</x:f>
      </x:c>
      <x:c r="H1982" s="7" t="str">
        <x:f>IF(ISNUMBER(B1982),B1982^2,"")</x:f>
      </x:c>
      <x:c r="I1982" s="7" t="str">
        <x:f>IF(AND(ISNUMBER(G1982),'요약'!$B$19),G1982-'요약'!$B$14,"")</x:f>
      </x:c>
      <x:c r="J1982" s="7" t="str">
        <x:f>IF(AND(ISNUMBER(H1982),'요약'!$B$19),H1982-'요약'!$B$15,"")</x:f>
      </x:c>
      <x:c r="K1982" t="str">
        <x:f>IF(ISNUMBER(B1982),IF('Hill'!$B$4=1,IF(B1982&lt;0,-B1982,""),IF('Hill'!$B$4=2,IF(B1982&gt;0,B1982,""),IF('Hill'!$B$4=3,IF(B1982&lt;&gt;0,ABS(B1982),""),""))),"")</x:f>
      </x:c>
    </x:row>
    <x:row r="1983">
      <x:c r="A1983" t="n">
        <x:f>1982</x:f>
        <x:v>1982</x:v>
      </x:c>
      <x:c r="B1983" s="7" t="str">
        <x:f>IF('요약'!$B$4=4,IF(ISNUMBER('input'!A1983),'input'!A1983,""),IF(1982&lt;=1000,CHOOSE('요약'!$B$4,'input'!B1983,'input'!C1983,'input'!D1983),""))</x:f>
      </x:c>
      <x:c r="C1983" s="7" t="str">
        <x:f>IF(AND(ISNUMBER(B1983),'요약'!$B$19),B1983-'요약'!$B$7,"")</x:f>
      </x:c>
      <x:c r="D1983" s="7" t="str">
        <x:f>IF(ISNUMBER(C1983),C1983^2,"")</x:f>
      </x:c>
      <x:c r="E1983" s="15" t="str">
        <x:f>IF(ISNUMBER(C1983),C1983^3,"")</x:f>
      </x:c>
      <x:c r="F1983" s="15" t="str">
        <x:f>IF(ISNUMBER(C1983),C1983^4,"")</x:f>
      </x:c>
      <x:c r="G1983" s="7" t="str">
        <x:f>IF(ISNUMBER(B1983),ABS(B1983),"")</x:f>
      </x:c>
      <x:c r="H1983" s="7" t="str">
        <x:f>IF(ISNUMBER(B1983),B1983^2,"")</x:f>
      </x:c>
      <x:c r="I1983" s="7" t="str">
        <x:f>IF(AND(ISNUMBER(G1983),'요약'!$B$19),G1983-'요약'!$B$14,"")</x:f>
      </x:c>
      <x:c r="J1983" s="7" t="str">
        <x:f>IF(AND(ISNUMBER(H1983),'요약'!$B$19),H1983-'요약'!$B$15,"")</x:f>
      </x:c>
      <x:c r="K1983" t="str">
        <x:f>IF(ISNUMBER(B1983),IF('Hill'!$B$4=1,IF(B1983&lt;0,-B1983,""),IF('Hill'!$B$4=2,IF(B1983&gt;0,B1983,""),IF('Hill'!$B$4=3,IF(B1983&lt;&gt;0,ABS(B1983),""),""))),"")</x:f>
      </x:c>
    </x:row>
    <x:row r="1984">
      <x:c r="A1984" t="n">
        <x:f>1983</x:f>
        <x:v>1983</x:v>
      </x:c>
      <x:c r="B1984" s="7" t="str">
        <x:f>IF('요약'!$B$4=4,IF(ISNUMBER('input'!A1984),'input'!A1984,""),IF(1983&lt;=1000,CHOOSE('요약'!$B$4,'input'!B1984,'input'!C1984,'input'!D1984),""))</x:f>
      </x:c>
      <x:c r="C1984" s="7" t="str">
        <x:f>IF(AND(ISNUMBER(B1984),'요약'!$B$19),B1984-'요약'!$B$7,"")</x:f>
      </x:c>
      <x:c r="D1984" s="7" t="str">
        <x:f>IF(ISNUMBER(C1984),C1984^2,"")</x:f>
      </x:c>
      <x:c r="E1984" s="15" t="str">
        <x:f>IF(ISNUMBER(C1984),C1984^3,"")</x:f>
      </x:c>
      <x:c r="F1984" s="15" t="str">
        <x:f>IF(ISNUMBER(C1984),C1984^4,"")</x:f>
      </x:c>
      <x:c r="G1984" s="7" t="str">
        <x:f>IF(ISNUMBER(B1984),ABS(B1984),"")</x:f>
      </x:c>
      <x:c r="H1984" s="7" t="str">
        <x:f>IF(ISNUMBER(B1984),B1984^2,"")</x:f>
      </x:c>
      <x:c r="I1984" s="7" t="str">
        <x:f>IF(AND(ISNUMBER(G1984),'요약'!$B$19),G1984-'요약'!$B$14,"")</x:f>
      </x:c>
      <x:c r="J1984" s="7" t="str">
        <x:f>IF(AND(ISNUMBER(H1984),'요약'!$B$19),H1984-'요약'!$B$15,"")</x:f>
      </x:c>
      <x:c r="K1984" t="str">
        <x:f>IF(ISNUMBER(B1984),IF('Hill'!$B$4=1,IF(B1984&lt;0,-B1984,""),IF('Hill'!$B$4=2,IF(B1984&gt;0,B1984,""),IF('Hill'!$B$4=3,IF(B1984&lt;&gt;0,ABS(B1984),""),""))),"")</x:f>
      </x:c>
    </x:row>
    <x:row r="1985">
      <x:c r="A1985" t="n">
        <x:f>1984</x:f>
        <x:v>1984</x:v>
      </x:c>
      <x:c r="B1985" s="7" t="str">
        <x:f>IF('요약'!$B$4=4,IF(ISNUMBER('input'!A1985),'input'!A1985,""),IF(1984&lt;=1000,CHOOSE('요약'!$B$4,'input'!B1985,'input'!C1985,'input'!D1985),""))</x:f>
      </x:c>
      <x:c r="C1985" s="7" t="str">
        <x:f>IF(AND(ISNUMBER(B1985),'요약'!$B$19),B1985-'요약'!$B$7,"")</x:f>
      </x:c>
      <x:c r="D1985" s="7" t="str">
        <x:f>IF(ISNUMBER(C1985),C1985^2,"")</x:f>
      </x:c>
      <x:c r="E1985" s="15" t="str">
        <x:f>IF(ISNUMBER(C1985),C1985^3,"")</x:f>
      </x:c>
      <x:c r="F1985" s="15" t="str">
        <x:f>IF(ISNUMBER(C1985),C1985^4,"")</x:f>
      </x:c>
      <x:c r="G1985" s="7" t="str">
        <x:f>IF(ISNUMBER(B1985),ABS(B1985),"")</x:f>
      </x:c>
      <x:c r="H1985" s="7" t="str">
        <x:f>IF(ISNUMBER(B1985),B1985^2,"")</x:f>
      </x:c>
      <x:c r="I1985" s="7" t="str">
        <x:f>IF(AND(ISNUMBER(G1985),'요약'!$B$19),G1985-'요약'!$B$14,"")</x:f>
      </x:c>
      <x:c r="J1985" s="7" t="str">
        <x:f>IF(AND(ISNUMBER(H1985),'요약'!$B$19),H1985-'요약'!$B$15,"")</x:f>
      </x:c>
      <x:c r="K1985" t="str">
        <x:f>IF(ISNUMBER(B1985),IF('Hill'!$B$4=1,IF(B1985&lt;0,-B1985,""),IF('Hill'!$B$4=2,IF(B1985&gt;0,B1985,""),IF('Hill'!$B$4=3,IF(B1985&lt;&gt;0,ABS(B1985),""),""))),"")</x:f>
      </x:c>
    </x:row>
    <x:row r="1986">
      <x:c r="A1986" t="n">
        <x:f>1985</x:f>
        <x:v>1985</x:v>
      </x:c>
      <x:c r="B1986" s="7" t="str">
        <x:f>IF('요약'!$B$4=4,IF(ISNUMBER('input'!A1986),'input'!A1986,""),IF(1985&lt;=1000,CHOOSE('요약'!$B$4,'input'!B1986,'input'!C1986,'input'!D1986),""))</x:f>
      </x:c>
      <x:c r="C1986" s="7" t="str">
        <x:f>IF(AND(ISNUMBER(B1986),'요약'!$B$19),B1986-'요약'!$B$7,"")</x:f>
      </x:c>
      <x:c r="D1986" s="7" t="str">
        <x:f>IF(ISNUMBER(C1986),C1986^2,"")</x:f>
      </x:c>
      <x:c r="E1986" s="15" t="str">
        <x:f>IF(ISNUMBER(C1986),C1986^3,"")</x:f>
      </x:c>
      <x:c r="F1986" s="15" t="str">
        <x:f>IF(ISNUMBER(C1986),C1986^4,"")</x:f>
      </x:c>
      <x:c r="G1986" s="7" t="str">
        <x:f>IF(ISNUMBER(B1986),ABS(B1986),"")</x:f>
      </x:c>
      <x:c r="H1986" s="7" t="str">
        <x:f>IF(ISNUMBER(B1986),B1986^2,"")</x:f>
      </x:c>
      <x:c r="I1986" s="7" t="str">
        <x:f>IF(AND(ISNUMBER(G1986),'요약'!$B$19),G1986-'요약'!$B$14,"")</x:f>
      </x:c>
      <x:c r="J1986" s="7" t="str">
        <x:f>IF(AND(ISNUMBER(H1986),'요약'!$B$19),H1986-'요약'!$B$15,"")</x:f>
      </x:c>
      <x:c r="K1986" t="str">
        <x:f>IF(ISNUMBER(B1986),IF('Hill'!$B$4=1,IF(B1986&lt;0,-B1986,""),IF('Hill'!$B$4=2,IF(B1986&gt;0,B1986,""),IF('Hill'!$B$4=3,IF(B1986&lt;&gt;0,ABS(B1986),""),""))),"")</x:f>
      </x:c>
    </x:row>
    <x:row r="1987">
      <x:c r="A1987" t="n">
        <x:f>1986</x:f>
        <x:v>1986</x:v>
      </x:c>
      <x:c r="B1987" s="7" t="str">
        <x:f>IF('요약'!$B$4=4,IF(ISNUMBER('input'!A1987),'input'!A1987,""),IF(1986&lt;=1000,CHOOSE('요약'!$B$4,'input'!B1987,'input'!C1987,'input'!D1987),""))</x:f>
      </x:c>
      <x:c r="C1987" s="7" t="str">
        <x:f>IF(AND(ISNUMBER(B1987),'요약'!$B$19),B1987-'요약'!$B$7,"")</x:f>
      </x:c>
      <x:c r="D1987" s="7" t="str">
        <x:f>IF(ISNUMBER(C1987),C1987^2,"")</x:f>
      </x:c>
      <x:c r="E1987" s="15" t="str">
        <x:f>IF(ISNUMBER(C1987),C1987^3,"")</x:f>
      </x:c>
      <x:c r="F1987" s="15" t="str">
        <x:f>IF(ISNUMBER(C1987),C1987^4,"")</x:f>
      </x:c>
      <x:c r="G1987" s="7" t="str">
        <x:f>IF(ISNUMBER(B1987),ABS(B1987),"")</x:f>
      </x:c>
      <x:c r="H1987" s="7" t="str">
        <x:f>IF(ISNUMBER(B1987),B1987^2,"")</x:f>
      </x:c>
      <x:c r="I1987" s="7" t="str">
        <x:f>IF(AND(ISNUMBER(G1987),'요약'!$B$19),G1987-'요약'!$B$14,"")</x:f>
      </x:c>
      <x:c r="J1987" s="7" t="str">
        <x:f>IF(AND(ISNUMBER(H1987),'요약'!$B$19),H1987-'요약'!$B$15,"")</x:f>
      </x:c>
      <x:c r="K1987" t="str">
        <x:f>IF(ISNUMBER(B1987),IF('Hill'!$B$4=1,IF(B1987&lt;0,-B1987,""),IF('Hill'!$B$4=2,IF(B1987&gt;0,B1987,""),IF('Hill'!$B$4=3,IF(B1987&lt;&gt;0,ABS(B1987),""),""))),"")</x:f>
      </x:c>
    </x:row>
    <x:row r="1988">
      <x:c r="A1988" t="n">
        <x:f>1987</x:f>
        <x:v>1987</x:v>
      </x:c>
      <x:c r="B1988" s="7" t="str">
        <x:f>IF('요약'!$B$4=4,IF(ISNUMBER('input'!A1988),'input'!A1988,""),IF(1987&lt;=1000,CHOOSE('요약'!$B$4,'input'!B1988,'input'!C1988,'input'!D1988),""))</x:f>
      </x:c>
      <x:c r="C1988" s="7" t="str">
        <x:f>IF(AND(ISNUMBER(B1988),'요약'!$B$19),B1988-'요약'!$B$7,"")</x:f>
      </x:c>
      <x:c r="D1988" s="7" t="str">
        <x:f>IF(ISNUMBER(C1988),C1988^2,"")</x:f>
      </x:c>
      <x:c r="E1988" s="15" t="str">
        <x:f>IF(ISNUMBER(C1988),C1988^3,"")</x:f>
      </x:c>
      <x:c r="F1988" s="15" t="str">
        <x:f>IF(ISNUMBER(C1988),C1988^4,"")</x:f>
      </x:c>
      <x:c r="G1988" s="7" t="str">
        <x:f>IF(ISNUMBER(B1988),ABS(B1988),"")</x:f>
      </x:c>
      <x:c r="H1988" s="7" t="str">
        <x:f>IF(ISNUMBER(B1988),B1988^2,"")</x:f>
      </x:c>
      <x:c r="I1988" s="7" t="str">
        <x:f>IF(AND(ISNUMBER(G1988),'요약'!$B$19),G1988-'요약'!$B$14,"")</x:f>
      </x:c>
      <x:c r="J1988" s="7" t="str">
        <x:f>IF(AND(ISNUMBER(H1988),'요약'!$B$19),H1988-'요약'!$B$15,"")</x:f>
      </x:c>
      <x:c r="K1988" t="str">
        <x:f>IF(ISNUMBER(B1988),IF('Hill'!$B$4=1,IF(B1988&lt;0,-B1988,""),IF('Hill'!$B$4=2,IF(B1988&gt;0,B1988,""),IF('Hill'!$B$4=3,IF(B1988&lt;&gt;0,ABS(B1988),""),""))),"")</x:f>
      </x:c>
    </x:row>
    <x:row r="1989">
      <x:c r="A1989" t="n">
        <x:f>1988</x:f>
        <x:v>1988</x:v>
      </x:c>
      <x:c r="B1989" s="7" t="str">
        <x:f>IF('요약'!$B$4=4,IF(ISNUMBER('input'!A1989),'input'!A1989,""),IF(1988&lt;=1000,CHOOSE('요약'!$B$4,'input'!B1989,'input'!C1989,'input'!D1989),""))</x:f>
      </x:c>
      <x:c r="C1989" s="7" t="str">
        <x:f>IF(AND(ISNUMBER(B1989),'요약'!$B$19),B1989-'요약'!$B$7,"")</x:f>
      </x:c>
      <x:c r="D1989" s="7" t="str">
        <x:f>IF(ISNUMBER(C1989),C1989^2,"")</x:f>
      </x:c>
      <x:c r="E1989" s="15" t="str">
        <x:f>IF(ISNUMBER(C1989),C1989^3,"")</x:f>
      </x:c>
      <x:c r="F1989" s="15" t="str">
        <x:f>IF(ISNUMBER(C1989),C1989^4,"")</x:f>
      </x:c>
      <x:c r="G1989" s="7" t="str">
        <x:f>IF(ISNUMBER(B1989),ABS(B1989),"")</x:f>
      </x:c>
      <x:c r="H1989" s="7" t="str">
        <x:f>IF(ISNUMBER(B1989),B1989^2,"")</x:f>
      </x:c>
      <x:c r="I1989" s="7" t="str">
        <x:f>IF(AND(ISNUMBER(G1989),'요약'!$B$19),G1989-'요약'!$B$14,"")</x:f>
      </x:c>
      <x:c r="J1989" s="7" t="str">
        <x:f>IF(AND(ISNUMBER(H1989),'요약'!$B$19),H1989-'요약'!$B$15,"")</x:f>
      </x:c>
      <x:c r="K1989" t="str">
        <x:f>IF(ISNUMBER(B1989),IF('Hill'!$B$4=1,IF(B1989&lt;0,-B1989,""),IF('Hill'!$B$4=2,IF(B1989&gt;0,B1989,""),IF('Hill'!$B$4=3,IF(B1989&lt;&gt;0,ABS(B1989),""),""))),"")</x:f>
      </x:c>
    </x:row>
    <x:row r="1990">
      <x:c r="A1990" t="n">
        <x:f>1989</x:f>
        <x:v>1989</x:v>
      </x:c>
      <x:c r="B1990" s="7" t="str">
        <x:f>IF('요약'!$B$4=4,IF(ISNUMBER('input'!A1990),'input'!A1990,""),IF(1989&lt;=1000,CHOOSE('요약'!$B$4,'input'!B1990,'input'!C1990,'input'!D1990),""))</x:f>
      </x:c>
      <x:c r="C1990" s="7" t="str">
        <x:f>IF(AND(ISNUMBER(B1990),'요약'!$B$19),B1990-'요약'!$B$7,"")</x:f>
      </x:c>
      <x:c r="D1990" s="7" t="str">
        <x:f>IF(ISNUMBER(C1990),C1990^2,"")</x:f>
      </x:c>
      <x:c r="E1990" s="15" t="str">
        <x:f>IF(ISNUMBER(C1990),C1990^3,"")</x:f>
      </x:c>
      <x:c r="F1990" s="15" t="str">
        <x:f>IF(ISNUMBER(C1990),C1990^4,"")</x:f>
      </x:c>
      <x:c r="G1990" s="7" t="str">
        <x:f>IF(ISNUMBER(B1990),ABS(B1990),"")</x:f>
      </x:c>
      <x:c r="H1990" s="7" t="str">
        <x:f>IF(ISNUMBER(B1990),B1990^2,"")</x:f>
      </x:c>
      <x:c r="I1990" s="7" t="str">
        <x:f>IF(AND(ISNUMBER(G1990),'요약'!$B$19),G1990-'요약'!$B$14,"")</x:f>
      </x:c>
      <x:c r="J1990" s="7" t="str">
        <x:f>IF(AND(ISNUMBER(H1990),'요약'!$B$19),H1990-'요약'!$B$15,"")</x:f>
      </x:c>
      <x:c r="K1990" t="str">
        <x:f>IF(ISNUMBER(B1990),IF('Hill'!$B$4=1,IF(B1990&lt;0,-B1990,""),IF('Hill'!$B$4=2,IF(B1990&gt;0,B1990,""),IF('Hill'!$B$4=3,IF(B1990&lt;&gt;0,ABS(B1990),""),""))),"")</x:f>
      </x:c>
    </x:row>
    <x:row r="1991">
      <x:c r="A1991" t="n">
        <x:f>1990</x:f>
        <x:v>1990</x:v>
      </x:c>
      <x:c r="B1991" s="7" t="str">
        <x:f>IF('요약'!$B$4=4,IF(ISNUMBER('input'!A1991),'input'!A1991,""),IF(1990&lt;=1000,CHOOSE('요약'!$B$4,'input'!B1991,'input'!C1991,'input'!D1991),""))</x:f>
      </x:c>
      <x:c r="C1991" s="7" t="str">
        <x:f>IF(AND(ISNUMBER(B1991),'요약'!$B$19),B1991-'요약'!$B$7,"")</x:f>
      </x:c>
      <x:c r="D1991" s="7" t="str">
        <x:f>IF(ISNUMBER(C1991),C1991^2,"")</x:f>
      </x:c>
      <x:c r="E1991" s="15" t="str">
        <x:f>IF(ISNUMBER(C1991),C1991^3,"")</x:f>
      </x:c>
      <x:c r="F1991" s="15" t="str">
        <x:f>IF(ISNUMBER(C1991),C1991^4,"")</x:f>
      </x:c>
      <x:c r="G1991" s="7" t="str">
        <x:f>IF(ISNUMBER(B1991),ABS(B1991),"")</x:f>
      </x:c>
      <x:c r="H1991" s="7" t="str">
        <x:f>IF(ISNUMBER(B1991),B1991^2,"")</x:f>
      </x:c>
      <x:c r="I1991" s="7" t="str">
        <x:f>IF(AND(ISNUMBER(G1991),'요약'!$B$19),G1991-'요약'!$B$14,"")</x:f>
      </x:c>
      <x:c r="J1991" s="7" t="str">
        <x:f>IF(AND(ISNUMBER(H1991),'요약'!$B$19),H1991-'요약'!$B$15,"")</x:f>
      </x:c>
      <x:c r="K1991" t="str">
        <x:f>IF(ISNUMBER(B1991),IF('Hill'!$B$4=1,IF(B1991&lt;0,-B1991,""),IF('Hill'!$B$4=2,IF(B1991&gt;0,B1991,""),IF('Hill'!$B$4=3,IF(B1991&lt;&gt;0,ABS(B1991),""),""))),"")</x:f>
      </x:c>
    </x:row>
    <x:row r="1992">
      <x:c r="A1992" t="n">
        <x:f>1991</x:f>
        <x:v>1991</x:v>
      </x:c>
      <x:c r="B1992" s="7" t="str">
        <x:f>IF('요약'!$B$4=4,IF(ISNUMBER('input'!A1992),'input'!A1992,""),IF(1991&lt;=1000,CHOOSE('요약'!$B$4,'input'!B1992,'input'!C1992,'input'!D1992),""))</x:f>
      </x:c>
      <x:c r="C1992" s="7" t="str">
        <x:f>IF(AND(ISNUMBER(B1992),'요약'!$B$19),B1992-'요약'!$B$7,"")</x:f>
      </x:c>
      <x:c r="D1992" s="7" t="str">
        <x:f>IF(ISNUMBER(C1992),C1992^2,"")</x:f>
      </x:c>
      <x:c r="E1992" s="15" t="str">
        <x:f>IF(ISNUMBER(C1992),C1992^3,"")</x:f>
      </x:c>
      <x:c r="F1992" s="15" t="str">
        <x:f>IF(ISNUMBER(C1992),C1992^4,"")</x:f>
      </x:c>
      <x:c r="G1992" s="7" t="str">
        <x:f>IF(ISNUMBER(B1992),ABS(B1992),"")</x:f>
      </x:c>
      <x:c r="H1992" s="7" t="str">
        <x:f>IF(ISNUMBER(B1992),B1992^2,"")</x:f>
      </x:c>
      <x:c r="I1992" s="7" t="str">
        <x:f>IF(AND(ISNUMBER(G1992),'요약'!$B$19),G1992-'요약'!$B$14,"")</x:f>
      </x:c>
      <x:c r="J1992" s="7" t="str">
        <x:f>IF(AND(ISNUMBER(H1992),'요약'!$B$19),H1992-'요약'!$B$15,"")</x:f>
      </x:c>
      <x:c r="K1992" t="str">
        <x:f>IF(ISNUMBER(B1992),IF('Hill'!$B$4=1,IF(B1992&lt;0,-B1992,""),IF('Hill'!$B$4=2,IF(B1992&gt;0,B1992,""),IF('Hill'!$B$4=3,IF(B1992&lt;&gt;0,ABS(B1992),""),""))),"")</x:f>
      </x:c>
    </x:row>
    <x:row r="1993">
      <x:c r="A1993" t="n">
        <x:f>1992</x:f>
        <x:v>1992</x:v>
      </x:c>
      <x:c r="B1993" s="7" t="str">
        <x:f>IF('요약'!$B$4=4,IF(ISNUMBER('input'!A1993),'input'!A1993,""),IF(1992&lt;=1000,CHOOSE('요약'!$B$4,'input'!B1993,'input'!C1993,'input'!D1993),""))</x:f>
      </x:c>
      <x:c r="C1993" s="7" t="str">
        <x:f>IF(AND(ISNUMBER(B1993),'요약'!$B$19),B1993-'요약'!$B$7,"")</x:f>
      </x:c>
      <x:c r="D1993" s="7" t="str">
        <x:f>IF(ISNUMBER(C1993),C1993^2,"")</x:f>
      </x:c>
      <x:c r="E1993" s="15" t="str">
        <x:f>IF(ISNUMBER(C1993),C1993^3,"")</x:f>
      </x:c>
      <x:c r="F1993" s="15" t="str">
        <x:f>IF(ISNUMBER(C1993),C1993^4,"")</x:f>
      </x:c>
      <x:c r="G1993" s="7" t="str">
        <x:f>IF(ISNUMBER(B1993),ABS(B1993),"")</x:f>
      </x:c>
      <x:c r="H1993" s="7" t="str">
        <x:f>IF(ISNUMBER(B1993),B1993^2,"")</x:f>
      </x:c>
      <x:c r="I1993" s="7" t="str">
        <x:f>IF(AND(ISNUMBER(G1993),'요약'!$B$19),G1993-'요약'!$B$14,"")</x:f>
      </x:c>
      <x:c r="J1993" s="7" t="str">
        <x:f>IF(AND(ISNUMBER(H1993),'요약'!$B$19),H1993-'요약'!$B$15,"")</x:f>
      </x:c>
      <x:c r="K1993" t="str">
        <x:f>IF(ISNUMBER(B1993),IF('Hill'!$B$4=1,IF(B1993&lt;0,-B1993,""),IF('Hill'!$B$4=2,IF(B1993&gt;0,B1993,""),IF('Hill'!$B$4=3,IF(B1993&lt;&gt;0,ABS(B1993),""),""))),"")</x:f>
      </x:c>
    </x:row>
    <x:row r="1994">
      <x:c r="A1994" t="n">
        <x:f>1993</x:f>
        <x:v>1993</x:v>
      </x:c>
      <x:c r="B1994" s="7" t="str">
        <x:f>IF('요약'!$B$4=4,IF(ISNUMBER('input'!A1994),'input'!A1994,""),IF(1993&lt;=1000,CHOOSE('요약'!$B$4,'input'!B1994,'input'!C1994,'input'!D1994),""))</x:f>
      </x:c>
      <x:c r="C1994" s="7" t="str">
        <x:f>IF(AND(ISNUMBER(B1994),'요약'!$B$19),B1994-'요약'!$B$7,"")</x:f>
      </x:c>
      <x:c r="D1994" s="7" t="str">
        <x:f>IF(ISNUMBER(C1994),C1994^2,"")</x:f>
      </x:c>
      <x:c r="E1994" s="15" t="str">
        <x:f>IF(ISNUMBER(C1994),C1994^3,"")</x:f>
      </x:c>
      <x:c r="F1994" s="15" t="str">
        <x:f>IF(ISNUMBER(C1994),C1994^4,"")</x:f>
      </x:c>
      <x:c r="G1994" s="7" t="str">
        <x:f>IF(ISNUMBER(B1994),ABS(B1994),"")</x:f>
      </x:c>
      <x:c r="H1994" s="7" t="str">
        <x:f>IF(ISNUMBER(B1994),B1994^2,"")</x:f>
      </x:c>
      <x:c r="I1994" s="7" t="str">
        <x:f>IF(AND(ISNUMBER(G1994),'요약'!$B$19),G1994-'요약'!$B$14,"")</x:f>
      </x:c>
      <x:c r="J1994" s="7" t="str">
        <x:f>IF(AND(ISNUMBER(H1994),'요약'!$B$19),H1994-'요약'!$B$15,"")</x:f>
      </x:c>
      <x:c r="K1994" t="str">
        <x:f>IF(ISNUMBER(B1994),IF('Hill'!$B$4=1,IF(B1994&lt;0,-B1994,""),IF('Hill'!$B$4=2,IF(B1994&gt;0,B1994,""),IF('Hill'!$B$4=3,IF(B1994&lt;&gt;0,ABS(B1994),""),""))),"")</x:f>
      </x:c>
    </x:row>
    <x:row r="1995">
      <x:c r="A1995" t="n">
        <x:f>1994</x:f>
        <x:v>1994</x:v>
      </x:c>
      <x:c r="B1995" s="7" t="str">
        <x:f>IF('요약'!$B$4=4,IF(ISNUMBER('input'!A1995),'input'!A1995,""),IF(1994&lt;=1000,CHOOSE('요약'!$B$4,'input'!B1995,'input'!C1995,'input'!D1995),""))</x:f>
      </x:c>
      <x:c r="C1995" s="7" t="str">
        <x:f>IF(AND(ISNUMBER(B1995),'요약'!$B$19),B1995-'요약'!$B$7,"")</x:f>
      </x:c>
      <x:c r="D1995" s="7" t="str">
        <x:f>IF(ISNUMBER(C1995),C1995^2,"")</x:f>
      </x:c>
      <x:c r="E1995" s="15" t="str">
        <x:f>IF(ISNUMBER(C1995),C1995^3,"")</x:f>
      </x:c>
      <x:c r="F1995" s="15" t="str">
        <x:f>IF(ISNUMBER(C1995),C1995^4,"")</x:f>
      </x:c>
      <x:c r="G1995" s="7" t="str">
        <x:f>IF(ISNUMBER(B1995),ABS(B1995),"")</x:f>
      </x:c>
      <x:c r="H1995" s="7" t="str">
        <x:f>IF(ISNUMBER(B1995),B1995^2,"")</x:f>
      </x:c>
      <x:c r="I1995" s="7" t="str">
        <x:f>IF(AND(ISNUMBER(G1995),'요약'!$B$19),G1995-'요약'!$B$14,"")</x:f>
      </x:c>
      <x:c r="J1995" s="7" t="str">
        <x:f>IF(AND(ISNUMBER(H1995),'요약'!$B$19),H1995-'요약'!$B$15,"")</x:f>
      </x:c>
      <x:c r="K1995" t="str">
        <x:f>IF(ISNUMBER(B1995),IF('Hill'!$B$4=1,IF(B1995&lt;0,-B1995,""),IF('Hill'!$B$4=2,IF(B1995&gt;0,B1995,""),IF('Hill'!$B$4=3,IF(B1995&lt;&gt;0,ABS(B1995),""),""))),"")</x:f>
      </x:c>
    </x:row>
    <x:row r="1996">
      <x:c r="A1996" t="n">
        <x:f>1995</x:f>
        <x:v>1995</x:v>
      </x:c>
      <x:c r="B1996" s="7" t="str">
        <x:f>IF('요약'!$B$4=4,IF(ISNUMBER('input'!A1996),'input'!A1996,""),IF(1995&lt;=1000,CHOOSE('요약'!$B$4,'input'!B1996,'input'!C1996,'input'!D1996),""))</x:f>
      </x:c>
      <x:c r="C1996" s="7" t="str">
        <x:f>IF(AND(ISNUMBER(B1996),'요약'!$B$19),B1996-'요약'!$B$7,"")</x:f>
      </x:c>
      <x:c r="D1996" s="7" t="str">
        <x:f>IF(ISNUMBER(C1996),C1996^2,"")</x:f>
      </x:c>
      <x:c r="E1996" s="15" t="str">
        <x:f>IF(ISNUMBER(C1996),C1996^3,"")</x:f>
      </x:c>
      <x:c r="F1996" s="15" t="str">
        <x:f>IF(ISNUMBER(C1996),C1996^4,"")</x:f>
      </x:c>
      <x:c r="G1996" s="7" t="str">
        <x:f>IF(ISNUMBER(B1996),ABS(B1996),"")</x:f>
      </x:c>
      <x:c r="H1996" s="7" t="str">
        <x:f>IF(ISNUMBER(B1996),B1996^2,"")</x:f>
      </x:c>
      <x:c r="I1996" s="7" t="str">
        <x:f>IF(AND(ISNUMBER(G1996),'요약'!$B$19),G1996-'요약'!$B$14,"")</x:f>
      </x:c>
      <x:c r="J1996" s="7" t="str">
        <x:f>IF(AND(ISNUMBER(H1996),'요약'!$B$19),H1996-'요약'!$B$15,"")</x:f>
      </x:c>
      <x:c r="K1996" t="str">
        <x:f>IF(ISNUMBER(B1996),IF('Hill'!$B$4=1,IF(B1996&lt;0,-B1996,""),IF('Hill'!$B$4=2,IF(B1996&gt;0,B1996,""),IF('Hill'!$B$4=3,IF(B1996&lt;&gt;0,ABS(B1996),""),""))),"")</x:f>
      </x:c>
    </x:row>
    <x:row r="1997">
      <x:c r="A1997" t="n">
        <x:f>1996</x:f>
        <x:v>1996</x:v>
      </x:c>
      <x:c r="B1997" s="7" t="str">
        <x:f>IF('요약'!$B$4=4,IF(ISNUMBER('input'!A1997),'input'!A1997,""),IF(1996&lt;=1000,CHOOSE('요약'!$B$4,'input'!B1997,'input'!C1997,'input'!D1997),""))</x:f>
      </x:c>
      <x:c r="C1997" s="7" t="str">
        <x:f>IF(AND(ISNUMBER(B1997),'요약'!$B$19),B1997-'요약'!$B$7,"")</x:f>
      </x:c>
      <x:c r="D1997" s="7" t="str">
        <x:f>IF(ISNUMBER(C1997),C1997^2,"")</x:f>
      </x:c>
      <x:c r="E1997" s="15" t="str">
        <x:f>IF(ISNUMBER(C1997),C1997^3,"")</x:f>
      </x:c>
      <x:c r="F1997" s="15" t="str">
        <x:f>IF(ISNUMBER(C1997),C1997^4,"")</x:f>
      </x:c>
      <x:c r="G1997" s="7" t="str">
        <x:f>IF(ISNUMBER(B1997),ABS(B1997),"")</x:f>
      </x:c>
      <x:c r="H1997" s="7" t="str">
        <x:f>IF(ISNUMBER(B1997),B1997^2,"")</x:f>
      </x:c>
      <x:c r="I1997" s="7" t="str">
        <x:f>IF(AND(ISNUMBER(G1997),'요약'!$B$19),G1997-'요약'!$B$14,"")</x:f>
      </x:c>
      <x:c r="J1997" s="7" t="str">
        <x:f>IF(AND(ISNUMBER(H1997),'요약'!$B$19),H1997-'요약'!$B$15,"")</x:f>
      </x:c>
      <x:c r="K1997" t="str">
        <x:f>IF(ISNUMBER(B1997),IF('Hill'!$B$4=1,IF(B1997&lt;0,-B1997,""),IF('Hill'!$B$4=2,IF(B1997&gt;0,B1997,""),IF('Hill'!$B$4=3,IF(B1997&lt;&gt;0,ABS(B1997),""),""))),"")</x:f>
      </x:c>
    </x:row>
    <x:row r="1998">
      <x:c r="A1998" t="n">
        <x:f>1997</x:f>
        <x:v>1997</x:v>
      </x:c>
      <x:c r="B1998" s="7" t="str">
        <x:f>IF('요약'!$B$4=4,IF(ISNUMBER('input'!A1998),'input'!A1998,""),IF(1997&lt;=1000,CHOOSE('요약'!$B$4,'input'!B1998,'input'!C1998,'input'!D1998),""))</x:f>
      </x:c>
      <x:c r="C1998" s="7" t="str">
        <x:f>IF(AND(ISNUMBER(B1998),'요약'!$B$19),B1998-'요약'!$B$7,"")</x:f>
      </x:c>
      <x:c r="D1998" s="7" t="str">
        <x:f>IF(ISNUMBER(C1998),C1998^2,"")</x:f>
      </x:c>
      <x:c r="E1998" s="15" t="str">
        <x:f>IF(ISNUMBER(C1998),C1998^3,"")</x:f>
      </x:c>
      <x:c r="F1998" s="15" t="str">
        <x:f>IF(ISNUMBER(C1998),C1998^4,"")</x:f>
      </x:c>
      <x:c r="G1998" s="7" t="str">
        <x:f>IF(ISNUMBER(B1998),ABS(B1998),"")</x:f>
      </x:c>
      <x:c r="H1998" s="7" t="str">
        <x:f>IF(ISNUMBER(B1998),B1998^2,"")</x:f>
      </x:c>
      <x:c r="I1998" s="7" t="str">
        <x:f>IF(AND(ISNUMBER(G1998),'요약'!$B$19),G1998-'요약'!$B$14,"")</x:f>
      </x:c>
      <x:c r="J1998" s="7" t="str">
        <x:f>IF(AND(ISNUMBER(H1998),'요약'!$B$19),H1998-'요약'!$B$15,"")</x:f>
      </x:c>
      <x:c r="K1998" t="str">
        <x:f>IF(ISNUMBER(B1998),IF('Hill'!$B$4=1,IF(B1998&lt;0,-B1998,""),IF('Hill'!$B$4=2,IF(B1998&gt;0,B1998,""),IF('Hill'!$B$4=3,IF(B1998&lt;&gt;0,ABS(B1998),""),""))),"")</x:f>
      </x:c>
    </x:row>
    <x:row r="1999">
      <x:c r="A1999" t="n">
        <x:f>1998</x:f>
        <x:v>1998</x:v>
      </x:c>
      <x:c r="B1999" s="7" t="str">
        <x:f>IF('요약'!$B$4=4,IF(ISNUMBER('input'!A1999),'input'!A1999,""),IF(1998&lt;=1000,CHOOSE('요약'!$B$4,'input'!B1999,'input'!C1999,'input'!D1999),""))</x:f>
      </x:c>
      <x:c r="C1999" s="7" t="str">
        <x:f>IF(AND(ISNUMBER(B1999),'요약'!$B$19),B1999-'요약'!$B$7,"")</x:f>
      </x:c>
      <x:c r="D1999" s="7" t="str">
        <x:f>IF(ISNUMBER(C1999),C1999^2,"")</x:f>
      </x:c>
      <x:c r="E1999" s="15" t="str">
        <x:f>IF(ISNUMBER(C1999),C1999^3,"")</x:f>
      </x:c>
      <x:c r="F1999" s="15" t="str">
        <x:f>IF(ISNUMBER(C1999),C1999^4,"")</x:f>
      </x:c>
      <x:c r="G1999" s="7" t="str">
        <x:f>IF(ISNUMBER(B1999),ABS(B1999),"")</x:f>
      </x:c>
      <x:c r="H1999" s="7" t="str">
        <x:f>IF(ISNUMBER(B1999),B1999^2,"")</x:f>
      </x:c>
      <x:c r="I1999" s="7" t="str">
        <x:f>IF(AND(ISNUMBER(G1999),'요약'!$B$19),G1999-'요약'!$B$14,"")</x:f>
      </x:c>
      <x:c r="J1999" s="7" t="str">
        <x:f>IF(AND(ISNUMBER(H1999),'요약'!$B$19),H1999-'요약'!$B$15,"")</x:f>
      </x:c>
      <x:c r="K1999" t="str">
        <x:f>IF(ISNUMBER(B1999),IF('Hill'!$B$4=1,IF(B1999&lt;0,-B1999,""),IF('Hill'!$B$4=2,IF(B1999&gt;0,B1999,""),IF('Hill'!$B$4=3,IF(B1999&lt;&gt;0,ABS(B1999),""),""))),"")</x:f>
      </x:c>
    </x:row>
    <x:row r="2000">
      <x:c r="A2000" t="n">
        <x:f>1999</x:f>
        <x:v>1999</x:v>
      </x:c>
      <x:c r="B2000" s="7" t="str">
        <x:f>IF('요약'!$B$4=4,IF(ISNUMBER('input'!A2000),'input'!A2000,""),IF(1999&lt;=1000,CHOOSE('요약'!$B$4,'input'!B2000,'input'!C2000,'input'!D2000),""))</x:f>
      </x:c>
      <x:c r="C2000" s="7" t="str">
        <x:f>IF(AND(ISNUMBER(B2000),'요약'!$B$19),B2000-'요약'!$B$7,"")</x:f>
      </x:c>
      <x:c r="D2000" s="7" t="str">
        <x:f>IF(ISNUMBER(C2000),C2000^2,"")</x:f>
      </x:c>
      <x:c r="E2000" s="15" t="str">
        <x:f>IF(ISNUMBER(C2000),C2000^3,"")</x:f>
      </x:c>
      <x:c r="F2000" s="15" t="str">
        <x:f>IF(ISNUMBER(C2000),C2000^4,"")</x:f>
      </x:c>
      <x:c r="G2000" s="7" t="str">
        <x:f>IF(ISNUMBER(B2000),ABS(B2000),"")</x:f>
      </x:c>
      <x:c r="H2000" s="7" t="str">
        <x:f>IF(ISNUMBER(B2000),B2000^2,"")</x:f>
      </x:c>
      <x:c r="I2000" s="7" t="str">
        <x:f>IF(AND(ISNUMBER(G2000),'요약'!$B$19),G2000-'요약'!$B$14,"")</x:f>
      </x:c>
      <x:c r="J2000" s="7" t="str">
        <x:f>IF(AND(ISNUMBER(H2000),'요약'!$B$19),H2000-'요약'!$B$15,"")</x:f>
      </x:c>
      <x:c r="K2000" t="str">
        <x:f>IF(ISNUMBER(B2000),IF('Hill'!$B$4=1,IF(B2000&lt;0,-B2000,""),IF('Hill'!$B$4=2,IF(B2000&gt;0,B2000,""),IF('Hill'!$B$4=3,IF(B2000&lt;&gt;0,ABS(B2000),""),""))),"")</x:f>
      </x:c>
    </x:row>
    <x:row r="2001">
      <x:c r="A2001" t="n">
        <x:f>2000</x:f>
        <x:v>2000</x:v>
      </x:c>
      <x:c r="B2001" s="7" t="str">
        <x:f>IF('요약'!$B$4=4,IF(ISNUMBER('input'!A2001),'input'!A2001,""),IF(2000&lt;=1000,CHOOSE('요약'!$B$4,'input'!B2001,'input'!C2001,'input'!D2001),""))</x:f>
      </x:c>
      <x:c r="C2001" s="7" t="str">
        <x:f>IF(AND(ISNUMBER(B2001),'요약'!$B$19),B2001-'요약'!$B$7,"")</x:f>
      </x:c>
      <x:c r="D2001" s="7" t="str">
        <x:f>IF(ISNUMBER(C2001),C2001^2,"")</x:f>
      </x:c>
      <x:c r="E2001" s="15" t="str">
        <x:f>IF(ISNUMBER(C2001),C2001^3,"")</x:f>
      </x:c>
      <x:c r="F2001" s="15" t="str">
        <x:f>IF(ISNUMBER(C2001),C2001^4,"")</x:f>
      </x:c>
      <x:c r="G2001" s="7" t="str">
        <x:f>IF(ISNUMBER(B2001),ABS(B2001),"")</x:f>
      </x:c>
      <x:c r="H2001" s="7" t="str">
        <x:f>IF(ISNUMBER(B2001),B2001^2,"")</x:f>
      </x:c>
      <x:c r="I2001" s="7" t="str">
        <x:f>IF(AND(ISNUMBER(G2001),'요약'!$B$19),G2001-'요약'!$B$14,"")</x:f>
      </x:c>
      <x:c r="J2001" s="7" t="str">
        <x:f>IF(AND(ISNUMBER(H2001),'요약'!$B$19),H2001-'요약'!$B$15,"")</x:f>
      </x:c>
      <x:c r="K2001" t="str">
        <x:f>IF(ISNUMBER(B2001),IF('Hill'!$B$4=1,IF(B2001&lt;0,-B2001,""),IF('Hill'!$B$4=2,IF(B2001&gt;0,B2001,""),IF('Hill'!$B$4=3,IF(B2001&lt;&gt;0,ABS(B2001),""),""))),"")</x:f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18" hidden="0" customWidth="1"/>
    <x:col min="6" max="6" width="22" hidden="0" customWidth="1"/>
    <x:col min="7" max="7" width="6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6" customHeight="1">
      <x:c r="A1" s="9" t="str">
        <x:v>own_log_return</x:v>
      </x:c>
      <x:c r="B1" s="9" t="str">
        <x:v>normal_synthetic</x:v>
      </x:c>
      <x:c r="C1" s="9" t="str">
        <x:v>t5_synthetic</x:v>
      </x:c>
      <x:c r="D1" s="9" t="str">
        <x:v>garch_synthetic</x:v>
      </x:c>
      <x:c r="E1" s="1" t="str">
        <x:v>own_numeric_row</x:v>
      </x:c>
      <x:c r="F1" s="1" t="str">
        <x:v>데이터 출처</x:v>
      </x:c>
      <x:c r="G1" s="1" t="str">
        <x:v>자체 생성 합성 자료; 시장자료 아님</x:v>
      </x:c>
      <x:c r="H1" s="1"/>
      <x:c r="I1" s="1"/>
      <x:c r="J1" s="1"/>
      <x:c r="K1" s="1"/>
      <x:c r="L1" s="1"/>
    </x:row>
    <x:row r="2">
      <x:c r="A2" s="4"/>
      <x:c r="B2" s="5" t="n">
        <x:v>-0.012528280903130122</x:v>
      </x:c>
      <x:c r="C2" s="5" t="n">
        <x:v>0.001579848584020707</x:v>
      </x:c>
      <x:c r="D2" s="5" t="n">
        <x:v>-0.012659658057529277</x:v>
      </x:c>
      <x:c r="E2" s="1" t="n">
        <x:f>IF(ISNUMBER(A2),1,0)</x:f>
        <x:v>0</x:v>
      </x:c>
      <x:c r="F2" s="1" t="str">
        <x:v>PRNG</x:v>
      </x:c>
      <x:c r="G2" s="1" t="str">
        <x:v>LCG uint32 (1664525,1013904223)</x:v>
      </x:c>
      <x:c r="H2" s="1"/>
      <x:c r="I2" s="1"/>
      <x:c r="J2" s="1"/>
      <x:c r="K2" s="1"/>
      <x:c r="L2" s="1"/>
    </x:row>
    <x:row r="3">
      <x:c r="A3" s="4"/>
      <x:c r="B3" s="5" t="n">
        <x:v>-0.012568972117333746</x:v>
      </x:c>
      <x:c r="C3" s="5" t="n">
        <x:v>-0.0026630603596472673</x:v>
      </x:c>
      <x:c r="D3" s="5" t="n">
        <x:v>-0.0017725136386787872</x:v>
      </x:c>
      <x:c r="E3" s="1" t="n">
        <x:f>IF(ISNUMBER(A3),2,0)</x:f>
        <x:v>0</x:v>
      </x:c>
      <x:c r="F3" s="1" t="str">
        <x:v>seed</x:v>
      </x:c>
      <x:c r="G3" s="1" t="n">
        <x:v>20261003</x:v>
      </x:c>
      <x:c r="H3" s="1"/>
      <x:c r="I3" s="1"/>
      <x:c r="J3" s="1"/>
      <x:c r="K3" s="1"/>
      <x:c r="L3" s="1"/>
    </x:row>
    <x:row r="4">
      <x:c r="A4" s="4"/>
      <x:c r="B4" s="5" t="n">
        <x:v>-0.0007538127542676815</x:v>
      </x:c>
      <x:c r="C4" s="5" t="n">
        <x:v>-0.015033411283413824</x:v>
      </x:c>
      <x:c r="D4" s="5" t="n">
        <x:v>-0.0053464562006329775</x:v>
      </x:c>
      <x:c r="E4" s="1" t="n">
        <x:f>IF(ISNUMBER(A4),3,0)</x:f>
        <x:v>0</x:v>
      </x:c>
      <x:c r="F4" s="1" t="str">
        <x:v>normal</x:v>
      </x:c>
      <x:c r="G4" s="1" t="str">
        <x:v>Box-Muller; mean=0, sd=0.01</x:v>
      </x:c>
      <x:c r="H4" s="1"/>
      <x:c r="I4" s="1"/>
      <x:c r="J4" s="1"/>
      <x:c r="K4" s="1"/>
      <x:c r="L4" s="1"/>
    </x:row>
    <x:row r="5">
      <x:c r="A5" s="4"/>
      <x:c r="B5" s="5" t="n">
        <x:v>-0.0031306105711563386</x:v>
      </x:c>
      <x:c r="C5" s="5" t="n">
        <x:v>-0.0017737545221582851</x:v>
      </x:c>
      <x:c r="D5" s="5" t="n">
        <x:v>0.0113748306960172</x:v>
      </x:c>
      <x:c r="E5" s="1" t="n">
        <x:f>IF(ISNUMBER(A5),4,0)</x:f>
        <x:v>0</x:v>
      </x:c>
      <x:c r="F5" s="1" t="str">
        <x:v>t5</x:v>
      </x:c>
      <x:c r="G5" s="1" t="str">
        <x:v>df=5; sd=0.01 (scale=0.01√(3/5))</x:v>
      </x:c>
      <x:c r="H5" s="1"/>
      <x:c r="I5" s="1"/>
      <x:c r="J5" s="1"/>
      <x:c r="K5" s="1"/>
      <x:c r="L5" s="1"/>
    </x:row>
    <x:row r="6">
      <x:c r="A6" s="4"/>
      <x:c r="B6" s="5" t="n">
        <x:v>-0.005991602839611443</x:v>
      </x:c>
      <x:c r="C6" s="5" t="n">
        <x:v>-0.01946666878316278</x:v>
      </x:c>
      <x:c r="D6" s="5" t="n">
        <x:v>0.01176777949506353</x:v>
      </x:c>
      <x:c r="E6" s="1" t="n">
        <x:f>IF(ISNUMBER(A6),5,0)</x:f>
        <x:v>0</x:v>
      </x:c>
      <x:c r="F6" s="1" t="str">
        <x:v>GARCH</x:v>
      </x:c>
      <x:c r="G6" s="1" t="str">
        <x:v>omega=.000002 alpha=.08 beta=.90</x:v>
      </x:c>
      <x:c r="H6" s="1"/>
      <x:c r="I6" s="1"/>
      <x:c r="J6" s="1"/>
      <x:c r="K6" s="1"/>
      <x:c r="L6" s="1"/>
    </x:row>
    <x:row r="7">
      <x:c r="A7" s="4"/>
      <x:c r="B7" s="5" t="n">
        <x:v>0.005928234770388743</x:v>
      </x:c>
      <x:c r="C7" s="5" t="n">
        <x:v>-0.0012710397358140974</x:v>
      </x:c>
      <x:c r="D7" s="5" t="n">
        <x:v>0.0018934824183010827</x:v>
      </x:c>
      <x:c r="E7" s="1" t="n">
        <x:f>IF(ISNUMBER(A7),6,0)</x:f>
        <x:v>0</x:v>
      </x:c>
      <x:c r="F7" s="1" t="str">
        <x:v>GARCH 초기값</x:v>
      </x:c>
      <x:c r="G7" s="1" t="str">
        <x:v>h=.0001; 이전 r=0; burn-in=500</x:v>
      </x:c>
      <x:c r="H7" s="1"/>
      <x:c r="I7" s="1"/>
      <x:c r="J7" s="1"/>
      <x:c r="K7" s="1"/>
      <x:c r="L7" s="1"/>
    </x:row>
    <x:row r="8">
      <x:c r="A8" s="4"/>
      <x:c r="B8" s="5" t="n">
        <x:v>-0.018612551230186746</x:v>
      </x:c>
      <x:c r="C8" s="5" t="n">
        <x:v>-0.0065073028148259545</x:v>
      </x:c>
      <x:c r="D8" s="5" t="n">
        <x:v>-0.0058878480745041106</x:v>
      </x:c>
      <x:c r="E8" s="1" t="n">
        <x:f>IF(ISNUMBER(A8),7,0)</x:f>
        <x:v>0</x:v>
      </x:c>
      <x:c r="F8" s="1" t="str">
        <x:v>각 표본 크기</x:v>
      </x:c>
      <x:c r="G8" s="1" t="n">
        <x:v>1000</x:v>
      </x:c>
      <x:c r="H8" s="1"/>
      <x:c r="I8" s="1"/>
      <x:c r="J8" s="1"/>
      <x:c r="K8" s="1"/>
      <x:c r="L8" s="1"/>
    </x:row>
    <x:row r="9">
      <x:c r="A9" s="4"/>
      <x:c r="B9" s="5" t="n">
        <x:v>-0.00011657298319013716</x:v>
      </x:c>
      <x:c r="C9" s="5" t="n">
        <x:v>-0.0065702887866662205</x:v>
      </x:c>
      <x:c r="D9" s="5" t="n">
        <x:v>-0.0074328479848069715</x:v>
      </x:c>
      <x:c r="E9" s="1" t="n">
        <x:f>IF(ISNUMBER(A9),8,0)</x:f>
        <x:v>0</x:v>
      </x:c>
      <x:c r="F9" s="1" t="str">
        <x:v>생성 순서</x:v>
      </x:c>
      <x:c r="G9" s="1" t="str">
        <x:v>normal → t5 → GARCH; 단일 PRNG</x:v>
      </x:c>
      <x:c r="H9" s="1"/>
      <x:c r="I9" s="1"/>
      <x:c r="J9" s="1"/>
      <x:c r="K9" s="1"/>
      <x:c r="L9" s="1"/>
    </x:row>
    <x:row r="10">
      <x:c r="A10" s="4"/>
      <x:c r="B10" s="5" t="n">
        <x:v>0.00619835551638812</x:v>
      </x:c>
      <x:c r="C10" s="5" t="n">
        <x:v>-0.010773156674610977</x:v>
      </x:c>
      <x:c r="D10" s="5" t="n">
        <x:v>0.02407807902890786</x:v>
      </x:c>
      <x:c r="E10" s="1" t="n">
        <x:f>IF(ISNUMBER(A10),9,0)</x:f>
        <x:v>0</x:v>
      </x:c>
      <x:c r="F10" s="1" t="str">
        <x:v>가격 데이터</x:v>
      </x:c>
      <x:c r="G10" s="1" t="str">
        <x:v>포함하지 않음</x:v>
      </x:c>
      <x:c r="H10" s="1"/>
      <x:c r="I10" s="1"/>
      <x:c r="J10" s="1"/>
      <x:c r="K10" s="1"/>
      <x:c r="L10" s="1"/>
    </x:row>
    <x:row r="11">
      <x:c r="A11" s="4"/>
      <x:c r="B11" s="5" t="n">
        <x:v>-0.01948001153027287</x:v>
      </x:c>
      <x:c r="C11" s="5" t="n">
        <x:v>0.002440298460730429</x:v>
      </x:c>
      <x:c r="D11" s="5" t="n">
        <x:v>-0.008893225348191928</x:v>
      </x:c>
      <x:c r="E11" s="1" t="n">
        <x:f>IF(ISNUMBER(A11),10,0)</x:f>
        <x:v>0</x:v>
      </x:c>
      <x:c r="F11" s="1" t="str">
        <x:v>입력 단위</x:v>
      </x:c>
      <x:c r="G11" s="1" t="str">
        <x:v>자연로그 수익률; 0.01은 약 1%</x:v>
      </x:c>
      <x:c r="H11" s="1"/>
      <x:c r="I11" s="1"/>
      <x:c r="J11" s="1"/>
      <x:c r="K11" s="1"/>
      <x:c r="L11" s="1"/>
    </x:row>
    <x:row r="12">
      <x:c r="A12" s="4"/>
      <x:c r="B12" s="5" t="n">
        <x:v>-0.00043175123632135243</x:v>
      </x:c>
      <x:c r="C12" s="5" t="n">
        <x:v>0.003007327524425232</x:v>
      </x:c>
      <x:c r="D12" s="5" t="n">
        <x:v>-0.0151092856444139</x:v>
      </x:c>
      <x:c r="E12" s="1" t="n">
        <x:f>IF(ISNUMBER(A12),11,0)</x:f>
        <x:v>0</x:v>
      </x:c>
      <x:c r="F12" s="1" t="str">
        <x:v>입력 규칙</x:v>
      </x:c>
      <x:c r="G12" s="1" t="str">
        <x:v>시간순; 중간 공백/문자 없음; 최대 2000개</x:v>
      </x:c>
      <x:c r="H12" s="1"/>
      <x:c r="I12" s="1"/>
      <x:c r="J12" s="1"/>
      <x:c r="K12" s="1"/>
      <x:c r="L12" s="1"/>
    </x:row>
    <x:row r="13">
      <x:c r="A13" s="4"/>
      <x:c r="B13" s="5" t="n">
        <x:v>0.0017240471599735314</x:v>
      </x:c>
      <x:c r="C13" s="5" t="n">
        <x:v>0.0020804258123650996</x:v>
      </x:c>
      <x:c r="D13" s="5" t="n">
        <x:v>-0.010314613358132625</x:v>
      </x:c>
      <x:c r="E13" s="1" t="n">
        <x:f>IF(ISNUMBER(A13),12,0)</x:f>
        <x:v>0</x:v>
      </x:c>
      <x:c r="F13" s="1"/>
      <x:c r="G13" s="1"/>
      <x:c r="H13" s="1"/>
      <x:c r="I13" s="1"/>
      <x:c r="J13" s="1"/>
      <x:c r="K13" s="1"/>
      <x:c r="L13" s="1"/>
    </x:row>
    <x:row r="14">
      <x:c r="A14" s="4"/>
      <x:c r="B14" s="5" t="n">
        <x:v>0.010130932430584286</x:v>
      </x:c>
      <x:c r="C14" s="5" t="n">
        <x:v>-0.005240463232805117</x:v>
      </x:c>
      <x:c r="D14" s="5" t="n">
        <x:v>0.010725533480265104</x:v>
      </x:c>
      <x:c r="E14" s="1" t="n">
        <x:f>IF(ISNUMBER(A14),13,0)</x:f>
        <x:v>0</x:v>
      </x:c>
      <x:c r="F14" s="1"/>
      <x:c r="G14" s="1"/>
      <x:c r="H14" s="1"/>
      <x:c r="I14" s="1"/>
      <x:c r="J14" s="1"/>
      <x:c r="K14" s="1"/>
      <x:c r="L14" s="1"/>
    </x:row>
    <x:row r="15">
      <x:c r="A15" s="4"/>
      <x:c r="B15" s="5" t="n">
        <x:v>0.02218309828282021</x:v>
      </x:c>
      <x:c r="C15" s="5" t="n">
        <x:v>-0.011898265557259376</x:v>
      </x:c>
      <x:c r="D15" s="5" t="n">
        <x:v>0.007352571734395144</x:v>
      </x:c>
      <x:c r="E15" s="1" t="n">
        <x:f>IF(ISNUMBER(A15),14,0)</x:f>
        <x:v>0</x:v>
      </x:c>
      <x:c r="F15" s="1"/>
      <x:c r="G15" s="1"/>
      <x:c r="H15" s="1"/>
      <x:c r="I15" s="1"/>
      <x:c r="J15" s="1"/>
      <x:c r="K15" s="1"/>
      <x:c r="L15" s="1"/>
    </x:row>
    <x:row r="16">
      <x:c r="A16" s="4"/>
      <x:c r="B16" s="5" t="n">
        <x:v>-0.018147488889696316</x:v>
      </x:c>
      <x:c r="C16" s="5" t="n">
        <x:v>-0.004915686535997998</x:v>
      </x:c>
      <x:c r="D16" s="5" t="n">
        <x:v>0.013189054926636242</x:v>
      </x:c>
      <x:c r="E16" s="1" t="n">
        <x:f>IF(ISNUMBER(A16),15,0)</x:f>
        <x:v>0</x:v>
      </x:c>
      <x:c r="F16" s="1"/>
      <x:c r="G16" s="1"/>
      <x:c r="H16" s="1"/>
      <x:c r="I16" s="1"/>
      <x:c r="J16" s="1"/>
      <x:c r="K16" s="1"/>
      <x:c r="L16" s="1"/>
    </x:row>
    <x:row r="17">
      <x:c r="A17" s="4"/>
      <x:c r="B17" s="5" t="n">
        <x:v>-0.001973725154901454</x:v>
      </x:c>
      <x:c r="C17" s="5" t="n">
        <x:v>-0.008327101532567318</x:v>
      </x:c>
      <x:c r="D17" s="5" t="n">
        <x:v>0.013890578939005634</x:v>
      </x:c>
      <x:c r="E17" s="1" t="n">
        <x:f>IF(ISNUMBER(A17),16,0)</x:f>
        <x:v>0</x:v>
      </x:c>
      <x:c r="F17" s="1"/>
      <x:c r="G17" s="1"/>
      <x:c r="H17" s="1"/>
      <x:c r="I17" s="1"/>
      <x:c r="J17" s="1"/>
      <x:c r="K17" s="1"/>
      <x:c r="L17" s="1"/>
    </x:row>
    <x:row r="18">
      <x:c r="A18" s="4"/>
      <x:c r="B18" s="5" t="n">
        <x:v>-0.007469271847543831</x:v>
      </x:c>
      <x:c r="C18" s="5" t="n">
        <x:v>0.02149708891705001</x:v>
      </x:c>
      <x:c r="D18" s="5" t="n">
        <x:v>-0.00024024990386256986</x:v>
      </x:c>
      <x:c r="E18" s="1" t="n">
        <x:f>IF(ISNUMBER(A18),17,0)</x:f>
        <x:v>0</x:v>
      </x:c>
      <x:c r="F18" s="1"/>
      <x:c r="G18" s="1"/>
      <x:c r="H18" s="1"/>
      <x:c r="I18" s="1"/>
      <x:c r="J18" s="1"/>
      <x:c r="K18" s="1"/>
      <x:c r="L18" s="1"/>
    </x:row>
    <x:row r="19">
      <x:c r="A19" s="4"/>
      <x:c r="B19" s="5" t="n">
        <x:v>0.006274496365703271</x:v>
      </x:c>
      <x:c r="C19" s="5" t="n">
        <x:v>0.0018179621114683762</x:v>
      </x:c>
      <x:c r="D19" s="5" t="n">
        <x:v>0.001200032068377488</x:v>
      </x:c>
      <x:c r="E19" s="1" t="n">
        <x:f>IF(ISNUMBER(A19),18,0)</x:f>
        <x:v>0</x:v>
      </x:c>
      <x:c r="F19" s="1"/>
      <x:c r="G19" s="1"/>
      <x:c r="H19" s="1"/>
      <x:c r="I19" s="1"/>
      <x:c r="J19" s="1"/>
      <x:c r="K19" s="1"/>
      <x:c r="L19" s="1"/>
    </x:row>
    <x:row r="20">
      <x:c r="A20" s="4"/>
      <x:c r="B20" s="5" t="n">
        <x:v>0.0010585160752028865</x:v>
      </x:c>
      <x:c r="C20" s="5" t="n">
        <x:v>-0.001533162527138707</x:v>
      </x:c>
      <x:c r="D20" s="5" t="n">
        <x:v>0.000989037214477044</x:v>
      </x:c>
      <x:c r="E20" s="1" t="n">
        <x:f>IF(ISNUMBER(A20),19,0)</x:f>
        <x:v>0</x:v>
      </x:c>
      <x:c r="F20" s="1"/>
      <x:c r="G20" s="1"/>
      <x:c r="H20" s="1"/>
      <x:c r="I20" s="1"/>
      <x:c r="J20" s="1"/>
      <x:c r="K20" s="1"/>
      <x:c r="L20" s="1"/>
    </x:row>
    <x:row r="21">
      <x:c r="A21" s="4"/>
      <x:c r="B21" s="5" t="n">
        <x:v>-0.007316880683818478</x:v>
      </x:c>
      <x:c r="C21" s="5" t="n">
        <x:v>-0.010104245505914738</x:v>
      </x:c>
      <x:c r="D21" s="5" t="n">
        <x:v>0.005208880343347127</x:v>
      </x:c>
      <x:c r="E21" s="1" t="n">
        <x:f>IF(ISNUMBER(A21),20,0)</x:f>
        <x:v>0</x:v>
      </x:c>
      <x:c r="F21" s="1"/>
      <x:c r="G21" s="1"/>
      <x:c r="H21" s="1"/>
      <x:c r="I21" s="1"/>
      <x:c r="J21" s="1"/>
      <x:c r="K21" s="1"/>
      <x:c r="L21" s="1"/>
    </x:row>
    <x:row r="22">
      <x:c r="A22" s="4"/>
      <x:c r="B22" s="5" t="n">
        <x:v>0.013801689706058813</x:v>
      </x:c>
      <x:c r="C22" s="5" t="n">
        <x:v>-0.007771659358941669</x:v>
      </x:c>
      <x:c r="D22" s="5" t="n">
        <x:v>0.0074138513974910825</x:v>
      </x:c>
      <x:c r="E22" s="1" t="n">
        <x:f>IF(ISNUMBER(A22),21,0)</x:f>
        <x:v>0</x:v>
      </x:c>
      <x:c r="F22" s="1"/>
      <x:c r="G22" s="1"/>
      <x:c r="H22" s="1"/>
      <x:c r="I22" s="1"/>
      <x:c r="J22" s="1"/>
      <x:c r="K22" s="1"/>
      <x:c r="L22" s="1"/>
    </x:row>
    <x:row r="23">
      <x:c r="A23" s="4"/>
      <x:c r="B23" s="5" t="n">
        <x:v>0.005534586875340903</x:v>
      </x:c>
      <x:c r="C23" s="5" t="n">
        <x:v>0.014433557933025592</x:v>
      </x:c>
      <x:c r="D23" s="5" t="n">
        <x:v>0.019351602824126048</x:v>
      </x:c>
      <x:c r="E23" s="1" t="n">
        <x:f>IF(ISNUMBER(A23),22,0)</x:f>
        <x:v>0</x:v>
      </x:c>
      <x:c r="F23" s="1"/>
      <x:c r="G23" s="1"/>
      <x:c r="H23" s="1"/>
      <x:c r="I23" s="1"/>
      <x:c r="J23" s="1"/>
      <x:c r="K23" s="1"/>
      <x:c r="L23" s="1"/>
    </x:row>
    <x:row r="24">
      <x:c r="A24" s="4"/>
      <x:c r="B24" s="5" t="n">
        <x:v>-0.013613549996105673</x:v>
      </x:c>
      <x:c r="C24" s="5" t="n">
        <x:v>0.028285517144783723</x:v>
      </x:c>
      <x:c r="D24" s="5" t="n">
        <x:v>-0.00455612912630754</x:v>
      </x:c>
      <x:c r="E24" s="1" t="n">
        <x:f>IF(ISNUMBER(A24),23,0)</x:f>
        <x:v>0</x:v>
      </x:c>
      <x:c r="F24" s="1"/>
      <x:c r="G24" s="1"/>
      <x:c r="H24" s="1"/>
      <x:c r="I24" s="1"/>
      <x:c r="J24" s="1"/>
      <x:c r="K24" s="1"/>
      <x:c r="L24" s="1"/>
    </x:row>
    <x:row r="25">
      <x:c r="A25" s="4"/>
      <x:c r="B25" s="5" t="n">
        <x:v>-0.022733591544678085</x:v>
      </x:c>
      <x:c r="C25" s="5" t="n">
        <x:v>-0.0050940898051397435</x:v>
      </x:c>
      <x:c r="D25" s="5" t="n">
        <x:v>-0.004425625114356778</x:v>
      </x:c>
      <x:c r="E25" s="1" t="n">
        <x:f>IF(ISNUMBER(A25),24,0)</x:f>
        <x:v>0</x:v>
      </x:c>
      <x:c r="F25" s="1"/>
      <x:c r="G25" s="1"/>
      <x:c r="H25" s="1"/>
      <x:c r="I25" s="1"/>
      <x:c r="J25" s="1"/>
      <x:c r="K25" s="1"/>
      <x:c r="L25" s="1"/>
    </x:row>
    <x:row r="26">
      <x:c r="A26" s="4"/>
      <x:c r="B26" s="5" t="n">
        <x:v>-0.0012333608203295187</x:v>
      </x:c>
      <x:c r="C26" s="5" t="n">
        <x:v>-0.012966841532161039</x:v>
      </x:c>
      <x:c r="D26" s="5" t="n">
        <x:v>-0.0018419161089946426</x:v>
      </x:c>
      <x:c r="E26" s="1" t="n">
        <x:f>IF(ISNUMBER(A26),25,0)</x:f>
        <x:v>0</x:v>
      </x:c>
      <x:c r="F26" s="1"/>
      <x:c r="G26" s="1"/>
      <x:c r="H26" s="1"/>
      <x:c r="I26" s="1"/>
      <x:c r="J26" s="1"/>
      <x:c r="K26" s="1"/>
      <x:c r="L26" s="1"/>
    </x:row>
    <x:row r="27">
      <x:c r="A27" s="4"/>
      <x:c r="B27" s="5" t="n">
        <x:v>-0.01665590005144632</x:v>
      </x:c>
      <x:c r="C27" s="5" t="n">
        <x:v>0.00492851269290285</x:v>
      </x:c>
      <x:c r="D27" s="5" t="n">
        <x:v>0.007464848003733539</x:v>
      </x:c>
      <x:c r="E27" s="1" t="n">
        <x:f>IF(ISNUMBER(A27),26,0)</x:f>
        <x:v>0</x:v>
      </x:c>
      <x:c r="F27" s="1"/>
      <x:c r="G27" s="1"/>
      <x:c r="H27" s="1"/>
      <x:c r="I27" s="1"/>
      <x:c r="J27" s="1"/>
      <x:c r="K27" s="1"/>
      <x:c r="L27" s="1"/>
    </x:row>
    <x:row r="28">
      <x:c r="A28" s="4"/>
      <x:c r="B28" s="5" t="n">
        <x:v>-0.002822212883262636</x:v>
      </x:c>
      <x:c r="C28" s="5" t="n">
        <x:v>-0.012259240461080633</x:v>
      </x:c>
      <x:c r="D28" s="5" t="n">
        <x:v>-0.0033400851437881403</x:v>
      </x:c>
      <x:c r="E28" s="1" t="n">
        <x:f>IF(ISNUMBER(A28),27,0)</x:f>
        <x:v>0</x:v>
      </x:c>
      <x:c r="F28" s="1"/>
      <x:c r="G28" s="1"/>
      <x:c r="H28" s="1"/>
      <x:c r="I28" s="1"/>
      <x:c r="J28" s="1"/>
      <x:c r="K28" s="1"/>
      <x:c r="L28" s="1"/>
    </x:row>
    <x:row r="29">
      <x:c r="A29" s="4"/>
      <x:c r="B29" s="5" t="n">
        <x:v>0.005943972757231007</x:v>
      </x:c>
      <x:c r="C29" s="5" t="n">
        <x:v>-0.0013238135982246292</x:v>
      </x:c>
      <x:c r="D29" s="5" t="n">
        <x:v>0.0023895633983120603</x:v>
      </x:c>
      <x:c r="E29" s="1" t="n">
        <x:f>IF(ISNUMBER(A29),28,0)</x:f>
        <x:v>0</x:v>
      </x:c>
      <x:c r="F29" s="1"/>
      <x:c r="G29" s="1"/>
      <x:c r="H29" s="1"/>
      <x:c r="I29" s="1"/>
      <x:c r="J29" s="1"/>
      <x:c r="K29" s="1"/>
      <x:c r="L29" s="1"/>
    </x:row>
    <x:row r="30">
      <x:c r="A30" s="4"/>
      <x:c r="B30" s="5" t="n">
        <x:v>0.005546320021234669</x:v>
      </x:c>
      <x:c r="C30" s="5" t="n">
        <x:v>0.00852556621371595</x:v>
      </x:c>
      <x:c r="D30" s="5" t="n">
        <x:v>-0.016158098390721964</x:v>
      </x:c>
      <x:c r="E30" s="1" t="n">
        <x:f>IF(ISNUMBER(A30),29,0)</x:f>
        <x:v>0</x:v>
      </x:c>
      <x:c r="F30" s="1"/>
      <x:c r="G30" s="1"/>
      <x:c r="H30" s="1"/>
      <x:c r="I30" s="1"/>
      <x:c r="J30" s="1"/>
      <x:c r="K30" s="1"/>
      <x:c r="L30" s="1"/>
    </x:row>
    <x:row r="31">
      <x:c r="A31" s="4"/>
      <x:c r="B31" s="5" t="n">
        <x:v>0.010571573451726901</x:v>
      </x:c>
      <x:c r="C31" s="5" t="n">
        <x:v>-0.005263006015819638</x:v>
      </x:c>
      <x:c r="D31" s="5" t="n">
        <x:v>0.008370428393748623</x:v>
      </x:c>
      <x:c r="E31" s="1" t="n">
        <x:f>IF(ISNUMBER(A31),30,0)</x:f>
        <x:v>0</x:v>
      </x:c>
      <x:c r="F31" s="1"/>
      <x:c r="G31" s="1"/>
      <x:c r="H31" s="1"/>
      <x:c r="I31" s="1"/>
      <x:c r="J31" s="1"/>
      <x:c r="K31" s="1"/>
      <x:c r="L31" s="1"/>
    </x:row>
    <x:row r="32">
      <x:c r="A32" s="4"/>
      <x:c r="B32" s="5" t="n">
        <x:v>0.023882882135146777</x:v>
      </x:c>
      <x:c r="C32" s="5" t="n">
        <x:v>0.012117508694166708</x:v>
      </x:c>
      <x:c r="D32" s="5" t="n">
        <x:v>-0.021210096198219362</x:v>
      </x:c>
      <x:c r="E32" s="1" t="n">
        <x:f>IF(ISNUMBER(A32),31,0)</x:f>
        <x:v>0</x:v>
      </x:c>
      <x:c r="F32" s="1"/>
      <x:c r="G32" s="1"/>
      <x:c r="H32" s="1"/>
      <x:c r="I32" s="1"/>
      <x:c r="J32" s="1"/>
      <x:c r="K32" s="1"/>
      <x:c r="L32" s="1"/>
    </x:row>
    <x:row r="33">
      <x:c r="A33" s="4"/>
      <x:c r="B33" s="5" t="n">
        <x:v>0.007719525669851715</x:v>
      </x:c>
      <x:c r="C33" s="5" t="n">
        <x:v>0.0016783299092570031</x:v>
      </x:c>
      <x:c r="D33" s="5" t="n">
        <x:v>0.01262784322470594</x:v>
      </x:c>
      <x:c r="E33" s="1" t="n">
        <x:f>IF(ISNUMBER(A33),32,0)</x:f>
        <x:v>0</x:v>
      </x:c>
      <x:c r="F33" s="1"/>
      <x:c r="G33" s="1"/>
      <x:c r="H33" s="1"/>
      <x:c r="I33" s="1"/>
      <x:c r="J33" s="1"/>
      <x:c r="K33" s="1"/>
      <x:c r="L33" s="1"/>
    </x:row>
    <x:row r="34">
      <x:c r="A34" s="4"/>
      <x:c r="B34" s="5" t="n">
        <x:v>0.0001374943622591287</x:v>
      </x:c>
      <x:c r="C34" s="5" t="n">
        <x:v>0.0009567588836820368</x:v>
      </x:c>
      <x:c r="D34" s="5" t="n">
        <x:v>0.0002898721475856891</x:v>
      </x:c>
      <x:c r="E34" s="1" t="n">
        <x:f>IF(ISNUMBER(A34),33,0)</x:f>
        <x:v>0</x:v>
      </x:c>
      <x:c r="F34" s="1"/>
      <x:c r="G34" s="1"/>
      <x:c r="H34" s="1"/>
      <x:c r="I34" s="1"/>
      <x:c r="J34" s="1"/>
      <x:c r="K34" s="1"/>
      <x:c r="L34" s="1"/>
    </x:row>
    <x:row r="35">
      <x:c r="A35" s="4"/>
      <x:c r="B35" s="5" t="n">
        <x:v>-0.009263278301018371</x:v>
      </x:c>
      <x:c r="C35" s="5" t="n">
        <x:v>-0.0007290929747862094</x:v>
      </x:c>
      <x:c r="D35" s="5" t="n">
        <x:v>0.0059906256645878555</x:v>
      </x:c>
      <x:c r="E35" s="1" t="n">
        <x:f>IF(ISNUMBER(A35),34,0)</x:f>
        <x:v>0</x:v>
      </x:c>
      <x:c r="F35" s="1"/>
      <x:c r="G35" s="1"/>
      <x:c r="H35" s="1"/>
      <x:c r="I35" s="1"/>
      <x:c r="J35" s="1"/>
      <x:c r="K35" s="1"/>
      <x:c r="L35" s="1"/>
    </x:row>
    <x:row r="36">
      <x:c r="A36" s="4"/>
      <x:c r="B36" s="5" t="n">
        <x:v>0.013043162104629953</x:v>
      </x:c>
      <x:c r="C36" s="5" t="n">
        <x:v>0.005298180734483421</x:v>
      </x:c>
      <x:c r="D36" s="5" t="n">
        <x:v>-0.012262236209314244</x:v>
      </x:c>
      <x:c r="E36" s="1" t="n">
        <x:f>IF(ISNUMBER(A36),35,0)</x:f>
        <x:v>0</x:v>
      </x:c>
      <x:c r="F36" s="1"/>
      <x:c r="G36" s="1"/>
      <x:c r="H36" s="1"/>
      <x:c r="I36" s="1"/>
      <x:c r="J36" s="1"/>
      <x:c r="K36" s="1"/>
      <x:c r="L36" s="1"/>
    </x:row>
    <x:row r="37">
      <x:c r="A37" s="4"/>
      <x:c r="B37" s="5" t="n">
        <x:v>0.013861716820631477</x:v>
      </x:c>
      <x:c r="C37" s="5" t="n">
        <x:v>-0.013039716415319176</x:v>
      </x:c>
      <x:c r="D37" s="5" t="n">
        <x:v>-0.010342932265990312</x:v>
      </x:c>
      <x:c r="E37" s="1" t="n">
        <x:f>IF(ISNUMBER(A37),36,0)</x:f>
        <x:v>0</x:v>
      </x:c>
      <x:c r="F37" s="1"/>
      <x:c r="G37" s="1"/>
      <x:c r="H37" s="1"/>
      <x:c r="I37" s="1"/>
      <x:c r="J37" s="1"/>
      <x:c r="K37" s="1"/>
      <x:c r="L37" s="1"/>
    </x:row>
    <x:row r="38">
      <x:c r="A38" s="4"/>
      <x:c r="B38" s="5" t="n">
        <x:v>0.007944835987334774</x:v>
      </x:c>
      <x:c r="C38" s="5" t="n">
        <x:v>0.02828551651772331</x:v>
      </x:c>
      <x:c r="D38" s="5" t="n">
        <x:v>0.005015382418872377</x:v>
      </x:c>
      <x:c r="E38" s="1" t="n">
        <x:f>IF(ISNUMBER(A38),37,0)</x:f>
        <x:v>0</x:v>
      </x:c>
      <x:c r="F38" s="1"/>
      <x:c r="G38" s="1"/>
      <x:c r="H38" s="1"/>
      <x:c r="I38" s="1"/>
      <x:c r="J38" s="1"/>
      <x:c r="K38" s="1"/>
      <x:c r="L38" s="1"/>
    </x:row>
    <x:row r="39">
      <x:c r="A39" s="4"/>
      <x:c r="B39" s="5" t="n">
        <x:v>0.007322118749073701</x:v>
      </x:c>
      <x:c r="C39" s="5" t="n">
        <x:v>0.009345434517188228</x:v>
      </x:c>
      <x:c r="D39" s="5" t="n">
        <x:v>-0.006818400010169726</x:v>
      </x:c>
      <x:c r="E39" s="1" t="n">
        <x:f>IF(ISNUMBER(A39),38,0)</x:f>
        <x:v>0</x:v>
      </x:c>
      <x:c r="F39" s="1"/>
      <x:c r="G39" s="1"/>
      <x:c r="H39" s="1"/>
      <x:c r="I39" s="1"/>
      <x:c r="J39" s="1"/>
      <x:c r="K39" s="1"/>
      <x:c r="L39" s="1"/>
    </x:row>
    <x:row r="40">
      <x:c r="A40" s="4"/>
      <x:c r="B40" s="5" t="n">
        <x:v>0.017255045375373645</x:v>
      </x:c>
      <x:c r="C40" s="5" t="n">
        <x:v>0.013938612456227184</x:v>
      </x:c>
      <x:c r="D40" s="5" t="n">
        <x:v>0.0016517461920659995</x:v>
      </x:c>
      <x:c r="E40" s="1" t="n">
        <x:f>IF(ISNUMBER(A40),39,0)</x:f>
        <x:v>0</x:v>
      </x:c>
      <x:c r="F40" s="1"/>
      <x:c r="G40" s="1"/>
      <x:c r="H40" s="1"/>
      <x:c r="I40" s="1"/>
      <x:c r="J40" s="1"/>
      <x:c r="K40" s="1"/>
      <x:c r="L40" s="1"/>
    </x:row>
    <x:row r="41">
      <x:c r="A41" s="6"/>
      <x:c r="B41" s="7" t="n">
        <x:v>-0.0020096124925323288</x:v>
      </x:c>
      <x:c r="C41" s="7" t="n">
        <x:v>-0.0018698393950569768</x:v>
      </x:c>
      <x:c r="D41" s="7" t="n">
        <x:v>0.0009196390166550399</x:v>
      </x:c>
      <x:c r="E41" t="n">
        <x:f>IF(ISNUMBER(A41),40,0)</x:f>
        <x:v>0</x:v>
      </x:c>
    </x:row>
    <x:row r="42">
      <x:c r="A42" s="6"/>
      <x:c r="B42" s="7" t="n">
        <x:v>0.011826682048302735</x:v>
      </x:c>
      <x:c r="C42" s="7" t="n">
        <x:v>-0.002218267712179894</x:v>
      </x:c>
      <x:c r="D42" s="7" t="n">
        <x:v>0.011310720279872516</x:v>
      </x:c>
      <x:c r="E42" t="n">
        <x:f>IF(ISNUMBER(A42),41,0)</x:f>
        <x:v>0</x:v>
      </x:c>
    </x:row>
    <x:row r="43">
      <x:c r="A43" s="6"/>
      <x:c r="B43" s="7" t="n">
        <x:v>0.004932457621869365</x:v>
      </x:c>
      <x:c r="C43" s="7" t="n">
        <x:v>0.00037625847763212843</x:v>
      </x:c>
      <x:c r="D43" s="7" t="n">
        <x:v>-0.005376435275437268</x:v>
      </x:c>
      <x:c r="E43" t="n">
        <x:f>IF(ISNUMBER(A43),42,0)</x:f>
        <x:v>0</x:v>
      </x:c>
    </x:row>
    <x:row r="44">
      <x:c r="A44" s="6"/>
      <x:c r="B44" s="7" t="n">
        <x:v>0.0016693322128425892</x:v>
      </x:c>
      <x:c r="C44" s="7" t="n">
        <x:v>-0.009450317221566603</x:v>
      </x:c>
      <x:c r="D44" s="7" t="n">
        <x:v>0.0011360369593716594</x:v>
      </x:c>
      <x:c r="E44" t="n">
        <x:f>IF(ISNUMBER(A44),43,0)</x:f>
        <x:v>0</x:v>
      </x:c>
    </x:row>
    <x:row r="45">
      <x:c r="A45" s="6"/>
      <x:c r="B45" s="7" t="n">
        <x:v>0.00294687832668545</x:v>
      </x:c>
      <x:c r="C45" s="7" t="n">
        <x:v>-0.0009799203975357608</x:v>
      </x:c>
      <x:c r="D45" s="7" t="n">
        <x:v>-0.01435750159678395</x:v>
      </x:c>
      <x:c r="E45" t="n">
        <x:f>IF(ISNUMBER(A45),44,0)</x:f>
        <x:v>0</x:v>
      </x:c>
    </x:row>
    <x:row r="46">
      <x:c r="A46" s="6"/>
      <x:c r="B46" s="7" t="n">
        <x:v>0.008329227112651199</x:v>
      </x:c>
      <x:c r="C46" s="7" t="n">
        <x:v>-0.0028146270315002543</x:v>
      </x:c>
      <x:c r="D46" s="7" t="n">
        <x:v>-0.0014799215034156077</x:v>
      </x:c>
      <x:c r="E46" t="n">
        <x:f>IF(ISNUMBER(A46),45,0)</x:f>
        <x:v>0</x:v>
      </x:c>
    </x:row>
    <x:row r="47">
      <x:c r="A47" s="6"/>
      <x:c r="B47" s="7" t="n">
        <x:v>0.004585314326342302</x:v>
      </x:c>
      <x:c r="C47" s="7" t="n">
        <x:v>-0.000652683799675382</x:v>
      </x:c>
      <x:c r="D47" s="7" t="n">
        <x:v>0.0007962870826213047</x:v>
      </x:c>
      <x:c r="E47" t="n">
        <x:f>IF(ISNUMBER(A47),46,0)</x:f>
        <x:v>0</x:v>
      </x:c>
    </x:row>
    <x:row r="48">
      <x:c r="A48" s="6"/>
      <x:c r="B48" s="7" t="n">
        <x:v>0.0026987516583388007</x:v>
      </x:c>
      <x:c r="C48" s="7" t="n">
        <x:v>-0.00024130618862678587</x:v>
      </x:c>
      <x:c r="D48" s="7" t="n">
        <x:v>-0.00036070884765252814</x:v>
      </x:c>
      <x:c r="E48" t="n">
        <x:f>IF(ISNUMBER(A48),47,0)</x:f>
        <x:v>0</x:v>
      </x:c>
    </x:row>
    <x:row r="49">
      <x:c r="A49" s="6"/>
      <x:c r="B49" s="7" t="n">
        <x:v>0.006738606747578889</x:v>
      </x:c>
      <x:c r="C49" s="7" t="n">
        <x:v>-0.000015459204982141916</x:v>
      </x:c>
      <x:c r="D49" s="7" t="n">
        <x:v>-0.008075417094197861</x:v>
      </x:c>
      <x:c r="E49" t="n">
        <x:f>IF(ISNUMBER(A49),48,0)</x:f>
        <x:v>0</x:v>
      </x:c>
    </x:row>
    <x:row r="50">
      <x:c r="A50" s="6"/>
      <x:c r="B50" s="7" t="n">
        <x:v>-0.00002055780964194593</x:v>
      </x:c>
      <x:c r="C50" s="7" t="n">
        <x:v>0.00021817310840539534</x:v>
      </x:c>
      <x:c r="D50" s="7" t="n">
        <x:v>0.011462530544061975</x:v>
      </x:c>
      <x:c r="E50" t="n">
        <x:f>IF(ISNUMBER(A50),49,0)</x:f>
        <x:v>0</x:v>
      </x:c>
    </x:row>
    <x:row r="51">
      <x:c r="A51" s="6"/>
      <x:c r="B51" s="7" t="n">
        <x:v>-0.0050238476969218975</x:v>
      </x:c>
      <x:c r="C51" s="7" t="n">
        <x:v>0.0047515460293199524</x:v>
      </x:c>
      <x:c r="D51" s="7" t="n">
        <x:v>0.0063475011936453595</x:v>
      </x:c>
      <x:c r="E51" t="n">
        <x:f>IF(ISNUMBER(A51),50,0)</x:f>
        <x:v>0</x:v>
      </x:c>
    </x:row>
    <x:row r="52">
      <x:c r="A52" s="6"/>
      <x:c r="B52" s="7" t="n">
        <x:v>-0.004800524020877993</x:v>
      </x:c>
      <x:c r="C52" s="7" t="n">
        <x:v>-0.006684851555185572</x:v>
      </x:c>
      <x:c r="D52" s="7" t="n">
        <x:v>-0.004073504569103472</x:v>
      </x:c>
      <x:c r="E52" t="n">
        <x:f>IF(ISNUMBER(A52),51,0)</x:f>
        <x:v>0</x:v>
      </x:c>
    </x:row>
    <x:row r="53">
      <x:c r="A53" s="6"/>
      <x:c r="B53" s="7" t="n">
        <x:v>-0.0032492769523037248</x:v>
      </x:c>
      <x:c r="C53" s="7" t="n">
        <x:v>0.013847721720655038</x:v>
      </x:c>
      <x:c r="D53" s="7" t="n">
        <x:v>-0.00397598020968261</x:v>
      </x:c>
      <x:c r="E53" t="n">
        <x:f>IF(ISNUMBER(A53),52,0)</x:f>
        <x:v>0</x:v>
      </x:c>
    </x:row>
    <x:row r="54">
      <x:c r="A54" s="6"/>
      <x:c r="B54" s="7" t="n">
        <x:v>0.002190628948432028</x:v>
      </x:c>
      <x:c r="C54" s="7" t="n">
        <x:v>-0.009065235672128025</x:v>
      </x:c>
      <x:c r="D54" s="7" t="n">
        <x:v>-0.008044522794403404</x:v>
      </x:c>
      <x:c r="E54" t="n">
        <x:f>IF(ISNUMBER(A54),53,0)</x:f>
        <x:v>0</x:v>
      </x:c>
    </x:row>
    <x:row r="55">
      <x:c r="A55" s="6"/>
      <x:c r="B55" s="7" t="n">
        <x:v>0.0003792891023674281</x:v>
      </x:c>
      <x:c r="C55" s="7" t="n">
        <x:v>0.008389166855063612</x:v>
      </x:c>
      <x:c r="D55" s="7" t="n">
        <x:v>-0.004327217566704675</x:v>
      </x:c>
      <x:c r="E55" t="n">
        <x:f>IF(ISNUMBER(A55),54,0)</x:f>
        <x:v>0</x:v>
      </x:c>
    </x:row>
    <x:row r="56">
      <x:c r="A56" s="6"/>
      <x:c r="B56" s="7" t="n">
        <x:v>-0.004441287657977122</x:v>
      </x:c>
      <x:c r="C56" s="7" t="n">
        <x:v>-0.0002740499718176204</x:v>
      </x:c>
      <x:c r="D56" s="7" t="n">
        <x:v>-0.009358882037158558</x:v>
      </x:c>
      <x:c r="E56" t="n">
        <x:f>IF(ISNUMBER(A56),55,0)</x:f>
        <x:v>0</x:v>
      </x:c>
    </x:row>
    <x:row r="57">
      <x:c r="A57" s="6"/>
      <x:c r="B57" s="7" t="n">
        <x:v>-0.0034240077316593323</x:v>
      </x:c>
      <x:c r="C57" s="7" t="n">
        <x:v>-0.013028592808153822</x:v>
      </x:c>
      <x:c r="D57" s="7" t="n">
        <x:v>0.003939046877938899</x:v>
      </x:c>
      <x:c r="E57" t="n">
        <x:f>IF(ISNUMBER(A57),56,0)</x:f>
        <x:v>0</x:v>
      </x:c>
    </x:row>
    <x:row r="58">
      <x:c r="A58" s="6"/>
      <x:c r="B58" s="7" t="n">
        <x:v>-0.010295261224739331</x:v>
      </x:c>
      <x:c r="C58" s="7" t="n">
        <x:v>-0.007873703529315762</x:v>
      </x:c>
      <x:c r="D58" s="7" t="n">
        <x:v>-0.0072962240342868525</x:v>
      </x:c>
      <x:c r="E58" t="n">
        <x:f>IF(ISNUMBER(A58),57,0)</x:f>
        <x:v>0</x:v>
      </x:c>
    </x:row>
    <x:row r="59">
      <x:c r="A59" s="6"/>
      <x:c r="B59" s="7" t="n">
        <x:v>0.007656332611301733</x:v>
      </x:c>
      <x:c r="C59" s="7" t="n">
        <x:v>-0.012416410275326698</x:v>
      </x:c>
      <x:c r="D59" s="7" t="n">
        <x:v>-0.012151291858523209</x:v>
      </x:c>
      <x:c r="E59" t="n">
        <x:f>IF(ISNUMBER(A59),58,0)</x:f>
        <x:v>0</x:v>
      </x:c>
    </x:row>
    <x:row r="60">
      <x:c r="A60" s="6"/>
      <x:c r="B60" s="7" t="n">
        <x:v>0.012066613051879558</x:v>
      </x:c>
      <x:c r="C60" s="7" t="n">
        <x:v>0.004561880609154091</x:v>
      </x:c>
      <x:c r="D60" s="7" t="n">
        <x:v>0.01291320693590027</x:v>
      </x:c>
      <x:c r="E60" t="n">
        <x:f>IF(ISNUMBER(A60),59,0)</x:f>
        <x:v>0</x:v>
      </x:c>
    </x:row>
    <x:row r="61">
      <x:c r="A61" s="6"/>
      <x:c r="B61" s="7" t="n">
        <x:v>-0.0015657100853035376</x:v>
      </x:c>
      <x:c r="C61" s="7" t="n">
        <x:v>0.0003519751864634855</x:v>
      </x:c>
      <x:c r="D61" s="7" t="n">
        <x:v>-0.004578888501584099</x:v>
      </x:c>
      <x:c r="E61" t="n">
        <x:f>IF(ISNUMBER(A61),60,0)</x:f>
        <x:v>0</x:v>
      </x:c>
    </x:row>
    <x:row r="62">
      <x:c r="A62" s="6"/>
      <x:c r="B62" s="7" t="n">
        <x:v>0.0037201607769010137</x:v>
      </x:c>
      <x:c r="C62" s="7" t="n">
        <x:v>-0.00839514727321853</x:v>
      </x:c>
      <x:c r="D62" s="7" t="n">
        <x:v>0.004283157504162379</x:v>
      </x:c>
      <x:c r="E62" t="n">
        <x:f>IF(ISNUMBER(A62),61,0)</x:f>
        <x:v>0</x:v>
      </x:c>
    </x:row>
    <x:row r="63">
      <x:c r="A63" s="6"/>
      <x:c r="B63" s="7" t="n">
        <x:v>-0.009789674868476535</x:v>
      </x:c>
      <x:c r="C63" s="7" t="n">
        <x:v>0.005157454861230516</x:v>
      </x:c>
      <x:c r="D63" s="7" t="n">
        <x:v>0.015826011135085544</x:v>
      </x:c>
      <x:c r="E63" t="n">
        <x:f>IF(ISNUMBER(A63),62,0)</x:f>
        <x:v>0</x:v>
      </x:c>
    </x:row>
    <x:row r="64">
      <x:c r="A64" s="6"/>
      <x:c r="B64" s="7" t="n">
        <x:v>0.01381553825110014</x:v>
      </x:c>
      <x:c r="C64" s="7" t="n">
        <x:v>0.0064766034934471</x:v>
      </x:c>
      <x:c r="D64" s="7" t="n">
        <x:v>-0.0023958536803987043</x:v>
      </x:c>
      <x:c r="E64" t="n">
        <x:f>IF(ISNUMBER(A64),63,0)</x:f>
        <x:v>0</x:v>
      </x:c>
    </x:row>
    <x:row r="65">
      <x:c r="A65" s="6"/>
      <x:c r="B65" s="7" t="n">
        <x:v>-0.013939775511801911</x:v>
      </x:c>
      <x:c r="C65" s="7" t="n">
        <x:v>-0.00590052208094422</x:v>
      </x:c>
      <x:c r="D65" s="7" t="n">
        <x:v>0.002962205039577181</x:v>
      </x:c>
      <x:c r="E65" t="n">
        <x:f>IF(ISNUMBER(A65),64,0)</x:f>
        <x:v>0</x:v>
      </x:c>
    </x:row>
    <x:row r="66">
      <x:c r="A66" s="6"/>
      <x:c r="B66" s="7" t="n">
        <x:v>0.0038779562491979944</x:v>
      </x:c>
      <x:c r="C66" s="7" t="n">
        <x:v>-0.012204902683396279</x:v>
      </x:c>
      <x:c r="D66" s="7" t="n">
        <x:v>-0.0007353038879781802</x:v>
      </x:c>
      <x:c r="E66" t="n">
        <x:f>IF(ISNUMBER(A66),65,0)</x:f>
        <x:v>0</x:v>
      </x:c>
    </x:row>
    <x:row r="67">
      <x:c r="A67" s="6"/>
      <x:c r="B67" s="7" t="n">
        <x:v>-0.016810549658583876</x:v>
      </x:c>
      <x:c r="C67" s="7" t="n">
        <x:v>-0.0048199274939426575</x:v>
      </x:c>
      <x:c r="D67" s="7" t="n">
        <x:v>-0.01068249005267918</x:v>
      </x:c>
      <x:c r="E67" t="n">
        <x:f>IF(ISNUMBER(A67),66,0)</x:f>
        <x:v>0</x:v>
      </x:c>
    </x:row>
    <x:row r="68">
      <x:c r="A68" s="6"/>
      <x:c r="B68" s="7" t="n">
        <x:v>0.017104728728188877</x:v>
      </x:c>
      <x:c r="C68" s="7" t="n">
        <x:v>0.010689349998258177</x:v>
      </x:c>
      <x:c r="D68" s="7" t="n">
        <x:v>0.0028917877664005366</x:v>
      </x:c>
      <x:c r="E68" t="n">
        <x:f>IF(ISNUMBER(A68),67,0)</x:f>
        <x:v>0</x:v>
      </x:c>
    </x:row>
    <x:row r="69">
      <x:c r="A69" s="6"/>
      <x:c r="B69" s="7" t="n">
        <x:v>-0.010838453319869696</x:v>
      </x:c>
      <x:c r="C69" s="7" t="n">
        <x:v>-0.01479784830524136</x:v>
      </x:c>
      <x:c r="D69" s="7" t="n">
        <x:v>-0.008950653744788536</x:v>
      </x:c>
      <x:c r="E69" t="n">
        <x:f>IF(ISNUMBER(A69),68,0)</x:f>
        <x:v>0</x:v>
      </x:c>
    </x:row>
    <x:row r="70">
      <x:c r="A70" s="6"/>
      <x:c r="B70" s="7" t="n">
        <x:v>0.007680471079159633</x:v>
      </x:c>
      <x:c r="C70" s="7" t="n">
        <x:v>0.0009443063791090558</x:v>
      </x:c>
      <x:c r="D70" s="7" t="n">
        <x:v>-0.007298748777418377</x:v>
      </x:c>
      <x:c r="E70" t="n">
        <x:f>IF(ISNUMBER(A70),69,0)</x:f>
        <x:v>0</x:v>
      </x:c>
    </x:row>
    <x:row r="71">
      <x:c r="A71" s="6"/>
      <x:c r="B71" s="7" t="n">
        <x:v>-0.005613439069050119</x:v>
      </x:c>
      <x:c r="C71" s="7" t="n">
        <x:v>0.00459911595278551</x:v>
      </x:c>
      <x:c r="D71" s="7" t="n">
        <x:v>0.005386868098465957</x:v>
      </x:c>
      <x:c r="E71" t="n">
        <x:f>IF(ISNUMBER(A71),70,0)</x:f>
        <x:v>0</x:v>
      </x:c>
    </x:row>
    <x:row r="72">
      <x:c r="A72" s="6"/>
      <x:c r="B72" s="7" t="n">
        <x:v>0.007312500411257819</x:v>
      </x:c>
      <x:c r="C72" s="7" t="n">
        <x:v>-0.006175340896869775</x:v>
      </x:c>
      <x:c r="D72" s="7" t="n">
        <x:v>0.004228111855268682</x:v>
      </x:c>
      <x:c r="E72" t="n">
        <x:f>IF(ISNUMBER(A72),71,0)</x:f>
        <x:v>0</x:v>
      </x:c>
    </x:row>
    <x:row r="73">
      <x:c r="A73" s="6"/>
      <x:c r="B73" s="7" t="n">
        <x:v>0.0010425531168532303</x:v>
      </x:c>
      <x:c r="C73" s="7" t="n">
        <x:v>0.0037695141937411046</x:v>
      </x:c>
      <x:c r="D73" s="7" t="n">
        <x:v>-0.00936268410516398</x:v>
      </x:c>
      <x:c r="E73" t="n">
        <x:f>IF(ISNUMBER(A73),72,0)</x:f>
        <x:v>0</x:v>
      </x:c>
    </x:row>
    <x:row r="74">
      <x:c r="A74" s="6"/>
      <x:c r="B74" s="7" t="n">
        <x:v>0.0015333486614293901</x:v>
      </x:c>
      <x:c r="C74" s="7" t="n">
        <x:v>0.020482167976753594</x:v>
      </x:c>
      <x:c r="D74" s="7" t="n">
        <x:v>0.008484733768330812</x:v>
      </x:c>
      <x:c r="E74" t="n">
        <x:f>IF(ISNUMBER(A74),73,0)</x:f>
        <x:v>0</x:v>
      </x:c>
    </x:row>
    <x:row r="75">
      <x:c r="A75" s="6"/>
      <x:c r="B75" s="7" t="n">
        <x:v>0.01903420932923167</x:v>
      </x:c>
      <x:c r="C75" s="7" t="n">
        <x:v>0.0049241919650047285</x:v>
      </x:c>
      <x:c r="D75" s="7" t="n">
        <x:v>-0.000005830063396617259</x:v>
      </x:c>
      <x:c r="E75" t="n">
        <x:f>IF(ISNUMBER(A75),74,0)</x:f>
        <x:v>0</x:v>
      </x:c>
    </x:row>
    <x:row r="76">
      <x:c r="A76" s="6"/>
      <x:c r="B76" s="7" t="n">
        <x:v>0.002734005732083368</x:v>
      </x:c>
      <x:c r="C76" s="7" t="n">
        <x:v>-0.004217108022702077</x:v>
      </x:c>
      <x:c r="D76" s="7" t="n">
        <x:v>-0.012130575722946974</x:v>
      </x:c>
      <x:c r="E76" t="n">
        <x:f>IF(ISNUMBER(A76),75,0)</x:f>
        <x:v>0</x:v>
      </x:c>
    </x:row>
    <x:row r="77">
      <x:c r="A77" s="6"/>
      <x:c r="B77" s="7" t="n">
        <x:v>0.009740893923508393</x:v>
      </x:c>
      <x:c r="C77" s="7" t="n">
        <x:v>0.006078300613805507</x:v>
      </x:c>
      <x:c r="D77" s="7" t="n">
        <x:v>0.014559063976513412</x:v>
      </x:c>
      <x:c r="E77" t="n">
        <x:f>IF(ISNUMBER(A77),76,0)</x:f>
        <x:v>0</x:v>
      </x:c>
    </x:row>
    <x:row r="78">
      <x:c r="A78" s="6"/>
      <x:c r="B78" s="7" t="n">
        <x:v>0.01066519523326928</x:v>
      </x:c>
      <x:c r="C78" s="7" t="n">
        <x:v>0.006906063448353838</x:v>
      </x:c>
      <x:c r="D78" s="7" t="n">
        <x:v>0.0028753777905067834</x:v>
      </x:c>
      <x:c r="E78" t="n">
        <x:f>IF(ISNUMBER(A78),77,0)</x:f>
        <x:v>0</x:v>
      </x:c>
    </x:row>
    <x:row r="79">
      <x:c r="A79" s="6"/>
      <x:c r="B79" s="7" t="n">
        <x:v>-0.004586716138183455</x:v>
      </x:c>
      <x:c r="C79" s="7" t="n">
        <x:v>0.009238599819182458</x:v>
      </x:c>
      <x:c r="D79" s="7" t="n">
        <x:v>-0.0007759320426097274</x:v>
      </x:c>
      <x:c r="E79" t="n">
        <x:f>IF(ISNUMBER(A79),78,0)</x:f>
        <x:v>0</x:v>
      </x:c>
    </x:row>
    <x:row r="80">
      <x:c r="A80" s="6"/>
      <x:c r="B80" s="7" t="n">
        <x:v>0.023312557417786147</x:v>
      </x:c>
      <x:c r="C80" s="7" t="n">
        <x:v>0.0031253770410224163</x:v>
      </x:c>
      <x:c r="D80" s="7" t="n">
        <x:v>-0.006870171287983535</x:v>
      </x:c>
      <x:c r="E80" t="n">
        <x:f>IF(ISNUMBER(A80),79,0)</x:f>
        <x:v>0</x:v>
      </x:c>
    </x:row>
    <x:row r="81">
      <x:c r="A81" s="6"/>
      <x:c r="B81" s="7" t="n">
        <x:v>0.002064776979817727</x:v>
      </x:c>
      <x:c r="C81" s="7" t="n">
        <x:v>0.0002199510788380261</x:v>
      </x:c>
      <x:c r="D81" s="7" t="n">
        <x:v>0.004191313286483519</x:v>
      </x:c>
      <x:c r="E81" t="n">
        <x:f>IF(ISNUMBER(A81),80,0)</x:f>
        <x:v>0</x:v>
      </x:c>
    </x:row>
    <x:row r="82">
      <x:c r="A82" s="6"/>
      <x:c r="B82" s="7" t="n">
        <x:v>0.004317255105149116</x:v>
      </x:c>
      <x:c r="C82" s="7" t="n">
        <x:v>0.00014498802041599984</x:v>
      </x:c>
      <x:c r="D82" s="7" t="n">
        <x:v>-0.01280611944930881</x:v>
      </x:c>
      <x:c r="E82" t="n">
        <x:f>IF(ISNUMBER(A82),81,0)</x:f>
        <x:v>0</x:v>
      </x:c>
    </x:row>
    <x:row r="83">
      <x:c r="A83" s="6"/>
      <x:c r="B83" s="7" t="n">
        <x:v>0.019878282135784336</x:v>
      </x:c>
      <x:c r="C83" s="7" t="n">
        <x:v>0.0017027416355627025</x:v>
      </x:c>
      <x:c r="D83" s="7" t="n">
        <x:v>0.009474322129709448</x:v>
      </x:c>
      <x:c r="E83" t="n">
        <x:f>IF(ISNUMBER(A83),82,0)</x:f>
        <x:v>0</x:v>
      </x:c>
    </x:row>
    <x:row r="84">
      <x:c r="A84" s="6"/>
      <x:c r="B84" s="7" t="n">
        <x:v>0.006191938884849106</x:v>
      </x:c>
      <x:c r="C84" s="7" t="n">
        <x:v>-0.013268559943465439</x:v>
      </x:c>
      <x:c r="D84" s="7" t="n">
        <x:v>-0.01667271711710797</x:v>
      </x:c>
      <x:c r="E84" t="n">
        <x:f>IF(ISNUMBER(A84),83,0)</x:f>
        <x:v>0</x:v>
      </x:c>
    </x:row>
    <x:row r="85">
      <x:c r="A85" s="6"/>
      <x:c r="B85" s="7" t="n">
        <x:v>-0.006123143287965661</x:v>
      </x:c>
      <x:c r="C85" s="7" t="n">
        <x:v>-0.0030128125273803418</x:v>
      </x:c>
      <x:c r="D85" s="7" t="n">
        <x:v>-0.012739174566244476</x:v>
      </x:c>
      <x:c r="E85" t="n">
        <x:f>IF(ISNUMBER(A85),84,0)</x:f>
        <x:v>0</x:v>
      </x:c>
    </x:row>
    <x:row r="86">
      <x:c r="A86" s="6"/>
      <x:c r="B86" s="7" t="n">
        <x:v>-0.008050427168993625</x:v>
      </x:c>
      <x:c r="C86" s="7" t="n">
        <x:v>-0.004407765588929162</x:v>
      </x:c>
      <x:c r="D86" s="7" t="n">
        <x:v>-0.010791322096067422</x:v>
      </x:c>
      <x:c r="E86" t="n">
        <x:f>IF(ISNUMBER(A86),85,0)</x:f>
        <x:v>0</x:v>
      </x:c>
    </x:row>
    <x:row r="87">
      <x:c r="A87" s="6"/>
      <x:c r="B87" s="7" t="n">
        <x:v>0.004631916040565164</x:v>
      </x:c>
      <x:c r="C87" s="7" t="n">
        <x:v>0.00838550104968947</x:v>
      </x:c>
      <x:c r="D87" s="7" t="n">
        <x:v>0.010346087407740465</x:v>
      </x:c>
      <x:c r="E87" t="n">
        <x:f>IF(ISNUMBER(A87),86,0)</x:f>
        <x:v>0</x:v>
      </x:c>
    </x:row>
    <x:row r="88">
      <x:c r="A88" s="6"/>
      <x:c r="B88" s="7" t="n">
        <x:v>-0.010358805363237729</x:v>
      </x:c>
      <x:c r="C88" s="7" t="n">
        <x:v>0.005523262175944044</x:v>
      </x:c>
      <x:c r="D88" s="7" t="n">
        <x:v>0.028817549803605742</x:v>
      </x:c>
      <x:c r="E88" t="n">
        <x:f>IF(ISNUMBER(A88),87,0)</x:f>
        <x:v>0</x:v>
      </x:c>
    </x:row>
    <x:row r="89">
      <x:c r="A89" s="6"/>
      <x:c r="B89" s="7" t="n">
        <x:v>-0.01861899070759166</x:v>
      </x:c>
      <x:c r="C89" s="7" t="n">
        <x:v>0.02077390720489428</x:v>
      </x:c>
      <x:c r="D89" s="7" t="n">
        <x:v>-0.024515849382467602</x:v>
      </x:c>
      <x:c r="E89" t="n">
        <x:f>IF(ISNUMBER(A89),88,0)</x:f>
        <x:v>0</x:v>
      </x:c>
    </x:row>
    <x:row r="90">
      <x:c r="A90" s="6"/>
      <x:c r="B90" s="7" t="n">
        <x:v>-0.011584169029546626</x:v>
      </x:c>
      <x:c r="C90" s="7" t="n">
        <x:v>-0.0029833212965736486</x:v>
      </x:c>
      <x:c r="D90" s="7" t="n">
        <x:v>-0.03235051358817681</x:v>
      </x:c>
      <x:c r="E90" t="n">
        <x:f>IF(ISNUMBER(A90),89,0)</x:f>
        <x:v>0</x:v>
      </x:c>
    </x:row>
    <x:row r="91">
      <x:c r="A91" s="6"/>
      <x:c r="B91" s="7" t="n">
        <x:v>-0.0048624143260089445</x:v>
      </x:c>
      <x:c r="C91" s="7" t="n">
        <x:v>-0.004586696265702296</x:v>
      </x:c>
      <x:c r="D91" s="7" t="n">
        <x:v>0.016488864271802618</x:v>
      </x:c>
      <x:c r="E91" t="n">
        <x:f>IF(ISNUMBER(A91),90,0)</x:f>
        <x:v>0</x:v>
      </x:c>
    </x:row>
    <x:row r="92">
      <x:c r="A92" s="6"/>
      <x:c r="B92" s="7" t="n">
        <x:v>0.00895471507505181</x:v>
      </x:c>
      <x:c r="C92" s="7" t="n">
        <x:v>0.004970591461930594</x:v>
      </x:c>
      <x:c r="D92" s="7" t="n">
        <x:v>0.02317149363524547</x:v>
      </x:c>
      <x:c r="E92" t="n">
        <x:f>IF(ISNUMBER(A92),91,0)</x:f>
        <x:v>0</x:v>
      </x:c>
    </x:row>
    <x:row r="93">
      <x:c r="A93" s="6"/>
      <x:c r="B93" s="7" t="n">
        <x:v>0.007294705136501021</x:v>
      </x:c>
      <x:c r="C93" s="7" t="n">
        <x:v>-0.002092716634610582</x:v>
      </x:c>
      <x:c r="D93" s="7" t="n">
        <x:v>0.007393720913578675</x:v>
      </x:c>
      <x:c r="E93" t="n">
        <x:f>IF(ISNUMBER(A93),92,0)</x:f>
        <x:v>0</x:v>
      </x:c>
    </x:row>
    <x:row r="94">
      <x:c r="A94" s="6"/>
      <x:c r="B94" s="7" t="n">
        <x:v>-0.00009275097951660927</x:v>
      </x:c>
      <x:c r="C94" s="7" t="n">
        <x:v>0.012207651460866715</x:v>
      </x:c>
      <x:c r="D94" s="7" t="n">
        <x:v>-0.0069011433886439</x:v>
      </x:c>
      <x:c r="E94" t="n">
        <x:f>IF(ISNUMBER(A94),93,0)</x:f>
        <x:v>0</x:v>
      </x:c>
    </x:row>
    <x:row r="95">
      <x:c r="A95" s="6"/>
      <x:c r="B95" s="7" t="n">
        <x:v>0.00731559155428406</x:v>
      </x:c>
      <x:c r="C95" s="7" t="n">
        <x:v>-0.000018912174061423272</x:v>
      </x:c>
      <x:c r="D95" s="7" t="n">
        <x:v>0.005235250540362978</x:v>
      </x:c>
      <x:c r="E95" t="n">
        <x:f>IF(ISNUMBER(A95),94,0)</x:f>
        <x:v>0</x:v>
      </x:c>
    </x:row>
    <x:row r="96">
      <x:c r="A96" s="6"/>
      <x:c r="B96" s="7" t="n">
        <x:v>0.0012642258579623178</x:v>
      </x:c>
      <x:c r="C96" s="7" t="n">
        <x:v>-0.006653766152010904</x:v>
      </x:c>
      <x:c r="D96" s="7" t="n">
        <x:v>-0.0036550105545787694</x:v>
      </x:c>
      <x:c r="E96" t="n">
        <x:f>IF(ISNUMBER(A96),95,0)</x:f>
        <x:v>0</x:v>
      </x:c>
    </x:row>
    <x:row r="97">
      <x:c r="A97" s="6"/>
      <x:c r="B97" s="7" t="n">
        <x:v>0.0022078481220808624</x:v>
      </x:c>
      <x:c r="C97" s="7" t="n">
        <x:v>0.001205527578925461</x:v>
      </x:c>
      <x:c r="D97" s="7" t="n">
        <x:v>-0.007823723181079776</x:v>
      </x:c>
      <x:c r="E97" t="n">
        <x:f>IF(ISNUMBER(A97),96,0)</x:f>
        <x:v>0</x:v>
      </x:c>
    </x:row>
    <x:row r="98">
      <x:c r="A98" s="6"/>
      <x:c r="B98" s="7" t="n">
        <x:v>-0.00647121690529412</x:v>
      </x:c>
      <x:c r="C98" s="7" t="n">
        <x:v>-0.012228232719321061</x:v>
      </x:c>
      <x:c r="D98" s="7" t="n">
        <x:v>-0.0039712250608015445</x:v>
      </x:c>
      <x:c r="E98" t="n">
        <x:f>IF(ISNUMBER(A98),97,0)</x:f>
        <x:v>0</x:v>
      </x:c>
    </x:row>
    <x:row r="99">
      <x:c r="A99" s="6"/>
      <x:c r="B99" s="7" t="n">
        <x:v>-0.0072422806375099045</x:v>
      </x:c>
      <x:c r="C99" s="7" t="n">
        <x:v>0.002190417657822755</x:v>
      </x:c>
      <x:c r="D99" s="7" t="n">
        <x:v>-0.005594349130313459</x:v>
      </x:c>
      <x:c r="E99" t="n">
        <x:f>IF(ISNUMBER(A99),98,0)</x:f>
        <x:v>0</x:v>
      </x:c>
    </x:row>
    <x:row r="100">
      <x:c r="A100" s="6"/>
      <x:c r="B100" s="7" t="n">
        <x:v>-0.007644124254867755</x:v>
      </x:c>
      <x:c r="C100" s="7" t="n">
        <x:v>-0.00034667245292326716</x:v>
      </x:c>
      <x:c r="D100" s="7" t="n">
        <x:v>-0.011861977930287673</x:v>
      </x:c>
      <x:c r="E100" t="n">
        <x:f>IF(ISNUMBER(A100),99,0)</x:f>
        <x:v>0</x:v>
      </x:c>
    </x:row>
    <x:row r="101">
      <x:c r="A101" s="6"/>
      <x:c r="B101" s="7" t="n">
        <x:v>0.0016104746293954181</x:v>
      </x:c>
      <x:c r="C101" s="7" t="n">
        <x:v>0.006476343455572856</x:v>
      </x:c>
      <x:c r="D101" s="7" t="n">
        <x:v>-0.02472064317858677</x:v>
      </x:c>
      <x:c r="E101" t="n">
        <x:f>IF(ISNUMBER(A101),100,0)</x:f>
        <x:v>0</x:v>
      </x:c>
    </x:row>
    <x:row r="102">
      <x:c r="A102" s="6"/>
      <x:c r="B102" s="7" t="n">
        <x:v>0.005889603367516351</x:v>
      </x:c>
      <x:c r="C102" s="7" t="n">
        <x:v>-0.0018491248244667364</x:v>
      </x:c>
      <x:c r="D102" s="7" t="n">
        <x:v>-0.0013449661776853837</x:v>
      </x:c>
      <x:c r="E102" t="n">
        <x:f>IF(ISNUMBER(A102),101,0)</x:f>
        <x:v>0</x:v>
      </x:c>
    </x:row>
    <x:row r="103">
      <x:c r="A103" s="6"/>
      <x:c r="B103" s="7" t="n">
        <x:v>0.004547282543559989</x:v>
      </x:c>
      <x:c r="C103" s="7" t="n">
        <x:v>0.009516586069566018</x:v>
      </x:c>
      <x:c r="D103" s="7" t="n">
        <x:v>-0.014163758595604599</x:v>
      </x:c>
      <x:c r="E103" t="n">
        <x:f>IF(ISNUMBER(A103),102,0)</x:f>
        <x:v>0</x:v>
      </x:c>
    </x:row>
    <x:row r="104">
      <x:c r="A104" s="6"/>
      <x:c r="B104" s="7" t="n">
        <x:v>-0.0028966775374889785</x:v>
      </x:c>
      <x:c r="C104" s="7" t="n">
        <x:v>0.015279871669761386</x:v>
      </x:c>
      <x:c r="D104" s="7" t="n">
        <x:v>0.017854136636670927</x:v>
      </x:c>
      <x:c r="E104" t="n">
        <x:f>IF(ISNUMBER(A104),103,0)</x:f>
        <x:v>0</x:v>
      </x:c>
    </x:row>
    <x:row r="105">
      <x:c r="A105" s="6"/>
      <x:c r="B105" s="7" t="n">
        <x:v>0.0061640849025682235</x:v>
      </x:c>
      <x:c r="C105" s="7" t="n">
        <x:v>-0.010468573467223645</x:v>
      </x:c>
      <x:c r="D105" s="7" t="n">
        <x:v>-0.018542244627780823</x:v>
      </x:c>
      <x:c r="E105" t="n">
        <x:f>IF(ISNUMBER(A105),104,0)</x:f>
        <x:v>0</x:v>
      </x:c>
    </x:row>
    <x:row r="106">
      <x:c r="A106" s="6"/>
      <x:c r="B106" s="7" t="n">
        <x:v>-0.011460948654318601</x:v>
      </x:c>
      <x:c r="C106" s="7" t="n">
        <x:v>-0.005011939893800855</x:v>
      </x:c>
      <x:c r="D106" s="7" t="n">
        <x:v>-0.01053348628835388</x:v>
      </x:c>
      <x:c r="E106" t="n">
        <x:f>IF(ISNUMBER(A106),105,0)</x:f>
        <x:v>0</x:v>
      </x:c>
    </x:row>
    <x:row r="107">
      <x:c r="A107" s="6"/>
      <x:c r="B107" s="7" t="n">
        <x:v>0.012615350915065465</x:v>
      </x:c>
      <x:c r="C107" s="7" t="n">
        <x:v>-0.0021196315872520333</x:v>
      </x:c>
      <x:c r="D107" s="7" t="n">
        <x:v>0.008779245694234786</x:v>
      </x:c>
      <x:c r="E107" t="n">
        <x:f>IF(ISNUMBER(A107),106,0)</x:f>
        <x:v>0</x:v>
      </x:c>
    </x:row>
    <x:row r="108">
      <x:c r="A108" s="6"/>
      <x:c r="B108" s="7" t="n">
        <x:v>-0.02220065826345913</x:v>
      </x:c>
      <x:c r="C108" s="7" t="n">
        <x:v>-0.00014281164575654328</x:v>
      </x:c>
      <x:c r="D108" s="7" t="n">
        <x:v>-0.0026815984617417237</x:v>
      </x:c>
      <x:c r="E108" t="n">
        <x:f>IF(ISNUMBER(A108),107,0)</x:f>
        <x:v>0</x:v>
      </x:c>
    </x:row>
    <x:row r="109">
      <x:c r="A109" s="6"/>
      <x:c r="B109" s="7" t="n">
        <x:v>-0.012485668717400313</x:v>
      </x:c>
      <x:c r="C109" s="7" t="n">
        <x:v>-0.0076123411524817025</x:v>
      </x:c>
      <x:c r="D109" s="7" t="n">
        <x:v>-0.019675928450283434</x:v>
      </x:c>
      <x:c r="E109" t="n">
        <x:f>IF(ISNUMBER(A109),108,0)</x:f>
        <x:v>0</x:v>
      </x:c>
    </x:row>
    <x:row r="110">
      <x:c r="A110" s="6"/>
      <x:c r="B110" s="7" t="n">
        <x:v>0.0057136547054433915</x:v>
      </x:c>
      <x:c r="C110" s="7" t="n">
        <x:v>-0.00527502450080192</x:v>
      </x:c>
      <x:c r="D110" s="7" t="n">
        <x:v>-0.01454113379006693</x:v>
      </x:c>
      <x:c r="E110" t="n">
        <x:f>IF(ISNUMBER(A110),109,0)</x:f>
        <x:v>0</x:v>
      </x:c>
    </x:row>
    <x:row r="111">
      <x:c r="A111" s="6"/>
      <x:c r="B111" s="7" t="n">
        <x:v>-0.010293615354681622</x:v>
      </x:c>
      <x:c r="C111" s="7" t="n">
        <x:v>-0.011695045058092608</x:v>
      </x:c>
      <x:c r="D111" s="7" t="n">
        <x:v>-0.012827702151075225</x:v>
      </x:c>
      <x:c r="E111" t="n">
        <x:f>IF(ISNUMBER(A111),110,0)</x:f>
        <x:v>0</x:v>
      </x:c>
    </x:row>
    <x:row r="112">
      <x:c r="A112" s="6"/>
      <x:c r="B112" s="7" t="n">
        <x:v>0.001930490661654397</x:v>
      </x:c>
      <x:c r="C112" s="7" t="n">
        <x:v>0.00044313693678902933</x:v>
      </x:c>
      <x:c r="D112" s="7" t="n">
        <x:v>0.0023093604654723684</x:v>
      </x:c>
      <x:c r="E112" t="n">
        <x:f>IF(ISNUMBER(A112),111,0)</x:f>
        <x:v>0</x:v>
      </x:c>
    </x:row>
    <x:row r="113">
      <x:c r="A113" s="6"/>
      <x:c r="B113" s="7" t="n">
        <x:v>0.003253420018531249</x:v>
      </x:c>
      <x:c r="C113" s="7" t="n">
        <x:v>-0.00014107914334840613</x:v>
      </x:c>
      <x:c r="D113" s="7" t="n">
        <x:v>-0.00010555986968478366</x:v>
      </x:c>
      <x:c r="E113" t="n">
        <x:f>IF(ISNUMBER(A113),112,0)</x:f>
        <x:v>0</x:v>
      </x:c>
    </x:row>
    <x:row r="114">
      <x:c r="A114" s="6"/>
      <x:c r="B114" s="7" t="n">
        <x:v>-0.007032001934181405</x:v>
      </x:c>
      <x:c r="C114" s="7" t="n">
        <x:v>0.0037845699342404166</x:v>
      </x:c>
      <x:c r="D114" s="7" t="n">
        <x:v>-0.03311976067728735</x:v>
      </x:c>
      <x:c r="E114" t="n">
        <x:f>IF(ISNUMBER(A114),113,0)</x:f>
        <x:v>0</x:v>
      </x:c>
    </x:row>
    <x:row r="115">
      <x:c r="A115" s="6"/>
      <x:c r="B115" s="7" t="n">
        <x:v>-0.002006970089391868</x:v>
      </x:c>
      <x:c r="C115" s="7" t="n">
        <x:v>-0.0070309124923969395</x:v>
      </x:c>
      <x:c r="D115" s="7" t="n">
        <x:v>-0.0079735414266146</x:v>
      </x:c>
      <x:c r="E115" t="n">
        <x:f>IF(ISNUMBER(A115),114,0)</x:f>
        <x:v>0</x:v>
      </x:c>
    </x:row>
    <x:row r="116">
      <x:c r="A116" s="6"/>
      <x:c r="B116" s="7" t="n">
        <x:v>-0.0030048311450339973</x:v>
      </x:c>
      <x:c r="C116" s="7" t="n">
        <x:v>-0.0046484077664186</x:v>
      </x:c>
      <x:c r="D116" s="7" t="n">
        <x:v>0.01182497024668181</x:v>
      </x:c>
      <x:c r="E116" t="n">
        <x:f>IF(ISNUMBER(A116),115,0)</x:f>
        <x:v>0</x:v>
      </x:c>
    </x:row>
    <x:row r="117">
      <x:c r="A117" s="6"/>
      <x:c r="B117" s="7" t="n">
        <x:v>-0.007375015349296976</x:v>
      </x:c>
      <x:c r="C117" s="7" t="n">
        <x:v>0.0074631378288097724</x:v>
      </x:c>
      <x:c r="D117" s="7" t="n">
        <x:v>-0.023445157961078815</x:v>
      </x:c>
      <x:c r="E117" t="n">
        <x:f>IF(ISNUMBER(A117),116,0)</x:f>
        <x:v>0</x:v>
      </x:c>
    </x:row>
    <x:row r="118">
      <x:c r="A118" s="6"/>
      <x:c r="B118" s="7" t="n">
        <x:v>-0.01580700037488527</x:v>
      </x:c>
      <x:c r="C118" s="7" t="n">
        <x:v>-0.0015473948890855223</x:v>
      </x:c>
      <x:c r="D118" s="7" t="n">
        <x:v>0.0084732891552772</x:v>
      </x:c>
      <x:c r="E118" t="n">
        <x:f>IF(ISNUMBER(A118),117,0)</x:f>
        <x:v>0</x:v>
      </x:c>
    </x:row>
    <x:row r="119">
      <x:c r="A119" s="6"/>
      <x:c r="B119" s="7" t="n">
        <x:v>0.0014222272925901991</x:v>
      </x:c>
      <x:c r="C119" s="7" t="n">
        <x:v>0.019045443380178943</x:v>
      </x:c>
      <x:c r="D119" s="7" t="n">
        <x:v>0.01129901339365994</x:v>
      </x:c>
      <x:c r="E119" t="n">
        <x:f>IF(ISNUMBER(A119),118,0)</x:f>
        <x:v>0</x:v>
      </x:c>
    </x:row>
    <x:row r="120">
      <x:c r="A120" s="6"/>
      <x:c r="B120" s="7" t="n">
        <x:v>-0.012924829214981857</x:v>
      </x:c>
      <x:c r="C120" s="7" t="n">
        <x:v>-0.01763248395706745</x:v>
      </x:c>
      <x:c r="D120" s="7" t="n">
        <x:v>-0.007067131104058251</x:v>
      </x:c>
      <x:c r="E120" t="n">
        <x:f>IF(ISNUMBER(A120),119,0)</x:f>
        <x:v>0</x:v>
      </x:c>
    </x:row>
    <x:row r="121">
      <x:c r="A121" s="6"/>
      <x:c r="B121" s="7" t="n">
        <x:v>0.017643277248919474</x:v>
      </x:c>
      <x:c r="C121" s="7" t="n">
        <x:v>-0.008018177898052316</x:v>
      </x:c>
      <x:c r="D121" s="7" t="n">
        <x:v>-0.0012065121579285564</x:v>
      </x:c>
      <x:c r="E121" t="n">
        <x:f>IF(ISNUMBER(A121),120,0)</x:f>
        <x:v>0</x:v>
      </x:c>
    </x:row>
    <x:row r="122">
      <x:c r="A122" s="6"/>
      <x:c r="B122" s="7" t="n">
        <x:v>0.007330565688673224</x:v>
      </x:c>
      <x:c r="C122" s="7" t="n">
        <x:v>-0.0010406226535866604</x:v>
      </x:c>
      <x:c r="D122" s="7" t="n">
        <x:v>0.004861024522157037</x:v>
      </x:c>
      <x:c r="E122" t="n">
        <x:f>IF(ISNUMBER(A122),121,0)</x:f>
        <x:v>0</x:v>
      </x:c>
    </x:row>
    <x:row r="123">
      <x:c r="A123" s="6"/>
      <x:c r="B123" s="7" t="n">
        <x:v>-0.0025686037517112154</x:v>
      </x:c>
      <x:c r="C123" s="7" t="n">
        <x:v>0.0027175327540747297</x:v>
      </x:c>
      <x:c r="D123" s="7" t="n">
        <x:v>0.018344131844127136</x:v>
      </x:c>
      <x:c r="E123" t="n">
        <x:f>IF(ISNUMBER(A123),122,0)</x:f>
        <x:v>0</x:v>
      </x:c>
    </x:row>
    <x:row r="124">
      <x:c r="A124" s="6"/>
      <x:c r="B124" s="7" t="n">
        <x:v>-0.005748884340584213</x:v>
      </x:c>
      <x:c r="C124" s="7" t="n">
        <x:v>0.0049498796386595505</x:v>
      </x:c>
      <x:c r="D124" s="7" t="n">
        <x:v>-0.014640161097584039</x:v>
      </x:c>
      <x:c r="E124" t="n">
        <x:f>IF(ISNUMBER(A124),123,0)</x:f>
        <x:v>0</x:v>
      </x:c>
    </x:row>
    <x:row r="125">
      <x:c r="A125" s="6"/>
      <x:c r="B125" s="7" t="n">
        <x:v>0.00009084222968199747</x:v>
      </x:c>
      <x:c r="C125" s="7" t="n">
        <x:v>-0.00596638746771402</x:v>
      </x:c>
      <x:c r="D125" s="7" t="n">
        <x:v>-0.0024235009695056623</x:v>
      </x:c>
      <x:c r="E125" t="n">
        <x:f>IF(ISNUMBER(A125),124,0)</x:f>
        <x:v>0</x:v>
      </x:c>
    </x:row>
    <x:row r="126">
      <x:c r="A126" s="6"/>
      <x:c r="B126" s="7" t="n">
        <x:v>0.01889212529051476</x:v>
      </x:c>
      <x:c r="C126" s="7" t="n">
        <x:v>-0.0219527229578096</x:v>
      </x:c>
      <x:c r="D126" s="7" t="n">
        <x:v>0.0056470653238227825</x:v>
      </x:c>
      <x:c r="E126" t="n">
        <x:f>IF(ISNUMBER(A126),125,0)</x:f>
        <x:v>0</x:v>
      </x:c>
    </x:row>
    <x:row r="127">
      <x:c r="A127" s="6"/>
      <x:c r="B127" s="7" t="n">
        <x:v>0.0005442020574623188</x:v>
      </x:c>
      <x:c r="C127" s="7" t="n">
        <x:v>0.0010810646206275592</x:v>
      </x:c>
      <x:c r="D127" s="7" t="n">
        <x:v>0.013508303544294002</x:v>
      </x:c>
      <x:c r="E127" t="n">
        <x:f>IF(ISNUMBER(A127),126,0)</x:f>
        <x:v>0</x:v>
      </x:c>
    </x:row>
    <x:row r="128">
      <x:c r="A128" s="6"/>
      <x:c r="B128" s="7" t="n">
        <x:v>-0.0016294866733210093</x:v>
      </x:c>
      <x:c r="C128" s="7" t="n">
        <x:v>0.00392296583241393</x:v>
      </x:c>
      <x:c r="D128" s="7" t="n">
        <x:v>-0.005236242910189358</x:v>
      </x:c>
      <x:c r="E128" t="n">
        <x:f>IF(ISNUMBER(A128),127,0)</x:f>
        <x:v>0</x:v>
      </x:c>
    </x:row>
    <x:row r="129">
      <x:c r="A129" s="6"/>
      <x:c r="B129" s="7" t="n">
        <x:v>0.006788260699874992</x:v>
      </x:c>
      <x:c r="C129" s="7" t="n">
        <x:v>0.001288307882932136</x:v>
      </x:c>
      <x:c r="D129" s="7" t="n">
        <x:v>0.0021312034834003713</x:v>
      </x:c>
      <x:c r="E129" t="n">
        <x:f>IF(ISNUMBER(A129),128,0)</x:f>
        <x:v>0</x:v>
      </x:c>
    </x:row>
    <x:row r="130">
      <x:c r="A130" s="6"/>
      <x:c r="B130" s="7" t="n">
        <x:v>-0.0004005616972949246</x:v>
      </x:c>
      <x:c r="C130" s="7" t="n">
        <x:v>0.0017455117983094476</x:v>
      </x:c>
      <x:c r="D130" s="7" t="n">
        <x:v>-0.0008017764964644935</x:v>
      </x:c>
      <x:c r="E130" t="n">
        <x:f>IF(ISNUMBER(A130),129,0)</x:f>
        <x:v>0</x:v>
      </x:c>
    </x:row>
    <x:row r="131">
      <x:c r="A131" s="6"/>
      <x:c r="B131" s="7" t="n">
        <x:v>0.008114145152740098</x:v>
      </x:c>
      <x:c r="C131" s="7" t="n">
        <x:v>0.007084583762541341</x:v>
      </x:c>
      <x:c r="D131" s="7" t="n">
        <x:v>-0.004592289724490238</x:v>
      </x:c>
      <x:c r="E131" t="n">
        <x:f>IF(ISNUMBER(A131),130,0)</x:f>
        <x:v>0</x:v>
      </x:c>
    </x:row>
    <x:row r="132">
      <x:c r="A132" s="6"/>
      <x:c r="B132" s="7" t="n">
        <x:v>-0.0001461883344231346</x:v>
      </x:c>
      <x:c r="C132" s="7" t="n">
        <x:v>-0.010751642494008389</x:v>
      </x:c>
      <x:c r="D132" s="7" t="n">
        <x:v>-0.006800948128077655</x:v>
      </x:c>
      <x:c r="E132" t="n">
        <x:f>IF(ISNUMBER(A132),131,0)</x:f>
        <x:v>0</x:v>
      </x:c>
    </x:row>
    <x:row r="133">
      <x:c r="A133" s="6"/>
      <x:c r="B133" s="7" t="n">
        <x:v>-0.00800114974729938</x:v>
      </x:c>
      <x:c r="C133" s="7" t="n">
        <x:v>-0.0057845640119449345</x:v>
      </x:c>
      <x:c r="D133" s="7" t="n">
        <x:v>0.006965220020116084</x:v>
      </x:c>
      <x:c r="E133" t="n">
        <x:f>IF(ISNUMBER(A133),132,0)</x:f>
        <x:v>0</x:v>
      </x:c>
    </x:row>
    <x:row r="134">
      <x:c r="A134" s="6"/>
      <x:c r="B134" s="7" t="n">
        <x:v>-0.006897774578512264</x:v>
      </x:c>
      <x:c r="C134" s="7" t="n">
        <x:v>-0.002581330269362861</x:v>
      </x:c>
      <x:c r="D134" s="7" t="n">
        <x:v>-0.0033941109172142465</x:v>
      </x:c>
      <x:c r="E134" t="n">
        <x:f>IF(ISNUMBER(A134),133,0)</x:f>
        <x:v>0</x:v>
      </x:c>
    </x:row>
    <x:row r="135">
      <x:c r="A135" s="6"/>
      <x:c r="B135" s="7" t="n">
        <x:v>0.010418863813603359</x:v>
      </x:c>
      <x:c r="C135" s="7" t="n">
        <x:v>-0.015676143433506914</x:v>
      </x:c>
      <x:c r="D135" s="7" t="n">
        <x:v>0.004269993216917785</x:v>
      </x:c>
      <x:c r="E135" t="n">
        <x:f>IF(ISNUMBER(A135),134,0)</x:f>
        <x:v>0</x:v>
      </x:c>
    </x:row>
    <x:row r="136">
      <x:c r="A136" s="6"/>
      <x:c r="B136" s="7" t="n">
        <x:v>0.0011055445781885526</x:v>
      </x:c>
      <x:c r="C136" s="7" t="n">
        <x:v>0.005211060517045712</x:v>
      </x:c>
      <x:c r="D136" s="7" t="n">
        <x:v>-0.0010869129300472749</x:v>
      </x:c>
      <x:c r="E136" t="n">
        <x:f>IF(ISNUMBER(A136),135,0)</x:f>
        <x:v>0</x:v>
      </x:c>
    </x:row>
    <x:row r="137">
      <x:c r="A137" s="6"/>
      <x:c r="B137" s="7" t="n">
        <x:v>0.011100146309780387</x:v>
      </x:c>
      <x:c r="C137" s="7" t="n">
        <x:v>-0.005724573359132835</x:v>
      </x:c>
      <x:c r="D137" s="7" t="n">
        <x:v>-0.011916791844288177</x:v>
      </x:c>
      <x:c r="E137" t="n">
        <x:f>IF(ISNUMBER(A137),136,0)</x:f>
        <x:v>0</x:v>
      </x:c>
    </x:row>
    <x:row r="138">
      <x:c r="A138" s="6"/>
      <x:c r="B138" s="7" t="n">
        <x:v>0.006335362253664642</x:v>
      </x:c>
      <x:c r="C138" s="7" t="n">
        <x:v>0.002364027823338726</x:v>
      </x:c>
      <x:c r="D138" s="7" t="n">
        <x:v>0.01337877455956411</x:v>
      </x:c>
      <x:c r="E138" t="n">
        <x:f>IF(ISNUMBER(A138),137,0)</x:f>
        <x:v>0</x:v>
      </x:c>
    </x:row>
    <x:row r="139">
      <x:c r="A139" s="6"/>
      <x:c r="B139" s="7" t="n">
        <x:v>-0.011680023219213822</x:v>
      </x:c>
      <x:c r="C139" s="7" t="n">
        <x:v>0.015739621979528075</x:v>
      </x:c>
      <x:c r="D139" s="7" t="n">
        <x:v>0.009367992255901963</x:v>
      </x:c>
      <x:c r="E139" t="n">
        <x:f>IF(ISNUMBER(A139),138,0)</x:f>
        <x:v>0</x:v>
      </x:c>
    </x:row>
    <x:row r="140">
      <x:c r="A140" s="6"/>
      <x:c r="B140" s="7" t="n">
        <x:v>-0.0006471902482871915</x:v>
      </x:c>
      <x:c r="C140" s="7" t="n">
        <x:v>-0.016083477611811732</x:v>
      </x:c>
      <x:c r="D140" s="7" t="n">
        <x:v>-0.01588609963766405</x:v>
      </x:c>
      <x:c r="E140" t="n">
        <x:f>IF(ISNUMBER(A140),139,0)</x:f>
        <x:v>0</x:v>
      </x:c>
    </x:row>
    <x:row r="141">
      <x:c r="A141" s="6"/>
      <x:c r="B141" s="7" t="n">
        <x:v>0.003920088768049141</x:v>
      </x:c>
      <x:c r="C141" s="7" t="n">
        <x:v>0.004140674250484209</x:v>
      </x:c>
      <x:c r="D141" s="7" t="n">
        <x:v>-0.01742480819615143</x:v>
      </x:c>
      <x:c r="E141" t="n">
        <x:f>IF(ISNUMBER(A141),140,0)</x:f>
        <x:v>0</x:v>
      </x:c>
    </x:row>
    <x:row r="142">
      <x:c r="A142" s="6"/>
      <x:c r="B142" s="7" t="n">
        <x:v>0.02154574999756476</x:v>
      </x:c>
      <x:c r="C142" s="7" t="n">
        <x:v>-0.020345694116957882</x:v>
      </x:c>
      <x:c r="D142" s="7" t="n">
        <x:v>0.015149012263494101</x:v>
      </x:c>
      <x:c r="E142" t="n">
        <x:f>IF(ISNUMBER(A142),141,0)</x:f>
        <x:v>0</x:v>
      </x:c>
    </x:row>
    <x:row r="143">
      <x:c r="A143" s="6"/>
      <x:c r="B143" s="7" t="n">
        <x:v>-0.009419201440497231</x:v>
      </x:c>
      <x:c r="C143" s="7" t="n">
        <x:v>0.019037916917263874</x:v>
      </x:c>
      <x:c r="D143" s="7" t="n">
        <x:v>0.009130961018336901</x:v>
      </x:c>
      <x:c r="E143" t="n">
        <x:f>IF(ISNUMBER(A143),142,0)</x:f>
        <x:v>0</x:v>
      </x:c>
    </x:row>
    <x:row r="144">
      <x:c r="A144" s="6"/>
      <x:c r="B144" s="7" t="n">
        <x:v>0.000010993621395234826</x:v>
      </x:c>
      <x:c r="C144" s="7" t="n">
        <x:v>-0.031223819943725823</x:v>
      </x:c>
      <x:c r="D144" s="7" t="n">
        <x:v>0.00827943230630942</x:v>
      </x:c>
      <x:c r="E144" t="n">
        <x:f>IF(ISNUMBER(A144),143,0)</x:f>
        <x:v>0</x:v>
      </x:c>
    </x:row>
    <x:row r="145">
      <x:c r="A145" s="6"/>
      <x:c r="B145" s="7" t="n">
        <x:v>-0.00374451760594855</x:v>
      </x:c>
      <x:c r="C145" s="7" t="n">
        <x:v>0.005573917027973198</x:v>
      </x:c>
      <x:c r="D145" s="7" t="n">
        <x:v>-0.0050093660544319836</x:v>
      </x:c>
      <x:c r="E145" t="n">
        <x:f>IF(ISNUMBER(A145),144,0)</x:f>
        <x:v>0</x:v>
      </x:c>
    </x:row>
    <x:row r="146">
      <x:c r="A146" s="6"/>
      <x:c r="B146" s="7" t="n">
        <x:v>-0.008647264487774147</x:v>
      </x:c>
      <x:c r="C146" s="7" t="n">
        <x:v>-0.0023880075482344064</x:v>
      </x:c>
      <x:c r="D146" s="7" t="n">
        <x:v>-0.001987393637745514</x:v>
      </x:c>
      <x:c r="E146" t="n">
        <x:f>IF(ISNUMBER(A146),145,0)</x:f>
        <x:v>0</x:v>
      </x:c>
    </x:row>
    <x:row r="147">
      <x:c r="A147" s="6"/>
      <x:c r="B147" s="7" t="n">
        <x:v>-0.011592217970907518</x:v>
      </x:c>
      <x:c r="C147" s="7" t="n">
        <x:v>-0.0047347788712011835</x:v>
      </x:c>
      <x:c r="D147" s="7" t="n">
        <x:v>-0.0020827572165516835</x:v>
      </x:c>
      <x:c r="E147" t="n">
        <x:f>IF(ISNUMBER(A147),146,0)</x:f>
        <x:v>0</x:v>
      </x:c>
    </x:row>
    <x:row r="148">
      <x:c r="A148" s="6"/>
      <x:c r="B148" s="7" t="n">
        <x:v>0.0000646630865436053</x:v>
      </x:c>
      <x:c r="C148" s="7" t="n">
        <x:v>-0.011908620938243478</x:v>
      </x:c>
      <x:c r="D148" s="7" t="n">
        <x:v>-0.0007202880769694419</x:v>
      </x:c>
      <x:c r="E148" t="n">
        <x:f>IF(ISNUMBER(A148),147,0)</x:f>
        <x:v>0</x:v>
      </x:c>
    </x:row>
    <x:row r="149">
      <x:c r="A149" s="6"/>
      <x:c r="B149" s="7" t="n">
        <x:v>-0.00406797832798722</x:v>
      </x:c>
      <x:c r="C149" s="7" t="n">
        <x:v>-0.00907281403143983</x:v>
      </x:c>
      <x:c r="D149" s="7" t="n">
        <x:v>0.011230487762305815</x:v>
      </x:c>
      <x:c r="E149" t="n">
        <x:f>IF(ISNUMBER(A149),148,0)</x:f>
        <x:v>0</x:v>
      </x:c>
    </x:row>
    <x:row r="150">
      <x:c r="A150" s="6"/>
      <x:c r="B150" s="7" t="n">
        <x:v>0.0018168250704618037</x:v>
      </x:c>
      <x:c r="C150" s="7" t="n">
        <x:v>0.009050952442573897</x:v>
      </x:c>
      <x:c r="D150" s="7" t="n">
        <x:v>-0.0038573495026753115</x:v>
      </x:c>
      <x:c r="E150" t="n">
        <x:f>IF(ISNUMBER(A150),149,0)</x:f>
        <x:v>0</x:v>
      </x:c>
    </x:row>
    <x:row r="151">
      <x:c r="A151" s="6"/>
      <x:c r="B151" s="7" t="n">
        <x:v>-0.012744520949407073</x:v>
      </x:c>
      <x:c r="C151" s="7" t="n">
        <x:v>-0.0014654796003791535</x:v>
      </x:c>
      <x:c r="D151" s="7" t="n">
        <x:v>-0.007541445155899597</x:v>
      </x:c>
      <x:c r="E151" t="n">
        <x:f>IF(ISNUMBER(A151),150,0)</x:f>
        <x:v>0</x:v>
      </x:c>
    </x:row>
    <x:row r="152">
      <x:c r="A152" s="6"/>
      <x:c r="B152" s="7" t="n">
        <x:v>0.0000202071640632205</x:v>
      </x:c>
      <x:c r="C152" s="7" t="n">
        <x:v>-0.005248340042441885</x:v>
      </x:c>
      <x:c r="D152" s="7" t="n">
        <x:v>0.01635098988987772</x:v>
      </x:c>
      <x:c r="E152" t="n">
        <x:f>IF(ISNUMBER(A152),151,0)</x:f>
        <x:v>0</x:v>
      </x:c>
    </x:row>
    <x:row r="153">
      <x:c r="A153" s="6"/>
      <x:c r="B153" s="7" t="n">
        <x:v>0.0016911010957130687</x:v>
      </x:c>
      <x:c r="C153" s="7" t="n">
        <x:v>-0.019992907888219568</x:v>
      </x:c>
      <x:c r="D153" s="7" t="n">
        <x:v>0.0006739364023448063</x:v>
      </x:c>
      <x:c r="E153" t="n">
        <x:f>IF(ISNUMBER(A153),152,0)</x:f>
        <x:v>0</x:v>
      </x:c>
    </x:row>
    <x:row r="154">
      <x:c r="A154" s="6"/>
      <x:c r="B154" s="7" t="n">
        <x:v>0.0031172204231866185</x:v>
      </x:c>
      <x:c r="C154" s="7" t="n">
        <x:v>0.002337234616704095</x:v>
      </x:c>
      <x:c r="D154" s="7" t="n">
        <x:v>-0.020170204790740526</x:v>
      </x:c>
      <x:c r="E154" t="n">
        <x:f>IF(ISNUMBER(A154),153,0)</x:f>
        <x:v>0</x:v>
      </x:c>
    </x:row>
    <x:row r="155">
      <x:c r="A155" s="6"/>
      <x:c r="B155" s="7" t="n">
        <x:v>-0.0011843625811873773</x:v>
      </x:c>
      <x:c r="C155" s="7" t="n">
        <x:v>0.0023419064039239363</x:v>
      </x:c>
      <x:c r="D155" s="7" t="n">
        <x:v>-0.027580757947688193</x:v>
      </x:c>
      <x:c r="E155" t="n">
        <x:f>IF(ISNUMBER(A155),154,0)</x:f>
        <x:v>0</x:v>
      </x:c>
    </x:row>
    <x:row r="156">
      <x:c r="A156" s="6"/>
      <x:c r="B156" s="7" t="n">
        <x:v>-0.00797323069679752</x:v>
      </x:c>
      <x:c r="C156" s="7" t="n">
        <x:v>-0.0017265831808313216</x:v>
      </x:c>
      <x:c r="D156" s="7" t="n">
        <x:v>0.0055131809875268575</x:v>
      </x:c>
      <x:c r="E156" t="n">
        <x:f>IF(ISNUMBER(A156),155,0)</x:f>
        <x:v>0</x:v>
      </x:c>
    </x:row>
    <x:row r="157">
      <x:c r="A157" s="6"/>
      <x:c r="B157" s="7" t="n">
        <x:v>0.009818161386356519</x:v>
      </x:c>
      <x:c r="C157" s="7" t="n">
        <x:v>-0.005638352261954179</x:v>
      </x:c>
      <x:c r="D157" s="7" t="n">
        <x:v>-0.016938658575705597</x:v>
      </x:c>
      <x:c r="E157" t="n">
        <x:f>IF(ISNUMBER(A157),156,0)</x:f>
        <x:v>0</x:v>
      </x:c>
    </x:row>
    <x:row r="158">
      <x:c r="A158" s="6"/>
      <x:c r="B158" s="7" t="n">
        <x:v>0.015465042473153999</x:v>
      </x:c>
      <x:c r="C158" s="7" t="n">
        <x:v>-0.003939540374776604</x:v>
      </x:c>
      <x:c r="D158" s="7" t="n">
        <x:v>0.02168600068707838</x:v>
      </x:c>
      <x:c r="E158" t="n">
        <x:f>IF(ISNUMBER(A158),157,0)</x:f>
        <x:v>0</x:v>
      </x:c>
    </x:row>
    <x:row r="159">
      <x:c r="A159" s="6"/>
      <x:c r="B159" s="7" t="n">
        <x:v>0.01760376064827434</x:v>
      </x:c>
      <x:c r="C159" s="7" t="n">
        <x:v>0.01064063742898518</x:v>
      </x:c>
      <x:c r="D159" s="7" t="n">
        <x:v>-0.005987893158775237</x:v>
      </x:c>
      <x:c r="E159" t="n">
        <x:f>IF(ISNUMBER(A159),158,0)</x:f>
        <x:v>0</x:v>
      </x:c>
    </x:row>
    <x:row r="160">
      <x:c r="A160" s="6"/>
      <x:c r="B160" s="7" t="n">
        <x:v>-0.005269958753779177</x:v>
      </x:c>
      <x:c r="C160" s="7" t="n">
        <x:v>0.0020517149427998695</x:v>
      </x:c>
      <x:c r="D160" s="7" t="n">
        <x:v>-0.028334240143546973</x:v>
      </x:c>
      <x:c r="E160" t="n">
        <x:f>IF(ISNUMBER(A160),159,0)</x:f>
        <x:v>0</x:v>
      </x:c>
    </x:row>
    <x:row r="161">
      <x:c r="A161" s="6"/>
      <x:c r="B161" s="7" t="n">
        <x:v>-0.023737263206771466</x:v>
      </x:c>
      <x:c r="C161" s="7" t="n">
        <x:v>0.004243694222703563</x:v>
      </x:c>
      <x:c r="D161" s="7" t="n">
        <x:v>0.019824880086094232</x:v>
      </x:c>
      <x:c r="E161" t="n">
        <x:f>IF(ISNUMBER(A161),160,0)</x:f>
        <x:v>0</x:v>
      </x:c>
    </x:row>
    <x:row r="162">
      <x:c r="A162" s="6"/>
      <x:c r="B162" s="7" t="n">
        <x:v>-0.0019264832689393076</x:v>
      </x:c>
      <x:c r="C162" s="7" t="n">
        <x:v>-0.0014900677211310274</x:v>
      </x:c>
      <x:c r="D162" s="7" t="n">
        <x:v>0.011685398688100505</x:v>
      </x:c>
      <x:c r="E162" t="n">
        <x:f>IF(ISNUMBER(A162),161,0)</x:f>
        <x:v>0</x:v>
      </x:c>
    </x:row>
    <x:row r="163">
      <x:c r="A163" s="6"/>
      <x:c r="B163" s="7" t="n">
        <x:v>0.000482916766949534</x:v>
      </x:c>
      <x:c r="C163" s="7" t="n">
        <x:v>0.022152158212655076</x:v>
      </x:c>
      <x:c r="D163" s="7" t="n">
        <x:v>0.016162168345595113</x:v>
      </x:c>
      <x:c r="E163" t="n">
        <x:f>IF(ISNUMBER(A163),162,0)</x:f>
        <x:v>0</x:v>
      </x:c>
    </x:row>
    <x:row r="164">
      <x:c r="A164" s="6"/>
      <x:c r="B164" s="7" t="n">
        <x:v>0.002681736526235722</x:v>
      </x:c>
      <x:c r="C164" s="7" t="n">
        <x:v>-0.008163500450373826</x:v>
      </x:c>
      <x:c r="D164" s="7" t="n">
        <x:v>0.009728726311351105</x:v>
      </x:c>
      <x:c r="E164" t="n">
        <x:f>IF(ISNUMBER(A164),163,0)</x:f>
        <x:v>0</x:v>
      </x:c>
    </x:row>
    <x:row r="165">
      <x:c r="A165" s="6"/>
      <x:c r="B165" s="7" t="n">
        <x:v>0.019643618345008124</x:v>
      </x:c>
      <x:c r="C165" s="7" t="n">
        <x:v>0.014147392756587175</x:v>
      </x:c>
      <x:c r="D165" s="7" t="n">
        <x:v>-0.03200086284734787</x:v>
      </x:c>
      <x:c r="E165" t="n">
        <x:f>IF(ISNUMBER(A165),164,0)</x:f>
        <x:v>0</x:v>
      </x:c>
    </x:row>
    <x:row r="166">
      <x:c r="A166" s="6"/>
      <x:c r="B166" s="7" t="n">
        <x:v>-0.011795655861963667</x:v>
      </x:c>
      <x:c r="C166" s="7" t="n">
        <x:v>0.02832310201519177</x:v>
      </x:c>
      <x:c r="D166" s="7" t="n">
        <x:v>-0.009176918658964892</x:v>
      </x:c>
      <x:c r="E166" t="n">
        <x:f>IF(ISNUMBER(A166),165,0)</x:f>
        <x:v>0</x:v>
      </x:c>
    </x:row>
    <x:row r="167">
      <x:c r="A167" s="6"/>
      <x:c r="B167" s="7" t="n">
        <x:v>-0.000948399878766008</x:v>
      </x:c>
      <x:c r="C167" s="7" t="n">
        <x:v>0.0147576405992051</x:v>
      </x:c>
      <x:c r="D167" s="7" t="n">
        <x:v>0.005990216963596233</x:v>
      </x:c>
      <x:c r="E167" t="n">
        <x:f>IF(ISNUMBER(A167),166,0)</x:f>
        <x:v>0</x:v>
      </x:c>
    </x:row>
    <x:row r="168">
      <x:c r="A168" s="6"/>
      <x:c r="B168" s="7" t="n">
        <x:v>0.004888993850659733</x:v>
      </x:c>
      <x:c r="C168" s="7" t="n">
        <x:v>-0.019648078686427466</x:v>
      </x:c>
      <x:c r="D168" s="7" t="n">
        <x:v>0.017760806929799918</x:v>
      </x:c>
      <x:c r="E168" t="n">
        <x:f>IF(ISNUMBER(A168),167,0)</x:f>
        <x:v>0</x:v>
      </x:c>
    </x:row>
    <x:row r="169">
      <x:c r="A169" s="6"/>
      <x:c r="B169" s="7" t="n">
        <x:v>-0.0010402140618060477</x:v>
      </x:c>
      <x:c r="C169" s="7" t="n">
        <x:v>0.003275121486603085</x:v>
      </x:c>
      <x:c r="D169" s="7" t="n">
        <x:v>0.009097988922660727</x:v>
      </x:c>
      <x:c r="E169" t="n">
        <x:f>IF(ISNUMBER(A169),168,0)</x:f>
        <x:v>0</x:v>
      </x:c>
    </x:row>
    <x:row r="170">
      <x:c r="A170" s="6"/>
      <x:c r="B170" s="7" t="n">
        <x:v>0.0028203167181860608</x:v>
      </x:c>
      <x:c r="C170" s="7" t="n">
        <x:v>-0.0024786898706892226</x:v>
      </x:c>
      <x:c r="D170" s="7" t="n">
        <x:v>-0.012548513125486157</x:v>
      </x:c>
      <x:c r="E170" t="n">
        <x:f>IF(ISNUMBER(A170),169,0)</x:f>
        <x:v>0</x:v>
      </x:c>
    </x:row>
    <x:row r="171">
      <x:c r="A171" s="6"/>
      <x:c r="B171" s="7" t="n">
        <x:v>0.011530856098962197</x:v>
      </x:c>
      <x:c r="C171" s="7" t="n">
        <x:v>0.00495284312663321</x:v>
      </x:c>
      <x:c r="D171" s="7" t="n">
        <x:v>-0.002057737665749967</x:v>
      </x:c>
      <x:c r="E171" t="n">
        <x:f>IF(ISNUMBER(A171),170,0)</x:f>
        <x:v>0</x:v>
      </x:c>
    </x:row>
    <x:row r="172">
      <x:c r="A172" s="6"/>
      <x:c r="B172" s="7" t="n">
        <x:v>-0.006739668425856036</x:v>
      </x:c>
      <x:c r="C172" s="7" t="n">
        <x:v>0.0030327520368360087</x:v>
      </x:c>
      <x:c r="D172" s="7" t="n">
        <x:v>0.0024512252183693027</x:v>
      </x:c>
      <x:c r="E172" t="n">
        <x:f>IF(ISNUMBER(A172),171,0)</x:f>
        <x:v>0</x:v>
      </x:c>
    </x:row>
    <x:row r="173">
      <x:c r="A173" s="6"/>
      <x:c r="B173" s="7" t="n">
        <x:v>0.006562757202947293</x:v>
      </x:c>
      <x:c r="C173" s="7" t="n">
        <x:v>-0.019327318497912492</x:v>
      </x:c>
      <x:c r="D173" s="7" t="n">
        <x:v>0.012353958874485399</x:v>
      </x:c>
      <x:c r="E173" t="n">
        <x:f>IF(ISNUMBER(A173),172,0)</x:f>
        <x:v>0</x:v>
      </x:c>
    </x:row>
    <x:row r="174">
      <x:c r="A174" s="6"/>
      <x:c r="B174" s="7" t="n">
        <x:v>0.010062242042435936</x:v>
      </x:c>
      <x:c r="C174" s="7" t="n">
        <x:v>0.0003104336352165244</x:v>
      </x:c>
      <x:c r="D174" s="7" t="n">
        <x:v>0.007080077966021131</x:v>
      </x:c>
      <x:c r="E174" t="n">
        <x:f>IF(ISNUMBER(A174),173,0)</x:f>
        <x:v>0</x:v>
      </x:c>
    </x:row>
    <x:row r="175">
      <x:c r="A175" s="6"/>
      <x:c r="B175" s="7" t="n">
        <x:v>-0.009455498527692903</x:v>
      </x:c>
      <x:c r="C175" s="7" t="n">
        <x:v>0.0013714483183399613</x:v>
      </x:c>
      <x:c r="D175" s="7" t="n">
        <x:v>-0.01831426905700025</x:v>
      </x:c>
      <x:c r="E175" t="n">
        <x:f>IF(ISNUMBER(A175),174,0)</x:f>
        <x:v>0</x:v>
      </x:c>
    </x:row>
    <x:row r="176">
      <x:c r="A176" s="6"/>
      <x:c r="B176" s="7" t="n">
        <x:v>-0.0033803974599708225</x:v>
      </x:c>
      <x:c r="C176" s="7" t="n">
        <x:v>-0.008926134361313903</x:v>
      </x:c>
      <x:c r="D176" s="7" t="n">
        <x:v>-0.0042122581472122484</x:v>
      </x:c>
      <x:c r="E176" t="n">
        <x:f>IF(ISNUMBER(A176),175,0)</x:f>
        <x:v>0</x:v>
      </x:c>
    </x:row>
    <x:row r="177">
      <x:c r="A177" s="6"/>
      <x:c r="B177" s="7" t="n">
        <x:v>0.0031519834483837153</x:v>
      </x:c>
      <x:c r="C177" s="7" t="n">
        <x:v>0.005349607538427573</x:v>
      </x:c>
      <x:c r="D177" s="7" t="n">
        <x:v>0.0036442269097037147</x:v>
      </x:c>
      <x:c r="E177" t="n">
        <x:f>IF(ISNUMBER(A177),176,0)</x:f>
        <x:v>0</x:v>
      </x:c>
    </x:row>
    <x:row r="178">
      <x:c r="A178" s="6"/>
      <x:c r="B178" s="7" t="n">
        <x:v>-0.0019312709091744177</x:v>
      </x:c>
      <x:c r="C178" s="7" t="n">
        <x:v>0.0062685452754490285</x:v>
      </x:c>
      <x:c r="D178" s="7" t="n">
        <x:v>-0.002415207584023086</x:v>
      </x:c>
      <x:c r="E178" t="n">
        <x:f>IF(ISNUMBER(A178),177,0)</x:f>
        <x:v>0</x:v>
      </x:c>
    </x:row>
    <x:row r="179">
      <x:c r="A179" s="6"/>
      <x:c r="B179" s="7" t="n">
        <x:v>0.011484149999767572</x:v>
      </x:c>
      <x:c r="C179" s="7" t="n">
        <x:v>0.006398268618535696</x:v>
      </x:c>
      <x:c r="D179" s="7" t="n">
        <x:v>0.009090978862465956</x:v>
      </x:c>
      <x:c r="E179" t="n">
        <x:f>IF(ISNUMBER(A179),178,0)</x:f>
        <x:v>0</x:v>
      </x:c>
    </x:row>
    <x:row r="180">
      <x:c r="A180" s="6"/>
      <x:c r="B180" s="7" t="n">
        <x:v>0.019155507555325222</x:v>
      </x:c>
      <x:c r="C180" s="7" t="n">
        <x:v>-0.028763644575690802</x:v>
      </x:c>
      <x:c r="D180" s="7" t="n">
        <x:v>0.0003234960384812738</x:v>
      </x:c>
      <x:c r="E180" t="n">
        <x:f>IF(ISNUMBER(A180),179,0)</x:f>
        <x:v>0</x:v>
      </x:c>
    </x:row>
    <x:row r="181">
      <x:c r="A181" s="6"/>
      <x:c r="B181" s="7" t="n">
        <x:v>-0.0007814317343242293</x:v>
      </x:c>
      <x:c r="C181" s="7" t="n">
        <x:v>0.004191503778072576</x:v>
      </x:c>
      <x:c r="D181" s="7" t="n">
        <x:v>0.0033852822522527463</x:v>
      </x:c>
      <x:c r="E181" t="n">
        <x:f>IF(ISNUMBER(A181),180,0)</x:f>
        <x:v>0</x:v>
      </x:c>
    </x:row>
    <x:row r="182">
      <x:c r="A182" s="6"/>
      <x:c r="B182" s="7" t="n">
        <x:v>0.00009801125894415032</x:v>
      </x:c>
      <x:c r="C182" s="7" t="n">
        <x:v>0.017400575704421935</x:v>
      </x:c>
      <x:c r="D182" s="7" t="n">
        <x:v>-0.008467518441583312</x:v>
      </x:c>
      <x:c r="E182" t="n">
        <x:f>IF(ISNUMBER(A182),181,0)</x:f>
        <x:v>0</x:v>
      </x:c>
    </x:row>
    <x:row r="183">
      <x:c r="A183" s="6"/>
      <x:c r="B183" s="7" t="n">
        <x:v>0.023255407133711006</x:v>
      </x:c>
      <x:c r="C183" s="7" t="n">
        <x:v>-0.004375632099716293</x:v>
      </x:c>
      <x:c r="D183" s="7" t="n">
        <x:v>-0.02441987023674099</x:v>
      </x:c>
      <x:c r="E183" t="n">
        <x:f>IF(ISNUMBER(A183),182,0)</x:f>
        <x:v>0</x:v>
      </x:c>
    </x:row>
    <x:row r="184">
      <x:c r="A184" s="6"/>
      <x:c r="B184" s="7" t="n">
        <x:v>-0.013443012550982202</x:v>
      </x:c>
      <x:c r="C184" s="7" t="n">
        <x:v>-0.0049854295356605086</x:v>
      </x:c>
      <x:c r="D184" s="7" t="n">
        <x:v>0.03159120711069701</x:v>
      </x:c>
      <x:c r="E184" t="n">
        <x:f>IF(ISNUMBER(A184),183,0)</x:f>
        <x:v>0</x:v>
      </x:c>
    </x:row>
    <x:row r="185">
      <x:c r="A185" s="6"/>
      <x:c r="B185" s="7" t="n">
        <x:v>-0.0022542634025977844</x:v>
      </x:c>
      <x:c r="C185" s="7" t="n">
        <x:v>0.004784106743149082</x:v>
      </x:c>
      <x:c r="D185" s="7" t="n">
        <x:v>0.012464903714721868</x:v>
      </x:c>
      <x:c r="E185" t="n">
        <x:f>IF(ISNUMBER(A185),184,0)</x:f>
        <x:v>0</x:v>
      </x:c>
    </x:row>
    <x:row r="186">
      <x:c r="A186" s="6"/>
      <x:c r="B186" s="7" t="n">
        <x:v>0.010764462370018815</x:v>
      </x:c>
      <x:c r="C186" s="7" t="n">
        <x:v>0.021025200712596285</x:v>
      </x:c>
      <x:c r="D186" s="7" t="n">
        <x:v>-0.009407457337397708</x:v>
      </x:c>
      <x:c r="E186" t="n">
        <x:f>IF(ISNUMBER(A186),185,0)</x:f>
        <x:v>0</x:v>
      </x:c>
    </x:row>
    <x:row r="187">
      <x:c r="A187" s="6"/>
      <x:c r="B187" s="7" t="n">
        <x:v>-0.014504278481696345</x:v>
      </x:c>
      <x:c r="C187" s="7" t="n">
        <x:v>-0.0012767449480774033</x:v>
      </x:c>
      <x:c r="D187" s="7" t="n">
        <x:v>0.005898152231967545</x:v>
      </x:c>
      <x:c r="E187" t="n">
        <x:f>IF(ISNUMBER(A187),186,0)</x:f>
        <x:v>0</x:v>
      </x:c>
    </x:row>
    <x:row r="188">
      <x:c r="A188" s="6"/>
      <x:c r="B188" s="7" t="n">
        <x:v>-0.001589499195825002</x:v>
      </x:c>
      <x:c r="C188" s="7" t="n">
        <x:v>0.010508759691334997</x:v>
      </x:c>
      <x:c r="D188" s="7" t="n">
        <x:v>0.0027545159444270304</x:v>
      </x:c>
      <x:c r="E188" t="n">
        <x:f>IF(ISNUMBER(A188),187,0)</x:f>
        <x:v>0</x:v>
      </x:c>
    </x:row>
    <x:row r="189">
      <x:c r="A189" s="6"/>
      <x:c r="B189" s="7" t="n">
        <x:v>-0.002891786497149937</x:v>
      </x:c>
      <x:c r="C189" s="7" t="n">
        <x:v>-0.0027682979919624604</x:v>
      </x:c>
      <x:c r="D189" s="7" t="n">
        <x:v>-0.009675840811745759</x:v>
      </x:c>
      <x:c r="E189" t="n">
        <x:f>IF(ISNUMBER(A189),188,0)</x:f>
        <x:v>0</x:v>
      </x:c>
    </x:row>
    <x:row r="190">
      <x:c r="A190" s="6"/>
      <x:c r="B190" s="7" t="n">
        <x:v>0.0005483947124132001</x:v>
      </x:c>
      <x:c r="C190" s="7" t="n">
        <x:v>-0.004498345183257047</x:v>
      </x:c>
      <x:c r="D190" s="7" t="n">
        <x:v>-0.012759621897013252</x:v>
      </x:c>
      <x:c r="E190" t="n">
        <x:f>IF(ISNUMBER(A190),189,0)</x:f>
        <x:v>0</x:v>
      </x:c>
    </x:row>
    <x:row r="191">
      <x:c r="A191" s="6"/>
      <x:c r="B191" s="7" t="n">
        <x:v>-0.028722992051685884</x:v>
      </x:c>
      <x:c r="C191" s="7" t="n">
        <x:v>-0.014232869813798538</x:v>
      </x:c>
      <x:c r="D191" s="7" t="n">
        <x:v>0.00802164435476188</x:v>
      </x:c>
      <x:c r="E191" t="n">
        <x:f>IF(ISNUMBER(A191),190,0)</x:f>
        <x:v>0</x:v>
      </x:c>
    </x:row>
    <x:row r="192">
      <x:c r="A192" s="6"/>
      <x:c r="B192" s="7" t="n">
        <x:v>-0.007007807321879418</x:v>
      </x:c>
      <x:c r="C192" s="7" t="n">
        <x:v>-0.010181902558647914</x:v>
      </x:c>
      <x:c r="D192" s="7" t="n">
        <x:v>-0.0009084208758920395</x:v>
      </x:c>
      <x:c r="E192" t="n">
        <x:f>IF(ISNUMBER(A192),191,0)</x:f>
        <x:v>0</x:v>
      </x:c>
    </x:row>
    <x:row r="193">
      <x:c r="A193" s="6"/>
      <x:c r="B193" s="7" t="n">
        <x:v>0.017683757973240774</x:v>
      </x:c>
      <x:c r="C193" s="7" t="n">
        <x:v>0.008816421591293111</x:v>
      </x:c>
      <x:c r="D193" s="7" t="n">
        <x:v>0.004896276456858525</x:v>
      </x:c>
      <x:c r="E193" t="n">
        <x:f>IF(ISNUMBER(A193),192,0)</x:f>
        <x:v>0</x:v>
      </x:c>
    </x:row>
    <x:row r="194">
      <x:c r="A194" s="6"/>
      <x:c r="B194" s="7" t="n">
        <x:v>0.013660366581932796</x:v>
      </x:c>
      <x:c r="C194" s="7" t="n">
        <x:v>0.002829009190920279</x:v>
      </x:c>
      <x:c r="D194" s="7" t="n">
        <x:v>0.01539395298006559</x:v>
      </x:c>
      <x:c r="E194" t="n">
        <x:f>IF(ISNUMBER(A194),193,0)</x:f>
        <x:v>0</x:v>
      </x:c>
    </x:row>
    <x:row r="195">
      <x:c r="A195" s="6"/>
      <x:c r="B195" s="7" t="n">
        <x:v>-0.008431068396385643</x:v>
      </x:c>
      <x:c r="C195" s="7" t="n">
        <x:v>0.010615757134059902</x:v>
      </x:c>
      <x:c r="D195" s="7" t="n">
        <x:v>0.011493591970414397</x:v>
      </x:c>
      <x:c r="E195" t="n">
        <x:f>IF(ISNUMBER(A195),194,0)</x:f>
        <x:v>0</x:v>
      </x:c>
    </x:row>
    <x:row r="196">
      <x:c r="A196" s="6"/>
      <x:c r="B196" s="7" t="n">
        <x:v>-0.008889511854668509</x:v>
      </x:c>
      <x:c r="C196" s="7" t="n">
        <x:v>-0.03558750339544344</x:v>
      </x:c>
      <x:c r="D196" s="7" t="n">
        <x:v>0.004585163385767939</x:v>
      </x:c>
      <x:c r="E196" t="n">
        <x:f>IF(ISNUMBER(A196),195,0)</x:f>
        <x:v>0</x:v>
      </x:c>
    </x:row>
    <x:row r="197">
      <x:c r="A197" s="6"/>
      <x:c r="B197" s="7" t="n">
        <x:v>-0.001631088292271387</x:v>
      </x:c>
      <x:c r="C197" s="7" t="n">
        <x:v>-0.002350705570186371</x:v>
      </x:c>
      <x:c r="D197" s="7" t="n">
        <x:v>-0.01438104756999509</x:v>
      </x:c>
      <x:c r="E197" t="n">
        <x:f>IF(ISNUMBER(A197),196,0)</x:f>
        <x:v>0</x:v>
      </x:c>
    </x:row>
    <x:row r="198">
      <x:c r="A198" s="6"/>
      <x:c r="B198" s="7" t="n">
        <x:v>0.0017756007242508505</x:v>
      </x:c>
      <x:c r="C198" s="7" t="n">
        <x:v>-0.00021695667652256226</x:v>
      </x:c>
      <x:c r="D198" s="7" t="n">
        <x:v>-0.0012099064560968716</x:v>
      </x:c>
      <x:c r="E198" t="n">
        <x:f>IF(ISNUMBER(A198),197,0)</x:f>
        <x:v>0</x:v>
      </x:c>
    </x:row>
    <x:row r="199">
      <x:c r="A199" s="6"/>
      <x:c r="B199" s="7" t="n">
        <x:v>0.024742450031842354</x:v>
      </x:c>
      <x:c r="C199" s="7" t="n">
        <x:v>-0.010945371534646028</x:v>
      </x:c>
      <x:c r="D199" s="7" t="n">
        <x:v>0.003275015317290346</x:v>
      </x:c>
      <x:c r="E199" t="n">
        <x:f>IF(ISNUMBER(A199),198,0)</x:f>
        <x:v>0</x:v>
      </x:c>
    </x:row>
    <x:row r="200">
      <x:c r="A200" s="6"/>
      <x:c r="B200" s="7" t="n">
        <x:v>0.011677656125944782</x:v>
      </x:c>
      <x:c r="C200" s="7" t="n">
        <x:v>-0.007063689380473651</x:v>
      </x:c>
      <x:c r="D200" s="7" t="n">
        <x:v>-0.01431898220846365</x:v>
      </x:c>
      <x:c r="E200" t="n">
        <x:f>IF(ISNUMBER(A200),199,0)</x:f>
        <x:v>0</x:v>
      </x:c>
    </x:row>
    <x:row r="201">
      <x:c r="A201" s="6"/>
      <x:c r="B201" s="7" t="n">
        <x:v>0.009134843029605117</x:v>
      </x:c>
      <x:c r="C201" s="7" t="n">
        <x:v>-0.004973034976043998</x:v>
      </x:c>
      <x:c r="D201" s="7" t="n">
        <x:v>0.007635373363487628</x:v>
      </x:c>
      <x:c r="E201" t="n">
        <x:f>IF(ISNUMBER(A201),200,0)</x:f>
        <x:v>0</x:v>
      </x:c>
    </x:row>
    <x:row r="202">
      <x:c r="A202" s="6"/>
      <x:c r="B202" s="7" t="n">
        <x:v>-0.008277830100517882</x:v>
      </x:c>
      <x:c r="C202" s="7" t="n">
        <x:v>0.000043651430534379584</x:v>
      </x:c>
      <x:c r="D202" s="7" t="n">
        <x:v>0.00465489821321828</x:v>
      </x:c>
      <x:c r="E202" t="n">
        <x:f>IF(ISNUMBER(A202),201,0)</x:f>
        <x:v>0</x:v>
      </x:c>
    </x:row>
    <x:row r="203">
      <x:c r="A203" s="6"/>
      <x:c r="B203" s="7" t="n">
        <x:v>0.004391011372287299</x:v>
      </x:c>
      <x:c r="C203" s="7" t="n">
        <x:v>-0.006545442515300405</x:v>
      </x:c>
      <x:c r="D203" s="7" t="n">
        <x:v>-0.009055735291563302</x:v>
      </x:c>
      <x:c r="E203" t="n">
        <x:f>IF(ISNUMBER(A203),202,0)</x:f>
        <x:v>0</x:v>
      </x:c>
    </x:row>
    <x:row r="204">
      <x:c r="A204" s="6"/>
      <x:c r="B204" s="7" t="n">
        <x:v>0.011674840158858599</x:v>
      </x:c>
      <x:c r="C204" s="7" t="n">
        <x:v>0.005948985264558504</x:v>
      </x:c>
      <x:c r="D204" s="7" t="n">
        <x:v>0.013676323269765834</x:v>
      </x:c>
      <x:c r="E204" t="n">
        <x:f>IF(ISNUMBER(A204),203,0)</x:f>
        <x:v>0</x:v>
      </x:c>
    </x:row>
    <x:row r="205">
      <x:c r="A205" s="6"/>
      <x:c r="B205" s="7" t="n">
        <x:v>0.0061229495111237665</x:v>
      </x:c>
      <x:c r="C205" s="7" t="n">
        <x:v>0.017583351340071357</x:v>
      </x:c>
      <x:c r="D205" s="7" t="n">
        <x:v>-0.015745848009664765</x:v>
      </x:c>
      <x:c r="E205" t="n">
        <x:f>IF(ISNUMBER(A205),204,0)</x:f>
        <x:v>0</x:v>
      </x:c>
    </x:row>
    <x:row r="206">
      <x:c r="A206" s="6"/>
      <x:c r="B206" s="7" t="n">
        <x:v>0.0018691218890763159</x:v>
      </x:c>
      <x:c r="C206" s="7" t="n">
        <x:v>-0.018301779685852674</x:v>
      </x:c>
      <x:c r="D206" s="7" t="n">
        <x:v>0.012009494856551079</x:v>
      </x:c>
      <x:c r="E206" t="n">
        <x:f>IF(ISNUMBER(A206),205,0)</x:f>
        <x:v>0</x:v>
      </x:c>
    </x:row>
    <x:row r="207">
      <x:c r="A207" s="6"/>
      <x:c r="B207" s="7" t="n">
        <x:v>0.005717496622507002</x:v>
      </x:c>
      <x:c r="C207" s="7" t="n">
        <x:v>-0.005619655053652551</x:v>
      </x:c>
      <x:c r="D207" s="7" t="n">
        <x:v>-0.008298232969933797</x:v>
      </x:c>
      <x:c r="E207" t="n">
        <x:f>IF(ISNUMBER(A207),206,0)</x:f>
        <x:v>0</x:v>
      </x:c>
    </x:row>
    <x:row r="208">
      <x:c r="A208" s="6"/>
      <x:c r="B208" s="7" t="n">
        <x:v>-0.0009273941829693723</x:v>
      </x:c>
      <x:c r="C208" s="7" t="n">
        <x:v>-0.013572618523701731</x:v>
      </x:c>
      <x:c r="D208" s="7" t="n">
        <x:v>-0.00879237737213564</x:v>
      </x:c>
      <x:c r="E208" t="n">
        <x:f>IF(ISNUMBER(A208),207,0)</x:f>
        <x:v>0</x:v>
      </x:c>
    </x:row>
    <x:row r="209">
      <x:c r="A209" s="6"/>
      <x:c r="B209" s="7" t="n">
        <x:v>0.011078761682720244</x:v>
      </x:c>
      <x:c r="C209" s="7" t="n">
        <x:v>0.0058433218203463805</x:v>
      </x:c>
      <x:c r="D209" s="7" t="n">
        <x:v>0.016658976197051183</x:v>
      </x:c>
      <x:c r="E209" t="n">
        <x:f>IF(ISNUMBER(A209),208,0)</x:f>
        <x:v>0</x:v>
      </x:c>
    </x:row>
    <x:row r="210">
      <x:c r="A210" s="6"/>
      <x:c r="B210" s="7" t="n">
        <x:v>0.014089953310765003</x:v>
      </x:c>
      <x:c r="C210" s="7" t="n">
        <x:v>-0.0006543230834211977</x:v>
      </x:c>
      <x:c r="D210" s="7" t="n">
        <x:v>-0.0005702112263726876</x:v>
      </x:c>
      <x:c r="E210" t="n">
        <x:f>IF(ISNUMBER(A210),209,0)</x:f>
        <x:v>0</x:v>
      </x:c>
    </x:row>
    <x:row r="211">
      <x:c r="A211" s="6"/>
      <x:c r="B211" s="7" t="n">
        <x:v>-0.025405820917670463</x:v>
      </x:c>
      <x:c r="C211" s="7" t="n">
        <x:v>-0.0004326798037576205</x:v>
      </x:c>
      <x:c r="D211" s="7" t="n">
        <x:v>-0.016686563860584362</x:v>
      </x:c>
      <x:c r="E211" t="n">
        <x:f>IF(ISNUMBER(A211),210,0)</x:f>
        <x:v>0</x:v>
      </x:c>
    </x:row>
    <x:row r="212">
      <x:c r="A212" s="6"/>
      <x:c r="B212" s="7" t="n">
        <x:v>0.006982569806328097</x:v>
      </x:c>
      <x:c r="C212" s="7" t="n">
        <x:v>-0.0009063361267793302</x:v>
      </x:c>
      <x:c r="D212" s="7" t="n">
        <x:v>0.003993627182363512</x:v>
      </x:c>
      <x:c r="E212" t="n">
        <x:f>IF(ISNUMBER(A212),211,0)</x:f>
        <x:v>0</x:v>
      </x:c>
    </x:row>
    <x:row r="213">
      <x:c r="A213" s="6"/>
      <x:c r="B213" s="7" t="n">
        <x:v>0.008298888375543127</x:v>
      </x:c>
      <x:c r="C213" s="7" t="n">
        <x:v>-0.004464922905121169</x:v>
      </x:c>
      <x:c r="D213" s="7" t="n">
        <x:v>-0.001370457262723567</x:v>
      </x:c>
      <x:c r="E213" t="n">
        <x:f>IF(ISNUMBER(A213),212,0)</x:f>
        <x:v>0</x:v>
      </x:c>
    </x:row>
    <x:row r="214">
      <x:c r="A214" s="6"/>
      <x:c r="B214" s="7" t="n">
        <x:v>0.00459089061105829</x:v>
      </x:c>
      <x:c r="C214" s="7" t="n">
        <x:v>0.00629328529725166</x:v>
      </x:c>
      <x:c r="D214" s="7" t="n">
        <x:v>0.0017148394458881588</x:v>
      </x:c>
      <x:c r="E214" t="n">
        <x:f>IF(ISNUMBER(A214),213,0)</x:f>
        <x:v>0</x:v>
      </x:c>
    </x:row>
    <x:row r="215">
      <x:c r="A215" s="6"/>
      <x:c r="B215" s="7" t="n">
        <x:v>0.0003540630292503616</x:v>
      </x:c>
      <x:c r="C215" s="7" t="n">
        <x:v>0.008435021692814832</x:v>
      </x:c>
      <x:c r="D215" s="7" t="n">
        <x:v>-0.003678365453760781</x:v>
      </x:c>
      <x:c r="E215" t="n">
        <x:f>IF(ISNUMBER(A215),214,0)</x:f>
        <x:v>0</x:v>
      </x:c>
    </x:row>
    <x:row r="216">
      <x:c r="A216" s="6"/>
      <x:c r="B216" s="7" t="n">
        <x:v>0.005847611430838426</x:v>
      </x:c>
      <x:c r="C216" s="7" t="n">
        <x:v>-0.005090498935959092</x:v>
      </x:c>
      <x:c r="D216" s="7" t="n">
        <x:v>-0.0040567327715245955</x:v>
      </x:c>
      <x:c r="E216" t="n">
        <x:f>IF(ISNUMBER(A216),215,0)</x:f>
        <x:v>0</x:v>
      </x:c>
    </x:row>
    <x:row r="217">
      <x:c r="A217" s="6"/>
      <x:c r="B217" s="7" t="n">
        <x:v>0.0003684099305139909</x:v>
      </x:c>
      <x:c r="C217" s="7" t="n">
        <x:v>-0.0024454535427661014</x:v>
      </x:c>
      <x:c r="D217" s="7" t="n">
        <x:v>0.003317215669526586</x:v>
      </x:c>
      <x:c r="E217" t="n">
        <x:f>IF(ISNUMBER(A217),216,0)</x:f>
        <x:v>0</x:v>
      </x:c>
    </x:row>
    <x:row r="218">
      <x:c r="A218" s="6"/>
      <x:c r="B218" s="7" t="n">
        <x:v>-0.008773633438673836</x:v>
      </x:c>
      <x:c r="C218" s="7" t="n">
        <x:v>0.00026576268624557285</x:v>
      </x:c>
      <x:c r="D218" s="7" t="n">
        <x:v>0.012818945234116995</x:v>
      </x:c>
      <x:c r="E218" t="n">
        <x:f>IF(ISNUMBER(A218),217,0)</x:f>
        <x:v>0</x:v>
      </x:c>
    </x:row>
    <x:row r="219">
      <x:c r="A219" s="6"/>
      <x:c r="B219" s="7" t="n">
        <x:v>-0.002614173142272831</x:v>
      </x:c>
      <x:c r="C219" s="7" t="n">
        <x:v>-0.010203165293141804</x:v>
      </x:c>
      <x:c r="D219" s="7" t="n">
        <x:v>-0.008063847500759226</x:v>
      </x:c>
      <x:c r="E219" t="n">
        <x:f>IF(ISNUMBER(A219),218,0)</x:f>
        <x:v>0</x:v>
      </x:c>
    </x:row>
    <x:row r="220">
      <x:c r="A220" s="6"/>
      <x:c r="B220" s="7" t="n">
        <x:v>0.004633945952516274</x:v>
      </x:c>
      <x:c r="C220" s="7" t="n">
        <x:v>-0.02164641988688901</x:v>
      </x:c>
      <x:c r="D220" s="7" t="n">
        <x:v>-0.013580682261331937</x:v>
      </x:c>
      <x:c r="E220" t="n">
        <x:f>IF(ISNUMBER(A220),219,0)</x:f>
        <x:v>0</x:v>
      </x:c>
    </x:row>
    <x:row r="221">
      <x:c r="A221" s="6"/>
      <x:c r="B221" s="7" t="n">
        <x:v>-0.0026662932983682296</x:v>
      </x:c>
      <x:c r="C221" s="7" t="n">
        <x:v>-0.0024449300404443745</x:v>
      </x:c>
      <x:c r="D221" s="7" t="n">
        <x:v>-0.012502475385140313</x:v>
      </x:c>
      <x:c r="E221" t="n">
        <x:f>IF(ISNUMBER(A221),220,0)</x:f>
        <x:v>0</x:v>
      </x:c>
    </x:row>
    <x:row r="222">
      <x:c r="A222" s="6"/>
      <x:c r="B222" s="7" t="n">
        <x:v>-0.006118555651509669</x:v>
      </x:c>
      <x:c r="C222" s="7" t="n">
        <x:v>-0.011280862740192955</x:v>
      </x:c>
      <x:c r="D222" s="7" t="n">
        <x:v>-0.007502483824707426</x:v>
      </x:c>
      <x:c r="E222" t="n">
        <x:f>IF(ISNUMBER(A222),221,0)</x:f>
        <x:v>0</x:v>
      </x:c>
    </x:row>
    <x:row r="223">
      <x:c r="A223" s="6"/>
      <x:c r="B223" s="7" t="n">
        <x:v>0.015191728686574948</x:v>
      </x:c>
      <x:c r="C223" s="7" t="n">
        <x:v>-0.002914089085954033</x:v>
      </x:c>
      <x:c r="D223" s="7" t="n">
        <x:v>0.01580188032491544</x:v>
      </x:c>
      <x:c r="E223" t="n">
        <x:f>IF(ISNUMBER(A223),222,0)</x:f>
        <x:v>0</x:v>
      </x:c>
    </x:row>
    <x:row r="224">
      <x:c r="A224" s="6"/>
      <x:c r="B224" s="7" t="n">
        <x:v>-0.004302526822069905</x:v>
      </x:c>
      <x:c r="C224" s="7" t="n">
        <x:v>0.002567518055193038</x:v>
      </x:c>
      <x:c r="D224" s="7" t="n">
        <x:v>0.003012829491436096</x:v>
      </x:c>
      <x:c r="E224" t="n">
        <x:f>IF(ISNUMBER(A224),223,0)</x:f>
        <x:v>0</x:v>
      </x:c>
    </x:row>
    <x:row r="225">
      <x:c r="A225" s="6"/>
      <x:c r="B225" s="7" t="n">
        <x:v>0.0014870777846837247</x:v>
      </x:c>
      <x:c r="C225" s="7" t="n">
        <x:v>-0.0018176687893565915</x:v>
      </x:c>
      <x:c r="D225" s="7" t="n">
        <x:v>-0.015065091982154173</x:v>
      </x:c>
      <x:c r="E225" t="n">
        <x:f>IF(ISNUMBER(A225),224,0)</x:f>
        <x:v>0</x:v>
      </x:c>
    </x:row>
    <x:row r="226">
      <x:c r="A226" s="6"/>
      <x:c r="B226" s="7" t="n">
        <x:v>0.008853273403918645</x:v>
      </x:c>
      <x:c r="C226" s="7" t="n">
        <x:v>0.002644759306151336</x:v>
      </x:c>
      <x:c r="D226" s="7" t="n">
        <x:v>0.004003508202599787</x:v>
      </x:c>
      <x:c r="E226" t="n">
        <x:f>IF(ISNUMBER(A226),225,0)</x:f>
        <x:v>0</x:v>
      </x:c>
    </x:row>
    <x:row r="227">
      <x:c r="A227" s="6"/>
      <x:c r="B227" s="7" t="n">
        <x:v>-0.005792849774608779</x:v>
      </x:c>
      <x:c r="C227" s="7" t="n">
        <x:v>-0.004299239413091613</x:v>
      </x:c>
      <x:c r="D227" s="7" t="n">
        <x:v>0.0021844406991469822</x:v>
      </x:c>
      <x:c r="E227" t="n">
        <x:f>IF(ISNUMBER(A227),226,0)</x:f>
        <x:v>0</x:v>
      </x:c>
    </x:row>
    <x:row r="228">
      <x:c r="A228" s="6"/>
      <x:c r="B228" s="7" t="n">
        <x:v>-0.01939890192131679</x:v>
      </x:c>
      <x:c r="C228" s="7" t="n">
        <x:v>-0.007370084128852153</x:v>
      </x:c>
      <x:c r="D228" s="7" t="n">
        <x:v>0.005597570129564414</x:v>
      </x:c>
      <x:c r="E228" t="n">
        <x:f>IF(ISNUMBER(A228),227,0)</x:f>
        <x:v>0</x:v>
      </x:c>
    </x:row>
    <x:row r="229">
      <x:c r="A229" s="6"/>
      <x:c r="B229" s="7" t="n">
        <x:v>-0.0058095531740345145</x:v>
      </x:c>
      <x:c r="C229" s="7" t="n">
        <x:v>-0.003914661664536835</x:v>
      </x:c>
      <x:c r="D229" s="7" t="n">
        <x:v>-0.0014689283441795765</x:v>
      </x:c>
      <x:c r="E229" t="n">
        <x:f>IF(ISNUMBER(A229),228,0)</x:f>
        <x:v>0</x:v>
      </x:c>
    </x:row>
    <x:row r="230">
      <x:c r="A230" s="6"/>
      <x:c r="B230" s="7" t="n">
        <x:v>-0.010212082191505788</x:v>
      </x:c>
      <x:c r="C230" s="7" t="n">
        <x:v>-0.0011634005762537567</x:v>
      </x:c>
      <x:c r="D230" s="7" t="n">
        <x:v>-0.0005286239350860983</x:v>
      </x:c>
      <x:c r="E230" t="n">
        <x:f>IF(ISNUMBER(A230),229,0)</x:f>
        <x:v>0</x:v>
      </x:c>
    </x:row>
    <x:row r="231">
      <x:c r="A231" s="6"/>
      <x:c r="B231" s="7" t="n">
        <x:v>0.017613654708654395</x:v>
      </x:c>
      <x:c r="C231" s="7" t="n">
        <x:v>0.0018989226060956213</x:v>
      </x:c>
      <x:c r="D231" s="7" t="n">
        <x:v>0.009201671307697735</x:v>
      </x:c>
      <x:c r="E231" t="n">
        <x:f>IF(ISNUMBER(A231),230,0)</x:f>
        <x:v>0</x:v>
      </x:c>
    </x:row>
    <x:row r="232">
      <x:c r="A232" s="6"/>
      <x:c r="B232" s="7" t="n">
        <x:v>0.03421539421382388</x:v>
      </x:c>
      <x:c r="C232" s="7" t="n">
        <x:v>-0.0026701662915293973</x:v>
      </x:c>
      <x:c r="D232" s="7" t="n">
        <x:v>0.006594799615173633</x:v>
      </x:c>
      <x:c r="E232" t="n">
        <x:f>IF(ISNUMBER(A232),231,0)</x:f>
        <x:v>0</x:v>
      </x:c>
    </x:row>
    <x:row r="233">
      <x:c r="A233" s="6"/>
      <x:c r="B233" s="7" t="n">
        <x:v>0.0031788781707624033</x:v>
      </x:c>
      <x:c r="C233" s="7" t="n">
        <x:v>-0.0009538160168458308</x:v>
      </x:c>
      <x:c r="D233" s="7" t="n">
        <x:v>-0.0011426031092873485</x:v>
      </x:c>
      <x:c r="E233" t="n">
        <x:f>IF(ISNUMBER(A233),232,0)</x:f>
        <x:v>0</x:v>
      </x:c>
    </x:row>
    <x:row r="234">
      <x:c r="A234" s="6"/>
      <x:c r="B234" s="7" t="n">
        <x:v>0.014939362014823005</x:v>
      </x:c>
      <x:c r="C234" s="7" t="n">
        <x:v>0.013546984854660693</x:v>
      </x:c>
      <x:c r="D234" s="7" t="n">
        <x:v>-0.010530390170067369</x:v>
      </x:c>
      <x:c r="E234" t="n">
        <x:f>IF(ISNUMBER(A234),233,0)</x:f>
        <x:v>0</x:v>
      </x:c>
    </x:row>
    <x:row r="235">
      <x:c r="A235" s="6"/>
      <x:c r="B235" s="7" t="n">
        <x:v>0.006040792593417224</x:v>
      </x:c>
      <x:c r="C235" s="7" t="n">
        <x:v>0.011578567531119527</x:v>
      </x:c>
      <x:c r="D235" s="7" t="n">
        <x:v>-0.002002005646701419</x:v>
      </x:c>
      <x:c r="E235" t="n">
        <x:f>IF(ISNUMBER(A235),234,0)</x:f>
        <x:v>0</x:v>
      </x:c>
    </x:row>
    <x:row r="236">
      <x:c r="A236" s="6"/>
      <x:c r="B236" s="7" t="n">
        <x:v>-0.005901773984809481</x:v>
      </x:c>
      <x:c r="C236" s="7" t="n">
        <x:v>-0.004533012581374904</x:v>
      </x:c>
      <x:c r="D236" s="7" t="n">
        <x:v>0.013478246336154343</x:v>
      </x:c>
      <x:c r="E236" t="n">
        <x:f>IF(ISNUMBER(A236),235,0)</x:f>
        <x:v>0</x:v>
      </x:c>
    </x:row>
    <x:row r="237">
      <x:c r="A237" s="6"/>
      <x:c r="B237" s="7" t="n">
        <x:v>0.008897203922794234</x:v>
      </x:c>
      <x:c r="C237" s="7" t="n">
        <x:v>0.0008966405489453899</x:v>
      </x:c>
      <x:c r="D237" s="7" t="n">
        <x:v>0.008960791700232422</x:v>
      </x:c>
      <x:c r="E237" t="n">
        <x:f>IF(ISNUMBER(A237),236,0)</x:f>
        <x:v>0</x:v>
      </x:c>
    </x:row>
    <x:row r="238">
      <x:c r="A238" s="6"/>
      <x:c r="B238" s="7" t="n">
        <x:v>0.01304316700459289</x:v>
      </x:c>
      <x:c r="C238" s="7" t="n">
        <x:v>0.00641441089855066</x:v>
      </x:c>
      <x:c r="D238" s="7" t="n">
        <x:v>-0.0136458507926397</x:v>
      </x:c>
      <x:c r="E238" t="n">
        <x:f>IF(ISNUMBER(A238),237,0)</x:f>
        <x:v>0</x:v>
      </x:c>
    </x:row>
    <x:row r="239">
      <x:c r="A239" s="6"/>
      <x:c r="B239" s="7" t="n">
        <x:v>-0.03335874100088873</x:v>
      </x:c>
      <x:c r="C239" s="7" t="n">
        <x:v>0.0038646023381083048</x:v>
      </x:c>
      <x:c r="D239" s="7" t="n">
        <x:v>0.0032634070915007994</x:v>
      </x:c>
      <x:c r="E239" t="n">
        <x:f>IF(ISNUMBER(A239),238,0)</x:f>
        <x:v>0</x:v>
      </x:c>
    </x:row>
    <x:row r="240">
      <x:c r="A240" s="6"/>
      <x:c r="B240" s="7" t="n">
        <x:v>0.007555362948614445</x:v>
      </x:c>
      <x:c r="C240" s="7" t="n">
        <x:v>0.004545517592462621</x:v>
      </x:c>
      <x:c r="D240" s="7" t="n">
        <x:v>-0.011765638175487793</x:v>
      </x:c>
      <x:c r="E240" t="n">
        <x:f>IF(ISNUMBER(A240),239,0)</x:f>
        <x:v>0</x:v>
      </x:c>
    </x:row>
    <x:row r="241">
      <x:c r="A241" s="6"/>
      <x:c r="B241" s="7" t="n">
        <x:v>0.005450196285551738</x:v>
      </x:c>
      <x:c r="C241" s="7" t="n">
        <x:v>-0.00040669569278096865</x:v>
      </x:c>
      <x:c r="D241" s="7" t="n">
        <x:v>0.007574620755290756</x:v>
      </x:c>
      <x:c r="E241" t="n">
        <x:f>IF(ISNUMBER(A241),240,0)</x:f>
        <x:v>0</x:v>
      </x:c>
    </x:row>
    <x:row r="242">
      <x:c r="A242" s="6"/>
      <x:c r="B242" s="7" t="n">
        <x:v>-0.012119430629571461</x:v>
      </x:c>
      <x:c r="C242" s="7" t="n">
        <x:v>-0.026631902798603797</x:v>
      </x:c>
      <x:c r="D242" s="7" t="n">
        <x:v>-0.018782854693411268</x:v>
      </x:c>
      <x:c r="E242" t="n">
        <x:f>IF(ISNUMBER(A242),241,0)</x:f>
        <x:v>0</x:v>
      </x:c>
    </x:row>
    <x:row r="243">
      <x:c r="A243" s="6"/>
      <x:c r="B243" s="7" t="n">
        <x:v>-0.0032231888301986786</x:v>
      </x:c>
      <x:c r="C243" s="7" t="n">
        <x:v>0.01208229787701145</x:v>
      </x:c>
      <x:c r="D243" s="7" t="n">
        <x:v>-0.009016980738052658</x:v>
      </x:c>
      <x:c r="E243" t="n">
        <x:f>IF(ISNUMBER(A243),242,0)</x:f>
        <x:v>0</x:v>
      </x:c>
    </x:row>
    <x:row r="244">
      <x:c r="A244" s="6"/>
      <x:c r="B244" s="7" t="n">
        <x:v>-0.008707003521318184</x:v>
      </x:c>
      <x:c r="C244" s="7" t="n">
        <x:v>0.002163962365231173</x:v>
      </x:c>
      <x:c r="D244" s="7" t="n">
        <x:v>0.000438400357325442</x:v>
      </x:c>
      <x:c r="E244" t="n">
        <x:f>IF(ISNUMBER(A244),243,0)</x:f>
        <x:v>0</x:v>
      </x:c>
    </x:row>
    <x:row r="245">
      <x:c r="A245" s="6"/>
      <x:c r="B245" s="7" t="n">
        <x:v>0.024100127069118613</x:v>
      </x:c>
      <x:c r="C245" s="7" t="n">
        <x:v>-0.009832075050217387</x:v>
      </x:c>
      <x:c r="D245" s="7" t="n">
        <x:v>-0.0052770875660181765</x:v>
      </x:c>
      <x:c r="E245" t="n">
        <x:f>IF(ISNUMBER(A245),244,0)</x:f>
        <x:v>0</x:v>
      </x:c>
    </x:row>
    <x:row r="246">
      <x:c r="A246" s="6"/>
      <x:c r="B246" s="7" t="n">
        <x:v>0.007696806637142092</x:v>
      </x:c>
      <x:c r="C246" s="7" t="n">
        <x:v>-0.004676113880971031</x:v>
      </x:c>
      <x:c r="D246" s="7" t="n">
        <x:v>-0.005738548020513666</x:v>
      </x:c>
      <x:c r="E246" t="n">
        <x:f>IF(ISNUMBER(A246),245,0)</x:f>
        <x:v>0</x:v>
      </x:c>
    </x:row>
    <x:row r="247">
      <x:c r="A247" s="6"/>
      <x:c r="B247" s="7" t="n">
        <x:v>0.009977419362301244</x:v>
      </x:c>
      <x:c r="C247" s="7" t="n">
        <x:v>-0.0007084714133263329</x:v>
      </x:c>
      <x:c r="D247" s="7" t="n">
        <x:v>-0.0034180256605057355</x:v>
      </x:c>
      <x:c r="E247" t="n">
        <x:f>IF(ISNUMBER(A247),246,0)</x:f>
        <x:v>0</x:v>
      </x:c>
    </x:row>
    <x:row r="248">
      <x:c r="A248" s="6"/>
      <x:c r="B248" s="7" t="n">
        <x:v>-0.016044485741635885</x:v>
      </x:c>
      <x:c r="C248" s="7" t="n">
        <x:v>-0.004070735357459547</x:v>
      </x:c>
      <x:c r="D248" s="7" t="n">
        <x:v>0.006864274716392118</x:v>
      </x:c>
      <x:c r="E248" t="n">
        <x:f>IF(ISNUMBER(A248),247,0)</x:f>
        <x:v>0</x:v>
      </x:c>
    </x:row>
    <x:row r="249">
      <x:c r="A249" s="6"/>
      <x:c r="B249" s="7" t="n">
        <x:v>-0.0010684222430103628</x:v>
      </x:c>
      <x:c r="C249" s="7" t="n">
        <x:v>0.008005586319779037</x:v>
      </x:c>
      <x:c r="D249" s="7" t="n">
        <x:v>-0.0011456210812792742</x:v>
      </x:c>
      <x:c r="E249" t="n">
        <x:f>IF(ISNUMBER(A249),248,0)</x:f>
        <x:v>0</x:v>
      </x:c>
    </x:row>
    <x:row r="250">
      <x:c r="A250" s="6"/>
      <x:c r="B250" s="7" t="n">
        <x:v>0.0019322166218047382</x:v>
      </x:c>
      <x:c r="C250" s="7" t="n">
        <x:v>0.0037317277499310246</x:v>
      </x:c>
      <x:c r="D250" s="7" t="n">
        <x:v>-0.007131314540146028</x:v>
      </x:c>
      <x:c r="E250" t="n">
        <x:f>IF(ISNUMBER(A250),249,0)</x:f>
        <x:v>0</x:v>
      </x:c>
    </x:row>
    <x:row r="251">
      <x:c r="A251" s="6"/>
      <x:c r="B251" s="7" t="n">
        <x:v>0.00234084882078323</x:v>
      </x:c>
      <x:c r="C251" s="7" t="n">
        <x:v>0.005079971011809037</x:v>
      </x:c>
      <x:c r="D251" s="7" t="n">
        <x:v>0.004229106398671</x:v>
      </x:c>
      <x:c r="E251" t="n">
        <x:f>IF(ISNUMBER(A251),250,0)</x:f>
        <x:v>0</x:v>
      </x:c>
    </x:row>
    <x:row r="252">
      <x:c r="A252" s="6"/>
      <x:c r="B252" s="7" t="n">
        <x:v>0.0056975117339882995</x:v>
      </x:c>
      <x:c r="C252" s="7" t="n">
        <x:v>-0.007598444892439228</x:v>
      </x:c>
      <x:c r="D252" s="7" t="n">
        <x:v>-0.001178151384451686</x:v>
      </x:c>
      <x:c r="E252" t="n">
        <x:f>IF(ISNUMBER(A252),251,0)</x:f>
        <x:v>0</x:v>
      </x:c>
    </x:row>
    <x:row r="253">
      <x:c r="A253" s="6"/>
      <x:c r="B253" s="7" t="n">
        <x:v>0.01820381656384575</x:v>
      </x:c>
      <x:c r="C253" s="7" t="n">
        <x:v>-0.007501077478700129</x:v>
      </x:c>
      <x:c r="D253" s="7" t="n">
        <x:v>-0.016085058892086442</x:v>
      </x:c>
      <x:c r="E253" t="n">
        <x:f>IF(ISNUMBER(A253),252,0)</x:f>
        <x:v>0</x:v>
      </x:c>
    </x:row>
    <x:row r="254">
      <x:c r="A254" s="6"/>
      <x:c r="B254" s="7" t="n">
        <x:v>-0.016283015006215956</x:v>
      </x:c>
      <x:c r="C254" s="7" t="n">
        <x:v>0.01038992947568351</x:v>
      </x:c>
      <x:c r="D254" s="7" t="n">
        <x:v>0.009856108386039217</x:v>
      </x:c>
      <x:c r="E254" t="n">
        <x:f>IF(ISNUMBER(A254),253,0)</x:f>
        <x:v>0</x:v>
      </x:c>
    </x:row>
    <x:row r="255">
      <x:c r="A255" s="6"/>
      <x:c r="B255" s="7" t="n">
        <x:v>0.0002987420620560532</x:v>
      </x:c>
      <x:c r="C255" s="7" t="n">
        <x:v>0.007018144770296746</x:v>
      </x:c>
      <x:c r="D255" s="7" t="n">
        <x:v>0.011374153499819874</x:v>
      </x:c>
      <x:c r="E255" t="n">
        <x:f>IF(ISNUMBER(A255),254,0)</x:f>
        <x:v>0</x:v>
      </x:c>
    </x:row>
    <x:row r="256">
      <x:c r="A256" s="6"/>
      <x:c r="B256" s="7" t="n">
        <x:v>-0.007285507868452679</x:v>
      </x:c>
      <x:c r="C256" s="7" t="n">
        <x:v>-0.0012593295312708678</x:v>
      </x:c>
      <x:c r="D256" s="7" t="n">
        <x:v>0.002653236048251898</x:v>
      </x:c>
      <x:c r="E256" t="n">
        <x:f>IF(ISNUMBER(A256),255,0)</x:f>
        <x:v>0</x:v>
      </x:c>
    </x:row>
    <x:row r="257">
      <x:c r="A257" s="6"/>
      <x:c r="B257" s="7" t="n">
        <x:v>0.015728049863102438</x:v>
      </x:c>
      <x:c r="C257" s="7" t="n">
        <x:v>0.0026916873975607945</x:v>
      </x:c>
      <x:c r="D257" s="7" t="n">
        <x:v>-0.006730260722775777</x:v>
      </x:c>
      <x:c r="E257" t="n">
        <x:f>IF(ISNUMBER(A257),256,0)</x:f>
        <x:v>0</x:v>
      </x:c>
    </x:row>
    <x:row r="258">
      <x:c r="A258" s="6"/>
      <x:c r="B258" s="7" t="n">
        <x:v>-0.009076212647084138</x:v>
      </x:c>
      <x:c r="C258" s="7" t="n">
        <x:v>-0.018964292046239374</x:v>
      </x:c>
      <x:c r="D258" s="7" t="n">
        <x:v>0.015096901028647993</x:v>
      </x:c>
      <x:c r="E258" t="n">
        <x:f>IF(ISNUMBER(A258),257,0)</x:f>
        <x:v>0</x:v>
      </x:c>
    </x:row>
    <x:row r="259">
      <x:c r="A259" s="6"/>
      <x:c r="B259" s="7" t="n">
        <x:v>0.006638582961846316</x:v>
      </x:c>
      <x:c r="C259" s="7" t="n">
        <x:v>0.0030091909397721634</x:v>
      </x:c>
      <x:c r="D259" s="7" t="n">
        <x:v>-0.0058885320649435125</x:v>
      </x:c>
      <x:c r="E259" t="n">
        <x:f>IF(ISNUMBER(A259),258,0)</x:f>
        <x:v>0</x:v>
      </x:c>
    </x:row>
    <x:row r="260">
      <x:c r="A260" s="6"/>
      <x:c r="B260" s="7" t="n">
        <x:v>-0.012685540928688508</x:v>
      </x:c>
      <x:c r="C260" s="7" t="n">
        <x:v>-0.014361696876369134</x:v>
      </x:c>
      <x:c r="D260" s="7" t="n">
        <x:v>0.0024756669485438824</x:v>
      </x:c>
      <x:c r="E260" t="n">
        <x:f>IF(ISNUMBER(A260),259,0)</x:f>
        <x:v>0</x:v>
      </x:c>
    </x:row>
    <x:row r="261">
      <x:c r="A261" s="6"/>
      <x:c r="B261" s="7" t="n">
        <x:v>0.007630261905015059</x:v>
      </x:c>
      <x:c r="C261" s="7" t="n">
        <x:v>-0.0024880976260014172</x:v>
      </x:c>
      <x:c r="D261" s="7" t="n">
        <x:v>0.003066337748099497</x:v>
      </x:c>
      <x:c r="E261" t="n">
        <x:f>IF(ISNUMBER(A261),260,0)</x:f>
        <x:v>0</x:v>
      </x:c>
    </x:row>
    <x:row r="262">
      <x:c r="A262" s="6"/>
      <x:c r="B262" s="7" t="n">
        <x:v>-0.006030299255683936</x:v>
      </x:c>
      <x:c r="C262" s="7" t="n">
        <x:v>-0.0015972312688843126</x:v>
      </x:c>
      <x:c r="D262" s="7" t="n">
        <x:v>0.010521443659772155</x:v>
      </x:c>
      <x:c r="E262" t="n">
        <x:f>IF(ISNUMBER(A262),261,0)</x:f>
        <x:v>0</x:v>
      </x:c>
    </x:row>
    <x:row r="263">
      <x:c r="A263" s="6"/>
      <x:c r="B263" s="7" t="n">
        <x:v>-0.00969287959339782</x:v>
      </x:c>
      <x:c r="C263" s="7" t="n">
        <x:v>-0.006628836087051383</x:v>
      </x:c>
      <x:c r="D263" s="7" t="n">
        <x:v>0.014602810962967014</x:v>
      </x:c>
      <x:c r="E263" t="n">
        <x:f>IF(ISNUMBER(A263),262,0)</x:f>
        <x:v>0</x:v>
      </x:c>
    </x:row>
    <x:row r="264">
      <x:c r="A264" s="6"/>
      <x:c r="B264" s="7" t="n">
        <x:v>-0.001621848876236423</x:v>
      </x:c>
      <x:c r="C264" s="7" t="n">
        <x:v>-0.0028452948393628275</x:v>
      </x:c>
      <x:c r="D264" s="7" t="n">
        <x:v>-0.004574105292111846</x:v>
      </x:c>
      <x:c r="E264" t="n">
        <x:f>IF(ISNUMBER(A264),263,0)</x:f>
        <x:v>0</x:v>
      </x:c>
    </x:row>
    <x:row r="265">
      <x:c r="A265" s="6"/>
      <x:c r="B265" s="7" t="n">
        <x:v>-0.009225371667586047</x:v>
      </x:c>
      <x:c r="C265" s="7" t="n">
        <x:v>-0.0249229110202343</x:v>
      </x:c>
      <x:c r="D265" s="7" t="n">
        <x:v>-0.008916826187179056</x:v>
      </x:c>
      <x:c r="E265" t="n">
        <x:f>IF(ISNUMBER(A265),264,0)</x:f>
        <x:v>0</x:v>
      </x:c>
    </x:row>
    <x:row r="266">
      <x:c r="A266" s="6"/>
      <x:c r="B266" s="7" t="n">
        <x:v>0.0032760150125669134</x:v>
      </x:c>
      <x:c r="C266" s="7" t="n">
        <x:v>-0.006666827587576619</x:v>
      </x:c>
      <x:c r="D266" s="7" t="n">
        <x:v>0.003709485022848062</x:v>
      </x:c>
      <x:c r="E266" t="n">
        <x:f>IF(ISNUMBER(A266),265,0)</x:f>
        <x:v>0</x:v>
      </x:c>
    </x:row>
    <x:row r="267">
      <x:c r="A267" s="6"/>
      <x:c r="B267" s="7" t="n">
        <x:v>0.01526496331076456</x:v>
      </x:c>
      <x:c r="C267" s="7" t="n">
        <x:v>-0.007691420050536292</x:v>
      </x:c>
      <x:c r="D267" s="7" t="n">
        <x:v>-0.00036331159614521073</x:v>
      </x:c>
      <x:c r="E267" t="n">
        <x:f>IF(ISNUMBER(A267),266,0)</x:f>
        <x:v>0</x:v>
      </x:c>
    </x:row>
    <x:row r="268">
      <x:c r="A268" s="6"/>
      <x:c r="B268" s="7" t="n">
        <x:v>0.00035434362928938755</x:v>
      </x:c>
      <x:c r="C268" s="7" t="n">
        <x:v>0.010217259774872091</x:v>
      </x:c>
      <x:c r="D268" s="7" t="n">
        <x:v>0.008588448057882964</x:v>
      </x:c>
      <x:c r="E268" t="n">
        <x:f>IF(ISNUMBER(A268),267,0)</x:f>
        <x:v>0</x:v>
      </x:c>
    </x:row>
    <x:row r="269">
      <x:c r="A269" s="6"/>
      <x:c r="B269" s="7" t="n">
        <x:v>-0.010317504394273551</x:v>
      </x:c>
      <x:c r="C269" s="7" t="n">
        <x:v>-0.01284371992889811</x:v>
      </x:c>
      <x:c r="D269" s="7" t="n">
        <x:v>-0.004033159610532279</x:v>
      </x:c>
      <x:c r="E269" t="n">
        <x:f>IF(ISNUMBER(A269),268,0)</x:f>
        <x:v>0</x:v>
      </x:c>
    </x:row>
    <x:row r="270">
      <x:c r="A270" s="6"/>
      <x:c r="B270" s="7" t="n">
        <x:v>-0.00514978285043289</x:v>
      </x:c>
      <x:c r="C270" s="7" t="n">
        <x:v>0.0035981195378382473</x:v>
      </x:c>
      <x:c r="D270" s="7" t="n">
        <x:v>0.007265937069119363</x:v>
      </x:c>
      <x:c r="E270" t="n">
        <x:f>IF(ISNUMBER(A270),269,0)</x:f>
        <x:v>0</x:v>
      </x:c>
    </x:row>
    <x:row r="271">
      <x:c r="A271" s="6"/>
      <x:c r="B271" s="7" t="n">
        <x:v>-0.004747960628400405</x:v>
      </x:c>
      <x:c r="C271" s="7" t="n">
        <x:v>0.00028448378029101906</x:v>
      </x:c>
      <x:c r="D271" s="7" t="n">
        <x:v>-0.0028908445085767203</x:v>
      </x:c>
      <x:c r="E271" t="n">
        <x:f>IF(ISNUMBER(A271),270,0)</x:f>
        <x:v>0</x:v>
      </x:c>
    </x:row>
    <x:row r="272">
      <x:c r="A272" s="6"/>
      <x:c r="B272" s="7" t="n">
        <x:v>0.009879680867747972</x:v>
      </x:c>
      <x:c r="C272" s="7" t="n">
        <x:v>-0.005966165687069664</x:v>
      </x:c>
      <x:c r="D272" s="7" t="n">
        <x:v>0.00708470059783084</x:v>
      </x:c>
      <x:c r="E272" t="n">
        <x:f>IF(ISNUMBER(A272),271,0)</x:f>
        <x:v>0</x:v>
      </x:c>
    </x:row>
    <x:row r="273">
      <x:c r="A273" s="6"/>
      <x:c r="B273" s="7" t="n">
        <x:v>0.007221012173334191</x:v>
      </x:c>
      <x:c r="C273" s="7" t="n">
        <x:v>-0.001675911566186157</x:v>
      </x:c>
      <x:c r="D273" s="7" t="n">
        <x:v>-0.0015904064164907901</x:v>
      </x:c>
      <x:c r="E273" t="n">
        <x:f>IF(ISNUMBER(A273),272,0)</x:f>
        <x:v>0</x:v>
      </x:c>
    </x:row>
    <x:row r="274">
      <x:c r="A274" s="6"/>
      <x:c r="B274" s="7" t="n">
        <x:v>-0.0005455115002578137</x:v>
      </x:c>
      <x:c r="C274" s="7" t="n">
        <x:v>0.00016854180288993322</x:v>
      </x:c>
      <x:c r="D274" s="7" t="n">
        <x:v>-0.013995287177199157</x:v>
      </x:c>
      <x:c r="E274" t="n">
        <x:f>IF(ISNUMBER(A274),273,0)</x:f>
        <x:v>0</x:v>
      </x:c>
    </x:row>
    <x:row r="275">
      <x:c r="A275" s="6"/>
      <x:c r="B275" s="7" t="n">
        <x:v>0.00764496522741804</x:v>
      </x:c>
      <x:c r="C275" s="7" t="n">
        <x:v>0.005796114822436022</x:v>
      </x:c>
      <x:c r="D275" s="7" t="n">
        <x:v>-0.013166447449545968</x:v>
      </x:c>
      <x:c r="E275" t="n">
        <x:f>IF(ISNUMBER(A275),274,0)</x:f>
        <x:v>0</x:v>
      </x:c>
    </x:row>
    <x:row r="276">
      <x:c r="A276" s="6"/>
      <x:c r="B276" s="7" t="n">
        <x:v>0.003469462107838199</x:v>
      </x:c>
      <x:c r="C276" s="7" t="n">
        <x:v>0.007292663247048111</x:v>
      </x:c>
      <x:c r="D276" s="7" t="n">
        <x:v>0.0048178527925794145</x:v>
      </x:c>
      <x:c r="E276" t="n">
        <x:f>IF(ISNUMBER(A276),275,0)</x:f>
        <x:v>0</x:v>
      </x:c>
    </x:row>
    <x:row r="277">
      <x:c r="A277" s="6"/>
      <x:c r="B277" s="7" t="n">
        <x:v>-0.0148341899724674</x:v>
      </x:c>
      <x:c r="C277" s="7" t="n">
        <x:v>0.003801121541000472</x:v>
      </x:c>
      <x:c r="D277" s="7" t="n">
        <x:v>-0.004802950128874723</x:v>
      </x:c>
      <x:c r="E277" t="n">
        <x:f>IF(ISNUMBER(A277),276,0)</x:f>
        <x:v>0</x:v>
      </x:c>
    </x:row>
    <x:row r="278">
      <x:c r="A278" s="6"/>
      <x:c r="B278" s="7" t="n">
        <x:v>0.011437980750964135</x:v>
      </x:c>
      <x:c r="C278" s="7" t="n">
        <x:v>0.0010659053692851671</x:v>
      </x:c>
      <x:c r="D278" s="7" t="n">
        <x:v>0.0055163422875144485</x:v>
      </x:c>
      <x:c r="E278" t="n">
        <x:f>IF(ISNUMBER(A278),277,0)</x:f>
        <x:v>0</x:v>
      </x:c>
    </x:row>
    <x:row r="279">
      <x:c r="A279" s="6"/>
      <x:c r="B279" s="7" t="n">
        <x:v>-0.01731176889348308</x:v>
      </x:c>
      <x:c r="C279" s="7" t="n">
        <x:v>0.0006412298047333912</x:v>
      </x:c>
      <x:c r="D279" s="7" t="n">
        <x:v>0.02300282316570582</x:v>
      </x:c>
      <x:c r="E279" t="n">
        <x:f>IF(ISNUMBER(A279),278,0)</x:f>
        <x:v>0</x:v>
      </x:c>
    </x:row>
    <x:row r="280">
      <x:c r="A280" s="6"/>
      <x:c r="B280" s="7" t="n">
        <x:v>0.0032040316135293367</x:v>
      </x:c>
      <x:c r="C280" s="7" t="n">
        <x:v>0.004399800209297211</x:v>
      </x:c>
      <x:c r="D280" s="7" t="n">
        <x:v>0.005926692313747389</x:v>
      </x:c>
      <x:c r="E280" t="n">
        <x:f>IF(ISNUMBER(A280),279,0)</x:f>
        <x:v>0</x:v>
      </x:c>
    </x:row>
    <x:row r="281">
      <x:c r="A281" s="6"/>
      <x:c r="B281" s="7" t="n">
        <x:v>0.0019395080779321832</x:v>
      </x:c>
      <x:c r="C281" s="7" t="n">
        <x:v>0.004707691994459689</x:v>
      </x:c>
      <x:c r="D281" s="7" t="n">
        <x:v>0.013758879729162283</x:v>
      </x:c>
      <x:c r="E281" t="n">
        <x:f>IF(ISNUMBER(A281),280,0)</x:f>
        <x:v>0</x:v>
      </x:c>
    </x:row>
    <x:row r="282">
      <x:c r="A282" s="6"/>
      <x:c r="B282" s="7" t="n">
        <x:v>0.0021799371336016357</x:v>
      </x:c>
      <x:c r="C282" s="7" t="n">
        <x:v>-0.00604262537486679</x:v>
      </x:c>
      <x:c r="D282" s="7" t="n">
        <x:v>0.0028421734543297157</x:v>
      </x:c>
      <x:c r="E282" t="n">
        <x:f>IF(ISNUMBER(A282),281,0)</x:f>
        <x:v>0</x:v>
      </x:c>
    </x:row>
    <x:row r="283">
      <x:c r="A283" s="6"/>
      <x:c r="B283" s="7" t="n">
        <x:v>0.007694222947868969</x:v>
      </x:c>
      <x:c r="C283" s="7" t="n">
        <x:v>-0.009502648827266407</x:v>
      </x:c>
      <x:c r="D283" s="7" t="n">
        <x:v>-0.008450401214603848</x:v>
      </x:c>
      <x:c r="E283" t="n">
        <x:f>IF(ISNUMBER(A283),282,0)</x:f>
        <x:v>0</x:v>
      </x:c>
    </x:row>
    <x:row r="284">
      <x:c r="A284" s="6"/>
      <x:c r="B284" s="7" t="n">
        <x:v>-0.013459024522374304</x:v>
      </x:c>
      <x:c r="C284" s="7" t="n">
        <x:v>0.004675070181847438</x:v>
      </x:c>
      <x:c r="D284" s="7" t="n">
        <x:v>0.0077013811126668665</x:v>
      </x:c>
      <x:c r="E284" t="n">
        <x:f>IF(ISNUMBER(A284),283,0)</x:f>
        <x:v>0</x:v>
      </x:c>
    </x:row>
    <x:row r="285">
      <x:c r="A285" s="6"/>
      <x:c r="B285" s="7" t="n">
        <x:v>-0.008483570704801905</x:v>
      </x:c>
      <x:c r="C285" s="7" t="n">
        <x:v>-0.003344880112094124</x:v>
      </x:c>
      <x:c r="D285" s="7" t="n">
        <x:v>-0.0009596561049047517</x:v>
      </x:c>
      <x:c r="E285" t="n">
        <x:f>IF(ISNUMBER(A285),284,0)</x:f>
        <x:v>0</x:v>
      </x:c>
    </x:row>
    <x:row r="286">
      <x:c r="A286" s="6"/>
      <x:c r="B286" s="7" t="n">
        <x:v>0.007010837350663446</x:v>
      </x:c>
      <x:c r="C286" s="7" t="n">
        <x:v>0.0041534598137420485</x:v>
      </x:c>
      <x:c r="D286" s="7" t="n">
        <x:v>0.003237384943555787</x:v>
      </x:c>
      <x:c r="E286" t="n">
        <x:f>IF(ISNUMBER(A286),285,0)</x:f>
        <x:v>0</x:v>
      </x:c>
    </x:row>
    <x:row r="287">
      <x:c r="A287" s="6"/>
      <x:c r="B287" s="7" t="n">
        <x:v>-0.0034274023718717057</x:v>
      </x:c>
      <x:c r="C287" s="7" t="n">
        <x:v>0.003277211095776126</x:v>
      </x:c>
      <x:c r="D287" s="7" t="n">
        <x:v>0.008153303430665794</x:v>
      </x:c>
      <x:c r="E287" t="n">
        <x:f>IF(ISNUMBER(A287),286,0)</x:f>
        <x:v>0</x:v>
      </x:c>
    </x:row>
    <x:row r="288">
      <x:c r="A288" s="6"/>
      <x:c r="B288" s="7" t="n">
        <x:v>0.00016187203572607268</x:v>
      </x:c>
      <x:c r="C288" s="7" t="n">
        <x:v>0.027257266027793936</x:v>
      </x:c>
      <x:c r="D288" s="7" t="n">
        <x:v>0.010557179671095915</x:v>
      </x:c>
      <x:c r="E288" t="n">
        <x:f>IF(ISNUMBER(A288),287,0)</x:f>
        <x:v>0</x:v>
      </x:c>
    </x:row>
    <x:row r="289">
      <x:c r="A289" s="6"/>
      <x:c r="B289" s="7" t="n">
        <x:v>-0.011999001531627779</x:v>
      </x:c>
      <x:c r="C289" s="7" t="n">
        <x:v>0.008848839969701022</x:v>
      </x:c>
      <x:c r="D289" s="7" t="n">
        <x:v>-0.0005750972012912378</x:v>
      </x:c>
      <x:c r="E289" t="n">
        <x:f>IF(ISNUMBER(A289),288,0)</x:f>
        <x:v>0</x:v>
      </x:c>
    </x:row>
    <x:row r="290">
      <x:c r="A290" s="6"/>
      <x:c r="B290" s="7" t="n">
        <x:v>-0.003578415567973179</x:v>
      </x:c>
      <x:c r="C290" s="7" t="n">
        <x:v>0.002634981595212494</x:v>
      </x:c>
      <x:c r="D290" s="7" t="n">
        <x:v>-0.005459990329565464</x:v>
      </x:c>
      <x:c r="E290" t="n">
        <x:f>IF(ISNUMBER(A290),289,0)</x:f>
        <x:v>0</x:v>
      </x:c>
    </x:row>
    <x:row r="291">
      <x:c r="A291" s="6"/>
      <x:c r="B291" s="7" t="n">
        <x:v>0.005537229300159673</x:v>
      </x:c>
      <x:c r="C291" s="7" t="n">
        <x:v>-0.008513677122941609</x:v>
      </x:c>
      <x:c r="D291" s="7" t="n">
        <x:v>-0.0016871383295954366</x:v>
      </x:c>
      <x:c r="E291" t="n">
        <x:f>IF(ISNUMBER(A291),290,0)</x:f>
        <x:v>0</x:v>
      </x:c>
    </x:row>
    <x:row r="292">
      <x:c r="A292" s="6"/>
      <x:c r="B292" s="7" t="n">
        <x:v>0.006849703815081648</x:v>
      </x:c>
      <x:c r="C292" s="7" t="n">
        <x:v>-0.02365913891996165</x:v>
      </x:c>
      <x:c r="D292" s="7" t="n">
        <x:v>-0.0032428712038292365</x:v>
      </x:c>
      <x:c r="E292" t="n">
        <x:f>IF(ISNUMBER(A292),291,0)</x:f>
        <x:v>0</x:v>
      </x:c>
    </x:row>
    <x:row r="293">
      <x:c r="A293" s="6"/>
      <x:c r="B293" s="7" t="n">
        <x:v>-0.015282336460558238</x:v>
      </x:c>
      <x:c r="C293" s="7" t="n">
        <x:v>0.013891734124383716</x:v>
      </x:c>
      <x:c r="D293" s="7" t="n">
        <x:v>0.0005893566104512104</x:v>
      </x:c>
      <x:c r="E293" t="n">
        <x:f>IF(ISNUMBER(A293),292,0)</x:f>
        <x:v>0</x:v>
      </x:c>
    </x:row>
    <x:row r="294">
      <x:c r="A294" s="6"/>
      <x:c r="B294" s="7" t="n">
        <x:v>-0.007851642431328696</x:v>
      </x:c>
      <x:c r="C294" s="7" t="n">
        <x:v>-0.02512376196237257</x:v>
      </x:c>
      <x:c r="D294" s="7" t="n">
        <x:v>0.009742298809576631</x:v>
      </x:c>
      <x:c r="E294" t="n">
        <x:f>IF(ISNUMBER(A294),293,0)</x:f>
        <x:v>0</x:v>
      </x:c>
    </x:row>
    <x:row r="295">
      <x:c r="A295" s="6"/>
      <x:c r="B295" s="7" t="n">
        <x:v>-0.00526582240860342</x:v>
      </x:c>
      <x:c r="C295" s="7" t="n">
        <x:v>-0.010493741816692612</x:v>
      </x:c>
      <x:c r="D295" s="7" t="n">
        <x:v>-0.00484805883952844</x:v>
      </x:c>
      <x:c r="E295" t="n">
        <x:f>IF(ISNUMBER(A295),294,0)</x:f>
        <x:v>0</x:v>
      </x:c>
    </x:row>
    <x:row r="296">
      <x:c r="A296" s="6"/>
      <x:c r="B296" s="7" t="n">
        <x:v>-0.012516121880832828</x:v>
      </x:c>
      <x:c r="C296" s="7" t="n">
        <x:v>0.013517224647411027</x:v>
      </x:c>
      <x:c r="D296" s="7" t="n">
        <x:v>0.003931476691688708</x:v>
      </x:c>
      <x:c r="E296" t="n">
        <x:f>IF(ISNUMBER(A296),295,0)</x:f>
        <x:v>0</x:v>
      </x:c>
    </x:row>
    <x:row r="297">
      <x:c r="A297" s="6"/>
      <x:c r="B297" s="7" t="n">
        <x:v>-0.0033505754849919973</x:v>
      </x:c>
      <x:c r="C297" s="7" t="n">
        <x:v>-0.01552295044702681</x:v>
      </x:c>
      <x:c r="D297" s="7" t="n">
        <x:v>0.0034961742267185557</x:v>
      </x:c>
      <x:c r="E297" t="n">
        <x:f>IF(ISNUMBER(A297),296,0)</x:f>
        <x:v>0</x:v>
      </x:c>
    </x:row>
    <x:row r="298">
      <x:c r="A298" s="6"/>
      <x:c r="B298" s="7" t="n">
        <x:v>-0.008406605770230294</x:v>
      </x:c>
      <x:c r="C298" s="7" t="n">
        <x:v>-0.018792817467198502</x:v>
      </x:c>
      <x:c r="D298" s="7" t="n">
        <x:v>0.010329338821332346</x:v>
      </x:c>
      <x:c r="E298" t="n">
        <x:f>IF(ISNUMBER(A298),297,0)</x:f>
        <x:v>0</x:v>
      </x:c>
    </x:row>
    <x:row r="299">
      <x:c r="A299" s="6"/>
      <x:c r="B299" s="7" t="n">
        <x:v>0.0019391796655588859</x:v>
      </x:c>
      <x:c r="C299" s="7" t="n">
        <x:v>0.004458480463183795</x:v>
      </x:c>
      <x:c r="D299" s="7" t="n">
        <x:v>0.003994276242196715</x:v>
      </x:c>
      <x:c r="E299" t="n">
        <x:f>IF(ISNUMBER(A299),298,0)</x:f>
        <x:v>0</x:v>
      </x:c>
    </x:row>
    <x:row r="300">
      <x:c r="A300" s="6"/>
      <x:c r="B300" s="7" t="n">
        <x:v>0.0016451651844960375</x:v>
      </x:c>
      <x:c r="C300" s="7" t="n">
        <x:v>0.0009848688878633354</x:v>
      </x:c>
      <x:c r="D300" s="7" t="n">
        <x:v>0.0017690781952748892</x:v>
      </x:c>
      <x:c r="E300" t="n">
        <x:f>IF(ISNUMBER(A300),299,0)</x:f>
        <x:v>0</x:v>
      </x:c>
    </x:row>
    <x:row r="301">
      <x:c r="A301" s="6"/>
      <x:c r="B301" s="7" t="n">
        <x:v>-0.0021339705190328013</x:v>
      </x:c>
      <x:c r="C301" s="7" t="n">
        <x:v>0.0031805545421195887</x:v>
      </x:c>
      <x:c r="D301" s="7" t="n">
        <x:v>0.006654862904041984</x:v>
      </x:c>
      <x:c r="E301" t="n">
        <x:f>IF(ISNUMBER(A301),300,0)</x:f>
        <x:v>0</x:v>
      </x:c>
    </x:row>
    <x:row r="302">
      <x:c r="A302" s="6"/>
      <x:c r="B302" s="7" t="n">
        <x:v>-0.009456287225166796</x:v>
      </x:c>
      <x:c r="C302" s="7" t="n">
        <x:v>-0.0005865642850404406</x:v>
      </x:c>
      <x:c r="D302" s="7" t="n">
        <x:v>0.00656557676258193</x:v>
      </x:c>
      <x:c r="E302" t="n">
        <x:f>IF(ISNUMBER(A302),301,0)</x:f>
        <x:v>0</x:v>
      </x:c>
    </x:row>
    <x:row r="303">
      <x:c r="A303" s="6"/>
      <x:c r="B303" s="7" t="n">
        <x:v>0.003186063224181272</x:v>
      </x:c>
      <x:c r="C303" s="7" t="n">
        <x:v>-0.009554837042887591</x:v>
      </x:c>
      <x:c r="D303" s="7" t="n">
        <x:v>0.0042228613934788195</x:v>
      </x:c>
      <x:c r="E303" t="n">
        <x:f>IF(ISNUMBER(A303),302,0)</x:f>
        <x:v>0</x:v>
      </x:c>
    </x:row>
    <x:row r="304">
      <x:c r="A304" s="6"/>
      <x:c r="B304" s="7" t="n">
        <x:v>-0.005949323433995082</x:v>
      </x:c>
      <x:c r="C304" s="7" t="n">
        <x:v>0.006751449364132294</x:v>
      </x:c>
      <x:c r="D304" s="7" t="n">
        <x:v>-0.00010868431873007093</x:v>
      </x:c>
      <x:c r="E304" t="n">
        <x:f>IF(ISNUMBER(A304),303,0)</x:f>
        <x:v>0</x:v>
      </x:c>
    </x:row>
    <x:row r="305">
      <x:c r="A305" s="6"/>
      <x:c r="B305" s="7" t="n">
        <x:v>0.0032382521940974036</x:v>
      </x:c>
      <x:c r="C305" s="7" t="n">
        <x:v>-0.011975617282947016</x:v>
      </x:c>
      <x:c r="D305" s="7" t="n">
        <x:v>0.006848272268680666</x:v>
      </x:c>
      <x:c r="E305" t="n">
        <x:f>IF(ISNUMBER(A305),304,0)</x:f>
        <x:v>0</x:v>
      </x:c>
    </x:row>
    <x:row r="306">
      <x:c r="A306" s="6"/>
      <x:c r="B306" s="7" t="n">
        <x:v>0.015176207498072745</x:v>
      </x:c>
      <x:c r="C306" s="7" t="n">
        <x:v>-0.0010629550233523847</x:v>
      </x:c>
      <x:c r="D306" s="7" t="n">
        <x:v>0.017083915812125837</x:v>
      </x:c>
      <x:c r="E306" t="n">
        <x:f>IF(ISNUMBER(A306),305,0)</x:f>
        <x:v>0</x:v>
      </x:c>
    </x:row>
    <x:row r="307">
      <x:c r="A307" s="6"/>
      <x:c r="B307" s="7" t="n">
        <x:v>-0.0002475390679883231</x:v>
      </x:c>
      <x:c r="C307" s="7" t="n">
        <x:v>-0.0008004396689181693</x:v>
      </x:c>
      <x:c r="D307" s="7" t="n">
        <x:v>-0.011762761863465592</x:v>
      </x:c>
      <x:c r="E307" t="n">
        <x:f>IF(ISNUMBER(A307),306,0)</x:f>
        <x:v>0</x:v>
      </x:c>
    </x:row>
    <x:row r="308">
      <x:c r="A308" s="6"/>
      <x:c r="B308" s="7" t="n">
        <x:v>0.0057062805440351114</x:v>
      </x:c>
      <x:c r="C308" s="7" t="n">
        <x:v>0.0078858683792171</x:v>
      </x:c>
      <x:c r="D308" s="7" t="n">
        <x:v>0.0013930282044136387</x:v>
      </x:c>
      <x:c r="E308" t="n">
        <x:f>IF(ISNUMBER(A308),307,0)</x:f>
        <x:v>0</x:v>
      </x:c>
    </x:row>
    <x:row r="309">
      <x:c r="A309" s="6"/>
      <x:c r="B309" s="7" t="n">
        <x:v>-0.0006687254315374864</x:v>
      </x:c>
      <x:c r="C309" s="7" t="n">
        <x:v>-0.009083624032218926</x:v>
      </x:c>
      <x:c r="D309" s="7" t="n">
        <x:v>-0.009838016631539534</x:v>
      </x:c>
      <x:c r="E309" t="n">
        <x:f>IF(ISNUMBER(A309),308,0)</x:f>
        <x:v>0</x:v>
      </x:c>
    </x:row>
    <x:row r="310">
      <x:c r="A310" s="6"/>
      <x:c r="B310" s="7" t="n">
        <x:v>0.009354790013777384</x:v>
      </x:c>
      <x:c r="C310" s="7" t="n">
        <x:v>-0.007669635517759089</x:v>
      </x:c>
      <x:c r="D310" s="7" t="n">
        <x:v>-0.004658057280936017</x:v>
      </x:c>
      <x:c r="E310" t="n">
        <x:f>IF(ISNUMBER(A310),309,0)</x:f>
        <x:v>0</x:v>
      </x:c>
    </x:row>
    <x:row r="311">
      <x:c r="A311" s="6"/>
      <x:c r="B311" s="7" t="n">
        <x:v>0.01296629703012736</x:v>
      </x:c>
      <x:c r="C311" s="7" t="n">
        <x:v>0.015525564070456221</x:v>
      </x:c>
      <x:c r="D311" s="7" t="n">
        <x:v>0.011499498279535565</x:v>
      </x:c>
      <x:c r="E311" t="n">
        <x:f>IF(ISNUMBER(A311),310,0)</x:f>
        <x:v>0</x:v>
      </x:c>
    </x:row>
    <x:row r="312">
      <x:c r="A312" s="6"/>
      <x:c r="B312" s="7" t="n">
        <x:v>-0.010288671787853945</x:v>
      </x:c>
      <x:c r="C312" s="7" t="n">
        <x:v>0.0015447663945380803</x:v>
      </x:c>
      <x:c r="D312" s="7" t="n">
        <x:v>0.008821216139141871</x:v>
      </x:c>
      <x:c r="E312" t="n">
        <x:f>IF(ISNUMBER(A312),311,0)</x:f>
        <x:v>0</x:v>
      </x:c>
    </x:row>
    <x:row r="313">
      <x:c r="A313" s="6"/>
      <x:c r="B313" s="7" t="n">
        <x:v>0.012977293205082814</x:v>
      </x:c>
      <x:c r="C313" s="7" t="n">
        <x:v>-0.007909442820406551</x:v>
      </x:c>
      <x:c r="D313" s="7" t="n">
        <x:v>0.005261289620334959</x:v>
      </x:c>
      <x:c r="E313" t="n">
        <x:f>IF(ISNUMBER(A313),312,0)</x:f>
        <x:v>0</x:v>
      </x:c>
    </x:row>
    <x:row r="314">
      <x:c r="A314" s="6"/>
      <x:c r="B314" s="7" t="n">
        <x:v>0.008154907923552605</x:v>
      </x:c>
      <x:c r="C314" s="7" t="n">
        <x:v>0.0031672997261661655</x:v>
      </x:c>
      <x:c r="D314" s="7" t="n">
        <x:v>-0.004101100196565336</x:v>
      </x:c>
      <x:c r="E314" t="n">
        <x:f>IF(ISNUMBER(A314),313,0)</x:f>
        <x:v>0</x:v>
      </x:c>
    </x:row>
    <x:row r="315">
      <x:c r="A315" s="6"/>
      <x:c r="B315" s="7" t="n">
        <x:v>-0.0016347457341131385</x:v>
      </x:c>
      <x:c r="C315" s="7" t="n">
        <x:v>0.013772608240198698</x:v>
      </x:c>
      <x:c r="D315" s="7" t="n">
        <x:v>-0.00040697750402263736</x:v>
      </x:c>
      <x:c r="E315" t="n">
        <x:f>IF(ISNUMBER(A315),314,0)</x:f>
        <x:v>0</x:v>
      </x:c>
    </x:row>
    <x:row r="316">
      <x:c r="A316" s="6"/>
      <x:c r="B316" s="7" t="n">
        <x:v>0.006263815738699013</x:v>
      </x:c>
      <x:c r="C316" s="7" t="n">
        <x:v>0.016104366607596746</x:v>
      </x:c>
      <x:c r="D316" s="7" t="n">
        <x:v>-0.008383677225428161</x:v>
      </x:c>
      <x:c r="E316" t="n">
        <x:f>IF(ISNUMBER(A316),315,0)</x:f>
        <x:v>0</x:v>
      </x:c>
    </x:row>
    <x:row r="317">
      <x:c r="A317" s="6"/>
      <x:c r="B317" s="7" t="n">
        <x:v>-0.008593697066977024</x:v>
      </x:c>
      <x:c r="C317" s="7" t="n">
        <x:v>-0.006824605394568562</x:v>
      </x:c>
      <x:c r="D317" s="7" t="n">
        <x:v>0.011015882372793077</x:v>
      </x:c>
      <x:c r="E317" t="n">
        <x:f>IF(ISNUMBER(A317),316,0)</x:f>
        <x:v>0</x:v>
      </x:c>
    </x:row>
    <x:row r="318">
      <x:c r="A318" s="6"/>
      <x:c r="B318" s="7" t="n">
        <x:v>-0.004835117258516478</x:v>
      </x:c>
      <x:c r="C318" s="7" t="n">
        <x:v>-0.0024645152662234843</x:v>
      </x:c>
      <x:c r="D318" s="7" t="n">
        <x:v>-0.005166544048456701</x:v>
      </x:c>
      <x:c r="E318" t="n">
        <x:f>IF(ISNUMBER(A318),317,0)</x:f>
        <x:v>0</x:v>
      </x:c>
    </x:row>
    <x:row r="319">
      <x:c r="A319" s="6"/>
      <x:c r="B319" s="7" t="n">
        <x:v>0.0047946772647251825</x:v>
      </x:c>
      <x:c r="C319" s="7" t="n">
        <x:v>-0.003592960518249224</x:v>
      </x:c>
      <x:c r="D319" s="7" t="n">
        <x:v>0.0018025775579261177</x:v>
      </x:c>
      <x:c r="E319" t="n">
        <x:f>IF(ISNUMBER(A319),318,0)</x:f>
        <x:v>0</x:v>
      </x:c>
    </x:row>
    <x:row r="320">
      <x:c r="A320" s="6"/>
      <x:c r="B320" s="7" t="n">
        <x:v>-0.002951657080443583</x:v>
      </x:c>
      <x:c r="C320" s="7" t="n">
        <x:v>0.017770104249776764</x:v>
      </x:c>
      <x:c r="D320" s="7" t="n">
        <x:v>0.007454602605193494</x:v>
      </x:c>
      <x:c r="E320" t="n">
        <x:f>IF(ISNUMBER(A320),319,0)</x:f>
        <x:v>0</x:v>
      </x:c>
    </x:row>
    <x:row r="321">
      <x:c r="A321" s="6"/>
      <x:c r="B321" s="7" t="n">
        <x:v>0.007984748303273179</x:v>
      </x:c>
      <x:c r="C321" s="7" t="n">
        <x:v>-0.00035567976864015664</x:v>
      </x:c>
      <x:c r="D321" s="7" t="n">
        <x:v>-0.017205529516743073</x:v>
      </x:c>
      <x:c r="E321" t="n">
        <x:f>IF(ISNUMBER(A321),320,0)</x:f>
        <x:v>0</x:v>
      </x:c>
    </x:row>
    <x:row r="322">
      <x:c r="A322" s="6"/>
      <x:c r="B322" s="7" t="n">
        <x:v>0.0012449170238353505</x:v>
      </x:c>
      <x:c r="C322" s="7" t="n">
        <x:v>-0.010121537954539428</x:v>
      </x:c>
      <x:c r="D322" s="7" t="n">
        <x:v>-0.00728877337329602</x:v>
      </x:c>
      <x:c r="E322" t="n">
        <x:f>IF(ISNUMBER(A322),321,0)</x:f>
        <x:v>0</x:v>
      </x:c>
    </x:row>
    <x:row r="323">
      <x:c r="A323" s="6"/>
      <x:c r="B323" s="7" t="n">
        <x:v>-0.008072665125021732</x:v>
      </x:c>
      <x:c r="C323" s="7" t="n">
        <x:v>0.002528867934684475</x:v>
      </x:c>
      <x:c r="D323" s="7" t="n">
        <x:v>-0.0028161121244739333</x:v>
      </x:c>
      <x:c r="E323" t="n">
        <x:f>IF(ISNUMBER(A323),322,0)</x:f>
        <x:v>0</x:v>
      </x:c>
    </x:row>
    <x:row r="324">
      <x:c r="A324" s="6"/>
      <x:c r="B324" s="7" t="n">
        <x:v>0.02054539483227573</x:v>
      </x:c>
      <x:c r="C324" s="7" t="n">
        <x:v>-0.0051487319258535225</x:v>
      </x:c>
      <x:c r="D324" s="7" t="n">
        <x:v>-0.0035832593825629562</x:v>
      </x:c>
      <x:c r="E324" t="n">
        <x:f>IF(ISNUMBER(A324),323,0)</x:f>
        <x:v>0</x:v>
      </x:c>
    </x:row>
    <x:row r="325">
      <x:c r="A325" s="6"/>
      <x:c r="B325" s="7" t="n">
        <x:v>-0.012848510328746723</x:v>
      </x:c>
      <x:c r="C325" s="7" t="n">
        <x:v>0.00018338418510255845</x:v>
      </x:c>
      <x:c r="D325" s="7" t="n">
        <x:v>0.005797721825688709</x:v>
      </x:c>
      <x:c r="E325" t="n">
        <x:f>IF(ISNUMBER(A325),324,0)</x:f>
        <x:v>0</x:v>
      </x:c>
    </x:row>
    <x:row r="326">
      <x:c r="A326" s="6"/>
      <x:c r="B326" s="7" t="n">
        <x:v>0.02643177836056207</x:v>
      </x:c>
      <x:c r="C326" s="7" t="n">
        <x:v>-0.010701819895611841</x:v>
      </x:c>
      <x:c r="D326" s="7" t="n">
        <x:v>-0.004642916632132255</x:v>
      </x:c>
      <x:c r="E326" t="n">
        <x:f>IF(ISNUMBER(A326),325,0)</x:f>
        <x:v>0</x:v>
      </x:c>
    </x:row>
    <x:row r="327">
      <x:c r="A327" s="6"/>
      <x:c r="B327" s="7" t="n">
        <x:v>0.001537332640849254</x:v>
      </x:c>
      <x:c r="C327" s="7" t="n">
        <x:v>-0.002307095708098355</x:v>
      </x:c>
      <x:c r="D327" s="7" t="n">
        <x:v>-0.0017278180834005472</x:v>
      </x:c>
      <x:c r="E327" t="n">
        <x:f>IF(ISNUMBER(A327),326,0)</x:f>
        <x:v>0</x:v>
      </x:c>
    </x:row>
    <x:row r="328">
      <x:c r="A328" s="6"/>
      <x:c r="B328" s="7" t="n">
        <x:v>0.0013019793094953098</x:v>
      </x:c>
      <x:c r="C328" s="7" t="n">
        <x:v>0.0020833051973967974</x:v>
      </x:c>
      <x:c r="D328" s="7" t="n">
        <x:v>0.012380700295315513</x:v>
      </x:c>
      <x:c r="E328" t="n">
        <x:f>IF(ISNUMBER(A328),327,0)</x:f>
        <x:v>0</x:v>
      </x:c>
    </x:row>
    <x:row r="329">
      <x:c r="A329" s="6"/>
      <x:c r="B329" s="7" t="n">
        <x:v>-0.016814233828450844</x:v>
      </x:c>
      <x:c r="C329" s="7" t="n">
        <x:v>0.010319920459972548</x:v>
      </x:c>
      <x:c r="D329" s="7" t="n">
        <x:v>0.010278228609041531</x:v>
      </x:c>
      <x:c r="E329" t="n">
        <x:f>IF(ISNUMBER(A329),328,0)</x:f>
        <x:v>0</x:v>
      </x:c>
    </x:row>
    <x:row r="330">
      <x:c r="A330" s="6"/>
      <x:c r="B330" s="7" t="n">
        <x:v>-0.005764510812255913</x:v>
      </x:c>
      <x:c r="C330" s="7" t="n">
        <x:v>-0.008253206232904023</x:v>
      </x:c>
      <x:c r="D330" s="7" t="n">
        <x:v>-0.01168319644490639</x:v>
      </x:c>
      <x:c r="E330" t="n">
        <x:f>IF(ISNUMBER(A330),329,0)</x:f>
        <x:v>0</x:v>
      </x:c>
    </x:row>
    <x:row r="331">
      <x:c r="A331" s="6"/>
      <x:c r="B331" s="7" t="n">
        <x:v>0.00607345609057008</x:v>
      </x:c>
      <x:c r="C331" s="7" t="n">
        <x:v>0.0001232554065472614</x:v>
      </x:c>
      <x:c r="D331" s="7" t="n">
        <x:v>0.004443520099685429</x:v>
      </x:c>
      <x:c r="E331" t="n">
        <x:f>IF(ISNUMBER(A331),330,0)</x:f>
        <x:v>0</x:v>
      </x:c>
    </x:row>
    <x:row r="332">
      <x:c r="A332" s="6"/>
      <x:c r="B332" s="7" t="n">
        <x:v>-0.014572031106112066</x:v>
      </x:c>
      <x:c r="C332" s="7" t="n">
        <x:v>0.00041616983464368986</x:v>
      </x:c>
      <x:c r="D332" s="7" t="n">
        <x:v>-0.010534655272968221</x:v>
      </x:c>
      <x:c r="E332" t="n">
        <x:f>IF(ISNUMBER(A332),331,0)</x:f>
        <x:v>0</x:v>
      </x:c>
    </x:row>
    <x:row r="333">
      <x:c r="A333" s="6"/>
      <x:c r="B333" s="7" t="n">
        <x:v>-0.00029943779651729353</x:v>
      </x:c>
      <x:c r="C333" s="7" t="n">
        <x:v>-0.0032096487052537884</x:v>
      </x:c>
      <x:c r="D333" s="7" t="n">
        <x:v>-0.02027040407041424</x:v>
      </x:c>
      <x:c r="E333" t="n">
        <x:f>IF(ISNUMBER(A333),332,0)</x:f>
        <x:v>0</x:v>
      </x:c>
    </x:row>
    <x:row r="334">
      <x:c r="A334" s="6"/>
      <x:c r="B334" s="7" t="n">
        <x:v>0.01818887277797758</x:v>
      </x:c>
      <x:c r="C334" s="7" t="n">
        <x:v>0.003297715876896534</x:v>
      </x:c>
      <x:c r="D334" s="7" t="n">
        <x:v>-0.008412363895134417</x:v>
      </x:c>
      <x:c r="E334" t="n">
        <x:f>IF(ISNUMBER(A334),333,0)</x:f>
        <x:v>0</x:v>
      </x:c>
    </x:row>
    <x:row r="335">
      <x:c r="A335" s="6"/>
      <x:c r="B335" s="7" t="n">
        <x:v>-0.005098827535173896</x:v>
      </x:c>
      <x:c r="C335" s="7" t="n">
        <x:v>0.0027388948204177675</x:v>
      </x:c>
      <x:c r="D335" s="7" t="n">
        <x:v>-0.017488932537541368</x:v>
      </x:c>
      <x:c r="E335" t="n">
        <x:f>IF(ISNUMBER(A335),334,0)</x:f>
        <x:v>0</x:v>
      </x:c>
    </x:row>
    <x:row r="336">
      <x:c r="A336" s="6"/>
      <x:c r="B336" s="7" t="n">
        <x:v>0.0009480549779756609</x:v>
      </x:c>
      <x:c r="C336" s="7" t="n">
        <x:v>0.003989011296334095</x:v>
      </x:c>
      <x:c r="D336" s="7" t="n">
        <x:v>-0.011054955010972667</x:v>
      </x:c>
      <x:c r="E336" t="n">
        <x:f>IF(ISNUMBER(A336),335,0)</x:f>
        <x:v>0</x:v>
      </x:c>
    </x:row>
    <x:row r="337">
      <x:c r="A337" s="6"/>
      <x:c r="B337" s="7" t="n">
        <x:v>-0.008553057330325532</x:v>
      </x:c>
      <x:c r="C337" s="7" t="n">
        <x:v>0.011228511962982574</x:v>
      </x:c>
      <x:c r="D337" s="7" t="n">
        <x:v>0.0076653659218842455</x:v>
      </x:c>
      <x:c r="E337" t="n">
        <x:f>IF(ISNUMBER(A337),336,0)</x:f>
        <x:v>0</x:v>
      </x:c>
    </x:row>
    <x:row r="338">
      <x:c r="A338" s="6"/>
      <x:c r="B338" s="7" t="n">
        <x:v>0.012190388798373752</x:v>
      </x:c>
      <x:c r="C338" s="7" t="n">
        <x:v>0.009908356481286186</x:v>
      </x:c>
      <x:c r="D338" s="7" t="n">
        <x:v>-0.011165348537061163</x:v>
      </x:c>
      <x:c r="E338" t="n">
        <x:f>IF(ISNUMBER(A338),337,0)</x:f>
        <x:v>0</x:v>
      </x:c>
    </x:row>
    <x:row r="339">
      <x:c r="A339" s="6"/>
      <x:c r="B339" s="7" t="n">
        <x:v>-0.006432104934311018</x:v>
      </x:c>
      <x:c r="C339" s="7" t="n">
        <x:v>-0.001998421043929879</x:v>
      </x:c>
      <x:c r="D339" s="7" t="n">
        <x:v>0.01605930272442516</x:v>
      </x:c>
      <x:c r="E339" t="n">
        <x:f>IF(ISNUMBER(A339),338,0)</x:f>
        <x:v>0</x:v>
      </x:c>
    </x:row>
    <x:row r="340">
      <x:c r="A340" s="6"/>
      <x:c r="B340" s="7" t="n">
        <x:v>-0.002495614018162474</x:v>
      </x:c>
      <x:c r="C340" s="7" t="n">
        <x:v>0.009157928787959188</x:v>
      </x:c>
      <x:c r="D340" s="7" t="n">
        <x:v>0.0030779862736382627</x:v>
      </x:c>
      <x:c r="E340" t="n">
        <x:f>IF(ISNUMBER(A340),339,0)</x:f>
        <x:v>0</x:v>
      </x:c>
    </x:row>
    <x:row r="341">
      <x:c r="A341" s="6"/>
      <x:c r="B341" s="7" t="n">
        <x:v>0.0032777650045310238</x:v>
      </x:c>
      <x:c r="C341" s="7" t="n">
        <x:v>-0.001568008748688834</x:v>
      </x:c>
      <x:c r="D341" s="7" t="n">
        <x:v>-0.0047518217397926</x:v>
      </x:c>
      <x:c r="E341" t="n">
        <x:f>IF(ISNUMBER(A341),340,0)</x:f>
        <x:v>0</x:v>
      </x:c>
    </x:row>
    <x:row r="342">
      <x:c r="A342" s="6"/>
      <x:c r="B342" s="7" t="n">
        <x:v>0.014502188406121089</x:v>
      </x:c>
      <x:c r="C342" s="7" t="n">
        <x:v>-0.041053216937290485</x:v>
      </x:c>
      <x:c r="D342" s="7" t="n">
        <x:v>-0.00006679874678485644</x:v>
      </x:c>
      <x:c r="E342" t="n">
        <x:f>IF(ISNUMBER(A342),341,0)</x:f>
        <x:v>0</x:v>
      </x:c>
    </x:row>
    <x:row r="343">
      <x:c r="A343" s="6"/>
      <x:c r="B343" s="7" t="n">
        <x:v>0.0042757451381133585</x:v>
      </x:c>
      <x:c r="C343" s="7" t="n">
        <x:v>-0.003646082115927386</x:v>
      </x:c>
      <x:c r="D343" s="7" t="n">
        <x:v>0.008801207648878628</x:v>
      </x:c>
      <x:c r="E343" t="n">
        <x:f>IF(ISNUMBER(A343),342,0)</x:f>
        <x:v>0</x:v>
      </x:c>
    </x:row>
    <x:row r="344">
      <x:c r="A344" s="6"/>
      <x:c r="B344" s="7" t="n">
        <x:v>-0.004468691293201363</x:v>
      </x:c>
      <x:c r="C344" s="7" t="n">
        <x:v>-0.003618338618927592</x:v>
      </x:c>
      <x:c r="D344" s="7" t="n">
        <x:v>0.0024169173601799503</x:v>
      </x:c>
      <x:c r="E344" t="n">
        <x:f>IF(ISNUMBER(A344),343,0)</x:f>
        <x:v>0</x:v>
      </x:c>
    </x:row>
    <x:row r="345">
      <x:c r="A345" s="6"/>
      <x:c r="B345" s="7" t="n">
        <x:v>-0.0006953210984156936</x:v>
      </x:c>
      <x:c r="C345" s="7" t="n">
        <x:v>0.0012780838644836031</x:v>
      </x:c>
      <x:c r="D345" s="7" t="n">
        <x:v>0.005664619613144667</x:v>
      </x:c>
      <x:c r="E345" t="n">
        <x:f>IF(ISNUMBER(A345),344,0)</x:f>
        <x:v>0</x:v>
      </x:c>
    </x:row>
    <x:row r="346">
      <x:c r="A346" s="6"/>
      <x:c r="B346" s="7" t="n">
        <x:v>0.0060432620170476825</x:v>
      </x:c>
      <x:c r="C346" s="7" t="n">
        <x:v>-0.008068661819822059</x:v>
      </x:c>
      <x:c r="D346" s="7" t="n">
        <x:v>0.006507361609401038</x:v>
      </x:c>
      <x:c r="E346" t="n">
        <x:f>IF(ISNUMBER(A346),345,0)</x:f>
        <x:v>0</x:v>
      </x:c>
    </x:row>
    <x:row r="347">
      <x:c r="A347" s="6"/>
      <x:c r="B347" s="7" t="n">
        <x:v>-0.0020963499064151816</x:v>
      </x:c>
      <x:c r="C347" s="7" t="n">
        <x:v>0.005799759326906221</x:v>
      </x:c>
      <x:c r="D347" s="7" t="n">
        <x:v>-0.007753101142883649</x:v>
      </x:c>
      <x:c r="E347" t="n">
        <x:f>IF(ISNUMBER(A347),346,0)</x:f>
        <x:v>0</x:v>
      </x:c>
    </x:row>
    <x:row r="348">
      <x:c r="A348" s="6"/>
      <x:c r="B348" s="7" t="n">
        <x:v>0.017896187752975017</x:v>
      </x:c>
      <x:c r="C348" s="7" t="n">
        <x:v>0.01490393711386947</x:v>
      </x:c>
      <x:c r="D348" s="7" t="n">
        <x:v>-0.004057035337865485</x:v>
      </x:c>
      <x:c r="E348" t="n">
        <x:f>IF(ISNUMBER(A348),347,0)</x:f>
        <x:v>0</x:v>
      </x:c>
    </x:row>
    <x:row r="349">
      <x:c r="A349" s="6"/>
      <x:c r="B349" s="7" t="n">
        <x:v>-0.007051861423648121</x:v>
      </x:c>
      <x:c r="C349" s="7" t="n">
        <x:v>-0.005173941528264287</x:v>
      </x:c>
      <x:c r="D349" s="7" t="n">
        <x:v>-0.00813721366476866</x:v>
      </x:c>
      <x:c r="E349" t="n">
        <x:f>IF(ISNUMBER(A349),348,0)</x:f>
        <x:v>0</x:v>
      </x:c>
    </x:row>
    <x:row r="350">
      <x:c r="A350" s="6"/>
      <x:c r="B350" s="7" t="n">
        <x:v>-0.01257834589197856</x:v>
      </x:c>
      <x:c r="C350" s="7" t="n">
        <x:v>-0.004941860530607388</x:v>
      </x:c>
      <x:c r="D350" s="7" t="n">
        <x:v>-0.0010353765302287944</x:v>
      </x:c>
      <x:c r="E350" t="n">
        <x:f>IF(ISNUMBER(A350),349,0)</x:f>
        <x:v>0</x:v>
      </x:c>
    </x:row>
    <x:row r="351">
      <x:c r="A351" s="6"/>
      <x:c r="B351" s="7" t="n">
        <x:v>-0.005395700422384599</x:v>
      </x:c>
      <x:c r="C351" s="7" t="n">
        <x:v>0.010876724707387635</x:v>
      </x:c>
      <x:c r="D351" s="7" t="n">
        <x:v>-0.008295880142074089</x:v>
      </x:c>
      <x:c r="E351" t="n">
        <x:f>IF(ISNUMBER(A351),350,0)</x:f>
        <x:v>0</x:v>
      </x:c>
    </x:row>
    <x:row r="352">
      <x:c r="A352" s="6"/>
      <x:c r="B352" s="7" t="n">
        <x:v>0.007536836552699775</x:v>
      </x:c>
      <x:c r="C352" s="7" t="n">
        <x:v>-0.0006290947833901428</x:v>
      </x:c>
      <x:c r="D352" s="7" t="n">
        <x:v>0.005825446130801841</x:v>
      </x:c>
      <x:c r="E352" t="n">
        <x:f>IF(ISNUMBER(A352),351,0)</x:f>
        <x:v>0</x:v>
      </x:c>
    </x:row>
    <x:row r="353">
      <x:c r="A353" s="6"/>
      <x:c r="B353" s="7" t="n">
        <x:v>-0.006981930250999928</x:v>
      </x:c>
      <x:c r="C353" s="7" t="n">
        <x:v>-0.001021102054858763</x:v>
      </x:c>
      <x:c r="D353" s="7" t="n">
        <x:v>-0.016023188841334905</x:v>
      </x:c>
      <x:c r="E353" t="n">
        <x:f>IF(ISNUMBER(A353),352,0)</x:f>
        <x:v>0</x:v>
      </x:c>
    </x:row>
    <x:row r="354">
      <x:c r="A354" s="6"/>
      <x:c r="B354" s="7" t="n">
        <x:v>-0.009175004662843218</x:v>
      </x:c>
      <x:c r="C354" s="7" t="n">
        <x:v>-0.015711748449754745</x:v>
      </x:c>
      <x:c r="D354" s="7" t="n">
        <x:v>0.003769661246975498</x:v>
      </x:c>
      <x:c r="E354" t="n">
        <x:f>IF(ISNUMBER(A354),353,0)</x:f>
        <x:v>0</x:v>
      </x:c>
    </x:row>
    <x:row r="355">
      <x:c r="A355" s="6"/>
      <x:c r="B355" s="7" t="n">
        <x:v>0.009270621490588866</x:v>
      </x:c>
      <x:c r="C355" s="7" t="n">
        <x:v>0.003969621922546341</x:v>
      </x:c>
      <x:c r="D355" s="7" t="n">
        <x:v>-0.002607651645481721</x:v>
      </x:c>
      <x:c r="E355" t="n">
        <x:f>IF(ISNUMBER(A355),354,0)</x:f>
        <x:v>0</x:v>
      </x:c>
    </x:row>
    <x:row r="356">
      <x:c r="A356" s="6"/>
      <x:c r="B356" s="7" t="n">
        <x:v>-0.006815139889037774</x:v>
      </x:c>
      <x:c r="C356" s="7" t="n">
        <x:v>0.005410776600298892</x:v>
      </x:c>
      <x:c r="D356" s="7" t="n">
        <x:v>-0.00024382883290303625</x:v>
      </x:c>
      <x:c r="E356" t="n">
        <x:f>IF(ISNUMBER(A356),355,0)</x:f>
        <x:v>0</x:v>
      </x:c>
    </x:row>
    <x:row r="357">
      <x:c r="A357" s="6"/>
      <x:c r="B357" s="7" t="n">
        <x:v>-0.007525565654405688</x:v>
      </x:c>
      <x:c r="C357" s="7" t="n">
        <x:v>0.020203913338994524</x:v>
      </x:c>
      <x:c r="D357" s="7" t="n">
        <x:v>-0.0024798572102617635</x:v>
      </x:c>
      <x:c r="E357" t="n">
        <x:f>IF(ISNUMBER(A357),356,0)</x:f>
        <x:v>0</x:v>
      </x:c>
    </x:row>
    <x:row r="358">
      <x:c r="A358" s="6"/>
      <x:c r="B358" s="7" t="n">
        <x:v>0.01126731360117315</x:v>
      </x:c>
      <x:c r="C358" s="7" t="n">
        <x:v>-0.0034712060429227193</x:v>
      </x:c>
      <x:c r="D358" s="7" t="n">
        <x:v>0.007147258901805736</x:v>
      </x:c>
      <x:c r="E358" t="n">
        <x:f>IF(ISNUMBER(A358),357,0)</x:f>
        <x:v>0</x:v>
      </x:c>
    </x:row>
    <x:row r="359">
      <x:c r="A359" s="6"/>
      <x:c r="B359" s="7" t="n">
        <x:v>0.00999330439762934</x:v>
      </x:c>
      <x:c r="C359" s="7" t="n">
        <x:v>-0.010031544431696985</x:v>
      </x:c>
      <x:c r="D359" s="7" t="n">
        <x:v>-0.007428079087331224</x:v>
      </x:c>
      <x:c r="E359" t="n">
        <x:f>IF(ISNUMBER(A359),358,0)</x:f>
        <x:v>0</x:v>
      </x:c>
    </x:row>
    <x:row r="360">
      <x:c r="A360" s="6"/>
      <x:c r="B360" s="7" t="n">
        <x:v>-0.0018118028938827527</x:v>
      </x:c>
      <x:c r="C360" s="7" t="n">
        <x:v>-0.001429397200189576</x:v>
      </x:c>
      <x:c r="D360" s="7" t="n">
        <x:v>-0.007127208467319577</x:v>
      </x:c>
      <x:c r="E360" t="n">
        <x:f>IF(ISNUMBER(A360),359,0)</x:f>
        <x:v>0</x:v>
      </x:c>
    </x:row>
    <x:row r="361">
      <x:c r="A361" s="6"/>
      <x:c r="B361" s="7" t="n">
        <x:v>-0.012297632340849995</x:v>
      </x:c>
      <x:c r="C361" s="7" t="n">
        <x:v>0.005123049654194843</x:v>
      </x:c>
      <x:c r="D361" s="7" t="n">
        <x:v>0.010588456601902742</x:v>
      </x:c>
      <x:c r="E361" t="n">
        <x:f>IF(ISNUMBER(A361),360,0)</x:f>
        <x:v>0</x:v>
      </x:c>
    </x:row>
    <x:row r="362">
      <x:c r="A362" s="6"/>
      <x:c r="B362" s="7" t="n">
        <x:v>-0.019723877251752297</x:v>
      </x:c>
      <x:c r="C362" s="7" t="n">
        <x:v>0.0013388608923892208</x:v>
      </x:c>
      <x:c r="D362" s="7" t="n">
        <x:v>0.005378172748221559</x:v>
      </x:c>
      <x:c r="E362" t="n">
        <x:f>IF(ISNUMBER(A362),361,0)</x:f>
        <x:v>0</x:v>
      </x:c>
    </x:row>
    <x:row r="363">
      <x:c r="A363" s="6"/>
      <x:c r="B363" s="7" t="n">
        <x:v>-0.009352954384908477</x:v>
      </x:c>
      <x:c r="C363" s="7" t="n">
        <x:v>-0.003372220139549485</x:v>
      </x:c>
      <x:c r="D363" s="7" t="n">
        <x:v>-0.001917063034992402</x:v>
      </x:c>
      <x:c r="E363" t="n">
        <x:f>IF(ISNUMBER(A363),362,0)</x:f>
        <x:v>0</x:v>
      </x:c>
    </x:row>
    <x:row r="364">
      <x:c r="A364" s="6"/>
      <x:c r="B364" s="7" t="n">
        <x:v>-0.0013921630315477777</x:v>
      </x:c>
      <x:c r="C364" s="7" t="n">
        <x:v>0.0072292513102847865</x:v>
      </x:c>
      <x:c r="D364" s="7" t="n">
        <x:v>-0.005436384777084471</x:v>
      </x:c>
      <x:c r="E364" t="n">
        <x:f>IF(ISNUMBER(A364),363,0)</x:f>
        <x:v>0</x:v>
      </x:c>
    </x:row>
    <x:row r="365">
      <x:c r="A365" s="6"/>
      <x:c r="B365" s="7" t="n">
        <x:v>0.004112602668728459</x:v>
      </x:c>
      <x:c r="C365" s="7" t="n">
        <x:v>-0.012500406992308788</x:v>
      </x:c>
      <x:c r="D365" s="7" t="n">
        <x:v>-0.013375759792803516</x:v>
      </x:c>
      <x:c r="E365" t="n">
        <x:f>IF(ISNUMBER(A365),364,0)</x:f>
        <x:v>0</x:v>
      </x:c>
    </x:row>
    <x:row r="366">
      <x:c r="A366" s="6"/>
      <x:c r="B366" s="7" t="n">
        <x:v>0.0029965237600823465</x:v>
      </x:c>
      <x:c r="C366" s="7" t="n">
        <x:v>-0.0033655539284898426</x:v>
      </x:c>
      <x:c r="D366" s="7" t="n">
        <x:v>-0.0012469487433015335</x:v>
      </x:c>
      <x:c r="E366" t="n">
        <x:f>IF(ISNUMBER(A366),365,0)</x:f>
        <x:v>0</x:v>
      </x:c>
    </x:row>
    <x:row r="367">
      <x:c r="A367" s="6"/>
      <x:c r="B367" s="7" t="n">
        <x:v>-0.0022743563093937332</x:v>
      </x:c>
      <x:c r="C367" s="7" t="n">
        <x:v>-0.011034804884735988</x:v>
      </x:c>
      <x:c r="D367" s="7" t="n">
        <x:v>-0.019713261340570703</x:v>
      </x:c>
      <x:c r="E367" t="n">
        <x:f>IF(ISNUMBER(A367),366,0)</x:f>
        <x:v>0</x:v>
      </x:c>
    </x:row>
    <x:row r="368">
      <x:c r="A368" s="6"/>
      <x:c r="B368" s="7" t="n">
        <x:v>0.008956023561565612</x:v>
      </x:c>
      <x:c r="C368" s="7" t="n">
        <x:v>-0.0001484775721216536</x:v>
      </x:c>
      <x:c r="D368" s="7" t="n">
        <x:v>0.0006463358803486696</x:v>
      </x:c>
      <x:c r="E368" t="n">
        <x:f>IF(ISNUMBER(A368),367,0)</x:f>
        <x:v>0</x:v>
      </x:c>
    </x:row>
    <x:row r="369">
      <x:c r="A369" s="6"/>
      <x:c r="B369" s="7" t="n">
        <x:v>0.010947704810494889</x:v>
      </x:c>
      <x:c r="C369" s="7" t="n">
        <x:v>-0.0008969489203514747</x:v>
      </x:c>
      <x:c r="D369" s="7" t="n">
        <x:v>0.014100922642372544</x:v>
      </x:c>
      <x:c r="E369" t="n">
        <x:f>IF(ISNUMBER(A369),368,0)</x:f>
        <x:v>0</x:v>
      </x:c>
    </x:row>
    <x:row r="370">
      <x:c r="A370" s="6"/>
      <x:c r="B370" s="7" t="n">
        <x:v>0.0042826193851645015</x:v>
      </x:c>
      <x:c r="C370" s="7" t="n">
        <x:v>-0.007150065856987613</x:v>
      </x:c>
      <x:c r="D370" s="7" t="n">
        <x:v>0.004078636618241506</x:v>
      </x:c>
      <x:c r="E370" t="n">
        <x:f>IF(ISNUMBER(A370),369,0)</x:f>
        <x:v>0</x:v>
      </x:c>
    </x:row>
    <x:row r="371">
      <x:c r="A371" s="6"/>
      <x:c r="B371" s="7" t="n">
        <x:v>-0.0003472179916227781</x:v>
      </x:c>
      <x:c r="C371" s="7" t="n">
        <x:v>0.008329013074453427</x:v>
      </x:c>
      <x:c r="D371" s="7" t="n">
        <x:v>0.01140596634190126</x:v>
      </x:c>
      <x:c r="E371" t="n">
        <x:f>IF(ISNUMBER(A371),370,0)</x:f>
        <x:v>0</x:v>
      </x:c>
    </x:row>
    <x:row r="372">
      <x:c r="A372" s="6"/>
      <x:c r="B372" s="7" t="n">
        <x:v>0.007326194600390143</x:v>
      </x:c>
      <x:c r="C372" s="7" t="n">
        <x:v>-0.00030169586381068383</x:v>
      </x:c>
      <x:c r="D372" s="7" t="n">
        <x:v>-0.008950764038347018</x:v>
      </x:c>
      <x:c r="E372" t="n">
        <x:f>IF(ISNUMBER(A372),371,0)</x:f>
        <x:v>0</x:v>
      </x:c>
    </x:row>
    <x:row r="373">
      <x:c r="A373" s="6"/>
      <x:c r="B373" s="7" t="n">
        <x:v>0.019172292363179994</x:v>
      </x:c>
      <x:c r="C373" s="7" t="n">
        <x:v>-0.027144981519845315</x:v>
      </x:c>
      <x:c r="D373" s="7" t="n">
        <x:v>0.003576885416467766</x:v>
      </x:c>
      <x:c r="E373" t="n">
        <x:f>IF(ISNUMBER(A373),372,0)</x:f>
        <x:v>0</x:v>
      </x:c>
    </x:row>
    <x:row r="374">
      <x:c r="A374" s="6"/>
      <x:c r="B374" s="7" t="n">
        <x:v>0.0012233360061156937</x:v>
      </x:c>
      <x:c r="C374" s="7" t="n">
        <x:v>-0.0036569398249172206</x:v>
      </x:c>
      <x:c r="D374" s="7" t="n">
        <x:v>0.019869675767929758</x:v>
      </x:c>
      <x:c r="E374" t="n">
        <x:f>IF(ISNUMBER(A374),373,0)</x:f>
        <x:v>0</x:v>
      </x:c>
    </x:row>
    <x:row r="375">
      <x:c r="A375" s="6"/>
      <x:c r="B375" s="7" t="n">
        <x:v>-0.003343110391344389</x:v>
      </x:c>
      <x:c r="C375" s="7" t="n">
        <x:v>0.003502836785046101</x:v>
      </x:c>
      <x:c r="D375" s="7" t="n">
        <x:v>0.004757791098651348</x:v>
      </x:c>
      <x:c r="E375" t="n">
        <x:f>IF(ISNUMBER(A375),374,0)</x:f>
        <x:v>0</x:v>
      </x:c>
    </x:row>
    <x:row r="376">
      <x:c r="A376" s="6"/>
      <x:c r="B376" s="7" t="n">
        <x:v>-0.004686771536345569</x:v>
      </x:c>
      <x:c r="C376" s="7" t="n">
        <x:v>0.0014037049091749543</x:v>
      </x:c>
      <x:c r="D376" s="7" t="n">
        <x:v>-0.004799495987378246</x:v>
      </x:c>
      <x:c r="E376" t="n">
        <x:f>IF(ISNUMBER(A376),375,0)</x:f>
        <x:v>0</x:v>
      </x:c>
    </x:row>
    <x:row r="377">
      <x:c r="A377" s="6"/>
      <x:c r="B377" s="7" t="n">
        <x:v>-0.005599517875712533</x:v>
      </x:c>
      <x:c r="C377" s="7" t="n">
        <x:v>-0.00874607817803493</x:v>
      </x:c>
      <x:c r="D377" s="7" t="n">
        <x:v>-0.009118599724044921</x:v>
      </x:c>
      <x:c r="E377" t="n">
        <x:f>IF(ISNUMBER(A377),376,0)</x:f>
        <x:v>0</x:v>
      </x:c>
    </x:row>
    <x:row r="378">
      <x:c r="A378" s="6"/>
      <x:c r="B378" s="7" t="n">
        <x:v>-0.014796993086359131</x:v>
      </x:c>
      <x:c r="C378" s="7" t="n">
        <x:v>0.006485947257956355</x:v>
      </x:c>
      <x:c r="D378" s="7" t="n">
        <x:v>-0.004723083471887952</x:v>
      </x:c>
      <x:c r="E378" t="n">
        <x:f>IF(ISNUMBER(A378),377,0)</x:f>
        <x:v>0</x:v>
      </x:c>
    </x:row>
    <x:row r="379">
      <x:c r="A379" s="6"/>
      <x:c r="B379" s="7" t="n">
        <x:v>0.006714217548258947</x:v>
      </x:c>
      <x:c r="C379" s="7" t="n">
        <x:v>0.018056440727761344</x:v>
      </x:c>
      <x:c r="D379" s="7" t="n">
        <x:v>0.013905662192501193</x:v>
      </x:c>
      <x:c r="E379" t="n">
        <x:f>IF(ISNUMBER(A379),378,0)</x:f>
        <x:v>0</x:v>
      </x:c>
    </x:row>
    <x:row r="380">
      <x:c r="A380" s="6"/>
      <x:c r="B380" s="7" t="n">
        <x:v>0.006616886608849513</x:v>
      </x:c>
      <x:c r="C380" s="7" t="n">
        <x:v>0.010917574458456843</x:v>
      </x:c>
      <x:c r="D380" s="7" t="n">
        <x:v>0.019148111474410482</x:v>
      </x:c>
      <x:c r="E380" t="n">
        <x:f>IF(ISNUMBER(A380),379,0)</x:f>
        <x:v>0</x:v>
      </x:c>
    </x:row>
    <x:row r="381">
      <x:c r="A381" s="6"/>
      <x:c r="B381" s="7" t="n">
        <x:v>-0.021148912506557326</x:v>
      </x:c>
      <x:c r="C381" s="7" t="n">
        <x:v>-0.0015140864395094616</x:v>
      </x:c>
      <x:c r="D381" s="7" t="n">
        <x:v>-0.0006260479033766545</x:v>
      </x:c>
      <x:c r="E381" t="n">
        <x:f>IF(ISNUMBER(A381),380,0)</x:f>
        <x:v>0</x:v>
      </x:c>
    </x:row>
    <x:row r="382">
      <x:c r="A382" s="6"/>
      <x:c r="B382" s="7" t="n">
        <x:v>0.003929285858830593</x:v>
      </x:c>
      <x:c r="C382" s="7" t="n">
        <x:v>0.0065703820266744435</x:v>
      </x:c>
      <x:c r="D382" s="7" t="n">
        <x:v>0.012814708912660584</x:v>
      </x:c>
      <x:c r="E382" t="n">
        <x:f>IF(ISNUMBER(A382),381,0)</x:f>
        <x:v>0</x:v>
      </x:c>
    </x:row>
    <x:row r="383">
      <x:c r="A383" s="6"/>
      <x:c r="B383" s="7" t="n">
        <x:v>0.007846531058094929</x:v>
      </x:c>
      <x:c r="C383" s="7" t="n">
        <x:v>0.00009927865205605945</x:v>
      </x:c>
      <x:c r="D383" s="7" t="n">
        <x:v>-0.014450125808491927</x:v>
      </x:c>
      <x:c r="E383" t="n">
        <x:f>IF(ISNUMBER(A383),382,0)</x:f>
        <x:v>0</x:v>
      </x:c>
    </x:row>
    <x:row r="384">
      <x:c r="A384" s="6"/>
      <x:c r="B384" s="7" t="n">
        <x:v>0.015975320689793716</x:v>
      </x:c>
      <x:c r="C384" s="7" t="n">
        <x:v>-0.000843869249298712</x:v>
      </x:c>
      <x:c r="D384" s="7" t="n">
        <x:v>-0.00391947974217068</x:v>
      </x:c>
      <x:c r="E384" t="n">
        <x:f>IF(ISNUMBER(A384),383,0)</x:f>
        <x:v>0</x:v>
      </x:c>
    </x:row>
    <x:row r="385">
      <x:c r="A385" s="6"/>
      <x:c r="B385" s="7" t="n">
        <x:v>-0.0019724192860706437</x:v>
      </x:c>
      <x:c r="C385" s="7" t="n">
        <x:v>-0.002753603603071102</x:v>
      </x:c>
      <x:c r="D385" s="7" t="n">
        <x:v>-0.00441373090867531</x:v>
      </x:c>
      <x:c r="E385" t="n">
        <x:f>IF(ISNUMBER(A385),384,0)</x:f>
        <x:v>0</x:v>
      </x:c>
    </x:row>
    <x:row r="386">
      <x:c r="A386" s="6"/>
      <x:c r="B386" s="7" t="n">
        <x:v>0.016914364065556506</x:v>
      </x:c>
      <x:c r="C386" s="7" t="n">
        <x:v>-0.006187210499645822</x:v>
      </x:c>
      <x:c r="D386" s="7" t="n">
        <x:v>0.005006688923115649</x:v>
      </x:c>
      <x:c r="E386" t="n">
        <x:f>IF(ISNUMBER(A386),385,0)</x:f>
        <x:v>0</x:v>
      </x:c>
    </x:row>
    <x:row r="387">
      <x:c r="A387" s="6"/>
      <x:c r="B387" s="7" t="n">
        <x:v>0.008300619714449644</x:v>
      </x:c>
      <x:c r="C387" s="7" t="n">
        <x:v>0.03205075247669457</x:v>
      </x:c>
      <x:c r="D387" s="7" t="n">
        <x:v>0.00892948405655913</x:v>
      </x:c>
      <x:c r="E387" t="n">
        <x:f>IF(ISNUMBER(A387),386,0)</x:f>
        <x:v>0</x:v>
      </x:c>
    </x:row>
    <x:row r="388">
      <x:c r="A388" s="6"/>
      <x:c r="B388" s="7" t="n">
        <x:v>-0.007007680495393634</x:v>
      </x:c>
      <x:c r="C388" s="7" t="n">
        <x:v>0.005616657093546954</x:v>
      </x:c>
      <x:c r="D388" s="7" t="n">
        <x:v>-0.021862201383507775</x:v>
      </x:c>
      <x:c r="E388" t="n">
        <x:f>IF(ISNUMBER(A388),387,0)</x:f>
        <x:v>0</x:v>
      </x:c>
    </x:row>
    <x:row r="389">
      <x:c r="A389" s="6"/>
      <x:c r="B389" s="7" t="n">
        <x:v>-0.009157658504444171</x:v>
      </x:c>
      <x:c r="C389" s="7" t="n">
        <x:v>0.013134517868760142</x:v>
      </x:c>
      <x:c r="D389" s="7" t="n">
        <x:v>0.011274978097323673</x:v>
      </x:c>
      <x:c r="E389" t="n">
        <x:f>IF(ISNUMBER(A389),388,0)</x:f>
        <x:v>0</x:v>
      </x:c>
    </x:row>
    <x:row r="390">
      <x:c r="A390" s="6"/>
      <x:c r="B390" s="7" t="n">
        <x:v>-0.00875128570897251</x:v>
      </x:c>
      <x:c r="C390" s="7" t="n">
        <x:v>0.002109739568555823</x:v>
      </x:c>
      <x:c r="D390" s="7" t="n">
        <x:v>-0.0030956180633568958</x:v>
      </x:c>
      <x:c r="E390" t="n">
        <x:f>IF(ISNUMBER(A390),389,0)</x:f>
        <x:v>0</x:v>
      </x:c>
    </x:row>
    <x:row r="391">
      <x:c r="A391" s="6"/>
      <x:c r="B391" s="7" t="n">
        <x:v>0.0003688224078941383</x:v>
      </x:c>
      <x:c r="C391" s="7" t="n">
        <x:v>0.0004773347046083072</x:v>
      </x:c>
      <x:c r="D391" s="7" t="n">
        <x:v>-0.005515739673421817</x:v>
      </x:c>
      <x:c r="E391" t="n">
        <x:f>IF(ISNUMBER(A391),390,0)</x:f>
        <x:v>0</x:v>
      </x:c>
    </x:row>
    <x:row r="392">
      <x:c r="A392" s="6"/>
      <x:c r="B392" s="7" t="n">
        <x:v>-0.000745928448531951</x:v>
      </x:c>
      <x:c r="C392" s="7" t="n">
        <x:v>0.005051147124470857</x:v>
      </x:c>
      <x:c r="D392" s="7" t="n">
        <x:v>0.002420333296020989</x:v>
      </x:c>
      <x:c r="E392" t="n">
        <x:f>IF(ISNUMBER(A392),391,0)</x:f>
        <x:v>0</x:v>
      </x:c>
    </x:row>
    <x:row r="393">
      <x:c r="A393" s="6"/>
      <x:c r="B393" s="7" t="n">
        <x:v>0.011642224733374111</x:v>
      </x:c>
      <x:c r="C393" s="7" t="n">
        <x:v>-0.01717121909005649</x:v>
      </x:c>
      <x:c r="D393" s="7" t="n">
        <x:v>-0.002446901884809472</x:v>
      </x:c>
      <x:c r="E393" t="n">
        <x:f>IF(ISNUMBER(A393),392,0)</x:f>
        <x:v>0</x:v>
      </x:c>
    </x:row>
    <x:row r="394">
      <x:c r="A394" s="6"/>
      <x:c r="B394" s="7" t="n">
        <x:v>-0.01376198435185111</x:v>
      </x:c>
      <x:c r="C394" s="7" t="n">
        <x:v>0.01089917709304297</x:v>
      </x:c>
      <x:c r="D394" s="7" t="n">
        <x:v>0.008450019029851203</x:v>
      </x:c>
      <x:c r="E394" t="n">
        <x:f>IF(ISNUMBER(A394),393,0)</x:f>
        <x:v>0</x:v>
      </x:c>
    </x:row>
    <x:row r="395">
      <x:c r="A395" s="6"/>
      <x:c r="B395" s="7" t="n">
        <x:v>0.003595945300320559</x:v>
      </x:c>
      <x:c r="C395" s="7" t="n">
        <x:v>0.007197630382326351</x:v>
      </x:c>
      <x:c r="D395" s="7" t="n">
        <x:v>-0.00958516387811775</x:v>
      </x:c>
      <x:c r="E395" t="n">
        <x:f>IF(ISNUMBER(A395),394,0)</x:f>
        <x:v>0</x:v>
      </x:c>
    </x:row>
    <x:row r="396">
      <x:c r="A396" s="6"/>
      <x:c r="B396" s="7" t="n">
        <x:v>-0.008277394858336774</x:v>
      </x:c>
      <x:c r="C396" s="7" t="n">
        <x:v>-0.018150609809108435</x:v>
      </x:c>
      <x:c r="D396" s="7" t="n">
        <x:v>-0.0026154423115239025</x:v>
      </x:c>
      <x:c r="E396" t="n">
        <x:f>IF(ISNUMBER(A396),395,0)</x:f>
        <x:v>0</x:v>
      </x:c>
    </x:row>
    <x:row r="397">
      <x:c r="A397" s="6"/>
      <x:c r="B397" s="7" t="n">
        <x:v>-0.015170320047872457</x:v>
      </x:c>
      <x:c r="C397" s="7" t="n">
        <x:v>0.004391044413839113</x:v>
      </x:c>
      <x:c r="D397" s="7" t="n">
        <x:v>0.0037449876977362706</x:v>
      </x:c>
      <x:c r="E397" t="n">
        <x:f>IF(ISNUMBER(A397),396,0)</x:f>
        <x:v>0</x:v>
      </x:c>
    </x:row>
    <x:row r="398">
      <x:c r="A398" s="6"/>
      <x:c r="B398" s="7" t="n">
        <x:v>-0.011238440165744872</x:v>
      </x:c>
      <x:c r="C398" s="7" t="n">
        <x:v>-0.004884410416834494</x:v>
      </x:c>
      <x:c r="D398" s="7" t="n">
        <x:v>0.009730194602740133</x:v>
      </x:c>
      <x:c r="E398" t="n">
        <x:f>IF(ISNUMBER(A398),397,0)</x:f>
        <x:v>0</x:v>
      </x:c>
    </x:row>
    <x:row r="399">
      <x:c r="A399" s="6"/>
      <x:c r="B399" s="7" t="n">
        <x:v>0.005842002926582088</x:v>
      </x:c>
      <x:c r="C399" s="7" t="n">
        <x:v>0.0018806228171363802</x:v>
      </x:c>
      <x:c r="D399" s="7" t="n">
        <x:v>0.0003055773704664386</x:v>
      </x:c>
      <x:c r="E399" t="n">
        <x:f>IF(ISNUMBER(A399),398,0)</x:f>
        <x:v>0</x:v>
      </x:c>
    </x:row>
    <x:row r="400">
      <x:c r="A400" s="6"/>
      <x:c r="B400" s="7" t="n">
        <x:v>-0.006177616727879947</x:v>
      </x:c>
      <x:c r="C400" s="7" t="n">
        <x:v>-0.001263626086987836</x:v>
      </x:c>
      <x:c r="D400" s="7" t="n">
        <x:v>-0.0030140514141414995</x:v>
      </x:c>
      <x:c r="E400" t="n">
        <x:f>IF(ISNUMBER(A400),399,0)</x:f>
        <x:v>0</x:v>
      </x:c>
    </x:row>
    <x:row r="401">
      <x:c r="A401" s="6"/>
      <x:c r="B401" s="7" t="n">
        <x:v>-0.0113001286827499</x:v>
      </x:c>
      <x:c r="C401" s="7" t="n">
        <x:v>0.0008807079948193387</x:v>
      </x:c>
      <x:c r="D401" s="7" t="n">
        <x:v>0.009006441010603617</x:v>
      </x:c>
      <x:c r="E401" t="n">
        <x:f>IF(ISNUMBER(A401),400,0)</x:f>
        <x:v>0</x:v>
      </x:c>
    </x:row>
    <x:row r="402">
      <x:c r="A402" s="6"/>
      <x:c r="B402" s="7" t="n">
        <x:v>-0.002077633379291932</x:v>
      </x:c>
      <x:c r="C402" s="7" t="n">
        <x:v>0.0050402153238901775</x:v>
      </x:c>
      <x:c r="D402" s="7" t="n">
        <x:v>-0.003929995119596969</x:v>
      </x:c>
      <x:c r="E402" t="n">
        <x:f>IF(ISNUMBER(A402),401,0)</x:f>
        <x:v>0</x:v>
      </x:c>
    </x:row>
    <x:row r="403">
      <x:c r="A403" s="6"/>
      <x:c r="B403" s="7" t="n">
        <x:v>0.001069313185772658</x:v>
      </x:c>
      <x:c r="C403" s="7" t="n">
        <x:v>-0.008759837959160431</x:v>
      </x:c>
      <x:c r="D403" s="7" t="n">
        <x:v>-0.002210849382717483</x:v>
      </x:c>
      <x:c r="E403" t="n">
        <x:f>IF(ISNUMBER(A403),402,0)</x:f>
        <x:v>0</x:v>
      </x:c>
    </x:row>
    <x:row r="404">
      <x:c r="A404" s="6"/>
      <x:c r="B404" s="7" t="n">
        <x:v>-0.004207163854700712</x:v>
      </x:c>
      <x:c r="C404" s="7" t="n">
        <x:v>-0.0016877613364680438</x:v>
      </x:c>
      <x:c r="D404" s="7" t="n">
        <x:v>0.01259962505145196</x:v>
      </x:c>
      <x:c r="E404" t="n">
        <x:f>IF(ISNUMBER(A404),403,0)</x:f>
        <x:v>0</x:v>
      </x:c>
    </x:row>
    <x:row r="405">
      <x:c r="A405" s="6"/>
      <x:c r="B405" s="7" t="n">
        <x:v>-0.007830266356353546</x:v>
      </x:c>
      <x:c r="C405" s="7" t="n">
        <x:v>0.0031804368463795155</x:v>
      </x:c>
      <x:c r="D405" s="7" t="n">
        <x:v>0.012097994551012908</x:v>
      </x:c>
      <x:c r="E405" t="n">
        <x:f>IF(ISNUMBER(A405),404,0)</x:f>
        <x:v>0</x:v>
      </x:c>
    </x:row>
    <x:row r="406">
      <x:c r="A406" s="6"/>
      <x:c r="B406" s="7" t="n">
        <x:v>0.002277042483324605</x:v>
      </x:c>
      <x:c r="C406" s="7" t="n">
        <x:v>-0.007113350152745045</x:v>
      </x:c>
      <x:c r="D406" s="7" t="n">
        <x:v>0.0034753792075424336</x:v>
      </x:c>
      <x:c r="E406" t="n">
        <x:f>IF(ISNUMBER(A406),405,0)</x:f>
        <x:v>0</x:v>
      </x:c>
    </x:row>
    <x:row r="407">
      <x:c r="A407" s="6"/>
      <x:c r="B407" s="7" t="n">
        <x:v>-0.01830698487486911</x:v>
      </x:c>
      <x:c r="C407" s="7" t="n">
        <x:v>0.0009578122610564089</x:v>
      </x:c>
      <x:c r="D407" s="7" t="n">
        <x:v>0.001433159050148031</x:v>
      </x:c>
      <x:c r="E407" t="n">
        <x:f>IF(ISNUMBER(A407),406,0)</x:f>
        <x:v>0</x:v>
      </x:c>
    </x:row>
    <x:row r="408">
      <x:c r="A408" s="6"/>
      <x:c r="B408" s="7" t="n">
        <x:v>0.0035349857911560825</x:v>
      </x:c>
      <x:c r="C408" s="7" t="n">
        <x:v>0.010173527372572022</x:v>
      </x:c>
      <x:c r="D408" s="7" t="n">
        <x:v>-0.009347102292969882</x:v>
      </x:c>
      <x:c r="E408" t="n">
        <x:f>IF(ISNUMBER(A408),407,0)</x:f>
        <x:v>0</x:v>
      </x:c>
    </x:row>
    <x:row r="409">
      <x:c r="A409" s="6"/>
      <x:c r="B409" s="7" t="n">
        <x:v>-0.011324460803793483</x:v>
      </x:c>
      <x:c r="C409" s="7" t="n">
        <x:v>-0.0043884858483786695</x:v>
      </x:c>
      <x:c r="D409" s="7" t="n">
        <x:v>-0.0024760791128655376</x:v>
      </x:c>
      <x:c r="E409" t="n">
        <x:f>IF(ISNUMBER(A409),408,0)</x:f>
        <x:v>0</x:v>
      </x:c>
    </x:row>
    <x:row r="410">
      <x:c r="A410" s="6"/>
      <x:c r="B410" s="7" t="n">
        <x:v>0.010959144354937951</x:v>
      </x:c>
      <x:c r="C410" s="7" t="n">
        <x:v>0.010858326031131571</x:v>
      </x:c>
      <x:c r="D410" s="7" t="n">
        <x:v>-0.013396805128526592</x:v>
      </x:c>
      <x:c r="E410" t="n">
        <x:f>IF(ISNUMBER(A410),409,0)</x:f>
        <x:v>0</x:v>
      </x:c>
    </x:row>
    <x:row r="411">
      <x:c r="A411" s="6"/>
      <x:c r="B411" s="7" t="n">
        <x:v>-0.005138549724051736</x:v>
      </x:c>
      <x:c r="C411" s="7" t="n">
        <x:v>-0.010093484722687033</x:v>
      </x:c>
      <x:c r="D411" s="7" t="n">
        <x:v>0.0015985113111339018</x:v>
      </x:c>
      <x:c r="E411" t="n">
        <x:f>IF(ISNUMBER(A411),410,0)</x:f>
        <x:v>0</x:v>
      </x:c>
    </x:row>
    <x:row r="412">
      <x:c r="A412" s="6"/>
      <x:c r="B412" s="7" t="n">
        <x:v>-0.008115341611531341</x:v>
      </x:c>
      <x:c r="C412" s="7" t="n">
        <x:v>0.007652725756675417</x:v>
      </x:c>
      <x:c r="D412" s="7" t="n">
        <x:v>-0.007122392604024039</x:v>
      </x:c>
      <x:c r="E412" t="n">
        <x:f>IF(ISNUMBER(A412),411,0)</x:f>
        <x:v>0</x:v>
      </x:c>
    </x:row>
    <x:row r="413">
      <x:c r="A413" s="6"/>
      <x:c r="B413" s="7" t="n">
        <x:v>-0.0026765144387034213</x:v>
      </x:c>
      <x:c r="C413" s="7" t="n">
        <x:v>-0.000048938123951250486</x:v>
      </x:c>
      <x:c r="D413" s="7" t="n">
        <x:v>0.0011378264591648804</x:v>
      </x:c>
      <x:c r="E413" t="n">
        <x:f>IF(ISNUMBER(A413),412,0)</x:f>
        <x:v>0</x:v>
      </x:c>
    </x:row>
    <x:row r="414">
      <x:c r="A414" s="6"/>
      <x:c r="B414" s="7" t="n">
        <x:v>-0.0020023186105635605</x:v>
      </x:c>
      <x:c r="C414" s="7" t="n">
        <x:v>0.005066830091892408</x:v>
      </x:c>
      <x:c r="D414" s="7" t="n">
        <x:v>-0.013652641510542386</x:v>
      </x:c>
      <x:c r="E414" t="n">
        <x:f>IF(ISNUMBER(A414),413,0)</x:f>
        <x:v>0</x:v>
      </x:c>
    </x:row>
    <x:row r="415">
      <x:c r="A415" s="6"/>
      <x:c r="B415" s="7" t="n">
        <x:v>0.005242820707064666</x:v>
      </x:c>
      <x:c r="C415" s="7" t="n">
        <x:v>0.007655659777347989</x:v>
      </x:c>
      <x:c r="D415" s="7" t="n">
        <x:v>-0.0075425674867414215</x:v>
      </x:c>
      <x:c r="E415" t="n">
        <x:f>IF(ISNUMBER(A415),414,0)</x:f>
        <x:v>0</x:v>
      </x:c>
    </x:row>
    <x:row r="416">
      <x:c r="A416" s="6"/>
      <x:c r="B416" s="7" t="n">
        <x:v>-0.005469051575921468</x:v>
      </x:c>
      <x:c r="C416" s="7" t="n">
        <x:v>-0.0032566903255511364</x:v>
      </x:c>
      <x:c r="D416" s="7" t="n">
        <x:v>0.0017002073372224709</x:v>
      </x:c>
      <x:c r="E416" t="n">
        <x:f>IF(ISNUMBER(A416),415,0)</x:f>
        <x:v>0</x:v>
      </x:c>
    </x:row>
    <x:row r="417">
      <x:c r="A417" s="6"/>
      <x:c r="B417" s="7" t="n">
        <x:v>0.01979543813826903</x:v>
      </x:c>
      <x:c r="C417" s="7" t="n">
        <x:v>-0.008398914719249828</x:v>
      </x:c>
      <x:c r="D417" s="7" t="n">
        <x:v>-0.008448315649409436</x:v>
      </x:c>
      <x:c r="E417" t="n">
        <x:f>IF(ISNUMBER(A417),416,0)</x:f>
        <x:v>0</x:v>
      </x:c>
    </x:row>
    <x:row r="418">
      <x:c r="A418" s="6"/>
      <x:c r="B418" s="7" t="n">
        <x:v>0.013734500499663894</x:v>
      </x:c>
      <x:c r="C418" s="7" t="n">
        <x:v>0.0024658754028051818</x:v>
      </x:c>
      <x:c r="D418" s="7" t="n">
        <x:v>0.017347099211461704</x:v>
      </x:c>
      <x:c r="E418" t="n">
        <x:f>IF(ISNUMBER(A418),417,0)</x:f>
        <x:v>0</x:v>
      </x:c>
    </x:row>
    <x:row r="419">
      <x:c r="A419" s="6"/>
      <x:c r="B419" s="7" t="n">
        <x:v>0.0013525701162946438</x:v>
      </x:c>
      <x:c r="C419" s="7" t="n">
        <x:v>0.007108040430518788</x:v>
      </x:c>
      <x:c r="D419" s="7" t="n">
        <x:v>-0.010182534220214444</x:v>
      </x:c>
      <x:c r="E419" t="n">
        <x:f>IF(ISNUMBER(A419),418,0)</x:f>
        <x:v>0</x:v>
      </x:c>
    </x:row>
    <x:row r="420">
      <x:c r="A420" s="6"/>
      <x:c r="B420" s="7" t="n">
        <x:v>-0.008831265310285604</x:v>
      </x:c>
      <x:c r="C420" s="7" t="n">
        <x:v>-0.011636748957470354</x:v>
      </x:c>
      <x:c r="D420" s="7" t="n">
        <x:v>-0.010441843977519872</x:v>
      </x:c>
      <x:c r="E420" t="n">
        <x:f>IF(ISNUMBER(A420),419,0)</x:f>
        <x:v>0</x:v>
      </x:c>
    </x:row>
    <x:row r="421">
      <x:c r="A421" s="6"/>
      <x:c r="B421" s="7" t="n">
        <x:v>-0.0011323722976707097</x:v>
      </x:c>
      <x:c r="C421" s="7" t="n">
        <x:v>-0.00843551202366695</x:v>
      </x:c>
      <x:c r="D421" s="7" t="n">
        <x:v>0.01292526834789379</x:v>
      </x:c>
      <x:c r="E421" t="n">
        <x:f>IF(ISNUMBER(A421),420,0)</x:f>
        <x:v>0</x:v>
      </x:c>
    </x:row>
    <x:row r="422">
      <x:c r="A422" s="6"/>
      <x:c r="B422" s="7" t="n">
        <x:v>-0.010856221874915431</x:v>
      </x:c>
      <x:c r="C422" s="7" t="n">
        <x:v>-0.015828454427438087</x:v>
      </x:c>
      <x:c r="D422" s="7" t="n">
        <x:v>-0.016212796194989876</x:v>
      </x:c>
      <x:c r="E422" t="n">
        <x:f>IF(ISNUMBER(A422),421,0)</x:f>
        <x:v>0</x:v>
      </x:c>
    </x:row>
    <x:row r="423">
      <x:c r="A423" s="6"/>
      <x:c r="B423" s="7" t="n">
        <x:v>0.0004038129966004511</x:v>
      </x:c>
      <x:c r="C423" s="7" t="n">
        <x:v>0.002485241271674074</x:v>
      </x:c>
      <x:c r="D423" s="7" t="n">
        <x:v>0.005493000576868473</x:v>
      </x:c>
      <x:c r="E423" t="n">
        <x:f>IF(ISNUMBER(A423),422,0)</x:f>
        <x:v>0</x:v>
      </x:c>
    </x:row>
    <x:row r="424">
      <x:c r="A424" s="6"/>
      <x:c r="B424" s="7" t="n">
        <x:v>-0.005915572383946437</x:v>
      </x:c>
      <x:c r="C424" s="7" t="n">
        <x:v>0.013043781040110676</x:v>
      </x:c>
      <x:c r="D424" s="7" t="n">
        <x:v>0.010268728425911193</x:v>
      </x:c>
      <x:c r="E424" t="n">
        <x:f>IF(ISNUMBER(A424),423,0)</x:f>
        <x:v>0</x:v>
      </x:c>
    </x:row>
    <x:row r="425">
      <x:c r="A425" s="6"/>
      <x:c r="B425" s="7" t="n">
        <x:v>0.0019135927776275793</x:v>
      </x:c>
      <x:c r="C425" s="7" t="n">
        <x:v>-0.0019134166604483692</x:v>
      </x:c>
      <x:c r="D425" s="7" t="n">
        <x:v>0.0061687637120202785</x:v>
      </x:c>
      <x:c r="E425" t="n">
        <x:f>IF(ISNUMBER(A425),424,0)</x:f>
        <x:v>0</x:v>
      </x:c>
    </x:row>
    <x:row r="426">
      <x:c r="A426" s="6"/>
      <x:c r="B426" s="7" t="n">
        <x:v>-0.0036846177992957262</x:v>
      </x:c>
      <x:c r="C426" s="7" t="n">
        <x:v>-0.011006601592567711</x:v>
      </x:c>
      <x:c r="D426" s="7" t="n">
        <x:v>-0.007828858850429738</x:v>
      </x:c>
      <x:c r="E426" t="n">
        <x:f>IF(ISNUMBER(A426),425,0)</x:f>
        <x:v>0</x:v>
      </x:c>
    </x:row>
    <x:row r="427">
      <x:c r="A427" s="6"/>
      <x:c r="B427" s="7" t="n">
        <x:v>-0.0053118542652201214</x:v>
      </x:c>
      <x:c r="C427" s="7" t="n">
        <x:v>0.010020113723454413</x:v>
      </x:c>
      <x:c r="D427" s="7" t="n">
        <x:v>0.003003255197805739</x:v>
      </x:c>
      <x:c r="E427" t="n">
        <x:f>IF(ISNUMBER(A427),426,0)</x:f>
        <x:v>0</x:v>
      </x:c>
    </x:row>
    <x:row r="428">
      <x:c r="A428" s="6"/>
      <x:c r="B428" s="7" t="n">
        <x:v>-0.00425355798594773</x:v>
      </x:c>
      <x:c r="C428" s="7" t="n">
        <x:v>-0.010102543045721562</x:v>
      </x:c>
      <x:c r="D428" s="7" t="n">
        <x:v>-0.005580242147895954</x:v>
      </x:c>
      <x:c r="E428" t="n">
        <x:f>IF(ISNUMBER(A428),427,0)</x:f>
        <x:v>0</x:v>
      </x:c>
    </x:row>
    <x:row r="429">
      <x:c r="A429" s="6"/>
      <x:c r="B429" s="7" t="n">
        <x:v>0.017908213222997457</x:v>
      </x:c>
      <x:c r="C429" s="7" t="n">
        <x:v>-0.02205640389981488</x:v>
      </x:c>
      <x:c r="D429" s="7" t="n">
        <x:v>0.0024964157012542115</x:v>
      </x:c>
      <x:c r="E429" t="n">
        <x:f>IF(ISNUMBER(A429),428,0)</x:f>
        <x:v>0</x:v>
      </x:c>
    </x:row>
    <x:row r="430">
      <x:c r="A430" s="6"/>
      <x:c r="B430" s="7" t="n">
        <x:v>0.013517623417320242</x:v>
      </x:c>
      <x:c r="C430" s="7" t="n">
        <x:v>0.006330057938860316</x:v>
      </x:c>
      <x:c r="D430" s="7" t="n">
        <x:v>0.0049700228394310994</x:v>
      </x:c>
      <x:c r="E430" t="n">
        <x:f>IF(ISNUMBER(A430),429,0)</x:f>
        <x:v>0</x:v>
      </x:c>
    </x:row>
    <x:row r="431">
      <x:c r="A431" s="6"/>
      <x:c r="B431" s="7" t="n">
        <x:v>-0.006072930009955434</x:v>
      </x:c>
      <x:c r="C431" s="7" t="n">
        <x:v>0.0043476985400369254</x:v>
      </x:c>
      <x:c r="D431" s="7" t="n">
        <x:v>0.0009531763419589557</x:v>
      </x:c>
      <x:c r="E431" t="n">
        <x:f>IF(ISNUMBER(A431),430,0)</x:f>
        <x:v>0</x:v>
      </x:c>
    </x:row>
    <x:row r="432">
      <x:c r="A432" s="6"/>
      <x:c r="B432" s="7" t="n">
        <x:v>0.003447090005822906</x:v>
      </x:c>
      <x:c r="C432" s="7" t="n">
        <x:v>-0.003606299446738215</x:v>
      </x:c>
      <x:c r="D432" s="7" t="n">
        <x:v>-0.0008022933423473245</x:v>
      </x:c>
      <x:c r="E432" t="n">
        <x:f>IF(ISNUMBER(A432),431,0)</x:f>
        <x:v>0</x:v>
      </x:c>
    </x:row>
    <x:row r="433">
      <x:c r="A433" s="6"/>
      <x:c r="B433" s="7" t="n">
        <x:v>0.003424603351560532</x:v>
      </x:c>
      <x:c r="C433" s="7" t="n">
        <x:v>-0.0027324521961312512</x:v>
      </x:c>
      <x:c r="D433" s="7" t="n">
        <x:v>-0.0002646628544608198</x:v>
      </x:c>
      <x:c r="E433" t="n">
        <x:f>IF(ISNUMBER(A433),432,0)</x:f>
        <x:v>0</x:v>
      </x:c>
    </x:row>
    <x:row r="434">
      <x:c r="A434" s="6"/>
      <x:c r="B434" s="7" t="n">
        <x:v>0.010431435122743084</x:v>
      </x:c>
      <x:c r="C434" s="7" t="n">
        <x:v>0.0017899829242292455</x:v>
      </x:c>
      <x:c r="D434" s="7" t="n">
        <x:v>0.0038460935763825013</x:v>
      </x:c>
      <x:c r="E434" t="n">
        <x:f>IF(ISNUMBER(A434),433,0)</x:f>
        <x:v>0</x:v>
      </x:c>
    </x:row>
    <x:row r="435">
      <x:c r="A435" s="6"/>
      <x:c r="B435" s="7" t="n">
        <x:v>0.009416389673460496</x:v>
      </x:c>
      <x:c r="C435" s="7" t="n">
        <x:v>0.011253925331769646</x:v>
      </x:c>
      <x:c r="D435" s="7" t="n">
        <x:v>0.0006593256015593641</x:v>
      </x:c>
      <x:c r="E435" t="n">
        <x:f>IF(ISNUMBER(A435),434,0)</x:f>
        <x:v>0</x:v>
      </x:c>
    </x:row>
    <x:row r="436">
      <x:c r="A436" s="6"/>
      <x:c r="B436" s="7" t="n">
        <x:v>-0.0050729456075886085</x:v>
      </x:c>
      <x:c r="C436" s="7" t="n">
        <x:v>0.013313667795158782</x:v>
      </x:c>
      <x:c r="D436" s="7" t="n">
        <x:v>-0.014259874022224204</x:v>
      </x:c>
      <x:c r="E436" t="n">
        <x:f>IF(ISNUMBER(A436),435,0)</x:f>
        <x:v>0</x:v>
      </x:c>
    </x:row>
    <x:row r="437">
      <x:c r="A437" s="6"/>
      <x:c r="B437" s="7" t="n">
        <x:v>0.01373380421875699</x:v>
      </x:c>
      <x:c r="C437" s="7" t="n">
        <x:v>0.002418941803351045</x:v>
      </x:c>
      <x:c r="D437" s="7" t="n">
        <x:v>0.012333573620344386</x:v>
      </x:c>
      <x:c r="E437" t="n">
        <x:f>IF(ISNUMBER(A437),436,0)</x:f>
        <x:v>0</x:v>
      </x:c>
    </x:row>
    <x:row r="438">
      <x:c r="A438" s="6"/>
      <x:c r="B438" s="7" t="n">
        <x:v>-0.008451322765017855</x:v>
      </x:c>
      <x:c r="C438" s="7" t="n">
        <x:v>0.003979581609944468</x:v>
      </x:c>
      <x:c r="D438" s="7" t="n">
        <x:v>-0.005970475781162937</x:v>
      </x:c>
      <x:c r="E438" t="n">
        <x:f>IF(ISNUMBER(A438),437,0)</x:f>
        <x:v>0</x:v>
      </x:c>
    </x:row>
    <x:row r="439">
      <x:c r="A439" s="6"/>
      <x:c r="B439" s="7" t="n">
        <x:v>-0.0051784821596471175</x:v>
      </x:c>
      <x:c r="C439" s="7" t="n">
        <x:v>-0.0003629492334125612</x:v>
      </x:c>
      <x:c r="D439" s="7" t="n">
        <x:v>-0.020456663934085344</x:v>
      </x:c>
      <x:c r="E439" t="n">
        <x:f>IF(ISNUMBER(A439),438,0)</x:f>
        <x:v>0</x:v>
      </x:c>
    </x:row>
    <x:row r="440">
      <x:c r="A440" s="6"/>
      <x:c r="B440" s="7" t="n">
        <x:v>0.010353108843897504</x:v>
      </x:c>
      <x:c r="C440" s="7" t="n">
        <x:v>0.0012854752912963405</x:v>
      </x:c>
      <x:c r="D440" s="7" t="n">
        <x:v>0.010354828998850192</x:v>
      </x:c>
      <x:c r="E440" t="n">
        <x:f>IF(ISNUMBER(A440),439,0)</x:f>
        <x:v>0</x:v>
      </x:c>
    </x:row>
    <x:row r="441">
      <x:c r="A441" s="6"/>
      <x:c r="B441" s="7" t="n">
        <x:v>0.005300987672956288</x:v>
      </x:c>
      <x:c r="C441" s="7" t="n">
        <x:v>0.0018589406124277848</x:v>
      </x:c>
      <x:c r="D441" s="7" t="n">
        <x:v>0.006024579199004245</x:v>
      </x:c>
      <x:c r="E441" t="n">
        <x:f>IF(ISNUMBER(A441),440,0)</x:f>
        <x:v>0</x:v>
      </x:c>
    </x:row>
    <x:row r="442">
      <x:c r="A442" s="6"/>
      <x:c r="B442" s="7" t="n">
        <x:v>0.005715431687866751</x:v>
      </x:c>
      <x:c r="C442" s="7" t="n">
        <x:v>0.003846874467629523</x:v>
      </x:c>
      <x:c r="D442" s="7" t="n">
        <x:v>0.010670924228287115</x:v>
      </x:c>
      <x:c r="E442" t="n">
        <x:f>IF(ISNUMBER(A442),441,0)</x:f>
        <x:v>0</x:v>
      </x:c>
    </x:row>
    <x:row r="443">
      <x:c r="A443" s="6"/>
      <x:c r="B443" s="7" t="n">
        <x:v>-0.0004909432801963076</x:v>
      </x:c>
      <x:c r="C443" s="7" t="n">
        <x:v>-0.011370939319436897</x:v>
      </x:c>
      <x:c r="D443" s="7" t="n">
        <x:v>-0.010713901684209281</x:v>
      </x:c>
      <x:c r="E443" t="n">
        <x:f>IF(ISNUMBER(A443),442,0)</x:f>
        <x:v>0</x:v>
      </x:c>
    </x:row>
    <x:row r="444">
      <x:c r="A444" s="6"/>
      <x:c r="B444" s="7" t="n">
        <x:v>0.004350703591679812</x:v>
      </x:c>
      <x:c r="C444" s="7" t="n">
        <x:v>0.002099000861926138</x:v>
      </x:c>
      <x:c r="D444" s="7" t="n">
        <x:v>0.006950239536925769</x:v>
      </x:c>
      <x:c r="E444" t="n">
        <x:f>IF(ISNUMBER(A444),443,0)</x:f>
        <x:v>0</x:v>
      </x:c>
    </x:row>
    <x:row r="445">
      <x:c r="A445" s="6"/>
      <x:c r="B445" s="7" t="n">
        <x:v>0.018408336725251443</x:v>
      </x:c>
      <x:c r="C445" s="7" t="n">
        <x:v>-0.004288478660593758</x:v>
      </x:c>
      <x:c r="D445" s="7" t="n">
        <x:v>0.004826238339356037</x:v>
      </x:c>
      <x:c r="E445" t="n">
        <x:f>IF(ISNUMBER(A445),444,0)</x:f>
        <x:v>0</x:v>
      </x:c>
    </x:row>
    <x:row r="446">
      <x:c r="A446" s="6"/>
      <x:c r="B446" s="7" t="n">
        <x:v>0.005952091250636414</x:v>
      </x:c>
      <x:c r="C446" s="7" t="n">
        <x:v>0.0049802934585982655</x:v>
      </x:c>
      <x:c r="D446" s="7" t="n">
        <x:v>-0.00850340856130724</x:v>
      </x:c>
      <x:c r="E446" t="n">
        <x:f>IF(ISNUMBER(A446),445,0)</x:f>
        <x:v>0</x:v>
      </x:c>
    </x:row>
    <x:row r="447">
      <x:c r="A447" s="6"/>
      <x:c r="B447" s="7" t="n">
        <x:v>0.006850921469281902</x:v>
      </x:c>
      <x:c r="C447" s="7" t="n">
        <x:v>-0.005172962264866953</x:v>
      </x:c>
      <x:c r="D447" s="7" t="n">
        <x:v>0.008352764524516047</x:v>
      </x:c>
      <x:c r="E447" t="n">
        <x:f>IF(ISNUMBER(A447),446,0)</x:f>
        <x:v>0</x:v>
      </x:c>
    </x:row>
    <x:row r="448">
      <x:c r="A448" s="6"/>
      <x:c r="B448" s="7" t="n">
        <x:v>0.038589829702974886</x:v>
      </x:c>
      <x:c r="C448" s="7" t="n">
        <x:v>-0.016183995572682682</x:v>
      </x:c>
      <x:c r="D448" s="7" t="n">
        <x:v>-0.0023646523377278137</x:v>
      </x:c>
      <x:c r="E448" t="n">
        <x:f>IF(ISNUMBER(A448),447,0)</x:f>
        <x:v>0</x:v>
      </x:c>
    </x:row>
    <x:row r="449">
      <x:c r="A449" s="6"/>
      <x:c r="B449" s="7" t="n">
        <x:v>0.004895284392986177</x:v>
      </x:c>
      <x:c r="C449" s="7" t="n">
        <x:v>0.02929093595674926</x:v>
      </x:c>
      <x:c r="D449" s="7" t="n">
        <x:v>0.006782220421835511</x:v>
      </x:c>
      <x:c r="E449" t="n">
        <x:f>IF(ISNUMBER(A449),448,0)</x:f>
        <x:v>0</x:v>
      </x:c>
    </x:row>
    <x:row r="450">
      <x:c r="A450" s="6"/>
      <x:c r="B450" s="7" t="n">
        <x:v>-0.007792076239436539</x:v>
      </x:c>
      <x:c r="C450" s="7" t="n">
        <x:v>-0.005182519180103166</x:v>
      </x:c>
      <x:c r="D450" s="7" t="n">
        <x:v>0.00614218444338112</x:v>
      </x:c>
      <x:c r="E450" t="n">
        <x:f>IF(ISNUMBER(A450),449,0)</x:f>
        <x:v>0</x:v>
      </x:c>
    </x:row>
    <x:row r="451">
      <x:c r="A451" s="6"/>
      <x:c r="B451" s="7" t="n">
        <x:v>-0.011561577387990374</x:v>
      </x:c>
      <x:c r="C451" s="7" t="n">
        <x:v>-0.007021446353693258</x:v>
      </x:c>
      <x:c r="D451" s="7" t="n">
        <x:v>0.005550860622251236</x:v>
      </x:c>
      <x:c r="E451" t="n">
        <x:f>IF(ISNUMBER(A451),450,0)</x:f>
        <x:v>0</x:v>
      </x:c>
    </x:row>
    <x:row r="452">
      <x:c r="A452" s="6"/>
      <x:c r="B452" s="7" t="n">
        <x:v>-0.0012413149079240698</x:v>
      </x:c>
      <x:c r="C452" s="7" t="n">
        <x:v>0.0009894432027340743</x:v>
      </x:c>
      <x:c r="D452" s="7" t="n">
        <x:v>-0.0003173704780290255</x:v>
      </x:c>
      <x:c r="E452" t="n">
        <x:f>IF(ISNUMBER(A452),451,0)</x:f>
        <x:v>0</x:v>
      </x:c>
    </x:row>
    <x:row r="453">
      <x:c r="A453" s="6"/>
      <x:c r="B453" s="7" t="n">
        <x:v>-0.003791382567076844</x:v>
      </x:c>
      <x:c r="C453" s="7" t="n">
        <x:v>-0.003086864813581795</x:v>
      </x:c>
      <x:c r="D453" s="7" t="n">
        <x:v>-0.000783104345400415</x:v>
      </x:c>
      <x:c r="E453" t="n">
        <x:f>IF(ISNUMBER(A453),452,0)</x:f>
        <x:v>0</x:v>
      </x:c>
    </x:row>
    <x:row r="454">
      <x:c r="A454" s="6"/>
      <x:c r="B454" s="7" t="n">
        <x:v>0.010034653515593373</x:v>
      </x:c>
      <x:c r="C454" s="7" t="n">
        <x:v>-0.005531268747385543</x:v>
      </x:c>
      <x:c r="D454" s="7" t="n">
        <x:v>0.009934686438247136</x:v>
      </x:c>
      <x:c r="E454" t="n">
        <x:f>IF(ISNUMBER(A454),453,0)</x:f>
        <x:v>0</x:v>
      </x:c>
    </x:row>
    <x:row r="455">
      <x:c r="A455" s="6"/>
      <x:c r="B455" s="7" t="n">
        <x:v>0.010939693946724368</x:v>
      </x:c>
      <x:c r="C455" s="7" t="n">
        <x:v>-0.005846546618969591</x:v>
      </x:c>
      <x:c r="D455" s="7" t="n">
        <x:v>0.010442768918634226</x:v>
      </x:c>
      <x:c r="E455" t="n">
        <x:f>IF(ISNUMBER(A455),454,0)</x:f>
        <x:v>0</x:v>
      </x:c>
    </x:row>
    <x:row r="456">
      <x:c r="A456" s="6"/>
      <x:c r="B456" s="7" t="n">
        <x:v>0.004689784557342574</x:v>
      </x:c>
      <x:c r="C456" s="7" t="n">
        <x:v>0.01136924381923581</x:v>
      </x:c>
      <x:c r="D456" s="7" t="n">
        <x:v>0.0011993137318219846</x:v>
      </x:c>
      <x:c r="E456" t="n">
        <x:f>IF(ISNUMBER(A456),455,0)</x:f>
        <x:v>0</x:v>
      </x:c>
    </x:row>
    <x:row r="457">
      <x:c r="A457" s="6"/>
      <x:c r="B457" s="7" t="n">
        <x:v>-0.008548816400578656</x:v>
      </x:c>
      <x:c r="C457" s="7" t="n">
        <x:v>0.004377287773955288</x:v>
      </x:c>
      <x:c r="D457" s="7" t="n">
        <x:v>-0.0034744475236216273</x:v>
      </x:c>
      <x:c r="E457" t="n">
        <x:f>IF(ISNUMBER(A457),456,0)</x:f>
        <x:v>0</x:v>
      </x:c>
    </x:row>
    <x:row r="458">
      <x:c r="A458" s="6"/>
      <x:c r="B458" s="7" t="n">
        <x:v>-0.005884728193739775</x:v>
      </x:c>
      <x:c r="C458" s="7" t="n">
        <x:v>-0.0027567052198781243</x:v>
      </x:c>
      <x:c r="D458" s="7" t="n">
        <x:v>0.005843310100169089</x:v>
      </x:c>
      <x:c r="E458" t="n">
        <x:f>IF(ISNUMBER(A458),457,0)</x:f>
        <x:v>0</x:v>
      </x:c>
    </x:row>
    <x:row r="459">
      <x:c r="A459" s="6"/>
      <x:c r="B459" s="7" t="n">
        <x:v>0.00028253821927236425</x:v>
      </x:c>
      <x:c r="C459" s="7" t="n">
        <x:v>0.0027452805790823174</x:v>
      </x:c>
      <x:c r="D459" s="7" t="n">
        <x:v>0.010529903497220322</x:v>
      </x:c>
      <x:c r="E459" t="n">
        <x:f>IF(ISNUMBER(A459),458,0)</x:f>
        <x:v>0</x:v>
      </x:c>
    </x:row>
    <x:row r="460">
      <x:c r="A460" s="6"/>
      <x:c r="B460" s="7" t="n">
        <x:v>0.0018315738784172666</x:v>
      </x:c>
      <x:c r="C460" s="7" t="n">
        <x:v>0.008895118743571892</x:v>
      </x:c>
      <x:c r="D460" s="7" t="n">
        <x:v>-0.013579331171886937</x:v>
      </x:c>
      <x:c r="E460" t="n">
        <x:f>IF(ISNUMBER(A460),459,0)</x:f>
        <x:v>0</x:v>
      </x:c>
    </x:row>
    <x:row r="461">
      <x:c r="A461" s="6"/>
      <x:c r="B461" s="7" t="n">
        <x:v>-0.006921698386284776</x:v>
      </x:c>
      <x:c r="C461" s="7" t="n">
        <x:v>-0.00211171439910555</x:v>
      </x:c>
      <x:c r="D461" s="7" t="n">
        <x:v>0.0067193554184035754</x:v>
      </x:c>
      <x:c r="E461" t="n">
        <x:f>IF(ISNUMBER(A461),460,0)</x:f>
        <x:v>0</x:v>
      </x:c>
    </x:row>
    <x:row r="462">
      <x:c r="A462" s="6"/>
      <x:c r="B462" s="7" t="n">
        <x:v>0.005436940097597261</x:v>
      </x:c>
      <x:c r="C462" s="7" t="n">
        <x:v>0.006689353760455883</x:v>
      </x:c>
      <x:c r="D462" s="7" t="n">
        <x:v>-0.017510460854902463</x:v>
      </x:c>
      <x:c r="E462" t="n">
        <x:f>IF(ISNUMBER(A462),461,0)</x:f>
        <x:v>0</x:v>
      </x:c>
    </x:row>
    <x:row r="463">
      <x:c r="A463" s="6"/>
      <x:c r="B463" s="7" t="n">
        <x:v>-0.0009211703555071678</x:v>
      </x:c>
      <x:c r="C463" s="7" t="n">
        <x:v>0.0029817825803522334</x:v>
      </x:c>
      <x:c r="D463" s="7" t="n">
        <x:v>0.020476306411120852</x:v>
      </x:c>
      <x:c r="E463" t="n">
        <x:f>IF(ISNUMBER(A463),462,0)</x:f>
        <x:v>0</x:v>
      </x:c>
    </x:row>
    <x:row r="464">
      <x:c r="A464" s="6"/>
      <x:c r="B464" s="7" t="n">
        <x:v>-0.0038190358422596354</x:v>
      </x:c>
      <x:c r="C464" s="7" t="n">
        <x:v>-0.002272286068589718</x:v>
      </x:c>
      <x:c r="D464" s="7" t="n">
        <x:v>0.00934551455850416</x:v>
      </x:c>
      <x:c r="E464" t="n">
        <x:f>IF(ISNUMBER(A464),463,0)</x:f>
        <x:v>0</x:v>
      </x:c>
    </x:row>
    <x:row r="465">
      <x:c r="A465" s="6"/>
      <x:c r="B465" s="7" t="n">
        <x:v>-0.01610562092279488</x:v>
      </x:c>
      <x:c r="C465" s="7" t="n">
        <x:v>-0.010672938926047178</x:v>
      </x:c>
      <x:c r="D465" s="7" t="n">
        <x:v>-0.0037724954646913196</x:v>
      </x:c>
      <x:c r="E465" t="n">
        <x:f>IF(ISNUMBER(A465),464,0)</x:f>
        <x:v>0</x:v>
      </x:c>
    </x:row>
    <x:row r="466">
      <x:c r="A466" s="6"/>
      <x:c r="B466" s="7" t="n">
        <x:v>-0.01310803939082209</x:v>
      </x:c>
      <x:c r="C466" s="7" t="n">
        <x:v>0.0018229890640474515</x:v>
      </x:c>
      <x:c r="D466" s="7" t="n">
        <x:v>-0.0021593527170227374</x:v>
      </x:c>
      <x:c r="E466" t="n">
        <x:f>IF(ISNUMBER(A466),465,0)</x:f>
        <x:v>0</x:v>
      </x:c>
    </x:row>
    <x:row r="467">
      <x:c r="A467" s="6"/>
      <x:c r="B467" s="7" t="n">
        <x:v>-0.011025338339459883</x:v>
      </x:c>
      <x:c r="C467" s="7" t="n">
        <x:v>-0.0010119496821583381</x:v>
      </x:c>
      <x:c r="D467" s="7" t="n">
        <x:v>-0.009336515843541117</x:v>
      </x:c>
      <x:c r="E467" t="n">
        <x:f>IF(ISNUMBER(A467),466,0)</x:f>
        <x:v>0</x:v>
      </x:c>
    </x:row>
    <x:row r="468">
      <x:c r="A468" s="6"/>
      <x:c r="B468" s="7" t="n">
        <x:v>0.015571067238582021</x:v>
      </x:c>
      <x:c r="C468" s="7" t="n">
        <x:v>-0.01312427526508845</x:v>
      </x:c>
      <x:c r="D468" s="7" t="n">
        <x:v>0.003510527622177745</x:v>
      </x:c>
      <x:c r="E468" t="n">
        <x:f>IF(ISNUMBER(A468),467,0)</x:f>
        <x:v>0</x:v>
      </x:c>
    </x:row>
    <x:row r="469">
      <x:c r="A469" s="6"/>
      <x:c r="B469" s="7" t="n">
        <x:v>0.004157697329737352</x:v>
      </x:c>
      <x:c r="C469" s="7" t="n">
        <x:v>-0.014321492711654843</x:v>
      </x:c>
      <x:c r="D469" s="7" t="n">
        <x:v>-0.00006862059988669441</x:v>
      </x:c>
      <x:c r="E469" t="n">
        <x:f>IF(ISNUMBER(A469),468,0)</x:f>
        <x:v>0</x:v>
      </x:c>
    </x:row>
    <x:row r="470">
      <x:c r="A470" s="6"/>
      <x:c r="B470" s="7" t="n">
        <x:v>-0.006296486517157595</x:v>
      </x:c>
      <x:c r="C470" s="7" t="n">
        <x:v>-0.006139845107026567</x:v>
      </x:c>
      <x:c r="D470" s="7" t="n">
        <x:v>-0.019199856442499087</x:v>
      </x:c>
      <x:c r="E470" t="n">
        <x:f>IF(ISNUMBER(A470),469,0)</x:f>
        <x:v>0</x:v>
      </x:c>
    </x:row>
    <x:row r="471">
      <x:c r="A471" s="6"/>
      <x:c r="B471" s="7" t="n">
        <x:v>0.0001956501235352979</x:v>
      </x:c>
      <x:c r="C471" s="7" t="n">
        <x:v>-0.010883923828095879</x:v>
      </x:c>
      <x:c r="D471" s="7" t="n">
        <x:v>0.014156092325452509</x:v>
      </x:c>
      <x:c r="E471" t="n">
        <x:f>IF(ISNUMBER(A471),470,0)</x:f>
        <x:v>0</x:v>
      </x:c>
    </x:row>
    <x:row r="472">
      <x:c r="A472" s="6"/>
      <x:c r="B472" s="7" t="n">
        <x:v>0.006494841655420033</x:v>
      </x:c>
      <x:c r="C472" s="7" t="n">
        <x:v>-0.00943797196146639</x:v>
      </x:c>
      <x:c r="D472" s="7" t="n">
        <x:v>-0.0006323526997903599</x:v>
      </x:c>
      <x:c r="E472" t="n">
        <x:f>IF(ISNUMBER(A472),471,0)</x:f>
        <x:v>0</x:v>
      </x:c>
    </x:row>
    <x:row r="473">
      <x:c r="A473" s="6"/>
      <x:c r="B473" s="7" t="n">
        <x:v>0.012799209026037688</x:v>
      </x:c>
      <x:c r="C473" s="7" t="n">
        <x:v>-0.001938213012418837</x:v>
      </x:c>
      <x:c r="D473" s="7" t="n">
        <x:v>0.021021003391118037</x:v>
      </x:c>
      <x:c r="E473" t="n">
        <x:f>IF(ISNUMBER(A473),472,0)</x:f>
        <x:v>0</x:v>
      </x:c>
    </x:row>
    <x:row r="474">
      <x:c r="A474" s="6"/>
      <x:c r="B474" s="7" t="n">
        <x:v>-0.005832099312123247</x:v>
      </x:c>
      <x:c r="C474" s="7" t="n">
        <x:v>-0.00522138501517465</x:v>
      </x:c>
      <x:c r="D474" s="7" t="n">
        <x:v>0.0020916331529438645</x:v>
      </x:c>
      <x:c r="E474" t="n">
        <x:f>IF(ISNUMBER(A474),473,0)</x:f>
        <x:v>0</x:v>
      </x:c>
    </x:row>
    <x:row r="475">
      <x:c r="A475" s="6"/>
      <x:c r="B475" s="7" t="n">
        <x:v>-0.005129297103209032</x:v>
      </x:c>
      <x:c r="C475" s="7" t="n">
        <x:v>-0.02513560565952796</x:v>
      </x:c>
      <x:c r="D475" s="7" t="n">
        <x:v>-0.0107462441100435</x:v>
      </x:c>
      <x:c r="E475" t="n">
        <x:f>IF(ISNUMBER(A475),474,0)</x:f>
        <x:v>0</x:v>
      </x:c>
    </x:row>
    <x:row r="476">
      <x:c r="A476" s="6"/>
      <x:c r="B476" s="7" t="n">
        <x:v>0.0017963245677985816</x:v>
      </x:c>
      <x:c r="C476" s="7" t="n">
        <x:v>-0.00027419301292273314</x:v>
      </x:c>
      <x:c r="D476" s="7" t="n">
        <x:v>-0.009841257642855204</x:v>
      </x:c>
      <x:c r="E476" t="n">
        <x:f>IF(ISNUMBER(A476),475,0)</x:f>
        <x:v>0</x:v>
      </x:c>
    </x:row>
    <x:row r="477">
      <x:c r="A477" s="6"/>
      <x:c r="B477" s="7" t="n">
        <x:v>-0.0026992374898124638</x:v>
      </x:c>
      <x:c r="C477" s="7" t="n">
        <x:v>0.0006186412947167101</x:v>
      </x:c>
      <x:c r="D477" s="7" t="n">
        <x:v>0.0075368774519539465</x:v>
      </x:c>
      <x:c r="E477" t="n">
        <x:f>IF(ISNUMBER(A477),476,0)</x:f>
        <x:v>0</x:v>
      </x:c>
    </x:row>
    <x:row r="478">
      <x:c r="A478" s="6"/>
      <x:c r="B478" s="7" t="n">
        <x:v>0.002579735981668244</x:v>
      </x:c>
      <x:c r="C478" s="7" t="n">
        <x:v>-0.000349841597939317</x:v>
      </x:c>
      <x:c r="D478" s="7" t="n">
        <x:v>-0.0007568983432675826</x:v>
      </x:c>
      <x:c r="E478" t="n">
        <x:f>IF(ISNUMBER(A478),477,0)</x:f>
        <x:v>0</x:v>
      </x:c>
    </x:row>
    <x:row r="479">
      <x:c r="A479" s="6"/>
      <x:c r="B479" s="7" t="n">
        <x:v>0.000030140364168842644</x:v>
      </x:c>
      <x:c r="C479" s="7" t="n">
        <x:v>0.0004821827718269961</x:v>
      </x:c>
      <x:c r="D479" s="7" t="n">
        <x:v>-0.01616277567721344</x:v>
      </x:c>
      <x:c r="E479" t="n">
        <x:f>IF(ISNUMBER(A479),478,0)</x:f>
        <x:v>0</x:v>
      </x:c>
    </x:row>
    <x:row r="480">
      <x:c r="A480" s="6"/>
      <x:c r="B480" s="7" t="n">
        <x:v>-0.0008890603035791245</x:v>
      </x:c>
      <x:c r="C480" s="7" t="n">
        <x:v>-0.0032695938708981543</x:v>
      </x:c>
      <x:c r="D480" s="7" t="n">
        <x:v>0.014828304140581876</x:v>
      </x:c>
      <x:c r="E480" t="n">
        <x:f>IF(ISNUMBER(A480),479,0)</x:f>
        <x:v>0</x:v>
      </x:c>
    </x:row>
    <x:row r="481">
      <x:c r="A481" s="6"/>
      <x:c r="B481" s="7" t="n">
        <x:v>-0.008550518590530052</x:v>
      </x:c>
      <x:c r="C481" s="7" t="n">
        <x:v>-0.004157629221923351</x:v>
      </x:c>
      <x:c r="D481" s="7" t="n">
        <x:v>0.005305868930404662</x:v>
      </x:c>
      <x:c r="E481" t="n">
        <x:f>IF(ISNUMBER(A481),480,0)</x:f>
        <x:v>0</x:v>
      </x:c>
    </x:row>
    <x:row r="482">
      <x:c r="A482" s="6"/>
      <x:c r="B482" s="7" t="n">
        <x:v>-0.009003455307806425</x:v>
      </x:c>
      <x:c r="C482" s="7" t="n">
        <x:v>0.005139091975593526</x:v>
      </x:c>
      <x:c r="D482" s="7" t="n">
        <x:v>-0.007038514046303998</x:v>
      </x:c>
      <x:c r="E482" t="n">
        <x:f>IF(ISNUMBER(A482),481,0)</x:f>
        <x:v>0</x:v>
      </x:c>
    </x:row>
    <x:row r="483">
      <x:c r="A483" s="6"/>
      <x:c r="B483" s="7" t="n">
        <x:v>0.0065242843320094356</x:v>
      </x:c>
      <x:c r="C483" s="7" t="n">
        <x:v>-0.0009924886721466564</x:v>
      </x:c>
      <x:c r="D483" s="7" t="n">
        <x:v>0.0069118557772341015</x:v>
      </x:c>
      <x:c r="E483" t="n">
        <x:f>IF(ISNUMBER(A483),482,0)</x:f>
        <x:v>0</x:v>
      </x:c>
    </x:row>
    <x:row r="484">
      <x:c r="A484" s="6"/>
      <x:c r="B484" s="7" t="n">
        <x:v>-0.005621518914093455</x:v>
      </x:c>
      <x:c r="C484" s="7" t="n">
        <x:v>0.021923086210801003</x:v>
      </x:c>
      <x:c r="D484" s="7" t="n">
        <x:v>-0.008934363285135322</x:v>
      </x:c>
      <x:c r="E484" t="n">
        <x:f>IF(ISNUMBER(A484),483,0)</x:f>
        <x:v>0</x:v>
      </x:c>
    </x:row>
    <x:row r="485">
      <x:c r="A485" s="6"/>
      <x:c r="B485" s="7" t="n">
        <x:v>0.012451505209006137</x:v>
      </x:c>
      <x:c r="C485" s="7" t="n">
        <x:v>0.002462797237079257</x:v>
      </x:c>
      <x:c r="D485" s="7" t="n">
        <x:v>0.007192529479613374</x:v>
      </x:c>
      <x:c r="E485" t="n">
        <x:f>IF(ISNUMBER(A485),484,0)</x:f>
        <x:v>0</x:v>
      </x:c>
    </x:row>
    <x:row r="486">
      <x:c r="A486" s="6"/>
      <x:c r="B486" s="7" t="n">
        <x:v>-0.0017049768309571698</x:v>
      </x:c>
      <x:c r="C486" s="7" t="n">
        <x:v>-0.003288598705308716</x:v>
      </x:c>
      <x:c r="D486" s="7" t="n">
        <x:v>-0.007752057913739258</x:v>
      </x:c>
      <x:c r="E486" t="n">
        <x:f>IF(ISNUMBER(A486),485,0)</x:f>
        <x:v>0</x:v>
      </x:c>
    </x:row>
    <x:row r="487">
      <x:c r="A487" s="6"/>
      <x:c r="B487" s="7" t="n">
        <x:v>0.012890082702253437</x:v>
      </x:c>
      <x:c r="C487" s="7" t="n">
        <x:v>-0.0053463088771225475</x:v>
      </x:c>
      <x:c r="D487" s="7" t="n">
        <x:v>0.0022110490603204787</x:v>
      </x:c>
      <x:c r="E487" t="n">
        <x:f>IF(ISNUMBER(A487),486,0)</x:f>
        <x:v>0</x:v>
      </x:c>
    </x:row>
    <x:row r="488">
      <x:c r="A488" s="6"/>
      <x:c r="B488" s="7" t="n">
        <x:v>-0.0008380550078628504</x:v>
      </x:c>
      <x:c r="C488" s="7" t="n">
        <x:v>0.024889609238249788</x:v>
      </x:c>
      <x:c r="D488" s="7" t="n">
        <x:v>0.0007408879831702318</x:v>
      </x:c>
      <x:c r="E488" t="n">
        <x:f>IF(ISNUMBER(A488),487,0)</x:f>
        <x:v>0</x:v>
      </x:c>
    </x:row>
    <x:row r="489">
      <x:c r="A489" s="6"/>
      <x:c r="B489" s="7" t="n">
        <x:v>0.02389931486644305</x:v>
      </x:c>
      <x:c r="C489" s="7" t="n">
        <x:v>0.002350968559306422</x:v>
      </x:c>
      <x:c r="D489" s="7" t="n">
        <x:v>-0.00992930005304082</x:v>
      </x:c>
      <x:c r="E489" t="n">
        <x:f>IF(ISNUMBER(A489),488,0)</x:f>
        <x:v>0</x:v>
      </x:c>
    </x:row>
    <x:row r="490">
      <x:c r="A490" s="6"/>
      <x:c r="B490" s="7" t="n">
        <x:v>-0.008180096948342581</x:v>
      </x:c>
      <x:c r="C490" s="7" t="n">
        <x:v>-0.02862794878841644</x:v>
      </x:c>
      <x:c r="D490" s="7" t="n">
        <x:v>0.0027922584023770546</x:v>
      </x:c>
      <x:c r="E490" t="n">
        <x:f>IF(ISNUMBER(A490),489,0)</x:f>
        <x:v>0</x:v>
      </x:c>
    </x:row>
    <x:row r="491">
      <x:c r="A491" s="6"/>
      <x:c r="B491" s="7" t="n">
        <x:v>0.01513805997667216</x:v>
      </x:c>
      <x:c r="C491" s="7" t="n">
        <x:v>-0.0001654332910425907</x:v>
      </x:c>
      <x:c r="D491" s="7" t="n">
        <x:v>-0.009146683090783895</x:v>
      </x:c>
      <x:c r="E491" t="n">
        <x:f>IF(ISNUMBER(A491),490,0)</x:f>
        <x:v>0</x:v>
      </x:c>
    </x:row>
    <x:row r="492">
      <x:c r="A492" s="6"/>
      <x:c r="B492" s="7" t="n">
        <x:v>-0.010045365538607227</x:v>
      </x:c>
      <x:c r="C492" s="7" t="n">
        <x:v>0.0012107524042429647</x:v>
      </x:c>
      <x:c r="D492" s="7" t="n">
        <x:v>0.00756277060014853</x:v>
      </x:c>
      <x:c r="E492" t="n">
        <x:f>IF(ISNUMBER(A492),491,0)</x:f>
        <x:v>0</x:v>
      </x:c>
    </x:row>
    <x:row r="493">
      <x:c r="A493" s="6"/>
      <x:c r="B493" s="7" t="n">
        <x:v>0.0073782428059706645</x:v>
      </x:c>
      <x:c r="C493" s="7" t="n">
        <x:v>0.002064317653987575</x:v>
      </x:c>
      <x:c r="D493" s="7" t="n">
        <x:v>-0.001228747984314022</x:v>
      </x:c>
      <x:c r="E493" t="n">
        <x:f>IF(ISNUMBER(A493),492,0)</x:f>
        <x:v>0</x:v>
      </x:c>
    </x:row>
    <x:row r="494">
      <x:c r="A494" s="6"/>
      <x:c r="B494" s="7" t="n">
        <x:v>-0.020936895692796983</x:v>
      </x:c>
      <x:c r="C494" s="7" t="n">
        <x:v>-0.010493694050065462</x:v>
      </x:c>
      <x:c r="D494" s="7" t="n">
        <x:v>0.007412465674508961</x:v>
      </x:c>
      <x:c r="E494" t="n">
        <x:f>IF(ISNUMBER(A494),493,0)</x:f>
        <x:v>0</x:v>
      </x:c>
    </x:row>
    <x:row r="495">
      <x:c r="A495" s="6"/>
      <x:c r="B495" s="7" t="n">
        <x:v>0.004155760573138742</x:v>
      </x:c>
      <x:c r="C495" s="7" t="n">
        <x:v>0.005425085529296656</x:v>
      </x:c>
      <x:c r="D495" s="7" t="n">
        <x:v>-0.007208928041294668</x:v>
      </x:c>
      <x:c r="E495" t="n">
        <x:f>IF(ISNUMBER(A495),494,0)</x:f>
        <x:v>0</x:v>
      </x:c>
    </x:row>
    <x:row r="496">
      <x:c r="A496" s="6"/>
      <x:c r="B496" s="7" t="n">
        <x:v>-0.0008043804578739281</x:v>
      </x:c>
      <x:c r="C496" s="7" t="n">
        <x:v>0.010561588859108496</x:v>
      </x:c>
      <x:c r="D496" s="7" t="n">
        <x:v>0.015625090424681774</x:v>
      </x:c>
      <x:c r="E496" t="n">
        <x:f>IF(ISNUMBER(A496),495,0)</x:f>
        <x:v>0</x:v>
      </x:c>
    </x:row>
    <x:row r="497">
      <x:c r="A497" s="6"/>
      <x:c r="B497" s="7" t="n">
        <x:v>-0.00967205062806602</x:v>
      </x:c>
      <x:c r="C497" s="7" t="n">
        <x:v>-0.013130849127343382</x:v>
      </x:c>
      <x:c r="D497" s="7" t="n">
        <x:v>-0.015626290629305217</x:v>
      </x:c>
      <x:c r="E497" t="n">
        <x:f>IF(ISNUMBER(A497),496,0)</x:f>
        <x:v>0</x:v>
      </x:c>
    </x:row>
    <x:row r="498">
      <x:c r="A498" s="6"/>
      <x:c r="B498" s="7" t="n">
        <x:v>-0.00020311167132989485</x:v>
      </x:c>
      <x:c r="C498" s="7" t="n">
        <x:v>-0.012361276959726414</x:v>
      </x:c>
      <x:c r="D498" s="7" t="n">
        <x:v>0.003182946106546737</x:v>
      </x:c>
      <x:c r="E498" t="n">
        <x:f>IF(ISNUMBER(A498),497,0)</x:f>
        <x:v>0</x:v>
      </x:c>
    </x:row>
    <x:row r="499">
      <x:c r="A499" s="6"/>
      <x:c r="B499" s="7" t="n">
        <x:v>-0.01224791606337454</x:v>
      </x:c>
      <x:c r="C499" s="7" t="n">
        <x:v>-0.010244148319937064</x:v>
      </x:c>
      <x:c r="D499" s="7" t="n">
        <x:v>-0.013767523922649872</x:v>
      </x:c>
      <x:c r="E499" t="n">
        <x:f>IF(ISNUMBER(A499),498,0)</x:f>
        <x:v>0</x:v>
      </x:c>
    </x:row>
    <x:row r="500">
      <x:c r="A500" s="6"/>
      <x:c r="B500" s="7" t="n">
        <x:v>0.00030674877543245986</x:v>
      </x:c>
      <x:c r="C500" s="7" t="n">
        <x:v>-0.00321897379245833</x:v>
      </x:c>
      <x:c r="D500" s="7" t="n">
        <x:v>-0.015536148081100503</x:v>
      </x:c>
      <x:c r="E500" t="n">
        <x:f>IF(ISNUMBER(A500),499,0)</x:f>
        <x:v>0</x:v>
      </x:c>
    </x:row>
    <x:row r="501">
      <x:c r="A501" s="6"/>
      <x:c r="B501" s="7" t="n">
        <x:v>0.005120945069663045</x:v>
      </x:c>
      <x:c r="C501" s="7" t="n">
        <x:v>0.016252344588391882</x:v>
      </x:c>
      <x:c r="D501" s="7" t="n">
        <x:v>0.03454852990650043</x:v>
      </x:c>
      <x:c r="E501" t="n">
        <x:f>IF(ISNUMBER(A501),500,0)</x:f>
        <x:v>0</x:v>
      </x:c>
    </x:row>
    <x:row r="502">
      <x:c r="A502" s="6"/>
      <x:c r="B502" s="7" t="n">
        <x:v>0.005552410284024001</x:v>
      </x:c>
      <x:c r="C502" s="7" t="n">
        <x:v>0.0006512364587215278</x:v>
      </x:c>
      <x:c r="D502" s="7" t="n">
        <x:v>-0.0008935343125029324</x:v>
      </x:c>
      <x:c r="E502" t="n">
        <x:f>IF(ISNUMBER(A502),501,0)</x:f>
        <x:v>0</x:v>
      </x:c>
    </x:row>
    <x:row r="503">
      <x:c r="A503" s="6"/>
      <x:c r="B503" s="7" t="n">
        <x:v>-0.016807757532085934</x:v>
      </x:c>
      <x:c r="C503" s="7" t="n">
        <x:v>0.003401772908945094</x:v>
      </x:c>
      <x:c r="D503" s="7" t="n">
        <x:v>-0.01626002318606229</x:v>
      </x:c>
      <x:c r="E503" t="n">
        <x:f>IF(ISNUMBER(A503),502,0)</x:f>
        <x:v>0</x:v>
      </x:c>
    </x:row>
    <x:row r="504">
      <x:c r="A504" s="6"/>
      <x:c r="B504" s="7" t="n">
        <x:v>-0.019781655856033704</x:v>
      </x:c>
      <x:c r="C504" s="7" t="n">
        <x:v>-0.008761009499129332</x:v>
      </x:c>
      <x:c r="D504" s="7" t="n">
        <x:v>0.004822350320440785</x:v>
      </x:c>
      <x:c r="E504" t="n">
        <x:f>IF(ISNUMBER(A504),503,0)</x:f>
        <x:v>0</x:v>
      </x:c>
    </x:row>
    <x:row r="505">
      <x:c r="A505" s="6"/>
      <x:c r="B505" s="7" t="n">
        <x:v>0.005886003059464483</x:v>
      </x:c>
      <x:c r="C505" s="7" t="n">
        <x:v>-0.0037895437022610703</x:v>
      </x:c>
      <x:c r="D505" s="7" t="n">
        <x:v>-0.018421293476035678</x:v>
      </x:c>
      <x:c r="E505" t="n">
        <x:f>IF(ISNUMBER(A505),504,0)</x:f>
        <x:v>0</x:v>
      </x:c>
    </x:row>
    <x:row r="506">
      <x:c r="A506" s="6"/>
      <x:c r="B506" s="7" t="n">
        <x:v>-0.007990078699675756</x:v>
      </x:c>
      <x:c r="C506" s="7" t="n">
        <x:v>-0.003800867404507952</x:v>
      </x:c>
      <x:c r="D506" s="7" t="n">
        <x:v>0.004975647290271121</x:v>
      </x:c>
      <x:c r="E506" t="n">
        <x:f>IF(ISNUMBER(A506),505,0)</x:f>
        <x:v>0</x:v>
      </x:c>
    </x:row>
    <x:row r="507">
      <x:c r="A507" s="6"/>
      <x:c r="B507" s="7" t="n">
        <x:v>0.007894560831499213</x:v>
      </x:c>
      <x:c r="C507" s="7" t="n">
        <x:v>-0.011560395559277039</x:v>
      </x:c>
      <x:c r="D507" s="7" t="n">
        <x:v>0.0038019373518677407</x:v>
      </x:c>
      <x:c r="E507" t="n">
        <x:f>IF(ISNUMBER(A507),506,0)</x:f>
        <x:v>0</x:v>
      </x:c>
    </x:row>
    <x:row r="508">
      <x:c r="A508" s="6"/>
      <x:c r="B508" s="7" t="n">
        <x:v>0.005406505362409038</x:v>
      </x:c>
      <x:c r="C508" s="7" t="n">
        <x:v>-0.0060132556948883096</x:v>
      </x:c>
      <x:c r="D508" s="7" t="n">
        <x:v>-0.031002031903073175</x:v>
      </x:c>
      <x:c r="E508" t="n">
        <x:f>IF(ISNUMBER(A508),507,0)</x:f>
        <x:v>0</x:v>
      </x:c>
    </x:row>
    <x:row r="509">
      <x:c r="A509" s="6"/>
      <x:c r="B509" s="7" t="n">
        <x:v>-0.017162044428578667</x:v>
      </x:c>
      <x:c r="C509" s="7" t="n">
        <x:v>-0.007408528019623071</x:v>
      </x:c>
      <x:c r="D509" s="7" t="n">
        <x:v>0.005576937158980044</x:v>
      </x:c>
      <x:c r="E509" t="n">
        <x:f>IF(ISNUMBER(A509),508,0)</x:f>
        <x:v>0</x:v>
      </x:c>
    </x:row>
    <x:row r="510">
      <x:c r="A510" s="6"/>
      <x:c r="B510" s="7" t="n">
        <x:v>-0.001978478682771429</x:v>
      </x:c>
      <x:c r="C510" s="7" t="n">
        <x:v>-0.00022905783592758015</x:v>
      </x:c>
      <x:c r="D510" s="7" t="n">
        <x:v>0.023662037106332377</x:v>
      </x:c>
      <x:c r="E510" t="n">
        <x:f>IF(ISNUMBER(A510),509,0)</x:f>
        <x:v>0</x:v>
      </x:c>
    </x:row>
    <x:row r="511">
      <x:c r="A511" s="6"/>
      <x:c r="B511" s="7" t="n">
        <x:v>0.004194648215058249</x:v>
      </x:c>
      <x:c r="C511" s="7" t="n">
        <x:v>0.010496256606901</x:v>
      </x:c>
      <x:c r="D511" s="7" t="n">
        <x:v>-0.011853880658955545</x:v>
      </x:c>
      <x:c r="E511" t="n">
        <x:f>IF(ISNUMBER(A511),510,0)</x:f>
        <x:v>0</x:v>
      </x:c>
    </x:row>
    <x:row r="512">
      <x:c r="A512" s="6"/>
      <x:c r="B512" s="7" t="n">
        <x:v>-0.015215155248027482</x:v>
      </x:c>
      <x:c r="C512" s="7" t="n">
        <x:v>0.0002899025562697542</x:v>
      </x:c>
      <x:c r="D512" s="7" t="n">
        <x:v>0.025073034761318825</x:v>
      </x:c>
      <x:c r="E512" t="n">
        <x:f>IF(ISNUMBER(A512),511,0)</x:f>
        <x:v>0</x:v>
      </x:c>
    </x:row>
    <x:row r="513">
      <x:c r="A513" s="6"/>
      <x:c r="B513" s="7" t="n">
        <x:v>-0.0018530437018850101</x:v>
      </x:c>
      <x:c r="C513" s="7" t="n">
        <x:v>0.0012341285091289455</x:v>
      </x:c>
      <x:c r="D513" s="7" t="n">
        <x:v>-0.003148037478955532</x:v>
      </x:c>
      <x:c r="E513" t="n">
        <x:f>IF(ISNUMBER(A513),512,0)</x:f>
        <x:v>0</x:v>
      </x:c>
    </x:row>
    <x:row r="514">
      <x:c r="A514" s="6"/>
      <x:c r="B514" s="7" t="n">
        <x:v>0.009022118755822659</x:v>
      </x:c>
      <x:c r="C514" s="7" t="n">
        <x:v>-0.0010299265855729155</x:v>
      </x:c>
      <x:c r="D514" s="7" t="n">
        <x:v>0.01005506024508112</x:v>
      </x:c>
      <x:c r="E514" t="n">
        <x:f>IF(ISNUMBER(A514),513,0)</x:f>
        <x:v>0</x:v>
      </x:c>
    </x:row>
    <x:row r="515">
      <x:c r="A515" s="6"/>
      <x:c r="B515" s="7" t="n">
        <x:v>-0.005281377898661701</x:v>
      </x:c>
      <x:c r="C515" s="7" t="n">
        <x:v>0.011799162303651724</x:v>
      </x:c>
      <x:c r="D515" s="7" t="n">
        <x:v>0.008646713462284716</x:v>
      </x:c>
      <x:c r="E515" t="n">
        <x:f>IF(ISNUMBER(A515),514,0)</x:f>
        <x:v>0</x:v>
      </x:c>
    </x:row>
    <x:row r="516">
      <x:c r="A516" s="6"/>
      <x:c r="B516" s="7" t="n">
        <x:v>-0.00471256215662566</x:v>
      </x:c>
      <x:c r="C516" s="7" t="n">
        <x:v>0.002105153760501898</x:v>
      </x:c>
      <x:c r="D516" s="7" t="n">
        <x:v>0.004366339835936992</x:v>
      </x:c>
      <x:c r="E516" t="n">
        <x:f>IF(ISNUMBER(A516),515,0)</x:f>
        <x:v>0</x:v>
      </x:c>
    </x:row>
    <x:row r="517">
      <x:c r="A517" s="6"/>
      <x:c r="B517" s="7" t="n">
        <x:v>-0.006787858584820564</x:v>
      </x:c>
      <x:c r="C517" s="7" t="n">
        <x:v>-0.0009407886930978748</x:v>
      </x:c>
      <x:c r="D517" s="7" t="n">
        <x:v>0.013968903101371834</x:v>
      </x:c>
      <x:c r="E517" t="n">
        <x:f>IF(ISNUMBER(A517),516,0)</x:f>
        <x:v>0</x:v>
      </x:c>
    </x:row>
    <x:row r="518">
      <x:c r="A518" s="6"/>
      <x:c r="B518" s="7" t="n">
        <x:v>0.0007703522080038368</x:v>
      </x:c>
      <x:c r="C518" s="7" t="n">
        <x:v>-0.019499665858590972</x:v>
      </x:c>
      <x:c r="D518" s="7" t="n">
        <x:v>-0.008366758839750245</x:v>
      </x:c>
      <x:c r="E518" t="n">
        <x:f>IF(ISNUMBER(A518),517,0)</x:f>
        <x:v>0</x:v>
      </x:c>
    </x:row>
    <x:row r="519">
      <x:c r="A519" s="6"/>
      <x:c r="B519" s="7" t="n">
        <x:v>-0.012171186897808947</x:v>
      </x:c>
      <x:c r="C519" s="7" t="n">
        <x:v>0.0043503237162953465</x:v>
      </x:c>
      <x:c r="D519" s="7" t="n">
        <x:v>-0.0023370036242982626</x:v>
      </x:c>
      <x:c r="E519" t="n">
        <x:f>IF(ISNUMBER(A519),518,0)</x:f>
        <x:v>0</x:v>
      </x:c>
    </x:row>
    <x:row r="520">
      <x:c r="A520" s="6"/>
      <x:c r="B520" s="7" t="n">
        <x:v>-0.011298810995046043</x:v>
      </x:c>
      <x:c r="C520" s="7" t="n">
        <x:v>-0.008433083933674874</x:v>
      </x:c>
      <x:c r="D520" s="7" t="n">
        <x:v>0.016489183075169705</x:v>
      </x:c>
      <x:c r="E520" t="n">
        <x:f>IF(ISNUMBER(A520),519,0)</x:f>
        <x:v>0</x:v>
      </x:c>
    </x:row>
    <x:row r="521">
      <x:c r="A521" s="6"/>
      <x:c r="B521" s="7" t="n">
        <x:v>0.004730501716643477</x:v>
      </x:c>
      <x:c r="C521" s="7" t="n">
        <x:v>0.0005327367410022549</x:v>
      </x:c>
      <x:c r="D521" s="7" t="n">
        <x:v>0.025096945498632787</x:v>
      </x:c>
      <x:c r="E521" t="n">
        <x:f>IF(ISNUMBER(A521),520,0)</x:f>
        <x:v>0</x:v>
      </x:c>
    </x:row>
    <x:row r="522">
      <x:c r="A522" s="6"/>
      <x:c r="B522" s="7" t="n">
        <x:v>0.008979728729418348</x:v>
      </x:c>
      <x:c r="C522" s="7" t="n">
        <x:v>-0.001040359811927108</x:v>
      </x:c>
      <x:c r="D522" s="7" t="n">
        <x:v>0.018821608419099148</x:v>
      </x:c>
      <x:c r="E522" t="n">
        <x:f>IF(ISNUMBER(A522),521,0)</x:f>
        <x:v>0</x:v>
      </x:c>
    </x:row>
    <x:row r="523">
      <x:c r="A523" s="6"/>
      <x:c r="B523" s="7" t="n">
        <x:v>-0.005456159796781647</x:v>
      </x:c>
      <x:c r="C523" s="7" t="n">
        <x:v>0.003848024053885735</x:v>
      </x:c>
      <x:c r="D523" s="7" t="n">
        <x:v>-0.015044171958734148</x:v>
      </x:c>
      <x:c r="E523" t="n">
        <x:f>IF(ISNUMBER(A523),522,0)</x:f>
        <x:v>0</x:v>
      </x:c>
    </x:row>
    <x:row r="524">
      <x:c r="A524" s="6"/>
      <x:c r="B524" s="7" t="n">
        <x:v>-0.006405921443340147</x:v>
      </x:c>
      <x:c r="C524" s="7" t="n">
        <x:v>0.008947761620754353</x:v>
      </x:c>
      <x:c r="D524" s="7" t="n">
        <x:v>0.012518635715518978</x:v>
      </x:c>
      <x:c r="E524" t="n">
        <x:f>IF(ISNUMBER(A524),523,0)</x:f>
        <x:v>0</x:v>
      </x:c>
    </x:row>
    <x:row r="525">
      <x:c r="A525" s="6"/>
      <x:c r="B525" s="7" t="n">
        <x:v>0.0027921020480244064</x:v>
      </x:c>
      <x:c r="C525" s="7" t="n">
        <x:v>-0.004428374916541145</x:v>
      </x:c>
      <x:c r="D525" s="7" t="n">
        <x:v>0.01118895231921306</x:v>
      </x:c>
      <x:c r="E525" t="n">
        <x:f>IF(ISNUMBER(A525),524,0)</x:f>
        <x:v>0</x:v>
      </x:c>
    </x:row>
    <x:row r="526">
      <x:c r="A526" s="6"/>
      <x:c r="B526" s="7" t="n">
        <x:v>-0.0072027529866195055</x:v>
      </x:c>
      <x:c r="C526" s="7" t="n">
        <x:v>-0.0031731361555611794</x:v>
      </x:c>
      <x:c r="D526" s="7" t="n">
        <x:v>-0.011958539511164462</x:v>
      </x:c>
      <x:c r="E526" t="n">
        <x:f>IF(ISNUMBER(A526),525,0)</x:f>
        <x:v>0</x:v>
      </x:c>
    </x:row>
    <x:row r="527">
      <x:c r="A527" s="6"/>
      <x:c r="B527" s="7" t="n">
        <x:v>-0.0017426023361129756</x:v>
      </x:c>
      <x:c r="C527" s="7" t="n">
        <x:v>0.0010726402648805094</x:v>
      </x:c>
      <x:c r="D527" s="7" t="n">
        <x:v>-0.017040537251553686</x:v>
      </x:c>
      <x:c r="E527" t="n">
        <x:f>IF(ISNUMBER(A527),526,0)</x:f>
        <x:v>0</x:v>
      </x:c>
    </x:row>
    <x:row r="528">
      <x:c r="A528" s="6"/>
      <x:c r="B528" s="7" t="n">
        <x:v>0.0024489506902081646</x:v>
      </x:c>
      <x:c r="C528" s="7" t="n">
        <x:v>-0.007535502186126036</x:v>
      </x:c>
      <x:c r="D528" s="7" t="n">
        <x:v>0.014806687068641465</x:v>
      </x:c>
      <x:c r="E528" t="n">
        <x:f>IF(ISNUMBER(A528),527,0)</x:f>
        <x:v>0</x:v>
      </x:c>
    </x:row>
    <x:row r="529">
      <x:c r="A529" s="6"/>
      <x:c r="B529" s="7" t="n">
        <x:v>0.009011168097113137</x:v>
      </x:c>
      <x:c r="C529" s="7" t="n">
        <x:v>0.011175763390223031</x:v>
      </x:c>
      <x:c r="D529" s="7" t="n">
        <x:v>-0.0030228584976893648</x:v>
      </x:c>
      <x:c r="E529" t="n">
        <x:f>IF(ISNUMBER(A529),528,0)</x:f>
        <x:v>0</x:v>
      </x:c>
    </x:row>
    <x:row r="530">
      <x:c r="A530" s="6"/>
      <x:c r="B530" s="7" t="n">
        <x:v>0.007175323575867189</x:v>
      </x:c>
      <x:c r="C530" s="7" t="n">
        <x:v>-0.002786423887557057</x:v>
      </x:c>
      <x:c r="D530" s="7" t="n">
        <x:v>-0.03025213202770152</x:v>
      </x:c>
      <x:c r="E530" t="n">
        <x:f>IF(ISNUMBER(A530),529,0)</x:f>
        <x:v>0</x:v>
      </x:c>
    </x:row>
    <x:row r="531">
      <x:c r="A531" s="6"/>
      <x:c r="B531" s="7" t="n">
        <x:v>-0.004559077131881404</x:v>
      </x:c>
      <x:c r="C531" s="7" t="n">
        <x:v>0.002697332318469987</x:v>
      </x:c>
      <x:c r="D531" s="7" t="n">
        <x:v>0.008138910608580574</x:v>
      </x:c>
      <x:c r="E531" t="n">
        <x:f>IF(ISNUMBER(A531),530,0)</x:f>
        <x:v>0</x:v>
      </x:c>
    </x:row>
    <x:row r="532">
      <x:c r="A532" s="6"/>
      <x:c r="B532" s="7" t="n">
        <x:v>0.008582685155711412</x:v>
      </x:c>
      <x:c r="C532" s="7" t="n">
        <x:v>-0.0019166365393298843</x:v>
      </x:c>
      <x:c r="D532" s="7" t="n">
        <x:v>-0.0015561528253126488</x:v>
      </x:c>
      <x:c r="E532" t="n">
        <x:f>IF(ISNUMBER(A532),531,0)</x:f>
        <x:v>0</x:v>
      </x:c>
    </x:row>
    <x:row r="533">
      <x:c r="A533" s="6"/>
      <x:c r="B533" s="7" t="n">
        <x:v>-0.009412529290152941</x:v>
      </x:c>
      <x:c r="C533" s="7" t="n">
        <x:v>0.013814479662200533</x:v>
      </x:c>
      <x:c r="D533" s="7" t="n">
        <x:v>0.010491089455262208</x:v>
      </x:c>
      <x:c r="E533" t="n">
        <x:f>IF(ISNUMBER(A533),532,0)</x:f>
        <x:v>0</x:v>
      </x:c>
    </x:row>
    <x:row r="534">
      <x:c r="A534" s="6"/>
      <x:c r="B534" s="7" t="n">
        <x:v>0.0038448867614146688</x:v>
      </x:c>
      <x:c r="C534" s="7" t="n">
        <x:v>0.0052678398018627</x:v>
      </x:c>
      <x:c r="D534" s="7" t="n">
        <x:v>-0.004998445041659295</x:v>
      </x:c>
      <x:c r="E534" t="n">
        <x:f>IF(ISNUMBER(A534),533,0)</x:f>
        <x:v>0</x:v>
      </x:c>
    </x:row>
    <x:row r="535">
      <x:c r="A535" s="6"/>
      <x:c r="B535" s="7" t="n">
        <x:v>-0.007734758953231581</x:v>
      </x:c>
      <x:c r="C535" s="7" t="n">
        <x:v>0.0006302845403553784</x:v>
      </x:c>
      <x:c r="D535" s="7" t="n">
        <x:v>-0.0019745796429625983</x:v>
      </x:c>
      <x:c r="E535" t="n">
        <x:f>IF(ISNUMBER(A535),534,0)</x:f>
        <x:v>0</x:v>
      </x:c>
    </x:row>
    <x:row r="536">
      <x:c r="A536" s="6"/>
      <x:c r="B536" s="7" t="n">
        <x:v>-0.00706203836748955</x:v>
      </x:c>
      <x:c r="C536" s="7" t="n">
        <x:v>-0.008063435925783242</x:v>
      </x:c>
      <x:c r="D536" s="7" t="n">
        <x:v>-0.024419523585220444</x:v>
      </x:c>
      <x:c r="E536" t="n">
        <x:f>IF(ISNUMBER(A536),535,0)</x:f>
        <x:v>0</x:v>
      </x:c>
    </x:row>
    <x:row r="537">
      <x:c r="A537" s="6"/>
      <x:c r="B537" s="7" t="n">
        <x:v>0.0030212861465306524</x:v>
      </x:c>
      <x:c r="C537" s="7" t="n">
        <x:v>-0.013543800188342493</x:v>
      </x:c>
      <x:c r="D537" s="7" t="n">
        <x:v>-0.00016325708180377741</x:v>
      </x:c>
      <x:c r="E537" t="n">
        <x:f>IF(ISNUMBER(A537),536,0)</x:f>
        <x:v>0</x:v>
      </x:c>
    </x:row>
    <x:row r="538">
      <x:c r="A538" s="6"/>
      <x:c r="B538" s="7" t="n">
        <x:v>0.0064456972301170316</x:v>
      </x:c>
      <x:c r="C538" s="7" t="n">
        <x:v>0.014168974650234938</x:v>
      </x:c>
      <x:c r="D538" s="7" t="n">
        <x:v>0.009939815259517051</x:v>
      </x:c>
      <x:c r="E538" t="n">
        <x:f>IF(ISNUMBER(A538),537,0)</x:f>
        <x:v>0</x:v>
      </x:c>
    </x:row>
    <x:row r="539">
      <x:c r="A539" s="6"/>
      <x:c r="B539" s="7" t="n">
        <x:v>-0.0033197245754116454</x:v>
      </x:c>
      <x:c r="C539" s="7" t="n">
        <x:v>0.003881880053573484</x:v>
      </x:c>
      <x:c r="D539" s="7" t="n">
        <x:v>-0.006871517086688851</x:v>
      </x:c>
      <x:c r="E539" t="n">
        <x:f>IF(ISNUMBER(A539),538,0)</x:f>
        <x:v>0</x:v>
      </x:c>
    </x:row>
    <x:row r="540">
      <x:c r="A540" s="6"/>
      <x:c r="B540" s="7" t="n">
        <x:v>0.013021027910592871</x:v>
      </x:c>
      <x:c r="C540" s="7" t="n">
        <x:v>0.006086722874220982</x:v>
      </x:c>
      <x:c r="D540" s="7" t="n">
        <x:v>0.015163982624096475</x:v>
      </x:c>
      <x:c r="E540" t="n">
        <x:f>IF(ISNUMBER(A540),539,0)</x:f>
        <x:v>0</x:v>
      </x:c>
    </x:row>
    <x:row r="541">
      <x:c r="A541" s="6"/>
      <x:c r="B541" s="7" t="n">
        <x:v>-0.003798618200648166</x:v>
      </x:c>
      <x:c r="C541" s="7" t="n">
        <x:v>-0.00376158168599111</x:v>
      </x:c>
      <x:c r="D541" s="7" t="n">
        <x:v>0.005739124085054654</x:v>
      </x:c>
      <x:c r="E541" t="n">
        <x:f>IF(ISNUMBER(A541),540,0)</x:f>
        <x:v>0</x:v>
      </x:c>
    </x:row>
    <x:row r="542">
      <x:c r="A542" s="6"/>
      <x:c r="B542" s="7" t="n">
        <x:v>-0.0030982901190132455</x:v>
      </x:c>
      <x:c r="C542" s="7" t="n">
        <x:v>0.010012061990595877</x:v>
      </x:c>
      <x:c r="D542" s="7" t="n">
        <x:v>-0.009086106631465475</x:v>
      </x:c>
      <x:c r="E542" t="n">
        <x:f>IF(ISNUMBER(A542),541,0)</x:f>
        <x:v>0</x:v>
      </x:c>
    </x:row>
    <x:row r="543">
      <x:c r="A543" s="6"/>
      <x:c r="B543" s="7" t="n">
        <x:v>-0.01451419520047328</x:v>
      </x:c>
      <x:c r="C543" s="7" t="n">
        <x:v>-0.013174009284233804</x:v>
      </x:c>
      <x:c r="D543" s="7" t="n">
        <x:v>0.0024856331263652877</x:v>
      </x:c>
      <x:c r="E543" t="n">
        <x:f>IF(ISNUMBER(A543),542,0)</x:f>
        <x:v>0</x:v>
      </x:c>
    </x:row>
    <x:row r="544">
      <x:c r="A544" s="6"/>
      <x:c r="B544" s="7" t="n">
        <x:v>0.008169252326900571</x:v>
      </x:c>
      <x:c r="C544" s="7" t="n">
        <x:v>0.0016125762176432499</x:v>
      </x:c>
      <x:c r="D544" s="7" t="n">
        <x:v>-0.010096556992567084</x:v>
      </x:c>
      <x:c r="E544" t="n">
        <x:f>IF(ISNUMBER(A544),543,0)</x:f>
        <x:v>0</x:v>
      </x:c>
    </x:row>
    <x:row r="545">
      <x:c r="A545" s="6"/>
      <x:c r="B545" s="7" t="n">
        <x:v>0.013477353707385998</x:v>
      </x:c>
      <x:c r="C545" s="7" t="n">
        <x:v>-0.00063701517952557</x:v>
      </x:c>
      <x:c r="D545" s="7" t="n">
        <x:v>0.007028856422291817</x:v>
      </x:c>
      <x:c r="E545" t="n">
        <x:f>IF(ISNUMBER(A545),544,0)</x:f>
        <x:v>0</x:v>
      </x:c>
    </x:row>
    <x:row r="546">
      <x:c r="A546" s="6"/>
      <x:c r="B546" s="7" t="n">
        <x:v>-0.010512687699501049</x:v>
      </x:c>
      <x:c r="C546" s="7" t="n">
        <x:v>-0.003090089516713462</x:v>
      </x:c>
      <x:c r="D546" s="7" t="n">
        <x:v>-0.005594986421861692</x:v>
      </x:c>
      <x:c r="E546" t="n">
        <x:f>IF(ISNUMBER(A546),545,0)</x:f>
        <x:v>0</x:v>
      </x:c>
    </x:row>
    <x:row r="547">
      <x:c r="A547" s="6"/>
      <x:c r="B547" s="7" t="n">
        <x:v>0.0135061583906923</x:v>
      </x:c>
      <x:c r="C547" s="7" t="n">
        <x:v>0.0023719044684419725</x:v>
      </x:c>
      <x:c r="D547" s="7" t="n">
        <x:v>0.008411048205718067</x:v>
      </x:c>
      <x:c r="E547" t="n">
        <x:f>IF(ISNUMBER(A547),546,0)</x:f>
        <x:v>0</x:v>
      </x:c>
    </x:row>
    <x:row r="548">
      <x:c r="A548" s="6"/>
      <x:c r="B548" s="7" t="n">
        <x:v>-0.016986206291626664</x:v>
      </x:c>
      <x:c r="C548" s="7" t="n">
        <x:v>-0.0014702791523732326</x:v>
      </x:c>
      <x:c r="D548" s="7" t="n">
        <x:v>0.0033459771037609677</x:v>
      </x:c>
      <x:c r="E548" t="n">
        <x:f>IF(ISNUMBER(A548),547,0)</x:f>
        <x:v>0</x:v>
      </x:c>
    </x:row>
    <x:row r="549">
      <x:c r="A549" s="6"/>
      <x:c r="B549" s="7" t="n">
        <x:v>-0.013500013955213736</x:v>
      </x:c>
      <x:c r="C549" s="7" t="n">
        <x:v>0.001220299558163447</x:v>
      </x:c>
      <x:c r="D549" s="7" t="n">
        <x:v>-0.001007432375808857</x:v>
      </x:c>
      <x:c r="E549" t="n">
        <x:f>IF(ISNUMBER(A549),548,0)</x:f>
        <x:v>0</x:v>
      </x:c>
    </x:row>
    <x:row r="550">
      <x:c r="A550" s="6"/>
      <x:c r="B550" s="7" t="n">
        <x:v>0.004063779876733525</x:v>
      </x:c>
      <x:c r="C550" s="7" t="n">
        <x:v>0.003528641785958311</x:v>
      </x:c>
      <x:c r="D550" s="7" t="n">
        <x:v>0.01789828302303829</x:v>
      </x:c>
      <x:c r="E550" t="n">
        <x:f>IF(ISNUMBER(A550),549,0)</x:f>
        <x:v>0</x:v>
      </x:c>
    </x:row>
    <x:row r="551">
      <x:c r="A551" s="6"/>
      <x:c r="B551" s="7" t="n">
        <x:v>0.021063739546455323</x:v>
      </x:c>
      <x:c r="C551" s="7" t="n">
        <x:v>-0.0037687028858258906</x:v>
      </x:c>
      <x:c r="D551" s="7" t="n">
        <x:v>-0.0059326899641670774</x:v>
      </x:c>
      <x:c r="E551" t="n">
        <x:f>IF(ISNUMBER(A551),550,0)</x:f>
        <x:v>0</x:v>
      </x:c>
    </x:row>
    <x:row r="552">
      <x:c r="A552" s="6"/>
      <x:c r="B552" s="7" t="n">
        <x:v>-0.0030788007841164888</x:v>
      </x:c>
      <x:c r="C552" s="7" t="n">
        <x:v>-0.004328573850975002</x:v>
      </x:c>
      <x:c r="D552" s="7" t="n">
        <x:v>0.00632129070336245</x:v>
      </x:c>
      <x:c r="E552" t="n">
        <x:f>IF(ISNUMBER(A552),551,0)</x:f>
        <x:v>0</x:v>
      </x:c>
    </x:row>
    <x:row r="553">
      <x:c r="A553" s="6"/>
      <x:c r="B553" s="7" t="n">
        <x:v>-0.006234856743304114</x:v>
      </x:c>
      <x:c r="C553" s="7" t="n">
        <x:v>-0.001423777319842633</x:v>
      </x:c>
      <x:c r="D553" s="7" t="n">
        <x:v>-0.0004680575375679672</x:v>
      </x:c>
      <x:c r="E553" t="n">
        <x:f>IF(ISNUMBER(A553),552,0)</x:f>
        <x:v>0</x:v>
      </x:c>
    </x:row>
    <x:row r="554">
      <x:c r="A554" s="6"/>
      <x:c r="B554" s="7" t="n">
        <x:v>0.010543252899100033</x:v>
      </x:c>
      <x:c r="C554" s="7" t="n">
        <x:v>-0.002247536771921806</x:v>
      </x:c>
      <x:c r="D554" s="7" t="n">
        <x:v>-0.0004147802712682334</x:v>
      </x:c>
      <x:c r="E554" t="n">
        <x:f>IF(ISNUMBER(A554),553,0)</x:f>
        <x:v>0</x:v>
      </x:c>
    </x:row>
    <x:row r="555">
      <x:c r="A555" s="6"/>
      <x:c r="B555" s="7" t="n">
        <x:v>0.017659339221312218</x:v>
      </x:c>
      <x:c r="C555" s="7" t="n">
        <x:v>-0.00012600212245593816</x:v>
      </x:c>
      <x:c r="D555" s="7" t="n">
        <x:v>-0.005109300817639381</x:v>
      </x:c>
      <x:c r="E555" t="n">
        <x:f>IF(ISNUMBER(A555),554,0)</x:f>
        <x:v>0</x:v>
      </x:c>
    </x:row>
    <x:row r="556">
      <x:c r="A556" s="6"/>
      <x:c r="B556" s="7" t="n">
        <x:v>-0.003507510065242051</x:v>
      </x:c>
      <x:c r="C556" s="7" t="n">
        <x:v>-0.005156123786607631</x:v>
      </x:c>
      <x:c r="D556" s="7" t="n">
        <x:v>0.0056627703867668504</x:v>
      </x:c>
      <x:c r="E556" t="n">
        <x:f>IF(ISNUMBER(A556),555,0)</x:f>
        <x:v>0</x:v>
      </x:c>
    </x:row>
    <x:row r="557">
      <x:c r="A557" s="6"/>
      <x:c r="B557" s="7" t="n">
        <x:v>0.0037393433277593093</x:v>
      </x:c>
      <x:c r="C557" s="7" t="n">
        <x:v>0.003181719311027843</x:v>
      </x:c>
      <x:c r="D557" s="7" t="n">
        <x:v>-0.007904946932665797</x:v>
      </x:c>
      <x:c r="E557" t="n">
        <x:f>IF(ISNUMBER(A557),556,0)</x:f>
        <x:v>0</x:v>
      </x:c>
    </x:row>
    <x:row r="558">
      <x:c r="A558" s="6"/>
      <x:c r="B558" s="7" t="n">
        <x:v>-0.021828405847360836</x:v>
      </x:c>
      <x:c r="C558" s="7" t="n">
        <x:v>0.00913217869099915</x:v>
      </x:c>
      <x:c r="D558" s="7" t="n">
        <x:v>-0.006403786700401418</x:v>
      </x:c>
      <x:c r="E558" t="n">
        <x:f>IF(ISNUMBER(A558),557,0)</x:f>
        <x:v>0</x:v>
      </x:c>
    </x:row>
    <x:row r="559">
      <x:c r="A559" s="6"/>
      <x:c r="B559" s="7" t="n">
        <x:v>-0.009638241576567513</x:v>
      </x:c>
      <x:c r="C559" s="7" t="n">
        <x:v>-0.007084337607954754</x:v>
      </x:c>
      <x:c r="D559" s="7" t="n">
        <x:v>0.007943371461507606</x:v>
      </x:c>
      <x:c r="E559" t="n">
        <x:f>IF(ISNUMBER(A559),558,0)</x:f>
        <x:v>0</x:v>
      </x:c>
    </x:row>
    <x:row r="560">
      <x:c r="A560" s="6"/>
      <x:c r="B560" s="7" t="n">
        <x:v>0.0004746587046395367</x:v>
      </x:c>
      <x:c r="C560" s="7" t="n">
        <x:v>0.004773814628341186</x:v>
      </x:c>
      <x:c r="D560" s="7" t="n">
        <x:v>0.002885712129729391</x:v>
      </x:c>
      <x:c r="E560" t="n">
        <x:f>IF(ISNUMBER(A560),559,0)</x:f>
        <x:v>0</x:v>
      </x:c>
    </x:row>
    <x:row r="561">
      <x:c r="A561" s="6"/>
      <x:c r="B561" s="7" t="n">
        <x:v>-0.001094507361633312</x:v>
      </x:c>
      <x:c r="C561" s="7" t="n">
        <x:v>0.0000632646038182575</x:v>
      </x:c>
      <x:c r="D561" s="7" t="n">
        <x:v>-0.005847547845011856</x:v>
      </x:c>
      <x:c r="E561" t="n">
        <x:f>IF(ISNUMBER(A561),560,0)</x:f>
        <x:v>0</x:v>
      </x:c>
    </x:row>
    <x:row r="562">
      <x:c r="A562" s="6"/>
      <x:c r="B562" s="7" t="n">
        <x:v>-0.0066185057407183705</x:v>
      </x:c>
      <x:c r="C562" s="7" t="n">
        <x:v>0.004525855911727096</x:v>
      </x:c>
      <x:c r="D562" s="7" t="n">
        <x:v>0.011544154884097274</x:v>
      </x:c>
      <x:c r="E562" t="n">
        <x:f>IF(ISNUMBER(A562),561,0)</x:f>
        <x:v>0</x:v>
      </x:c>
    </x:row>
    <x:row r="563">
      <x:c r="A563" s="6"/>
      <x:c r="B563" s="7" t="n">
        <x:v>0.0023527811358335098</x:v>
      </x:c>
      <x:c r="C563" s="7" t="n">
        <x:v>0.009542459459424724</x:v>
      </x:c>
      <x:c r="D563" s="7" t="n">
        <x:v>-0.0007083276182125564</x:v>
      </x:c>
      <x:c r="E563" t="n">
        <x:f>IF(ISNUMBER(A563),562,0)</x:f>
        <x:v>0</x:v>
      </x:c>
    </x:row>
    <x:row r="564">
      <x:c r="A564" s="6"/>
      <x:c r="B564" s="7" t="n">
        <x:v>0.0006741591986438345</x:v>
      </x:c>
      <x:c r="C564" s="7" t="n">
        <x:v>-0.007384606752581462</x:v>
      </x:c>
      <x:c r="D564" s="7" t="n">
        <x:v>0.017021509293420747</x:v>
      </x:c>
      <x:c r="E564" t="n">
        <x:f>IF(ISNUMBER(A564),563,0)</x:f>
        <x:v>0</x:v>
      </x:c>
    </x:row>
    <x:row r="565">
      <x:c r="A565" s="6"/>
      <x:c r="B565" s="7" t="n">
        <x:v>-0.023894013624634707</x:v>
      </x:c>
      <x:c r="C565" s="7" t="n">
        <x:v>-0.004403490304795787</x:v>
      </x:c>
      <x:c r="D565" s="7" t="n">
        <x:v>0.005491334155464607</x:v>
      </x:c>
      <x:c r="E565" t="n">
        <x:f>IF(ISNUMBER(A565),564,0)</x:f>
        <x:v>0</x:v>
      </x:c>
    </x:row>
    <x:row r="566">
      <x:c r="A566" s="6"/>
      <x:c r="B566" s="7" t="n">
        <x:v>0.009540017168025331</x:v>
      </x:c>
      <x:c r="C566" s="7" t="n">
        <x:v>-0.005734213890860812</x:v>
      </x:c>
      <x:c r="D566" s="7" t="n">
        <x:v>-0.00999003263342114</x:v>
      </x:c>
      <x:c r="E566" t="n">
        <x:f>IF(ISNUMBER(A566),565,0)</x:f>
        <x:v>0</x:v>
      </x:c>
    </x:row>
    <x:row r="567">
      <x:c r="A567" s="6"/>
      <x:c r="B567" s="7" t="n">
        <x:v>0.009831004744299156</x:v>
      </x:c>
      <x:c r="C567" s="7" t="n">
        <x:v>0.0008693799359942102</x:v>
      </x:c>
      <x:c r="D567" s="7" t="n">
        <x:v>0.006582155587560255</x:v>
      </x:c>
      <x:c r="E567" t="n">
        <x:f>IF(ISNUMBER(A567),566,0)</x:f>
        <x:v>0</x:v>
      </x:c>
    </x:row>
    <x:row r="568">
      <x:c r="A568" s="6"/>
      <x:c r="B568" s="7" t="n">
        <x:v>0.005088016111015043</x:v>
      </x:c>
      <x:c r="C568" s="7" t="n">
        <x:v>0.00685923837630433</x:v>
      </x:c>
      <x:c r="D568" s="7" t="n">
        <x:v>0.0012928391704428066</x:v>
      </x:c>
      <x:c r="E568" t="n">
        <x:f>IF(ISNUMBER(A568),567,0)</x:f>
        <x:v>0</x:v>
      </x:c>
    </x:row>
    <x:row r="569">
      <x:c r="A569" s="6"/>
      <x:c r="B569" s="7" t="n">
        <x:v>-0.0022946066631534534</x:v>
      </x:c>
      <x:c r="C569" s="7" t="n">
        <x:v>0.010295211307125183</x:v>
      </x:c>
      <x:c r="D569" s="7" t="n">
        <x:v>0.004141092010450764</x:v>
      </x:c>
      <x:c r="E569" t="n">
        <x:f>IF(ISNUMBER(A569),568,0)</x:f>
        <x:v>0</x:v>
      </x:c>
    </x:row>
    <x:row r="570">
      <x:c r="A570" s="6"/>
      <x:c r="B570" s="7" t="n">
        <x:v>-0.003713506742716031</x:v>
      </x:c>
      <x:c r="C570" s="7" t="n">
        <x:v>-0.014105838038008276</x:v>
      </x:c>
      <x:c r="D570" s="7" t="n">
        <x:v>-0.007616792227293958</x:v>
      </x:c>
      <x:c r="E570" t="n">
        <x:f>IF(ISNUMBER(A570),569,0)</x:f>
        <x:v>0</x:v>
      </x:c>
    </x:row>
    <x:row r="571">
      <x:c r="A571" s="6"/>
      <x:c r="B571" s="7" t="n">
        <x:v>-0.010493062802994836</x:v>
      </x:c>
      <x:c r="C571" s="7" t="n">
        <x:v>0.0031661933826011624</x:v>
      </x:c>
      <x:c r="D571" s="7" t="n">
        <x:v>-0.004062315848234147</x:v>
      </x:c>
      <x:c r="E571" t="n">
        <x:f>IF(ISNUMBER(A571),570,0)</x:f>
        <x:v>0</x:v>
      </x:c>
    </x:row>
    <x:row r="572">
      <x:c r="A572" s="6"/>
      <x:c r="B572" s="7" t="n">
        <x:v>0.015543691427775399</x:v>
      </x:c>
      <x:c r="C572" s="7" t="n">
        <x:v>0.00036296159206046784</x:v>
      </x:c>
      <x:c r="D572" s="7" t="n">
        <x:v>-0.004220413078308982</x:v>
      </x:c>
      <x:c r="E572" t="n">
        <x:f>IF(ISNUMBER(A572),571,0)</x:f>
        <x:v>0</x:v>
      </x:c>
    </x:row>
    <x:row r="573">
      <x:c r="A573" s="6"/>
      <x:c r="B573" s="7" t="n">
        <x:v>-0.006969714716492811</x:v>
      </x:c>
      <x:c r="C573" s="7" t="n">
        <x:v>-0.004885560126024604</x:v>
      </x:c>
      <x:c r="D573" s="7" t="n">
        <x:v>-0.009322410635831033</x:v>
      </x:c>
      <x:c r="E573" t="n">
        <x:f>IF(ISNUMBER(A573),572,0)</x:f>
        <x:v>0</x:v>
      </x:c>
    </x:row>
    <x:row r="574">
      <x:c r="A574" s="6"/>
      <x:c r="B574" s="7" t="n">
        <x:v>0.008402594540140347</x:v>
      </x:c>
      <x:c r="C574" s="7" t="n">
        <x:v>-0.018264849446102016</x:v>
      </x:c>
      <x:c r="D574" s="7" t="n">
        <x:v>0.010117160733518283</x:v>
      </x:c>
      <x:c r="E574" t="n">
        <x:f>IF(ISNUMBER(A574),573,0)</x:f>
        <x:v>0</x:v>
      </x:c>
    </x:row>
    <x:row r="575">
      <x:c r="A575" s="6"/>
      <x:c r="B575" s="7" t="n">
        <x:v>0.00988711803419224</x:v>
      </x:c>
      <x:c r="C575" s="7" t="n">
        <x:v>-0.002383800229148792</x:v>
      </x:c>
      <x:c r="D575" s="7" t="n">
        <x:v>0.00252193192767628</x:v>
      </x:c>
      <x:c r="E575" t="n">
        <x:f>IF(ISNUMBER(A575),574,0)</x:f>
        <x:v>0</x:v>
      </x:c>
    </x:row>
    <x:row r="576">
      <x:c r="A576" s="6"/>
      <x:c r="B576" s="7" t="n">
        <x:v>-0.005760949010888349</x:v>
      </x:c>
      <x:c r="C576" s="7" t="n">
        <x:v>-0.006958916494750421</x:v>
      </x:c>
      <x:c r="D576" s="7" t="n">
        <x:v>-0.007945929951677748</x:v>
      </x:c>
      <x:c r="E576" t="n">
        <x:f>IF(ISNUMBER(A576),575,0)</x:f>
        <x:v>0</x:v>
      </x:c>
    </x:row>
    <x:row r="577">
      <x:c r="A577" s="6"/>
      <x:c r="B577" s="7" t="n">
        <x:v>0.007095385794504991</x:v>
      </x:c>
      <x:c r="C577" s="7" t="n">
        <x:v>0.002293887698672401</x:v>
      </x:c>
      <x:c r="D577" s="7" t="n">
        <x:v>-0.005230752879263194</x:v>
      </x:c>
      <x:c r="E577" t="n">
        <x:f>IF(ISNUMBER(A577),576,0)</x:f>
        <x:v>0</x:v>
      </x:c>
    </x:row>
    <x:row r="578">
      <x:c r="A578" s="6"/>
      <x:c r="B578" s="7" t="n">
        <x:v>-0.007140449531146658</x:v>
      </x:c>
      <x:c r="C578" s="7" t="n">
        <x:v>-0.004303903864760557</x:v>
      </x:c>
      <x:c r="D578" s="7" t="n">
        <x:v>0.006891182978185817</x:v>
      </x:c>
      <x:c r="E578" t="n">
        <x:f>IF(ISNUMBER(A578),577,0)</x:f>
        <x:v>0</x:v>
      </x:c>
    </x:row>
    <x:row r="579">
      <x:c r="A579" s="6"/>
      <x:c r="B579" s="7" t="n">
        <x:v>0.004945700087134777</x:v>
      </x:c>
      <x:c r="C579" s="7" t="n">
        <x:v>-0.000600272755009774</x:v>
      </x:c>
      <x:c r="D579" s="7" t="n">
        <x:v>-0.009008979801285068</x:v>
      </x:c>
      <x:c r="E579" t="n">
        <x:f>IF(ISNUMBER(A579),578,0)</x:f>
        <x:v>0</x:v>
      </x:c>
    </x:row>
    <x:row r="580">
      <x:c r="A580" s="6"/>
      <x:c r="B580" s="7" t="n">
        <x:v>0.005822573946678721</x:v>
      </x:c>
      <x:c r="C580" s="7" t="n">
        <x:v>0.003364748218270215</x:v>
      </x:c>
      <x:c r="D580" s="7" t="n">
        <x:v>0.004828501749269129</x:v>
      </x:c>
      <x:c r="E580" t="n">
        <x:f>IF(ISNUMBER(A580),579,0)</x:f>
        <x:v>0</x:v>
      </x:c>
    </x:row>
    <x:row r="581">
      <x:c r="A581" s="6"/>
      <x:c r="B581" s="7" t="n">
        <x:v>0.015748211637519393</x:v>
      </x:c>
      <x:c r="C581" s="7" t="n">
        <x:v>0.0006880444480149197</x:v>
      </x:c>
      <x:c r="D581" s="7" t="n">
        <x:v>-0.00041880284522116017</x:v>
      </x:c>
      <x:c r="E581" t="n">
        <x:f>IF(ISNUMBER(A581),580,0)</x:f>
        <x:v>0</x:v>
      </x:c>
    </x:row>
    <x:row r="582">
      <x:c r="A582" s="6"/>
      <x:c r="B582" s="7" t="n">
        <x:v>0.016055835191257483</x:v>
      </x:c>
      <x:c r="C582" s="7" t="n">
        <x:v>-0.005406577708862214</x:v>
      </x:c>
      <x:c r="D582" s="7" t="n">
        <x:v>-0.006129143599567546</x:v>
      </x:c>
      <x:c r="E582" t="n">
        <x:f>IF(ISNUMBER(A582),581,0)</x:f>
        <x:v>0</x:v>
      </x:c>
    </x:row>
    <x:row r="583">
      <x:c r="A583" s="6"/>
      <x:c r="B583" s="7" t="n">
        <x:v>0.013498059907680379</x:v>
      </x:c>
      <x:c r="C583" s="7" t="n">
        <x:v>-0.0059845957435053325</x:v>
      </x:c>
      <x:c r="D583" s="7" t="n">
        <x:v>0.0011991523677820472</x:v>
      </x:c>
      <x:c r="E583" t="n">
        <x:f>IF(ISNUMBER(A583),582,0)</x:f>
        <x:v>0</x:v>
      </x:c>
    </x:row>
    <x:row r="584">
      <x:c r="A584" s="6"/>
      <x:c r="B584" s="7" t="n">
        <x:v>-0.013959795484007814</x:v>
      </x:c>
      <x:c r="C584" s="7" t="n">
        <x:v>0.0007893342135882297</x:v>
      </x:c>
      <x:c r="D584" s="7" t="n">
        <x:v>-0.011540162252887395</x:v>
      </x:c>
      <x:c r="E584" t="n">
        <x:f>IF(ISNUMBER(A584),583,0)</x:f>
        <x:v>0</x:v>
      </x:c>
    </x:row>
    <x:row r="585">
      <x:c r="A585" s="6"/>
      <x:c r="B585" s="7" t="n">
        <x:v>0.010631175292930579</x:v>
      </x:c>
      <x:c r="C585" s="7" t="n">
        <x:v>0.007947795065981462</x:v>
      </x:c>
      <x:c r="D585" s="7" t="n">
        <x:v>-0.010074437275749484</x:v>
      </x:c>
      <x:c r="E585" t="n">
        <x:f>IF(ISNUMBER(A585),584,0)</x:f>
        <x:v>0</x:v>
      </x:c>
    </x:row>
    <x:row r="586">
      <x:c r="A586" s="6"/>
      <x:c r="B586" s="7" t="n">
        <x:v>-0.010124607523271972</x:v>
      </x:c>
      <x:c r="C586" s="7" t="n">
        <x:v>-0.003492454433150319</x:v>
      </x:c>
      <x:c r="D586" s="7" t="n">
        <x:v>-0.004684501376104836</x:v>
      </x:c>
      <x:c r="E586" t="n">
        <x:f>IF(ISNUMBER(A586),585,0)</x:f>
        <x:v>0</x:v>
      </x:c>
    </x:row>
    <x:row r="587">
      <x:c r="A587" s="6"/>
      <x:c r="B587" s="7" t="n">
        <x:v>-0.009716430016534218</x:v>
      </x:c>
      <x:c r="C587" s="7" t="n">
        <x:v>-0.00599833282917065</x:v>
      </x:c>
      <x:c r="D587" s="7" t="n">
        <x:v>-0.0005291451422884817</x:v>
      </x:c>
      <x:c r="E587" t="n">
        <x:f>IF(ISNUMBER(A587),586,0)</x:f>
        <x:v>0</x:v>
      </x:c>
    </x:row>
    <x:row r="588">
      <x:c r="A588" s="6"/>
      <x:c r="B588" s="7" t="n">
        <x:v>-0.004641377681978425</x:v>
      </x:c>
      <x:c r="C588" s="7" t="n">
        <x:v>-0.05497498961196667</x:v>
      </x:c>
      <x:c r="D588" s="7" t="n">
        <x:v>-0.008253483339260861</x:v>
      </x:c>
      <x:c r="E588" t="n">
        <x:f>IF(ISNUMBER(A588),587,0)</x:f>
        <x:v>0</x:v>
      </x:c>
    </x:row>
    <x:row r="589">
      <x:c r="A589" s="6"/>
      <x:c r="B589" s="7" t="n">
        <x:v>-0.0030390493784978774</x:v>
      </x:c>
      <x:c r="C589" s="7" t="n">
        <x:v>0.0064760367358705695</x:v>
      </x:c>
      <x:c r="D589" s="7" t="n">
        <x:v>0.004218155156263567</x:v>
      </x:c>
      <x:c r="E589" t="n">
        <x:f>IF(ISNUMBER(A589),588,0)</x:f>
        <x:v>0</x:v>
      </x:c>
    </x:row>
    <x:row r="590">
      <x:c r="A590" s="6"/>
      <x:c r="B590" s="7" t="n">
        <x:v>-0.007582590845727778</x:v>
      </x:c>
      <x:c r="C590" s="7" t="n">
        <x:v>0.009342301206914238</x:v>
      </x:c>
      <x:c r="D590" s="7" t="n">
        <x:v>0.008388301335160976</x:v>
      </x:c>
      <x:c r="E590" t="n">
        <x:f>IF(ISNUMBER(A590),589,0)</x:f>
        <x:v>0</x:v>
      </x:c>
    </x:row>
    <x:row r="591">
      <x:c r="A591" s="6"/>
      <x:c r="B591" s="7" t="n">
        <x:v>-0.006194379515585214</x:v>
      </x:c>
      <x:c r="C591" s="7" t="n">
        <x:v>0.009908980580320453</x:v>
      </x:c>
      <x:c r="D591" s="7" t="n">
        <x:v>0.010047432991880663</x:v>
      </x:c>
      <x:c r="E591" t="n">
        <x:f>IF(ISNUMBER(A591),590,0)</x:f>
        <x:v>0</x:v>
      </x:c>
    </x:row>
    <x:row r="592">
      <x:c r="A592" s="6"/>
      <x:c r="B592" s="7" t="n">
        <x:v>-0.0013686614258003064</x:v>
      </x:c>
      <x:c r="C592" s="7" t="n">
        <x:v>-0.0035592510970855764</x:v>
      </x:c>
      <x:c r="D592" s="7" t="n">
        <x:v>0.005965155305424911</x:v>
      </x:c>
      <x:c r="E592" t="n">
        <x:f>IF(ISNUMBER(A592),591,0)</x:f>
        <x:v>0</x:v>
      </x:c>
    </x:row>
    <x:row r="593">
      <x:c r="A593" s="6"/>
      <x:c r="B593" s="7" t="n">
        <x:v>-0.011884766951783398</x:v>
      </x:c>
      <x:c r="C593" s="7" t="n">
        <x:v>0.005753054198355651</x:v>
      </x:c>
      <x:c r="D593" s="7" t="n">
        <x:v>-0.0047863972335978515</x:v>
      </x:c>
      <x:c r="E593" t="n">
        <x:f>IF(ISNUMBER(A593),592,0)</x:f>
        <x:v>0</x:v>
      </x:c>
    </x:row>
    <x:row r="594">
      <x:c r="A594" s="6"/>
      <x:c r="B594" s="7" t="n">
        <x:v>0.009036062257526708</x:v>
      </x:c>
      <x:c r="C594" s="7" t="n">
        <x:v>0.00040628471073650494</x:v>
      </x:c>
      <x:c r="D594" s="7" t="n">
        <x:v>-0.005702653893966057</x:v>
      </x:c>
      <x:c r="E594" t="n">
        <x:f>IF(ISNUMBER(A594),593,0)</x:f>
        <x:v>0</x:v>
      </x:c>
    </x:row>
    <x:row r="595">
      <x:c r="A595" s="6"/>
      <x:c r="B595" s="7" t="n">
        <x:v>0.008213339005676317</x:v>
      </x:c>
      <x:c r="C595" s="7" t="n">
        <x:v>0.0030259309207539063</x:v>
      </x:c>
      <x:c r="D595" s="7" t="n">
        <x:v>-0.0033139513668434253</x:v>
      </x:c>
      <x:c r="E595" t="n">
        <x:f>IF(ISNUMBER(A595),594,0)</x:f>
        <x:v>0</x:v>
      </x:c>
    </x:row>
    <x:row r="596">
      <x:c r="A596" s="6"/>
      <x:c r="B596" s="7" t="n">
        <x:v>-0.001590342616727451</x:v>
      </x:c>
      <x:c r="C596" s="7" t="n">
        <x:v>0.02031018725993158</x:v>
      </x:c>
      <x:c r="D596" s="7" t="n">
        <x:v>-0.007943515349771935</x:v>
      </x:c>
      <x:c r="E596" t="n">
        <x:f>IF(ISNUMBER(A596),595,0)</x:f>
        <x:v>0</x:v>
      </x:c>
    </x:row>
    <x:row r="597">
      <x:c r="A597" s="6"/>
      <x:c r="B597" s="7" t="n">
        <x:v>0.015210226506903717</x:v>
      </x:c>
      <x:c r="C597" s="7" t="n">
        <x:v>-0.0025230861958797784</x:v>
      </x:c>
      <x:c r="D597" s="7" t="n">
        <x:v>-0.0017797565499575636</x:v>
      </x:c>
      <x:c r="E597" t="n">
        <x:f>IF(ISNUMBER(A597),596,0)</x:f>
        <x:v>0</x:v>
      </x:c>
    </x:row>
    <x:row r="598">
      <x:c r="A598" s="6"/>
      <x:c r="B598" s="7" t="n">
        <x:v>0.0160648271475067</x:v>
      </x:c>
      <x:c r="C598" s="7" t="n">
        <x:v>0.006430784872861075</x:v>
      </x:c>
      <x:c r="D598" s="7" t="n">
        <x:v>0.00287436917705573</x:v>
      </x:c>
      <x:c r="E598" t="n">
        <x:f>IF(ISNUMBER(A598),597,0)</x:f>
        <x:v>0</x:v>
      </x:c>
    </x:row>
    <x:row r="599">
      <x:c r="A599" s="6"/>
      <x:c r="B599" s="7" t="n">
        <x:v>0.0036838941796607204</x:v>
      </x:c>
      <x:c r="C599" s="7" t="n">
        <x:v>-0.007396671744912298</x:v>
      </x:c>
      <x:c r="D599" s="7" t="n">
        <x:v>0.012109447373983041</x:v>
      </x:c>
      <x:c r="E599" t="n">
        <x:f>IF(ISNUMBER(A599),598,0)</x:f>
        <x:v>0</x:v>
      </x:c>
    </x:row>
    <x:row r="600">
      <x:c r="A600" s="6"/>
      <x:c r="B600" s="7" t="n">
        <x:v>0.00541307687696786</x:v>
      </x:c>
      <x:c r="C600" s="7" t="n">
        <x:v>-0.001522890553081473</x:v>
      </x:c>
      <x:c r="D600" s="7" t="n">
        <x:v>0.0027273548982005716</x:v>
      </x:c>
      <x:c r="E600" t="n">
        <x:f>IF(ISNUMBER(A600),599,0)</x:f>
        <x:v>0</x:v>
      </x:c>
    </x:row>
    <x:row r="601">
      <x:c r="A601" s="6"/>
      <x:c r="B601" s="7" t="n">
        <x:v>0.005616064955193762</x:v>
      </x:c>
      <x:c r="C601" s="7" t="n">
        <x:v>-0.005774516240788753</x:v>
      </x:c>
      <x:c r="D601" s="7" t="n">
        <x:v>-0.0063938030106463544</x:v>
      </x:c>
      <x:c r="E601" t="n">
        <x:f>IF(ISNUMBER(A601),600,0)</x:f>
        <x:v>0</x:v>
      </x:c>
    </x:row>
    <x:row r="602">
      <x:c r="A602" s="6"/>
      <x:c r="B602" s="7" t="n">
        <x:v>-0.006247240928762026</x:v>
      </x:c>
      <x:c r="C602" s="7" t="n">
        <x:v>-0.0019506056947981294</x:v>
      </x:c>
      <x:c r="D602" s="7" t="n">
        <x:v>0.00369694501719062</x:v>
      </x:c>
      <x:c r="E602" t="n">
        <x:f>IF(ISNUMBER(A602),601,0)</x:f>
        <x:v>0</x:v>
      </x:c>
    </x:row>
    <x:row r="603">
      <x:c r="A603" s="6"/>
      <x:c r="B603" s="7" t="n">
        <x:v>-0.009954499120917018</x:v>
      </x:c>
      <x:c r="C603" s="7" t="n">
        <x:v>-0.004981580440359173</x:v>
      </x:c>
      <x:c r="D603" s="7" t="n">
        <x:v>0.0022752138858146147</x:v>
      </x:c>
      <x:c r="E603" t="n">
        <x:f>IF(ISNUMBER(A603),602,0)</x:f>
        <x:v>0</x:v>
      </x:c>
    </x:row>
    <x:row r="604">
      <x:c r="A604" s="6"/>
      <x:c r="B604" s="7" t="n">
        <x:v>-0.012678738627637473</x:v>
      </x:c>
      <x:c r="C604" s="7" t="n">
        <x:v>0.0018066242004268298</x:v>
      </x:c>
      <x:c r="D604" s="7" t="n">
        <x:v>-0.014012950166549113</x:v>
      </x:c>
      <x:c r="E604" t="n">
        <x:f>IF(ISNUMBER(A604),603,0)</x:f>
        <x:v>0</x:v>
      </x:c>
    </x:row>
    <x:row r="605">
      <x:c r="A605" s="6"/>
      <x:c r="B605" s="7" t="n">
        <x:v>-0.0032796736914583948</x:v>
      </x:c>
      <x:c r="C605" s="7" t="n">
        <x:v>-0.006776279814534327</x:v>
      </x:c>
      <x:c r="D605" s="7" t="n">
        <x:v>-0.00838696535886388</x:v>
      </x:c>
      <x:c r="E605" t="n">
        <x:f>IF(ISNUMBER(A605),604,0)</x:f>
        <x:v>0</x:v>
      </x:c>
    </x:row>
    <x:row r="606">
      <x:c r="A606" s="6"/>
      <x:c r="B606" s="7" t="n">
        <x:v>-0.02036362477375037</x:v>
      </x:c>
      <x:c r="C606" s="7" t="n">
        <x:v>-0.002449705390244124</x:v>
      </x:c>
      <x:c r="D606" s="7" t="n">
        <x:v>-0.007309547312653672</x:v>
      </x:c>
      <x:c r="E606" t="n">
        <x:f>IF(ISNUMBER(A606),605,0)</x:f>
        <x:v>0</x:v>
      </x:c>
    </x:row>
    <x:row r="607">
      <x:c r="A607" s="6"/>
      <x:c r="B607" s="7" t="n">
        <x:v>-0.0056812645345842286</x:v>
      </x:c>
      <x:c r="C607" s="7" t="n">
        <x:v>0.011939424726474641</x:v>
      </x:c>
      <x:c r="D607" s="7" t="n">
        <x:v>0.008618356705104453</x:v>
      </x:c>
      <x:c r="E607" t="n">
        <x:f>IF(ISNUMBER(A607),606,0)</x:f>
        <x:v>0</x:v>
      </x:c>
    </x:row>
    <x:row r="608">
      <x:c r="A608" s="6"/>
      <x:c r="B608" s="7" t="n">
        <x:v>-0.0031960561413526822</x:v>
      </x:c>
      <x:c r="C608" s="7" t="n">
        <x:v>0.00576868728950967</x:v>
      </x:c>
      <x:c r="D608" s="7" t="n">
        <x:v>0.0034367108230722076</x:v>
      </x:c>
      <x:c r="E608" t="n">
        <x:f>IF(ISNUMBER(A608),607,0)</x:f>
        <x:v>0</x:v>
      </x:c>
    </x:row>
    <x:row r="609">
      <x:c r="A609" s="6"/>
      <x:c r="B609" s="7" t="n">
        <x:v>-0.004934857127770907</x:v>
      </x:c>
      <x:c r="C609" s="7" t="n">
        <x:v>0.0061892219421058</x:v>
      </x:c>
      <x:c r="D609" s="7" t="n">
        <x:v>0.0031714887446767717</x:v>
      </x:c>
      <x:c r="E609" t="n">
        <x:f>IF(ISNUMBER(A609),608,0)</x:f>
        <x:v>0</x:v>
      </x:c>
    </x:row>
    <x:row r="610">
      <x:c r="A610" s="6"/>
      <x:c r="B610" s="7" t="n">
        <x:v>0.005710969492095411</x:v>
      </x:c>
      <x:c r="C610" s="7" t="n">
        <x:v>0.022908477852028222</x:v>
      </x:c>
      <x:c r="D610" s="7" t="n">
        <x:v>-0.0022471821376545374</x:v>
      </x:c>
      <x:c r="E610" t="n">
        <x:f>IF(ISNUMBER(A610),609,0)</x:f>
        <x:v>0</x:v>
      </x:c>
    </x:row>
    <x:row r="611">
      <x:c r="A611" s="6"/>
      <x:c r="B611" s="7" t="n">
        <x:v>-0.00925299042259414</x:v>
      </x:c>
      <x:c r="C611" s="7" t="n">
        <x:v>-0.0043466601553593855</x:v>
      </x:c>
      <x:c r="D611" s="7" t="n">
        <x:v>-0.007234349422971929</x:v>
      </x:c>
      <x:c r="E611" t="n">
        <x:f>IF(ISNUMBER(A611),610,0)</x:f>
        <x:v>0</x:v>
      </x:c>
    </x:row>
    <x:row r="612">
      <x:c r="A612" s="6"/>
      <x:c r="B612" s="7" t="n">
        <x:v>-0.0020701195601057574</x:v>
      </x:c>
      <x:c r="C612" s="7" t="n">
        <x:v>-0.009248115085332582</x:v>
      </x:c>
      <x:c r="D612" s="7" t="n">
        <x:v>-0.009189191892478212</x:v>
      </x:c>
      <x:c r="E612" t="n">
        <x:f>IF(ISNUMBER(A612),611,0)</x:f>
        <x:v>0</x:v>
      </x:c>
    </x:row>
    <x:row r="613">
      <x:c r="A613" s="6"/>
      <x:c r="B613" s="7" t="n">
        <x:v>-0.0037937702695647843</x:v>
      </x:c>
      <x:c r="C613" s="7" t="n">
        <x:v>-0.004034339568527838</x:v>
      </x:c>
      <x:c r="D613" s="7" t="n">
        <x:v>0.001027368592527277</x:v>
      </x:c>
      <x:c r="E613" t="n">
        <x:f>IF(ISNUMBER(A613),612,0)</x:f>
        <x:v>0</x:v>
      </x:c>
    </x:row>
    <x:row r="614">
      <x:c r="A614" s="6"/>
      <x:c r="B614" s="7" t="n">
        <x:v>-0.012562026813249956</x:v>
      </x:c>
      <x:c r="C614" s="7" t="n">
        <x:v>-0.0009759770336648174</x:v>
      </x:c>
      <x:c r="D614" s="7" t="n">
        <x:v>-0.004150662323260546</x:v>
      </x:c>
      <x:c r="E614" t="n">
        <x:f>IF(ISNUMBER(A614),613,0)</x:f>
        <x:v>0</x:v>
      </x:c>
    </x:row>
    <x:row r="615">
      <x:c r="A615" s="6"/>
      <x:c r="B615" s="7" t="n">
        <x:v>0.03165601943963309</x:v>
      </x:c>
      <x:c r="C615" s="7" t="n">
        <x:v>-0.004446389284182289</x:v>
      </x:c>
      <x:c r="D615" s="7" t="n">
        <x:v>-0.015780359570837045</x:v>
      </x:c>
      <x:c r="E615" t="n">
        <x:f>IF(ISNUMBER(A615),614,0)</x:f>
        <x:v>0</x:v>
      </x:c>
    </x:row>
    <x:row r="616">
      <x:c r="A616" s="6"/>
      <x:c r="B616" s="7" t="n">
        <x:v>-0.007964048034079603</x:v>
      </x:c>
      <x:c r="C616" s="7" t="n">
        <x:v>-0.011937955701329484</x:v>
      </x:c>
      <x:c r="D616" s="7" t="n">
        <x:v>-0.0011462576146184908</x:v>
      </x:c>
      <x:c r="E616" t="n">
        <x:f>IF(ISNUMBER(A616),615,0)</x:f>
        <x:v>0</x:v>
      </x:c>
    </x:row>
    <x:row r="617">
      <x:c r="A617" s="6"/>
      <x:c r="B617" s="7" t="n">
        <x:v>0.0034381666716149697</x:v>
      </x:c>
      <x:c r="C617" s="7" t="n">
        <x:v>-0.007672879885126033</x:v>
      </x:c>
      <x:c r="D617" s="7" t="n">
        <x:v>0.006277073009239089</x:v>
      </x:c>
      <x:c r="E617" t="n">
        <x:f>IF(ISNUMBER(A617),616,0)</x:f>
        <x:v>0</x:v>
      </x:c>
    </x:row>
    <x:row r="618">
      <x:c r="A618" s="6"/>
      <x:c r="B618" s="7" t="n">
        <x:v>-0.0008588463947359369</x:v>
      </x:c>
      <x:c r="C618" s="7" t="n">
        <x:v>0.015199971857981083</x:v>
      </x:c>
      <x:c r="D618" s="7" t="n">
        <x:v>0.006466256697416659</x:v>
      </x:c>
      <x:c r="E618" t="n">
        <x:f>IF(ISNUMBER(A618),617,0)</x:f>
        <x:v>0</x:v>
      </x:c>
    </x:row>
    <x:row r="619">
      <x:c r="A619" s="6"/>
      <x:c r="B619" s="7" t="n">
        <x:v>-0.015998443577654734</x:v>
      </x:c>
      <x:c r="C619" s="7" t="n">
        <x:v>0.0032221472266001703</x:v>
      </x:c>
      <x:c r="D619" s="7" t="n">
        <x:v>0.0020385027259867757</x:v>
      </x:c>
      <x:c r="E619" t="n">
        <x:f>IF(ISNUMBER(A619),618,0)</x:f>
        <x:v>0</x:v>
      </x:c>
    </x:row>
    <x:row r="620">
      <x:c r="A620" s="6"/>
      <x:c r="B620" s="7" t="n">
        <x:v>0.014079260982279206</x:v>
      </x:c>
      <x:c r="C620" s="7" t="n">
        <x:v>0.004210057684507925</x:v>
      </x:c>
      <x:c r="D620" s="7" t="n">
        <x:v>-0.003737009490253282</x:v>
      </x:c>
      <x:c r="E620" t="n">
        <x:f>IF(ISNUMBER(A620),619,0)</x:f>
        <x:v>0</x:v>
      </x:c>
    </x:row>
    <x:row r="621">
      <x:c r="A621" s="6"/>
      <x:c r="B621" s="7" t="n">
        <x:v>-0.02539813626265877</x:v>
      </x:c>
      <x:c r="C621" s="7" t="n">
        <x:v>0.007777698930400056</x:v>
      </x:c>
      <x:c r="D621" s="7" t="n">
        <x:v>-0.0012845330493374142</x:v>
      </x:c>
      <x:c r="E621" t="n">
        <x:f>IF(ISNUMBER(A621),620,0)</x:f>
        <x:v>0</x:v>
      </x:c>
    </x:row>
    <x:row r="622">
      <x:c r="A622" s="6"/>
      <x:c r="B622" s="7" t="n">
        <x:v>-0.012596509716091811</x:v>
      </x:c>
      <x:c r="C622" s="7" t="n">
        <x:v>0.007142709904123299</x:v>
      </x:c>
      <x:c r="D622" s="7" t="n">
        <x:v>0.0012658210472698658</x:v>
      </x:c>
      <x:c r="E622" t="n">
        <x:f>IF(ISNUMBER(A622),621,0)</x:f>
        <x:v>0</x:v>
      </x:c>
    </x:row>
    <x:row r="623">
      <x:c r="A623" s="6"/>
      <x:c r="B623" s="7" t="n">
        <x:v>0.006663079400884217</x:v>
      </x:c>
      <x:c r="C623" s="7" t="n">
        <x:v>0.002777880295438992</x:v>
      </x:c>
      <x:c r="D623" s="7" t="n">
        <x:v>0.005970503817831011</x:v>
      </x:c>
      <x:c r="E623" t="n">
        <x:f>IF(ISNUMBER(A623),622,0)</x:f>
        <x:v>0</x:v>
      </x:c>
    </x:row>
    <x:row r="624">
      <x:c r="A624" s="6"/>
      <x:c r="B624" s="7" t="n">
        <x:v>0.016552272031411516</x:v>
      </x:c>
      <x:c r="C624" s="7" t="n">
        <x:v>-0.01024337444112392</x:v>
      </x:c>
      <x:c r="D624" s="7" t="n">
        <x:v>-0.00849075869313846</x:v>
      </x:c>
      <x:c r="E624" t="n">
        <x:f>IF(ISNUMBER(A624),623,0)</x:f>
        <x:v>0</x:v>
      </x:c>
    </x:row>
    <x:row r="625">
      <x:c r="A625" s="6"/>
      <x:c r="B625" s="7" t="n">
        <x:v>0.013130236680933048</x:v>
      </x:c>
      <x:c r="C625" s="7" t="n">
        <x:v>0.006945776350888513</x:v>
      </x:c>
      <x:c r="D625" s="7" t="n">
        <x:v>0.01277327821679535</x:v>
      </x:c>
      <x:c r="E625" t="n">
        <x:f>IF(ISNUMBER(A625),624,0)</x:f>
        <x:v>0</x:v>
      </x:c>
    </x:row>
    <x:row r="626">
      <x:c r="A626" s="6"/>
      <x:c r="B626" s="7" t="n">
        <x:v>0.0066271239033912025</x:v>
      </x:c>
      <x:c r="C626" s="7" t="n">
        <x:v>0.003932159028108768</x:v>
      </x:c>
      <x:c r="D626" s="7" t="n">
        <x:v>-0.00869587524292136</x:v>
      </x:c>
      <x:c r="E626" t="n">
        <x:f>IF(ISNUMBER(A626),625,0)</x:f>
        <x:v>0</x:v>
      </x:c>
    </x:row>
    <x:row r="627">
      <x:c r="A627" s="6"/>
      <x:c r="B627" s="7" t="n">
        <x:v>0.003354675352015087</x:v>
      </x:c>
      <x:c r="C627" s="7" t="n">
        <x:v>0.007513174033692005</x:v>
      </x:c>
      <x:c r="D627" s="7" t="n">
        <x:v>-0.010090694006948177</x:v>
      </x:c>
      <x:c r="E627" t="n">
        <x:f>IF(ISNUMBER(A627),626,0)</x:f>
        <x:v>0</x:v>
      </x:c>
    </x:row>
    <x:row r="628">
      <x:c r="A628" s="6"/>
      <x:c r="B628" s="7" t="n">
        <x:v>0.00930565147599334</x:v>
      </x:c>
      <x:c r="C628" s="7" t="n">
        <x:v>0.0027747858535686204</x:v>
      </x:c>
      <x:c r="D628" s="7" t="n">
        <x:v>-0.006199945455033301</x:v>
      </x:c>
      <x:c r="E628" t="n">
        <x:f>IF(ISNUMBER(A628),627,0)</x:f>
        <x:v>0</x:v>
      </x:c>
    </x:row>
    <x:row r="629">
      <x:c r="A629" s="6"/>
      <x:c r="B629" s="7" t="n">
        <x:v>-0.0022837890920121466</x:v>
      </x:c>
      <x:c r="C629" s="7" t="n">
        <x:v>0.01676091840900294</x:v>
      </x:c>
      <x:c r="D629" s="7" t="n">
        <x:v>-0.008032703168138651</x:v>
      </x:c>
      <x:c r="E629" t="n">
        <x:f>IF(ISNUMBER(A629),628,0)</x:f>
        <x:v>0</x:v>
      </x:c>
    </x:row>
    <x:row r="630">
      <x:c r="A630" s="6"/>
      <x:c r="B630" s="7" t="n">
        <x:v>0.008495750881789043</x:v>
      </x:c>
      <x:c r="C630" s="7" t="n">
        <x:v>0.00475300005860846</x:v>
      </x:c>
      <x:c r="D630" s="7" t="n">
        <x:v>0.00021617631805850417</x:v>
      </x:c>
      <x:c r="E630" t="n">
        <x:f>IF(ISNUMBER(A630),629,0)</x:f>
        <x:v>0</x:v>
      </x:c>
    </x:row>
    <x:row r="631">
      <x:c r="A631" s="6"/>
      <x:c r="B631" s="7" t="n">
        <x:v>-0.006995953976207455</x:v>
      </x:c>
      <x:c r="C631" s="7" t="n">
        <x:v>-0.002359998886882729</x:v>
      </x:c>
      <x:c r="D631" s="7" t="n">
        <x:v>0.0001762982250801685</x:v>
      </x:c>
      <x:c r="E631" t="n">
        <x:f>IF(ISNUMBER(A631),630,0)</x:f>
        <x:v>0</x:v>
      </x:c>
    </x:row>
    <x:row r="632">
      <x:c r="A632" s="6"/>
      <x:c r="B632" s="7" t="n">
        <x:v>-0.006532494112654123</x:v>
      </x:c>
      <x:c r="C632" s="7" t="n">
        <x:v>0.01292587118695835</x:v>
      </x:c>
      <x:c r="D632" s="7" t="n">
        <x:v>0.011552188351962629</x:v>
      </x:c>
      <x:c r="E632" t="n">
        <x:f>IF(ISNUMBER(A632),631,0)</x:f>
        <x:v>0</x:v>
      </x:c>
    </x:row>
    <x:row r="633">
      <x:c r="A633" s="6"/>
      <x:c r="B633" s="7" t="n">
        <x:v>-0.002855208455138448</x:v>
      </x:c>
      <x:c r="C633" s="7" t="n">
        <x:v>-0.006942402091358917</x:v>
      </x:c>
      <x:c r="D633" s="7" t="n">
        <x:v>-0.010490299461558354</x:v>
      </x:c>
      <x:c r="E633" t="n">
        <x:f>IF(ISNUMBER(A633),632,0)</x:f>
        <x:v>0</x:v>
      </x:c>
    </x:row>
    <x:row r="634">
      <x:c r="A634" s="6"/>
      <x:c r="B634" s="7" t="n">
        <x:v>0.016583649091192528</x:v>
      </x:c>
      <x:c r="C634" s="7" t="n">
        <x:v>-0.0014479649882860835</x:v>
      </x:c>
      <x:c r="D634" s="7" t="n">
        <x:v>0.008625595667931559</x:v>
      </x:c>
      <x:c r="E634" t="n">
        <x:f>IF(ISNUMBER(A634),633,0)</x:f>
        <x:v>0</x:v>
      </x:c>
    </x:row>
    <x:row r="635">
      <x:c r="A635" s="6"/>
      <x:c r="B635" s="7" t="n">
        <x:v>-0.004264639790131049</x:v>
      </x:c>
      <x:c r="C635" s="7" t="n">
        <x:v>-0.007474780068734797</x:v>
      </x:c>
      <x:c r="D635" s="7" t="n">
        <x:v>-0.013269547520766088</x:v>
      </x:c>
      <x:c r="E635" t="n">
        <x:f>IF(ISNUMBER(A635),634,0)</x:f>
        <x:v>0</x:v>
      </x:c>
    </x:row>
    <x:row r="636">
      <x:c r="A636" s="6"/>
      <x:c r="B636" s="7" t="n">
        <x:v>0.015085241213498838</x:v>
      </x:c>
      <x:c r="C636" s="7" t="n">
        <x:v>-0.007446112371382201</x:v>
      </x:c>
      <x:c r="D636" s="7" t="n">
        <x:v>0.018094741642089265</x:v>
      </x:c>
      <x:c r="E636" t="n">
        <x:f>IF(ISNUMBER(A636),635,0)</x:f>
        <x:v>0</x:v>
      </x:c>
    </x:row>
    <x:row r="637">
      <x:c r="A637" s="6"/>
      <x:c r="B637" s="7" t="n">
        <x:v>0.006276835445231442</x:v>
      </x:c>
      <x:c r="C637" s="7" t="n">
        <x:v>-0.010265202458155915</x:v>
      </x:c>
      <x:c r="D637" s="7" t="n">
        <x:v>0.0034224898649106625</x:v>
      </x:c>
      <x:c r="E637" t="n">
        <x:f>IF(ISNUMBER(A637),636,0)</x:f>
        <x:v>0</x:v>
      </x:c>
    </x:row>
    <x:row r="638">
      <x:c r="A638" s="6"/>
      <x:c r="B638" s="7" t="n">
        <x:v>-0.0040168915688236755</x:v>
      </x:c>
      <x:c r="C638" s="7" t="n">
        <x:v>-0.0014561215533940844</x:v>
      </x:c>
      <x:c r="D638" s="7" t="n">
        <x:v>0.009085550462450478</x:v>
      </x:c>
      <x:c r="E638" t="n">
        <x:f>IF(ISNUMBER(A638),637,0)</x:f>
        <x:v>0</x:v>
      </x:c>
    </x:row>
    <x:row r="639">
      <x:c r="A639" s="6"/>
      <x:c r="B639" s="7" t="n">
        <x:v>0.015760443982681803</x:v>
      </x:c>
      <x:c r="C639" s="7" t="n">
        <x:v>0.005263520959636149</x:v>
      </x:c>
      <x:c r="D639" s="7" t="n">
        <x:v>0.002956845281814893</x:v>
      </x:c>
      <x:c r="E639" t="n">
        <x:f>IF(ISNUMBER(A639),638,0)</x:f>
        <x:v>0</x:v>
      </x:c>
    </x:row>
    <x:row r="640">
      <x:c r="A640" s="6"/>
      <x:c r="B640" s="7" t="n">
        <x:v>0.01566295891262201</x:v>
      </x:c>
      <x:c r="C640" s="7" t="n">
        <x:v>0.012757061674315555</x:v>
      </x:c>
      <x:c r="D640" s="7" t="n">
        <x:v>0.009817524568480339</x:v>
      </x:c>
      <x:c r="E640" t="n">
        <x:f>IF(ISNUMBER(A640),639,0)</x:f>
        <x:v>0</x:v>
      </x:c>
    </x:row>
    <x:row r="641">
      <x:c r="A641" s="6"/>
      <x:c r="B641" s="7" t="n">
        <x:v>-0.0022142628675288966</x:v>
      </x:c>
      <x:c r="C641" s="7" t="n">
        <x:v>0.008166924363285128</x:v>
      </x:c>
      <x:c r="D641" s="7" t="n">
        <x:v>-0.007751898166928884</x:v>
      </x:c>
      <x:c r="E641" t="n">
        <x:f>IF(ISNUMBER(A641),640,0)</x:f>
        <x:v>0</x:v>
      </x:c>
    </x:row>
    <x:row r="642">
      <x:c r="A642" s="6"/>
      <x:c r="B642" s="7" t="n">
        <x:v>-0.008822918079933174</x:v>
      </x:c>
      <x:c r="C642" s="7" t="n">
        <x:v>0.0017819411124169776</x:v>
      </x:c>
      <x:c r="D642" s="7" t="n">
        <x:v>0.0016797244358730716</x:v>
      </x:c>
      <x:c r="E642" t="n">
        <x:f>IF(ISNUMBER(A642),641,0)</x:f>
        <x:v>0</x:v>
      </x:c>
    </x:row>
    <x:row r="643">
      <x:c r="A643" s="6"/>
      <x:c r="B643" s="7" t="n">
        <x:v>0.020207448015669614</x:v>
      </x:c>
      <x:c r="C643" s="7" t="n">
        <x:v>-0.0038726866730287007</x:v>
      </x:c>
      <x:c r="D643" s="7" t="n">
        <x:v>0.00027539936748165173</x:v>
      </x:c>
      <x:c r="E643" t="n">
        <x:f>IF(ISNUMBER(A643),642,0)</x:f>
        <x:v>0</x:v>
      </x:c>
    </x:row>
    <x:row r="644">
      <x:c r="A644" s="6"/>
      <x:c r="B644" s="7" t="n">
        <x:v>0.005651390810548851</x:v>
      </x:c>
      <x:c r="C644" s="7" t="n">
        <x:v>-0.003124357654183757</x:v>
      </x:c>
      <x:c r="D644" s="7" t="n">
        <x:v>-0.0035374484382538576</x:v>
      </x:c>
      <x:c r="E644" t="n">
        <x:f>IF(ISNUMBER(A644),643,0)</x:f>
        <x:v>0</x:v>
      </x:c>
    </x:row>
    <x:row r="645">
      <x:c r="A645" s="6"/>
      <x:c r="B645" s="7" t="n">
        <x:v>0.00852148679667843</x:v>
      </x:c>
      <x:c r="C645" s="7" t="n">
        <x:v>0.009196291914206766</x:v>
      </x:c>
      <x:c r="D645" s="7" t="n">
        <x:v>0.019945683442062438</x:v>
      </x:c>
      <x:c r="E645" t="n">
        <x:f>IF(ISNUMBER(A645),644,0)</x:f>
        <x:v>0</x:v>
      </x:c>
    </x:row>
    <x:row r="646">
      <x:c r="A646" s="6"/>
      <x:c r="B646" s="7" t="n">
        <x:v>0.01779316544002327</x:v>
      </x:c>
      <x:c r="C646" s="7" t="n">
        <x:v>-0.003683455813797853</x:v>
      </x:c>
      <x:c r="D646" s="7" t="n">
        <x:v>-0.005965181853718057</x:v>
      </x:c>
      <x:c r="E646" t="n">
        <x:f>IF(ISNUMBER(A646),645,0)</x:f>
        <x:v>0</x:v>
      </x:c>
    </x:row>
    <x:row r="647">
      <x:c r="A647" s="6"/>
      <x:c r="B647" s="7" t="n">
        <x:v>-0.007425262842185186</x:v>
      </x:c>
      <x:c r="C647" s="7" t="n">
        <x:v>0.007227438399627301</x:v>
      </x:c>
      <x:c r="D647" s="7" t="n">
        <x:v>0.0004752736067023504</x:v>
      </x:c>
      <x:c r="E647" t="n">
        <x:f>IF(ISNUMBER(A647),646,0)</x:f>
        <x:v>0</x:v>
      </x:c>
    </x:row>
    <x:row r="648">
      <x:c r="A648" s="6"/>
      <x:c r="B648" s="7" t="n">
        <x:v>-0.002791956889417228</x:v>
      </x:c>
      <x:c r="C648" s="7" t="n">
        <x:v>-0.0060410475589571504</x:v>
      </x:c>
      <x:c r="D648" s="7" t="n">
        <x:v>0.006682780285723365</x:v>
      </x:c>
      <x:c r="E648" t="n">
        <x:f>IF(ISNUMBER(A648),647,0)</x:f>
        <x:v>0</x:v>
      </x:c>
    </x:row>
    <x:row r="649">
      <x:c r="A649" s="6"/>
      <x:c r="B649" s="7" t="n">
        <x:v>-0.0009668486330066059</x:v>
      </x:c>
      <x:c r="C649" s="7" t="n">
        <x:v>0.0004166723903465971</x:v>
      </x:c>
      <x:c r="D649" s="7" t="n">
        <x:v>-0.011407165018469752</x:v>
      </x:c>
      <x:c r="E649" t="n">
        <x:f>IF(ISNUMBER(A649),648,0)</x:f>
        <x:v>0</x:v>
      </x:c>
    </x:row>
    <x:row r="650">
      <x:c r="A650" s="6"/>
      <x:c r="B650" s="7" t="n">
        <x:v>-0.005563088354444784</x:v>
      </x:c>
      <x:c r="C650" s="7" t="n">
        <x:v>-0.0023332323294247754</x:v>
      </x:c>
      <x:c r="D650" s="7" t="n">
        <x:v>0.00011812500662319198</x:v>
      </x:c>
      <x:c r="E650" t="n">
        <x:f>IF(ISNUMBER(A650),649,0)</x:f>
        <x:v>0</x:v>
      </x:c>
    </x:row>
    <x:row r="651">
      <x:c r="A651" s="6"/>
      <x:c r="B651" s="7" t="n">
        <x:v>-0.008037688466360481</x:v>
      </x:c>
      <x:c r="C651" s="7" t="n">
        <x:v>0.0009976349309101993</x:v>
      </x:c>
      <x:c r="D651" s="7" t="n">
        <x:v>-0.001293210599898944</x:v>
      </x:c>
      <x:c r="E651" t="n">
        <x:f>IF(ISNUMBER(A651),650,0)</x:f>
        <x:v>0</x:v>
      </x:c>
    </x:row>
    <x:row r="652">
      <x:c r="A652" s="6"/>
      <x:c r="B652" s="7" t="n">
        <x:v>-0.000891915585894435</x:v>
      </x:c>
      <x:c r="C652" s="7" t="n">
        <x:v>-0.004164868437570087</x:v>
      </x:c>
      <x:c r="D652" s="7" t="n">
        <x:v>-0.008661134218530238</x:v>
      </x:c>
      <x:c r="E652" t="n">
        <x:f>IF(ISNUMBER(A652),651,0)</x:f>
        <x:v>0</x:v>
      </x:c>
    </x:row>
    <x:row r="653">
      <x:c r="A653" s="6"/>
      <x:c r="B653" s="7" t="n">
        <x:v>0.014637567044555438</x:v>
      </x:c>
      <x:c r="C653" s="7" t="n">
        <x:v>-0.04480663308226118</x:v>
      </x:c>
      <x:c r="D653" s="7" t="n">
        <x:v>0.0013555511314543107</x:v>
      </x:c>
      <x:c r="E653" t="n">
        <x:f>IF(ISNUMBER(A653),652,0)</x:f>
        <x:v>0</x:v>
      </x:c>
    </x:row>
    <x:row r="654">
      <x:c r="A654" s="6"/>
      <x:c r="B654" s="7" t="n">
        <x:v>-0.0026022879889856334</x:v>
      </x:c>
      <x:c r="C654" s="7" t="n">
        <x:v>-0.0074331141108244575</x:v>
      </x:c>
      <x:c r="D654" s="7" t="n">
        <x:v>-0.0015631977001652232</x:v>
      </x:c>
      <x:c r="E654" t="n">
        <x:f>IF(ISNUMBER(A654),653,0)</x:f>
        <x:v>0</x:v>
      </x:c>
    </x:row>
    <x:row r="655">
      <x:c r="A655" s="6"/>
      <x:c r="B655" s="7" t="n">
        <x:v>0.004677897345563525</x:v>
      </x:c>
      <x:c r="C655" s="7" t="n">
        <x:v>0.003842610386569463</x:v>
      </x:c>
      <x:c r="D655" s="7" t="n">
        <x:v>-0.01907997970113918</x:v>
      </x:c>
      <x:c r="E655" t="n">
        <x:f>IF(ISNUMBER(A655),654,0)</x:f>
        <x:v>0</x:v>
      </x:c>
    </x:row>
    <x:row r="656">
      <x:c r="A656" s="6"/>
      <x:c r="B656" s="7" t="n">
        <x:v>-0.004536128668631163</x:v>
      </x:c>
      <x:c r="C656" s="7" t="n">
        <x:v>0.004651903949546622</x:v>
      </x:c>
      <x:c r="D656" s="7" t="n">
        <x:v>0.006543300682216009</x:v>
      </x:c>
      <x:c r="E656" t="n">
        <x:f>IF(ISNUMBER(A656),655,0)</x:f>
        <x:v>0</x:v>
      </x:c>
    </x:row>
    <x:row r="657">
      <x:c r="A657" s="6"/>
      <x:c r="B657" s="7" t="n">
        <x:v>0.009786961706873565</x:v>
      </x:c>
      <x:c r="C657" s="7" t="n">
        <x:v>0.004216683655136136</x:v>
      </x:c>
      <x:c r="D657" s="7" t="n">
        <x:v>0.0026152167641939734</x:v>
      </x:c>
      <x:c r="E657" t="n">
        <x:f>IF(ISNUMBER(A657),656,0)</x:f>
        <x:v>0</x:v>
      </x:c>
    </x:row>
    <x:row r="658">
      <x:c r="A658" s="6"/>
      <x:c r="B658" s="7" t="n">
        <x:v>-0.008018054692380065</x:v>
      </x:c>
      <x:c r="C658" s="7" t="n">
        <x:v>-0.02168087841461644</x:v>
      </x:c>
      <x:c r="D658" s="7" t="n">
        <x:v>0.006075153565098631</x:v>
      </x:c>
      <x:c r="E658" t="n">
        <x:f>IF(ISNUMBER(A658),657,0)</x:f>
        <x:v>0</x:v>
      </x:c>
    </x:row>
    <x:row r="659">
      <x:c r="A659" s="6"/>
      <x:c r="B659" s="7" t="n">
        <x:v>0.013060530516644723</x:v>
      </x:c>
      <x:c r="C659" s="7" t="n">
        <x:v>0.016507575013031062</x:v>
      </x:c>
      <x:c r="D659" s="7" t="n">
        <x:v>0.0069120711542882286</x:v>
      </x:c>
      <x:c r="E659" t="n">
        <x:f>IF(ISNUMBER(A659),658,0)</x:f>
        <x:v>0</x:v>
      </x:c>
    </x:row>
    <x:row r="660">
      <x:c r="A660" s="6"/>
      <x:c r="B660" s="7" t="n">
        <x:v>0.013894699748911625</x:v>
      </x:c>
      <x:c r="C660" s="7" t="n">
        <x:v>0.015997613707141922</x:v>
      </x:c>
      <x:c r="D660" s="7" t="n">
        <x:v>-0.0010779482386085932</x:v>
      </x:c>
      <x:c r="E660" t="n">
        <x:f>IF(ISNUMBER(A660),659,0)</x:f>
        <x:v>0</x:v>
      </x:c>
    </x:row>
    <x:row r="661">
      <x:c r="A661" s="6"/>
      <x:c r="B661" s="7" t="n">
        <x:v>-0.007417078829285955</x:v>
      </x:c>
      <x:c r="C661" s="7" t="n">
        <x:v>-0.00012897537611377343</x:v>
      </x:c>
      <x:c r="D661" s="7" t="n">
        <x:v>0.0018092623331767593</x:v>
      </x:c>
      <x:c r="E661" t="n">
        <x:f>IF(ISNUMBER(A661),660,0)</x:f>
        <x:v>0</x:v>
      </x:c>
    </x:row>
    <x:row r="662">
      <x:c r="A662" s="6"/>
      <x:c r="B662" s="7" t="n">
        <x:v>-0.008792378989518323</x:v>
      </x:c>
      <x:c r="C662" s="7" t="n">
        <x:v>0.021626323228409686</x:v>
      </x:c>
      <x:c r="D662" s="7" t="n">
        <x:v>-0.00202890753647605</x:v>
      </x:c>
      <x:c r="E662" t="n">
        <x:f>IF(ISNUMBER(A662),661,0)</x:f>
        <x:v>0</x:v>
      </x:c>
    </x:row>
    <x:row r="663">
      <x:c r="A663" s="6"/>
      <x:c r="B663" s="7" t="n">
        <x:v>-0.000192303674555758</x:v>
      </x:c>
      <x:c r="C663" s="7" t="n">
        <x:v>-0.006340530894039922</x:v>
      </x:c>
      <x:c r="D663" s="7" t="n">
        <x:v>-0.014957132272160785</x:v>
      </x:c>
      <x:c r="E663" t="n">
        <x:f>IF(ISNUMBER(A663),662,0)</x:f>
        <x:v>0</x:v>
      </x:c>
    </x:row>
    <x:row r="664">
      <x:c r="A664" s="6"/>
      <x:c r="B664" s="7" t="n">
        <x:v>0.011029686056536366</x:v>
      </x:c>
      <x:c r="C664" s="7" t="n">
        <x:v>0.0010241528354137074</x:v>
      </x:c>
      <x:c r="D664" s="7" t="n">
        <x:v>0.0006266526436794752</x:v>
      </x:c>
      <x:c r="E664" t="n">
        <x:f>IF(ISNUMBER(A664),663,0)</x:f>
        <x:v>0</x:v>
      </x:c>
    </x:row>
    <x:row r="665">
      <x:c r="A665" s="6"/>
      <x:c r="B665" s="7" t="n">
        <x:v>-0.013250397385467905</x:v>
      </x:c>
      <x:c r="C665" s="7" t="n">
        <x:v>0.00356807554646879</x:v>
      </x:c>
      <x:c r="D665" s="7" t="n">
        <x:v>-0.0036972880692218196</x:v>
      </x:c>
      <x:c r="E665" t="n">
        <x:f>IF(ISNUMBER(A665),664,0)</x:f>
        <x:v>0</x:v>
      </x:c>
    </x:row>
    <x:row r="666">
      <x:c r="A666" s="6"/>
      <x:c r="B666" s="7" t="n">
        <x:v>-0.008396441913414777</x:v>
      </x:c>
      <x:c r="C666" s="7" t="n">
        <x:v>0.008872150605390379</x:v>
      </x:c>
      <x:c r="D666" s="7" t="n">
        <x:v>-0.005379425608677792</x:v>
      </x:c>
      <x:c r="E666" t="n">
        <x:f>IF(ISNUMBER(A666),665,0)</x:f>
        <x:v>0</x:v>
      </x:c>
    </x:row>
    <x:row r="667">
      <x:c r="A667" s="6"/>
      <x:c r="B667" s="7" t="n">
        <x:v>0.013873779755241377</x:v>
      </x:c>
      <x:c r="C667" s="7" t="n">
        <x:v>-0.003081351260878332</x:v>
      </x:c>
      <x:c r="D667" s="7" t="n">
        <x:v>-0.015368521085689217</x:v>
      </x:c>
      <x:c r="E667" t="n">
        <x:f>IF(ISNUMBER(A667),666,0)</x:f>
        <x:v>0</x:v>
      </x:c>
    </x:row>
    <x:row r="668">
      <x:c r="A668" s="6"/>
      <x:c r="B668" s="7" t="n">
        <x:v>-0.004416813833649036</x:v>
      </x:c>
      <x:c r="C668" s="7" t="n">
        <x:v>-0.016398219702516818</x:v>
      </x:c>
      <x:c r="D668" s="7" t="n">
        <x:v>-0.01407855198677448</x:v>
      </x:c>
      <x:c r="E668" t="n">
        <x:f>IF(ISNUMBER(A668),667,0)</x:f>
        <x:v>0</x:v>
      </x:c>
    </x:row>
    <x:row r="669">
      <x:c r="A669" s="6"/>
      <x:c r="B669" s="7" t="n">
        <x:v>0.010656512148598606</x:v>
      </x:c>
      <x:c r="C669" s="7" t="n">
        <x:v>0.0051923095265459405</x:v>
      </x:c>
      <x:c r="D669" s="7" t="n">
        <x:v>-0.008062078434308161</x:v>
      </x:c>
      <x:c r="E669" t="n">
        <x:f>IF(ISNUMBER(A669),668,0)</x:f>
        <x:v>0</x:v>
      </x:c>
    </x:row>
    <x:row r="670">
      <x:c r="A670" s="6"/>
      <x:c r="B670" s="7" t="n">
        <x:v>-0.007993256619348387</x:v>
      </x:c>
      <x:c r="C670" s="7" t="n">
        <x:v>0.0032906848223215822</x:v>
      </x:c>
      <x:c r="D670" s="7" t="n">
        <x:v>0.004448720720836017</x:v>
      </x:c>
      <x:c r="E670" t="n">
        <x:f>IF(ISNUMBER(A670),669,0)</x:f>
        <x:v>0</x:v>
      </x:c>
    </x:row>
    <x:row r="671">
      <x:c r="A671" s="6"/>
      <x:c r="B671" s="7" t="n">
        <x:v>-0.00977685738909601</x:v>
      </x:c>
      <x:c r="C671" s="7" t="n">
        <x:v>0.000034617797719690425</x:v>
      </x:c>
      <x:c r="D671" s="7" t="n">
        <x:v>-0.01659808523390418</x:v>
      </x:c>
      <x:c r="E671" t="n">
        <x:f>IF(ISNUMBER(A671),670,0)</x:f>
        <x:v>0</x:v>
      </x:c>
    </x:row>
    <x:row r="672">
      <x:c r="A672" s="6"/>
      <x:c r="B672" s="7" t="n">
        <x:v>-0.0009040073522944553</x:v>
      </x:c>
      <x:c r="C672" s="7" t="n">
        <x:v>0.0036075371349305616</x:v>
      </x:c>
      <x:c r="D672" s="7" t="n">
        <x:v>0.003995076490604988</x:v>
      </x:c>
      <x:c r="E672" t="n">
        <x:f>IF(ISNUMBER(A672),671,0)</x:f>
        <x:v>0</x:v>
      </x:c>
    </x:row>
    <x:row r="673">
      <x:c r="A673" s="6"/>
      <x:c r="B673" s="7" t="n">
        <x:v>0.011856956060496422</x:v>
      </x:c>
      <x:c r="C673" s="7" t="n">
        <x:v>0.0009169643750559068</x:v>
      </x:c>
      <x:c r="D673" s="7" t="n">
        <x:v>0.009842432147753384</x:v>
      </x:c>
      <x:c r="E673" t="n">
        <x:f>IF(ISNUMBER(A673),672,0)</x:f>
        <x:v>0</x:v>
      </x:c>
    </x:row>
    <x:row r="674">
      <x:c r="A674" s="6"/>
      <x:c r="B674" s="7" t="n">
        <x:v>-0.0007719231099002098</x:v>
      </x:c>
      <x:c r="C674" s="7" t="n">
        <x:v>-0.01612503723554916</x:v>
      </x:c>
      <x:c r="D674" s="7" t="n">
        <x:v>-0.0023557886965395827</x:v>
      </x:c>
      <x:c r="E674" t="n">
        <x:f>IF(ISNUMBER(A674),673,0)</x:f>
        <x:v>0</x:v>
      </x:c>
    </x:row>
    <x:row r="675">
      <x:c r="A675" s="6"/>
      <x:c r="B675" s="7" t="n">
        <x:v>-0.010035721851599544</x:v>
      </x:c>
      <x:c r="C675" s="7" t="n">
        <x:v>-0.006672403870185234</x:v>
      </x:c>
      <x:c r="D675" s="7" t="n">
        <x:v>-0.004047231450256109</x:v>
      </x:c>
      <x:c r="E675" t="n">
        <x:f>IF(ISNUMBER(A675),674,0)</x:f>
        <x:v>0</x:v>
      </x:c>
    </x:row>
    <x:row r="676">
      <x:c r="A676" s="6"/>
      <x:c r="B676" s="7" t="n">
        <x:v>0.004630005696511368</x:v>
      </x:c>
      <x:c r="C676" s="7" t="n">
        <x:v>0.009476922103578766</x:v>
      </x:c>
      <x:c r="D676" s="7" t="n">
        <x:v>0.007033742542014156</x:v>
      </x:c>
      <x:c r="E676" t="n">
        <x:f>IF(ISNUMBER(A676),675,0)</x:f>
        <x:v>0</x:v>
      </x:c>
    </x:row>
    <x:row r="677">
      <x:c r="A677" s="6"/>
      <x:c r="B677" s="7" t="n">
        <x:v>0.017465706924999942</x:v>
      </x:c>
      <x:c r="C677" s="7" t="n">
        <x:v>-0.011627262042978585</x:v>
      </x:c>
      <x:c r="D677" s="7" t="n">
        <x:v>0.007636299211065566</x:v>
      </x:c>
      <x:c r="E677" t="n">
        <x:f>IF(ISNUMBER(A677),676,0)</x:f>
        <x:v>0</x:v>
      </x:c>
    </x:row>
    <x:row r="678">
      <x:c r="A678" s="6"/>
      <x:c r="B678" s="7" t="n">
        <x:v>0.007550959732334497</x:v>
      </x:c>
      <x:c r="C678" s="7" t="n">
        <x:v>-0.01312961110859933</x:v>
      </x:c>
      <x:c r="D678" s="7" t="n">
        <x:v>0.008387153819736893</x:v>
      </x:c>
      <x:c r="E678" t="n">
        <x:f>IF(ISNUMBER(A678),677,0)</x:f>
        <x:v>0</x:v>
      </x:c>
    </x:row>
    <x:row r="679">
      <x:c r="A679" s="6"/>
      <x:c r="B679" s="7" t="n">
        <x:v>-0.0022601221219255914</x:v>
      </x:c>
      <x:c r="C679" s="7" t="n">
        <x:v>-0.0021398463573753207</x:v>
      </x:c>
      <x:c r="D679" s="7" t="n">
        <x:v>0.006132001897091577</x:v>
      </x:c>
      <x:c r="E679" t="n">
        <x:f>IF(ISNUMBER(A679),678,0)</x:f>
        <x:v>0</x:v>
      </x:c>
    </x:row>
    <x:row r="680">
      <x:c r="A680" s="6"/>
      <x:c r="B680" s="7" t="n">
        <x:v>0.007948611589642968</x:v>
      </x:c>
      <x:c r="C680" s="7" t="n">
        <x:v>0.005853048182787393</x:v>
      </x:c>
      <x:c r="D680" s="7" t="n">
        <x:v>0.003671686524738573</x:v>
      </x:c>
      <x:c r="E680" t="n">
        <x:f>IF(ISNUMBER(A680),679,0)</x:f>
        <x:v>0</x:v>
      </x:c>
    </x:row>
    <x:row r="681">
      <x:c r="A681" s="6"/>
      <x:c r="B681" s="7" t="n">
        <x:v>-0.011058522815023246</x:v>
      </x:c>
      <x:c r="C681" s="7" t="n">
        <x:v>-0.008055610629141573</x:v>
      </x:c>
      <x:c r="D681" s="7" t="n">
        <x:v>0.0029669397909726806</x:v>
      </x:c>
      <x:c r="E681" t="n">
        <x:f>IF(ISNUMBER(A681),680,0)</x:f>
        <x:v>0</x:v>
      </x:c>
    </x:row>
    <x:row r="682">
      <x:c r="A682" s="6"/>
      <x:c r="B682" s="7" t="n">
        <x:v>0.01825576969398619</x:v>
      </x:c>
      <x:c r="C682" s="7" t="n">
        <x:v>-0.009467977236897903</x:v>
      </x:c>
      <x:c r="D682" s="7" t="n">
        <x:v>0.006055063780925051</x:v>
      </x:c>
      <x:c r="E682" t="n">
        <x:f>IF(ISNUMBER(A682),681,0)</x:f>
        <x:v>0</x:v>
      </x:c>
    </x:row>
    <x:row r="683">
      <x:c r="A683" s="6"/>
      <x:c r="B683" s="7" t="n">
        <x:v>-0.0025183427905784254</x:v>
      </x:c>
      <x:c r="C683" s="7" t="n">
        <x:v>0.00009491143866687039</x:v>
      </x:c>
      <x:c r="D683" s="7" t="n">
        <x:v>0.0053592997540314906</x:v>
      </x:c>
      <x:c r="E683" t="n">
        <x:f>IF(ISNUMBER(A683),682,0)</x:f>
        <x:v>0</x:v>
      </x:c>
    </x:row>
    <x:row r="684">
      <x:c r="A684" s="6"/>
      <x:c r="B684" s="7" t="n">
        <x:v>-0.016592125068448697</x:v>
      </x:c>
      <x:c r="C684" s="7" t="n">
        <x:v>-0.004976295297061979</x:v>
      </x:c>
      <x:c r="D684" s="7" t="n">
        <x:v>-0.003410010678757352</x:v>
      </x:c>
      <x:c r="E684" t="n">
        <x:f>IF(ISNUMBER(A684),683,0)</x:f>
        <x:v>0</x:v>
      </x:c>
    </x:row>
    <x:row r="685">
      <x:c r="A685" s="6"/>
      <x:c r="B685" s="7" t="n">
        <x:v>-0.0030577245886887544</x:v>
      </x:c>
      <x:c r="C685" s="7" t="n">
        <x:v>0.013582740448092604</x:v>
      </x:c>
      <x:c r="D685" s="7" t="n">
        <x:v>-0.0020777518611807657</x:v>
      </x:c>
      <x:c r="E685" t="n">
        <x:f>IF(ISNUMBER(A685),684,0)</x:f>
        <x:v>0</x:v>
      </x:c>
    </x:row>
    <x:row r="686">
      <x:c r="A686" s="6"/>
      <x:c r="B686" s="7" t="n">
        <x:v>-0.0028831880377310467</x:v>
      </x:c>
      <x:c r="C686" s="7" t="n">
        <x:v>0.002190397420463163</x:v>
      </x:c>
      <x:c r="D686" s="7" t="n">
        <x:v>-0.004993816144754587</x:v>
      </x:c>
      <x:c r="E686" t="n">
        <x:f>IF(ISNUMBER(A686),685,0)</x:f>
        <x:v>0</x:v>
      </x:c>
    </x:row>
    <x:row r="687">
      <x:c r="A687" s="6"/>
      <x:c r="B687" s="7" t="n">
        <x:v>0.006306224233978328</x:v>
      </x:c>
      <x:c r="C687" s="7" t="n">
        <x:v>-0.0035410808929529224</x:v>
      </x:c>
      <x:c r="D687" s="7" t="n">
        <x:v>0.006767168657183447</x:v>
      </x:c>
      <x:c r="E687" t="n">
        <x:f>IF(ISNUMBER(A687),686,0)</x:f>
        <x:v>0</x:v>
      </x:c>
    </x:row>
    <x:row r="688">
      <x:c r="A688" s="6"/>
      <x:c r="B688" s="7" t="n">
        <x:v>0.009574553891525391</x:v>
      </x:c>
      <x:c r="C688" s="7" t="n">
        <x:v>0.0024208308409608883</x:v>
      </x:c>
      <x:c r="D688" s="7" t="n">
        <x:v>-0.003325758425568413</x:v>
      </x:c>
      <x:c r="E688" t="n">
        <x:f>IF(ISNUMBER(A688),687,0)</x:f>
        <x:v>0</x:v>
      </x:c>
    </x:row>
    <x:row r="689">
      <x:c r="A689" s="6"/>
      <x:c r="B689" s="7" t="n">
        <x:v>-0.010808632615040524</x:v>
      </x:c>
      <x:c r="C689" s="7" t="n">
        <x:v>-0.008422612002651424</x:v>
      </x:c>
      <x:c r="D689" s="7" t="n">
        <x:v>0.006781333905578401</x:v>
      </x:c>
      <x:c r="E689" t="n">
        <x:f>IF(ISNUMBER(A689),688,0)</x:f>
        <x:v>0</x:v>
      </x:c>
    </x:row>
    <x:row r="690">
      <x:c r="A690" s="6"/>
      <x:c r="B690" s="7" t="n">
        <x:v>-0.0003834916255107708</x:v>
      </x:c>
      <x:c r="C690" s="7" t="n">
        <x:v>0.004518748811385334</x:v>
      </x:c>
      <x:c r="D690" s="7" t="n">
        <x:v>0.004233450628342516</x:v>
      </x:c>
      <x:c r="E690" t="n">
        <x:f>IF(ISNUMBER(A690),689,0)</x:f>
        <x:v>0</x:v>
      </x:c>
    </x:row>
    <x:row r="691">
      <x:c r="A691" s="6"/>
      <x:c r="B691" s="7" t="n">
        <x:v>-0.005082566848025149</x:v>
      </x:c>
      <x:c r="C691" s="7" t="n">
        <x:v>0.009872708317036849</x:v>
      </x:c>
      <x:c r="D691" s="7" t="n">
        <x:v>-0.0031854965617065536</x:v>
      </x:c>
      <x:c r="E691" t="n">
        <x:f>IF(ISNUMBER(A691),690,0)</x:f>
        <x:v>0</x:v>
      </x:c>
    </x:row>
    <x:row r="692">
      <x:c r="A692" s="6"/>
      <x:c r="B692" s="7" t="n">
        <x:v>0.0012703782663434733</x:v>
      </x:c>
      <x:c r="C692" s="7" t="n">
        <x:v>-0.0006187823911765011</x:v>
      </x:c>
      <x:c r="D692" s="7" t="n">
        <x:v>0.0021270479262380636</x:v>
      </x:c>
      <x:c r="E692" t="n">
        <x:f>IF(ISNUMBER(A692),691,0)</x:f>
        <x:v>0</x:v>
      </x:c>
    </x:row>
    <x:row r="693">
      <x:c r="A693" s="6"/>
      <x:c r="B693" s="7" t="n">
        <x:v>-0.006886688238085468</x:v>
      </x:c>
      <x:c r="C693" s="7" t="n">
        <x:v>-0.0030856825485305107</x:v>
      </x:c>
      <x:c r="D693" s="7" t="n">
        <x:v>-0.004969833685866437</x:v>
      </x:c>
      <x:c r="E693" t="n">
        <x:f>IF(ISNUMBER(A693),692,0)</x:f>
        <x:v>0</x:v>
      </x:c>
    </x:row>
    <x:row r="694">
      <x:c r="A694" s="6"/>
      <x:c r="B694" s="7" t="n">
        <x:v>-0.0000863672877536059</x:v>
      </x:c>
      <x:c r="C694" s="7" t="n">
        <x:v>-0.0011497020737345235</x:v>
      </x:c>
      <x:c r="D694" s="7" t="n">
        <x:v>0.0029547176067916147</x:v>
      </x:c>
      <x:c r="E694" t="n">
        <x:f>IF(ISNUMBER(A694),693,0)</x:f>
        <x:v>0</x:v>
      </x:c>
    </x:row>
    <x:row r="695">
      <x:c r="A695" s="6"/>
      <x:c r="B695" s="7" t="n">
        <x:v>0.013031417115319887</x:v>
      </x:c>
      <x:c r="C695" s="7" t="n">
        <x:v>0.003050863970854567</x:v>
      </x:c>
      <x:c r="D695" s="7" t="n">
        <x:v>0.0027518824565248416</x:v>
      </x:c>
      <x:c r="E695" t="n">
        <x:f>IF(ISNUMBER(A695),694,0)</x:f>
        <x:v>0</x:v>
      </x:c>
    </x:row>
    <x:row r="696">
      <x:c r="A696" s="6"/>
      <x:c r="B696" s="7" t="n">
        <x:v>0.01398790183641143</x:v>
      </x:c>
      <x:c r="C696" s="7" t="n">
        <x:v>0.013903507640282035</x:v>
      </x:c>
      <x:c r="D696" s="7" t="n">
        <x:v>-0.00032942633163355445</x:v>
      </x:c>
      <x:c r="E696" t="n">
        <x:f>IF(ISNUMBER(A696),695,0)</x:f>
        <x:v>0</x:v>
      </x:c>
    </x:row>
    <x:row r="697">
      <x:c r="A697" s="6"/>
      <x:c r="B697" s="7" t="n">
        <x:v>-0.001744541646398817</x:v>
      </x:c>
      <x:c r="C697" s="7" t="n">
        <x:v>-0.002372814524131728</x:v>
      </x:c>
      <x:c r="D697" s="7" t="n">
        <x:v>0.0034856530871923593</x:v>
      </x:c>
      <x:c r="E697" t="n">
        <x:f>IF(ISNUMBER(A697),696,0)</x:f>
        <x:v>0</x:v>
      </x:c>
    </x:row>
    <x:row r="698">
      <x:c r="A698" s="6"/>
      <x:c r="B698" s="7" t="n">
        <x:v>-0.0038428280509251907</x:v>
      </x:c>
      <x:c r="C698" s="7" t="n">
        <x:v>-0.011215927778472943</x:v>
      </x:c>
      <x:c r="D698" s="7" t="n">
        <x:v>0.0006031949054790527</x:v>
      </x:c>
      <x:c r="E698" t="n">
        <x:f>IF(ISNUMBER(A698),697,0)</x:f>
        <x:v>0</x:v>
      </x:c>
    </x:row>
    <x:row r="699">
      <x:c r="A699" s="6"/>
      <x:c r="B699" s="7" t="n">
        <x:v>-0.015438437029482612</x:v>
      </x:c>
      <x:c r="C699" s="7" t="n">
        <x:v>0.006674524265581259</x:v>
      </x:c>
      <x:c r="D699" s="7" t="n">
        <x:v>0.005878336020838374</x:v>
      </x:c>
      <x:c r="E699" t="n">
        <x:f>IF(ISNUMBER(A699),698,0)</x:f>
        <x:v>0</x:v>
      </x:c>
    </x:row>
    <x:row r="700">
      <x:c r="A700" s="6"/>
      <x:c r="B700" s="7" t="n">
        <x:v>0.00507331786683959</x:v>
      </x:c>
      <x:c r="C700" s="7" t="n">
        <x:v>-0.00092765498638776</x:v>
      </x:c>
      <x:c r="D700" s="7" t="n">
        <x:v>-0.0057397636753995385</x:v>
      </x:c>
      <x:c r="E700" t="n">
        <x:f>IF(ISNUMBER(A700),699,0)</x:f>
        <x:v>0</x:v>
      </x:c>
    </x:row>
    <x:row r="701">
      <x:c r="A701" s="6"/>
      <x:c r="B701" s="7" t="n">
        <x:v>0.009696734932615777</x:v>
      </x:c>
      <x:c r="C701" s="7" t="n">
        <x:v>0.010357675190017245</x:v>
      </x:c>
      <x:c r="D701" s="7" t="n">
        <x:v>-0.0034344744470001768</x:v>
      </x:c>
      <x:c r="E701" t="n">
        <x:f>IF(ISNUMBER(A701),700,0)</x:f>
        <x:v>0</x:v>
      </x:c>
    </x:row>
    <x:row r="702">
      <x:c r="A702" s="6"/>
      <x:c r="B702" s="7" t="n">
        <x:v>0.0005667086926773988</x:v>
      </x:c>
      <x:c r="C702" s="7" t="n">
        <x:v>-0.007809707141420108</x:v>
      </x:c>
      <x:c r="D702" s="7" t="n">
        <x:v>0.006135110753671945</x:v>
      </x:c>
      <x:c r="E702" t="n">
        <x:f>IF(ISNUMBER(A702),701,0)</x:f>
        <x:v>0</x:v>
      </x:c>
    </x:row>
    <x:row r="703">
      <x:c r="A703" s="6"/>
      <x:c r="B703" s="7" t="n">
        <x:v>-0.02007897012850595</x:v>
      </x:c>
      <x:c r="C703" s="7" t="n">
        <x:v>0.0027998359411458514</x:v>
      </x:c>
      <x:c r="D703" s="7" t="n">
        <x:v>0.004676806003374608</x:v>
      </x:c>
      <x:c r="E703" t="n">
        <x:f>IF(ISNUMBER(A703),702,0)</x:f>
        <x:v>0</x:v>
      </x:c>
    </x:row>
    <x:row r="704">
      <x:c r="A704" s="6"/>
      <x:c r="B704" s="7" t="n">
        <x:v>0.00527495180623701</x:v>
      </x:c>
      <x:c r="C704" s="7" t="n">
        <x:v>0.0006847969873030455</x:v>
      </x:c>
      <x:c r="D704" s="7" t="n">
        <x:v>-0.0039339827661971334</x:v>
      </x:c>
      <x:c r="E704" t="n">
        <x:f>IF(ISNUMBER(A704),703,0)</x:f>
        <x:v>0</x:v>
      </x:c>
    </x:row>
    <x:row r="705">
      <x:c r="A705" s="6"/>
      <x:c r="B705" s="7" t="n">
        <x:v>0.0048636548477796</x:v>
      </x:c>
      <x:c r="C705" s="7" t="n">
        <x:v>0.005563374342695255</x:v>
      </x:c>
      <x:c r="D705" s="7" t="n">
        <x:v>-0.0007402779182358772</x:v>
      </x:c>
      <x:c r="E705" t="n">
        <x:f>IF(ISNUMBER(A705),704,0)</x:f>
        <x:v>0</x:v>
      </x:c>
    </x:row>
    <x:row r="706">
      <x:c r="A706" s="6"/>
      <x:c r="B706" s="7" t="n">
        <x:v>-0.014692679406167915</x:v>
      </x:c>
      <x:c r="C706" s="7" t="n">
        <x:v>0.019516615611762912</x:v>
      </x:c>
      <x:c r="D706" s="7" t="n">
        <x:v>0.0014555399628278767</x:v>
      </x:c>
      <x:c r="E706" t="n">
        <x:f>IF(ISNUMBER(A706),705,0)</x:f>
        <x:v>0</x:v>
      </x:c>
    </x:row>
    <x:row r="707">
      <x:c r="A707" s="6"/>
      <x:c r="B707" s="7" t="n">
        <x:v>0.00010209358648309034</x:v>
      </x:c>
      <x:c r="C707" s="7" t="n">
        <x:v>-0.00516256947157443</x:v>
      </x:c>
      <x:c r="D707" s="7" t="n">
        <x:v>0.004932041453130216</x:v>
      </x:c>
      <x:c r="E707" t="n">
        <x:f>IF(ISNUMBER(A707),706,0)</x:f>
        <x:v>0</x:v>
      </x:c>
    </x:row>
    <x:row r="708">
      <x:c r="A708" s="6"/>
      <x:c r="B708" s="7" t="n">
        <x:v>0.019974368628818757</x:v>
      </x:c>
      <x:c r="C708" s="7" t="n">
        <x:v>-0.003671922392067299</x:v>
      </x:c>
      <x:c r="D708" s="7" t="n">
        <x:v>-0.007253013679554912</x:v>
      </x:c>
      <x:c r="E708" t="n">
        <x:f>IF(ISNUMBER(A708),707,0)</x:f>
        <x:v>0</x:v>
      </x:c>
    </x:row>
    <x:row r="709">
      <x:c r="A709" s="6"/>
      <x:c r="B709" s="7" t="n">
        <x:v>-0.008590043760813513</x:v>
      </x:c>
      <x:c r="C709" s="7" t="n">
        <x:v>-0.004191236725914684</x:v>
      </x:c>
      <x:c r="D709" s="7" t="n">
        <x:v>0.006381175356876838</x:v>
      </x:c>
      <x:c r="E709" t="n">
        <x:f>IF(ISNUMBER(A709),708,0)</x:f>
        <x:v>0</x:v>
      </x:c>
    </x:row>
    <x:row r="710">
      <x:c r="A710" s="6"/>
      <x:c r="B710" s="7" t="n">
        <x:v>0.004029919023506228</x:v>
      </x:c>
      <x:c r="C710" s="7" t="n">
        <x:v>0.0008511449438772605</x:v>
      </x:c>
      <x:c r="D710" s="7" t="n">
        <x:v>-0.0017674330300550853</x:v>
      </x:c>
      <x:c r="E710" t="n">
        <x:f>IF(ISNUMBER(A710),709,0)</x:f>
        <x:v>0</x:v>
      </x:c>
    </x:row>
    <x:row r="711">
      <x:c r="A711" s="6"/>
      <x:c r="B711" s="7" t="n">
        <x:v>-0.005834105854617697</x:v>
      </x:c>
      <x:c r="C711" s="7" t="n">
        <x:v>0.0007900508080129019</x:v>
      </x:c>
      <x:c r="D711" s="7" t="n">
        <x:v>0.010770986351875771</x:v>
      </x:c>
      <x:c r="E711" t="n">
        <x:f>IF(ISNUMBER(A711),710,0)</x:f>
        <x:v>0</x:v>
      </x:c>
    </x:row>
    <x:row r="712">
      <x:c r="A712" s="6"/>
      <x:c r="B712" s="7" t="n">
        <x:v>-0.005001267226887378</x:v>
      </x:c>
      <x:c r="C712" s="7" t="n">
        <x:v>-0.012430747341244313</x:v>
      </x:c>
      <x:c r="D712" s="7" t="n">
        <x:v>0.0006434279217839106</x:v>
      </x:c>
      <x:c r="E712" t="n">
        <x:f>IF(ISNUMBER(A712),711,0)</x:f>
        <x:v>0</x:v>
      </x:c>
    </x:row>
    <x:row r="713">
      <x:c r="A713" s="6"/>
      <x:c r="B713" s="7" t="n">
        <x:v>0.015282633058406941</x:v>
      </x:c>
      <x:c r="C713" s="7" t="n">
        <x:v>0.0023923614355223573</x:v>
      </x:c>
      <x:c r="D713" s="7" t="n">
        <x:v>-0.005576355652259974</x:v>
      </x:c>
      <x:c r="E713" t="n">
        <x:f>IF(ISNUMBER(A713),712,0)</x:f>
        <x:v>0</x:v>
      </x:c>
    </x:row>
    <x:row r="714">
      <x:c r="A714" s="6"/>
      <x:c r="B714" s="7" t="n">
        <x:v>-0.013775728794797755</x:v>
      </x:c>
      <x:c r="C714" s="7" t="n">
        <x:v>0.0013702112984545348</x:v>
      </x:c>
      <x:c r="D714" s="7" t="n">
        <x:v>0.0032996234339123204</x:v>
      </x:c>
      <x:c r="E714" t="n">
        <x:f>IF(ISNUMBER(A714),713,0)</x:f>
        <x:v>0</x:v>
      </x:c>
    </x:row>
    <x:row r="715">
      <x:c r="A715" s="6"/>
      <x:c r="B715" s="7" t="n">
        <x:v>0.013777826991247015</x:v>
      </x:c>
      <x:c r="C715" s="7" t="n">
        <x:v>0.010653391188961421</x:v>
      </x:c>
      <x:c r="D715" s="7" t="n">
        <x:v>-0.005595306505662381</x:v>
      </x:c>
      <x:c r="E715" t="n">
        <x:f>IF(ISNUMBER(A715),714,0)</x:f>
        <x:v>0</x:v>
      </x:c>
    </x:row>
    <x:row r="716">
      <x:c r="A716" s="6"/>
      <x:c r="B716" s="7" t="n">
        <x:v>-0.002354332306926723</x:v>
      </x:c>
      <x:c r="C716" s="7" t="n">
        <x:v>0.005660405953334067</x:v>
      </x:c>
      <x:c r="D716" s="7" t="n">
        <x:v>0.011711852081459253</x:v>
      </x:c>
      <x:c r="E716" t="n">
        <x:f>IF(ISNUMBER(A716),715,0)</x:f>
        <x:v>0</x:v>
      </x:c>
    </x:row>
    <x:row r="717">
      <x:c r="A717" s="6"/>
      <x:c r="B717" s="7" t="n">
        <x:v>0.004171770387810964</x:v>
      </x:c>
      <x:c r="C717" s="7" t="n">
        <x:v>-0.02451109281356448</x:v>
      </x:c>
      <x:c r="D717" s="7" t="n">
        <x:v>-0.001613673672968854</x:v>
      </x:c>
      <x:c r="E717" t="n">
        <x:f>IF(ISNUMBER(A717),716,0)</x:f>
        <x:v>0</x:v>
      </x:c>
    </x:row>
    <x:row r="718">
      <x:c r="A718" s="6"/>
      <x:c r="B718" s="7" t="n">
        <x:v>-0.01607405948055355</x:v>
      </x:c>
      <x:c r="C718" s="7" t="n">
        <x:v>0.0012848528370078456</x:v>
      </x:c>
      <x:c r="D718" s="7" t="n">
        <x:v>0.0005906922642633033</x:v>
      </x:c>
      <x:c r="E718" t="n">
        <x:f>IF(ISNUMBER(A718),717,0)</x:f>
        <x:v>0</x:v>
      </x:c>
    </x:row>
    <x:row r="719">
      <x:c r="A719" s="6"/>
      <x:c r="B719" s="7" t="n">
        <x:v>-0.0005458388091806941</x:v>
      </x:c>
      <x:c r="C719" s="7" t="n">
        <x:v>-0.020783350135530947</x:v>
      </x:c>
      <x:c r="D719" s="7" t="n">
        <x:v>-0.005309345586879677</x:v>
      </x:c>
      <x:c r="E719" t="n">
        <x:f>IF(ISNUMBER(A719),718,0)</x:f>
        <x:v>0</x:v>
      </x:c>
    </x:row>
    <x:row r="720">
      <x:c r="A720" s="6"/>
      <x:c r="B720" s="7" t="n">
        <x:v>0.0010203234177441412</x:v>
      </x:c>
      <x:c r="C720" s="7" t="n">
        <x:v>-0.0005937070176928451</x:v>
      </x:c>
      <x:c r="D720" s="7" t="n">
        <x:v>0.00014514998697965023</x:v>
      </x:c>
      <x:c r="E720" t="n">
        <x:f>IF(ISNUMBER(A720),719,0)</x:f>
        <x:v>0</x:v>
      </x:c>
    </x:row>
    <x:row r="721">
      <x:c r="A721" s="6"/>
      <x:c r="B721" s="7" t="n">
        <x:v>0.00018121228057491588</x:v>
      </x:c>
      <x:c r="C721" s="7" t="n">
        <x:v>-0.0033712715519881617</x:v>
      </x:c>
      <x:c r="D721" s="7" t="n">
        <x:v>0.002295505914329488</x:v>
      </x:c>
      <x:c r="E721" t="n">
        <x:f>IF(ISNUMBER(A721),720,0)</x:f>
        <x:v>0</x:v>
      </x:c>
    </x:row>
    <x:row r="722">
      <x:c r="A722" s="6"/>
      <x:c r="B722" s="7" t="n">
        <x:v>-0.0057897424898058405</x:v>
      </x:c>
      <x:c r="C722" s="7" t="n">
        <x:v>-0.021631495545341724</x:v>
      </x:c>
      <x:c r="D722" s="7" t="n">
        <x:v>0.006559758135312341</x:v>
      </x:c>
      <x:c r="E722" t="n">
        <x:f>IF(ISNUMBER(A722),721,0)</x:f>
        <x:v>0</x:v>
      </x:c>
    </x:row>
    <x:row r="723">
      <x:c r="A723" s="6"/>
      <x:c r="B723" s="7" t="n">
        <x:v>-0.010110507199385974</x:v>
      </x:c>
      <x:c r="C723" s="7" t="n">
        <x:v>0.007043746144547016</x:v>
      </x:c>
      <x:c r="D723" s="7" t="n">
        <x:v>-0.0012343537910580443</x:v>
      </x:c>
      <x:c r="E723" t="n">
        <x:f>IF(ISNUMBER(A723),722,0)</x:f>
        <x:v>0</x:v>
      </x:c>
    </x:row>
    <x:row r="724">
      <x:c r="A724" s="6"/>
      <x:c r="B724" s="7" t="n">
        <x:v>0.00045695634343885657</x:v>
      </x:c>
      <x:c r="C724" s="7" t="n">
        <x:v>0.005345911680971884</x:v>
      </x:c>
      <x:c r="D724" s="7" t="n">
        <x:v>-0.00527974044104866</x:v>
      </x:c>
      <x:c r="E724" t="n">
        <x:f>IF(ISNUMBER(A724),723,0)</x:f>
        <x:v>0</x:v>
      </x:c>
    </x:row>
    <x:row r="725">
      <x:c r="A725" s="6"/>
      <x:c r="B725" s="7" t="n">
        <x:v>-0.016670850150673374</x:v>
      </x:c>
      <x:c r="C725" s="7" t="n">
        <x:v>-0.007543349874938811</x:v>
      </x:c>
      <x:c r="D725" s="7" t="n">
        <x:v>-0.00326917583102537</x:v>
      </x:c>
      <x:c r="E725" t="n">
        <x:f>IF(ISNUMBER(A725),724,0)</x:f>
        <x:v>0</x:v>
      </x:c>
    </x:row>
    <x:row r="726">
      <x:c r="A726" s="6"/>
      <x:c r="B726" s="7" t="n">
        <x:v>-0.017037754037745403</x:v>
      </x:c>
      <x:c r="C726" s="7" t="n">
        <x:v>-0.013188491404323429</x:v>
      </x:c>
      <x:c r="D726" s="7" t="n">
        <x:v>0.013482793875273368</x:v>
      </x:c>
      <x:c r="E726" t="n">
        <x:f>IF(ISNUMBER(A726),725,0)</x:f>
        <x:v>0</x:v>
      </x:c>
    </x:row>
    <x:row r="727">
      <x:c r="A727" s="6"/>
      <x:c r="B727" s="7" t="n">
        <x:v>0.0035603147227001074</x:v>
      </x:c>
      <x:c r="C727" s="7" t="n">
        <x:v>-0.007460303772697927</x:v>
      </x:c>
      <x:c r="D727" s="7" t="n">
        <x:v>0.0006754234664618811</x:v>
      </x:c>
      <x:c r="E727" t="n">
        <x:f>IF(ISNUMBER(A727),726,0)</x:f>
        <x:v>0</x:v>
      </x:c>
    </x:row>
    <x:row r="728">
      <x:c r="A728" s="6"/>
      <x:c r="B728" s="7" t="n">
        <x:v>0.008979217741843099</x:v>
      </x:c>
      <x:c r="C728" s="7" t="n">
        <x:v>0.00032866395408470884</x:v>
      </x:c>
      <x:c r="D728" s="7" t="n">
        <x:v>0.0048441908876998615</x:v>
      </x:c>
      <x:c r="E728" t="n">
        <x:f>IF(ISNUMBER(A728),727,0)</x:f>
        <x:v>0</x:v>
      </x:c>
    </x:row>
    <x:row r="729">
      <x:c r="A729" s="6"/>
      <x:c r="B729" s="7" t="n">
        <x:v>-0.005567635335377267</x:v>
      </x:c>
      <x:c r="C729" s="7" t="n">
        <x:v>0.003365681886876817</x:v>
      </x:c>
      <x:c r="D729" s="7" t="n">
        <x:v>0.0010719719073503493</x:v>
      </x:c>
      <x:c r="E729" t="n">
        <x:f>IF(ISNUMBER(A729),728,0)</x:f>
        <x:v>0</x:v>
      </x:c>
    </x:row>
    <x:row r="730">
      <x:c r="A730" s="6"/>
      <x:c r="B730" s="7" t="n">
        <x:v>0.002575556422708686</x:v>
      </x:c>
      <x:c r="C730" s="7" t="n">
        <x:v>0.0018816798544802214</x:v>
      </x:c>
      <x:c r="D730" s="7" t="n">
        <x:v>-0.004145496125835639</x:v>
      </x:c>
      <x:c r="E730" t="n">
        <x:f>IF(ISNUMBER(A730),729,0)</x:f>
        <x:v>0</x:v>
      </x:c>
    </x:row>
    <x:row r="731">
      <x:c r="A731" s="6"/>
      <x:c r="B731" s="7" t="n">
        <x:v>0.015035944242245832</x:v>
      </x:c>
      <x:c r="C731" s="7" t="n">
        <x:v>-0.017490843815282434</x:v>
      </x:c>
      <x:c r="D731" s="7" t="n">
        <x:v>0.00780730483078944</x:v>
      </x:c>
      <x:c r="E731" t="n">
        <x:f>IF(ISNUMBER(A731),730,0)</x:f>
        <x:v>0</x:v>
      </x:c>
    </x:row>
    <x:row r="732">
      <x:c r="A732" s="6"/>
      <x:c r="B732" s="7" t="n">
        <x:v>-0.02356588689366845</x:v>
      </x:c>
      <x:c r="C732" s="7" t="n">
        <x:v>0.008828022352105626</x:v>
      </x:c>
      <x:c r="D732" s="7" t="n">
        <x:v>0.005261610780863257</x:v>
      </x:c>
      <x:c r="E732" t="n">
        <x:f>IF(ISNUMBER(A732),731,0)</x:f>
        <x:v>0</x:v>
      </x:c>
    </x:row>
    <x:row r="733">
      <x:c r="A733" s="6"/>
      <x:c r="B733" s="7" t="n">
        <x:v>0.0023857689942200656</x:v>
      </x:c>
      <x:c r="C733" s="7" t="n">
        <x:v>-0.0010402155886736586</x:v>
      </x:c>
      <x:c r="D733" s="7" t="n">
        <x:v>-0.0015668074562050563</x:v>
      </x:c>
      <x:c r="E733" t="n">
        <x:f>IF(ISNUMBER(A733),732,0)</x:f>
        <x:v>0</x:v>
      </x:c>
    </x:row>
    <x:row r="734">
      <x:c r="A734" s="6"/>
      <x:c r="B734" s="7" t="n">
        <x:v>-0.0007076713205349386</x:v>
      </x:c>
      <x:c r="C734" s="7" t="n">
        <x:v>-0.0041613002416510695</x:v>
      </x:c>
      <x:c r="D734" s="7" t="n">
        <x:v>-0.002139495029334116</x:v>
      </x:c>
      <x:c r="E734" t="n">
        <x:f>IF(ISNUMBER(A734),733,0)</x:f>
        <x:v>0</x:v>
      </x:c>
    </x:row>
    <x:row r="735">
      <x:c r="A735" s="6"/>
      <x:c r="B735" s="7" t="n">
        <x:v>-0.005409876655383346</x:v>
      </x:c>
      <x:c r="C735" s="7" t="n">
        <x:v>0.008468453041524915</x:v>
      </x:c>
      <x:c r="D735" s="7" t="n">
        <x:v>0.0008899583902129342</x:v>
      </x:c>
      <x:c r="E735" t="n">
        <x:f>IF(ISNUMBER(A735),734,0)</x:f>
        <x:v>0</x:v>
      </x:c>
    </x:row>
    <x:row r="736">
      <x:c r="A736" s="6"/>
      <x:c r="B736" s="7" t="n">
        <x:v>0.009576699718043327</x:v>
      </x:c>
      <x:c r="C736" s="7" t="n">
        <x:v>-0.002977539291818758</x:v>
      </x:c>
      <x:c r="D736" s="7" t="n">
        <x:v>0.0004145226686953932</x:v>
      </x:c>
      <x:c r="E736" t="n">
        <x:f>IF(ISNUMBER(A736),735,0)</x:f>
        <x:v>0</x:v>
      </x:c>
    </x:row>
    <x:row r="737">
      <x:c r="A737" s="6"/>
      <x:c r="B737" s="7" t="n">
        <x:v>0.008284959257618076</x:v>
      </x:c>
      <x:c r="C737" s="7" t="n">
        <x:v>0.0011487903829050408</x:v>
      </x:c>
      <x:c r="D737" s="7" t="n">
        <x:v>0.0030446682559666072</x:v>
      </x:c>
      <x:c r="E737" t="n">
        <x:f>IF(ISNUMBER(A737),736,0)</x:f>
        <x:v>0</x:v>
      </x:c>
    </x:row>
    <x:row r="738">
      <x:c r="A738" s="6"/>
      <x:c r="B738" s="7" t="n">
        <x:v>0.007401112978771358</x:v>
      </x:c>
      <x:c r="C738" s="7" t="n">
        <x:v>0.005370565536567952</x:v>
      </x:c>
      <x:c r="D738" s="7" t="n">
        <x:v>-0.0014588996193236443</x:v>
      </x:c>
      <x:c r="E738" t="n">
        <x:f>IF(ISNUMBER(A738),737,0)</x:f>
        <x:v>0</x:v>
      </x:c>
    </x:row>
    <x:row r="739">
      <x:c r="A739" s="6"/>
      <x:c r="B739" s="7" t="n">
        <x:v>0.006256944983234912</x:v>
      </x:c>
      <x:c r="C739" s="7" t="n">
        <x:v>0.00856448630507414</x:v>
      </x:c>
      <x:c r="D739" s="7" t="n">
        <x:v>-0.003781949692119853</x:v>
      </x:c>
      <x:c r="E739" t="n">
        <x:f>IF(ISNUMBER(A739),738,0)</x:f>
        <x:v>0</x:v>
      </x:c>
    </x:row>
    <x:row r="740">
      <x:c r="A740" s="6"/>
      <x:c r="B740" s="7" t="n">
        <x:v>-0.018505373576398636</x:v>
      </x:c>
      <x:c r="C740" s="7" t="n">
        <x:v>0.00485690069624511</x:v>
      </x:c>
      <x:c r="D740" s="7" t="n">
        <x:v>0.006294549130134514</x:v>
      </x:c>
      <x:c r="E740" t="n">
        <x:f>IF(ISNUMBER(A740),739,0)</x:f>
        <x:v>0</x:v>
      </x:c>
    </x:row>
    <x:row r="741">
      <x:c r="A741" s="6"/>
      <x:c r="B741" s="7" t="n">
        <x:v>0.01225153556134668</x:v>
      </x:c>
      <x:c r="C741" s="7" t="n">
        <x:v>-0.000345688221553945</x:v>
      </x:c>
      <x:c r="D741" s="7" t="n">
        <x:v>0.0032726968817293222</x:v>
      </x:c>
      <x:c r="E741" t="n">
        <x:f>IF(ISNUMBER(A741),740,0)</x:f>
        <x:v>0</x:v>
      </x:c>
    </x:row>
    <x:row r="742">
      <x:c r="A742" s="6"/>
      <x:c r="B742" s="7" t="n">
        <x:v>-0.011399391753293193</x:v>
      </x:c>
      <x:c r="C742" s="7" t="n">
        <x:v>0.003472991951816179</x:v>
      </x:c>
      <x:c r="D742" s="7" t="n">
        <x:v>-0.0016877854900433393</x:v>
      </x:c>
      <x:c r="E742" t="n">
        <x:f>IF(ISNUMBER(A742),741,0)</x:f>
        <x:v>0</x:v>
      </x:c>
    </x:row>
    <x:row r="743">
      <x:c r="A743" s="6"/>
      <x:c r="B743" s="7" t="n">
        <x:v>0.0037556891285238205</x:v>
      </x:c>
      <x:c r="C743" s="7" t="n">
        <x:v>0.0014484495227110618</x:v>
      </x:c>
      <x:c r="D743" s="7" t="n">
        <x:v>-0.008508325609256661</x:v>
      </x:c>
      <x:c r="E743" t="n">
        <x:f>IF(ISNUMBER(A743),742,0)</x:f>
        <x:v>0</x:v>
      </x:c>
    </x:row>
    <x:row r="744">
      <x:c r="A744" s="6"/>
      <x:c r="B744" s="7" t="n">
        <x:v>-0.0066181082904175495</x:v>
      </x:c>
      <x:c r="C744" s="7" t="n">
        <x:v>0.016670988529119662</x:v>
      </x:c>
      <x:c r="D744" s="7" t="n">
        <x:v>-0.0028257646186756586</x:v>
      </x:c>
      <x:c r="E744" t="n">
        <x:f>IF(ISNUMBER(A744),743,0)</x:f>
        <x:v>0</x:v>
      </x:c>
    </x:row>
    <x:row r="745">
      <x:c r="A745" s="6"/>
      <x:c r="B745" s="7" t="n">
        <x:v>0.01342326684712267</x:v>
      </x:c>
      <x:c r="C745" s="7" t="n">
        <x:v>0.0005420641179082061</x:v>
      </x:c>
      <x:c r="D745" s="7" t="n">
        <x:v>-0.0011127653097926678</x:v>
      </x:c>
      <x:c r="E745" t="n">
        <x:f>IF(ISNUMBER(A745),744,0)</x:f>
        <x:v>0</x:v>
      </x:c>
    </x:row>
    <x:row r="746">
      <x:c r="A746" s="6"/>
      <x:c r="B746" s="7" t="n">
        <x:v>-0.0064610243512319655</x:v>
      </x:c>
      <x:c r="C746" s="7" t="n">
        <x:v>-0.0004288907626803065</x:v>
      </x:c>
      <x:c r="D746" s="7" t="n">
        <x:v>0.0047851926703617095</x:v>
      </x:c>
      <x:c r="E746" t="n">
        <x:f>IF(ISNUMBER(A746),745,0)</x:f>
        <x:v>0</x:v>
      </x:c>
    </x:row>
    <x:row r="747">
      <x:c r="A747" s="6"/>
      <x:c r="B747" s="7" t="n">
        <x:v>0.003535735027419343</x:v>
      </x:c>
      <x:c r="C747" s="7" t="n">
        <x:v>0.005373945739623635</x:v>
      </x:c>
      <x:c r="D747" s="7" t="n">
        <x:v>-0.007114218547076561</x:v>
      </x:c>
      <x:c r="E747" t="n">
        <x:f>IF(ISNUMBER(A747),746,0)</x:f>
        <x:v>0</x:v>
      </x:c>
    </x:row>
    <x:row r="748">
      <x:c r="A748" s="6"/>
      <x:c r="B748" s="7" t="n">
        <x:v>-0.011700217715819828</x:v>
      </x:c>
      <x:c r="C748" s="7" t="n">
        <x:v>-0.00791957632739426</x:v>
      </x:c>
      <x:c r="D748" s="7" t="n">
        <x:v>-0.0035359300539802097</x:v>
      </x:c>
      <x:c r="E748" t="n">
        <x:f>IF(ISNUMBER(A748),747,0)</x:f>
        <x:v>0</x:v>
      </x:c>
    </x:row>
    <x:row r="749">
      <x:c r="A749" s="6"/>
      <x:c r="B749" s="7" t="n">
        <x:v>-0.0025902813663348906</x:v>
      </x:c>
      <x:c r="C749" s="7" t="n">
        <x:v>0.0003742645566373683</x:v>
      </x:c>
      <x:c r="D749" s="7" t="n">
        <x:v>-0.008326226961302242</x:v>
      </x:c>
      <x:c r="E749" t="n">
        <x:f>IF(ISNUMBER(A749),748,0)</x:f>
        <x:v>0</x:v>
      </x:c>
    </x:row>
    <x:row r="750">
      <x:c r="A750" s="6"/>
      <x:c r="B750" s="7" t="n">
        <x:v>0.011721500980458334</x:v>
      </x:c>
      <x:c r="C750" s="7" t="n">
        <x:v>-0.010697470410893013</x:v>
      </x:c>
      <x:c r="D750" s="7" t="n">
        <x:v>-0.006250564425661623</x:v>
      </x:c>
      <x:c r="E750" t="n">
        <x:f>IF(ISNUMBER(A750),749,0)</x:f>
        <x:v>0</x:v>
      </x:c>
    </x:row>
    <x:row r="751">
      <x:c r="A751" s="6"/>
      <x:c r="B751" s="7" t="n">
        <x:v>-0.005293029398187518</x:v>
      </x:c>
      <x:c r="C751" s="7" t="n">
        <x:v>0.014219687004205896</x:v>
      </x:c>
      <x:c r="D751" s="7" t="n">
        <x:v>0.004960536714182698</x:v>
      </x:c>
      <x:c r="E751" t="n">
        <x:f>IF(ISNUMBER(A751),750,0)</x:f>
        <x:v>0</x:v>
      </x:c>
    </x:row>
    <x:row r="752">
      <x:c r="A752" s="6"/>
      <x:c r="B752" s="7" t="n">
        <x:v>-0.0033940898365148763</x:v>
      </x:c>
      <x:c r="C752" s="7" t="n">
        <x:v>-0.010361914866292078</x:v>
      </x:c>
      <x:c r="D752" s="7" t="n">
        <x:v>0.0009489584665390267</x:v>
      </x:c>
      <x:c r="E752" t="n">
        <x:f>IF(ISNUMBER(A752),751,0)</x:f>
        <x:v>0</x:v>
      </x:c>
    </x:row>
    <x:row r="753">
      <x:c r="A753" s="6"/>
      <x:c r="B753" s="7" t="n">
        <x:v>-0.004745797998132663</x:v>
      </x:c>
      <x:c r="C753" s="7" t="n">
        <x:v>-0.00684393418900496</x:v>
      </x:c>
      <x:c r="D753" s="7" t="n">
        <x:v>0.004939976547923791</x:v>
      </x:c>
      <x:c r="E753" t="n">
        <x:f>IF(ISNUMBER(A753),752,0)</x:f>
        <x:v>0</x:v>
      </x:c>
    </x:row>
    <x:row r="754">
      <x:c r="A754" s="6"/>
      <x:c r="B754" s="7" t="n">
        <x:v>0.0026250321029374388</x:v>
      </x:c>
      <x:c r="C754" s="7" t="n">
        <x:v>0.01737012002458067</x:v>
      </x:c>
      <x:c r="D754" s="7" t="n">
        <x:v>0.002230599755893525</x:v>
      </x:c>
      <x:c r="E754" t="n">
        <x:f>IF(ISNUMBER(A754),753,0)</x:f>
        <x:v>0</x:v>
      </x:c>
    </x:row>
    <x:row r="755">
      <x:c r="A755" s="6"/>
      <x:c r="B755" s="7" t="n">
        <x:v>-0.018034626899946348</x:v>
      </x:c>
      <x:c r="C755" s="7" t="n">
        <x:v>-0.0010370060645295855</x:v>
      </x:c>
      <x:c r="D755" s="7" t="n">
        <x:v>-0.005696621624113467</x:v>
      </x:c>
      <x:c r="E755" t="n">
        <x:f>IF(ISNUMBER(A755),754,0)</x:f>
        <x:v>0</x:v>
      </x:c>
    </x:row>
    <x:row r="756">
      <x:c r="A756" s="6"/>
      <x:c r="B756" s="7" t="n">
        <x:v>-0.00961855981909022</x:v>
      </x:c>
      <x:c r="C756" s="7" t="n">
        <x:v>-0.0021612670309280684</x:v>
      </x:c>
      <x:c r="D756" s="7" t="n">
        <x:v>-0.0033050474570283407</x:v>
      </x:c>
      <x:c r="E756" t="n">
        <x:f>IF(ISNUMBER(A756),755,0)</x:f>
        <x:v>0</x:v>
      </x:c>
    </x:row>
    <x:row r="757">
      <x:c r="A757" s="6"/>
      <x:c r="B757" s="7" t="n">
        <x:v>0.008990530386964173</x:v>
      </x:c>
      <x:c r="C757" s="7" t="n">
        <x:v>0.002437196619012914</x:v>
      </x:c>
      <x:c r="D757" s="7" t="n">
        <x:v>0.0010261699067592193</x:v>
      </x:c>
      <x:c r="E757" t="n">
        <x:f>IF(ISNUMBER(A757),756,0)</x:f>
        <x:v>0</x:v>
      </x:c>
    </x:row>
    <x:row r="758">
      <x:c r="A758" s="6"/>
      <x:c r="B758" s="7" t="n">
        <x:v>0.001351902063555141</x:v>
      </x:c>
      <x:c r="C758" s="7" t="n">
        <x:v>-0.011142191432904312</x:v>
      </x:c>
      <x:c r="D758" s="7" t="n">
        <x:v>-0.002906749650812041</x:v>
      </x:c>
      <x:c r="E758" t="n">
        <x:f>IF(ISNUMBER(A758),757,0)</x:f>
        <x:v>0</x:v>
      </x:c>
    </x:row>
    <x:row r="759">
      <x:c r="A759" s="6"/>
      <x:c r="B759" s="7" t="n">
        <x:v>-0.015253759390740178</x:v>
      </x:c>
      <x:c r="C759" s="7" t="n">
        <x:v>0.012978479433880653</x:v>
      </x:c>
      <x:c r="D759" s="7" t="n">
        <x:v>0.014105663110029412</x:v>
      </x:c>
      <x:c r="E759" t="n">
        <x:f>IF(ISNUMBER(A759),758,0)</x:f>
        <x:v>0</x:v>
      </x:c>
    </x:row>
    <x:row r="760">
      <x:c r="A760" s="6"/>
      <x:c r="B760" s="7" t="n">
        <x:v>-0.0025132040198492943</x:v>
      </x:c>
      <x:c r="C760" s="7" t="n">
        <x:v>0.012416430627563929</x:v>
      </x:c>
      <x:c r="D760" s="7" t="n">
        <x:v>0.009101964239964221</x:v>
      </x:c>
      <x:c r="E760" t="n">
        <x:f>IF(ISNUMBER(A760),759,0)</x:f>
        <x:v>0</x:v>
      </x:c>
    </x:row>
    <x:row r="761">
      <x:c r="A761" s="6"/>
      <x:c r="B761" s="7" t="n">
        <x:v>0.011946617560093884</x:v>
      </x:c>
      <x:c r="C761" s="7" t="n">
        <x:v>-0.0017727276325897052</x:v>
      </x:c>
      <x:c r="D761" s="7" t="n">
        <x:v>0.005243872544094191</x:v>
      </x:c>
      <x:c r="E761" t="n">
        <x:f>IF(ISNUMBER(A761),760,0)</x:f>
        <x:v>0</x:v>
      </x:c>
    </x:row>
    <x:row r="762">
      <x:c r="A762" s="6"/>
      <x:c r="B762" s="7" t="n">
        <x:v>0.007866521648161439</x:v>
      </x:c>
      <x:c r="C762" s="7" t="n">
        <x:v>0.005548715679213071</x:v>
      </x:c>
      <x:c r="D762" s="7" t="n">
        <x:v>-0.0009915543959593365</x:v>
      </x:c>
      <x:c r="E762" t="n">
        <x:f>IF(ISNUMBER(A762),761,0)</x:f>
        <x:v>0</x:v>
      </x:c>
    </x:row>
    <x:row r="763">
      <x:c r="A763" s="6"/>
      <x:c r="B763" s="7" t="n">
        <x:v>-0.016391178897796593</x:v>
      </x:c>
      <x:c r="C763" s="7" t="n">
        <x:v>0.0043860711443125</x:v>
      </x:c>
      <x:c r="D763" s="7" t="n">
        <x:v>-0.00086455761388392</x:v>
      </x:c>
      <x:c r="E763" t="n">
        <x:f>IF(ISNUMBER(A763),762,0)</x:f>
        <x:v>0</x:v>
      </x:c>
    </x:row>
    <x:row r="764">
      <x:c r="A764" s="6"/>
      <x:c r="B764" s="7" t="n">
        <x:v>0.002911932888975145</x:v>
      </x:c>
      <x:c r="C764" s="7" t="n">
        <x:v>-0.009900989421136812</x:v>
      </x:c>
      <x:c r="D764" s="7" t="n">
        <x:v>-0.002959702798933048</x:v>
      </x:c>
      <x:c r="E764" t="n">
        <x:f>IF(ISNUMBER(A764),763,0)</x:f>
        <x:v>0</x:v>
      </x:c>
    </x:row>
    <x:row r="765">
      <x:c r="A765" s="6"/>
      <x:c r="B765" s="7" t="n">
        <x:v>0.0029760253463920906</x:v>
      </x:c>
      <x:c r="C765" s="7" t="n">
        <x:v>0.00842945365306842</x:v>
      </x:c>
      <x:c r="D765" s="7" t="n">
        <x:v>-0.010876187295267785</x:v>
      </x:c>
      <x:c r="E765" t="n">
        <x:f>IF(ISNUMBER(A765),764,0)</x:f>
        <x:v>0</x:v>
      </x:c>
    </x:row>
    <x:row r="766">
      <x:c r="A766" s="6"/>
      <x:c r="B766" s="7" t="n">
        <x:v>-0.018085246645736845</x:v>
      </x:c>
      <x:c r="C766" s="7" t="n">
        <x:v>-0.010053037046250848</x:v>
      </x:c>
      <x:c r="D766" s="7" t="n">
        <x:v>-0.005543676470326431</x:v>
      </x:c>
      <x:c r="E766" t="n">
        <x:f>IF(ISNUMBER(A766),765,0)</x:f>
        <x:v>0</x:v>
      </x:c>
    </x:row>
    <x:row r="767">
      <x:c r="A767" s="6"/>
      <x:c r="B767" s="7" t="n">
        <x:v>0.019037559925598652</x:v>
      </x:c>
      <x:c r="C767" s="7" t="n">
        <x:v>0.003060028954314248</x:v>
      </x:c>
      <x:c r="D767" s="7" t="n">
        <x:v>-0.0058345235365659985</x:v>
      </x:c>
      <x:c r="E767" t="n">
        <x:f>IF(ISNUMBER(A767),766,0)</x:f>
        <x:v>0</x:v>
      </x:c>
    </x:row>
    <x:row r="768">
      <x:c r="A768" s="6"/>
      <x:c r="B768" s="7" t="n">
        <x:v>0.0014936960453344628</x:v>
      </x:c>
      <x:c r="C768" s="7" t="n">
        <x:v>-0.0013251657735815594</x:v>
      </x:c>
      <x:c r="D768" s="7" t="n">
        <x:v>-0.011303396689160217</x:v>
      </x:c>
      <x:c r="E768" t="n">
        <x:f>IF(ISNUMBER(A768),767,0)</x:f>
        <x:v>0</x:v>
      </x:c>
    </x:row>
    <x:row r="769">
      <x:c r="A769" s="6"/>
      <x:c r="B769" s="7" t="n">
        <x:v>0.006709545733138368</x:v>
      </x:c>
      <x:c r="C769" s="7" t="n">
        <x:v>-0.006965686117601132</x:v>
      </x:c>
      <x:c r="D769" s="7" t="n">
        <x:v>0.005233441492798196</x:v>
      </x:c>
      <x:c r="E769" t="n">
        <x:f>IF(ISNUMBER(A769),768,0)</x:f>
        <x:v>0</x:v>
      </x:c>
    </x:row>
    <x:row r="770">
      <x:c r="A770" s="6"/>
      <x:c r="B770" s="7" t="n">
        <x:v>-0.0038184077088340234</x:v>
      </x:c>
      <x:c r="C770" s="7" t="n">
        <x:v>0.005360131583090442</x:v>
      </x:c>
      <x:c r="D770" s="7" t="n">
        <x:v>-0.0012366252669851847</x:v>
      </x:c>
      <x:c r="E770" t="n">
        <x:f>IF(ISNUMBER(A770),769,0)</x:f>
        <x:v>0</x:v>
      </x:c>
    </x:row>
    <x:row r="771">
      <x:c r="A771" s="6"/>
      <x:c r="B771" s="7" t="n">
        <x:v>0.02061917893689466</x:v>
      </x:c>
      <x:c r="C771" s="7" t="n">
        <x:v>-0.0028741873979845367</x:v>
      </x:c>
      <x:c r="D771" s="7" t="n">
        <x:v>-0.005293077959123651</x:v>
      </x:c>
      <x:c r="E771" t="n">
        <x:f>IF(ISNUMBER(A771),770,0)</x:f>
        <x:v>0</x:v>
      </x:c>
    </x:row>
    <x:row r="772">
      <x:c r="A772" s="6"/>
      <x:c r="B772" s="7" t="n">
        <x:v>-0.007922188547745606</x:v>
      </x:c>
      <x:c r="C772" s="7" t="n">
        <x:v>-0.0014144746303837363</x:v>
      </x:c>
      <x:c r="D772" s="7" t="n">
        <x:v>0.0012206006987634588</x:v>
      </x:c>
      <x:c r="E772" t="n">
        <x:f>IF(ISNUMBER(A772),771,0)</x:f>
        <x:v>0</x:v>
      </x:c>
    </x:row>
    <x:row r="773">
      <x:c r="A773" s="6"/>
      <x:c r="B773" s="7" t="n">
        <x:v>0.004043917112999335</x:v>
      </x:c>
      <x:c r="C773" s="7" t="n">
        <x:v>0.0010294009558205362</x:v>
      </x:c>
      <x:c r="D773" s="7" t="n">
        <x:v>-0.0019028079868156778</x:v>
      </x:c>
      <x:c r="E773" t="n">
        <x:f>IF(ISNUMBER(A773),772,0)</x:f>
        <x:v>0</x:v>
      </x:c>
    </x:row>
    <x:row r="774">
      <x:c r="A774" s="6"/>
      <x:c r="B774" s="7" t="n">
        <x:v>0.00041906221071937955</x:v>
      </x:c>
      <x:c r="C774" s="7" t="n">
        <x:v>-0.0012313867933767709</x:v>
      </x:c>
      <x:c r="D774" s="7" t="n">
        <x:v>0.003858674247425216</x:v>
      </x:c>
      <x:c r="E774" t="n">
        <x:f>IF(ISNUMBER(A774),773,0)</x:f>
        <x:v>0</x:v>
      </x:c>
    </x:row>
    <x:row r="775">
      <x:c r="A775" s="6"/>
      <x:c r="B775" s="7" t="n">
        <x:v>0.00955556188663714</x:v>
      </x:c>
      <x:c r="C775" s="7" t="n">
        <x:v>0.0025404120995374518</x:v>
      </x:c>
      <x:c r="D775" s="7" t="n">
        <x:v>0.00394038967110524</x:v>
      </x:c>
      <x:c r="E775" t="n">
        <x:f>IF(ISNUMBER(A775),774,0)</x:f>
        <x:v>0</x:v>
      </x:c>
    </x:row>
    <x:row r="776">
      <x:c r="A776" s="6"/>
      <x:c r="B776" s="7" t="n">
        <x:v>-0.0016923338602274527</x:v>
      </x:c>
      <x:c r="C776" s="7" t="n">
        <x:v>-0.006678338950760377</x:v>
      </x:c>
      <x:c r="D776" s="7" t="n">
        <x:v>0.0033391754366063715</x:v>
      </x:c>
      <x:c r="E776" t="n">
        <x:f>IF(ISNUMBER(A776),775,0)</x:f>
        <x:v>0</x:v>
      </x:c>
    </x:row>
    <x:row r="777">
      <x:c r="A777" s="6"/>
      <x:c r="B777" s="7" t="n">
        <x:v>0.002712797582736632</x:v>
      </x:c>
      <x:c r="C777" s="7" t="n">
        <x:v>0.018320709365432793</x:v>
      </x:c>
      <x:c r="D777" s="7" t="n">
        <x:v>0.005798643545760466</x:v>
      </x:c>
      <x:c r="E777" t="n">
        <x:f>IF(ISNUMBER(A777),776,0)</x:f>
        <x:v>0</x:v>
      </x:c>
    </x:row>
    <x:row r="778">
      <x:c r="A778" s="6"/>
      <x:c r="B778" s="7" t="n">
        <x:v>-0.012910366510437475</x:v>
      </x:c>
      <x:c r="C778" s="7" t="n">
        <x:v>-0.008963813735733114</x:v>
      </x:c>
      <x:c r="D778" s="7" t="n">
        <x:v>-0.01235811965138438</x:v>
      </x:c>
      <x:c r="E778" t="n">
        <x:f>IF(ISNUMBER(A778),777,0)</x:f>
        <x:v>0</x:v>
      </x:c>
    </x:row>
    <x:row r="779">
      <x:c r="A779" s="6"/>
      <x:c r="B779" s="7" t="n">
        <x:v>-0.012035719684470297</x:v>
      </x:c>
      <x:c r="C779" s="7" t="n">
        <x:v>-0.0026193546363449424</x:v>
      </x:c>
      <x:c r="D779" s="7" t="n">
        <x:v>-0.001098904166272089</x:v>
      </x:c>
      <x:c r="E779" t="n">
        <x:f>IF(ISNUMBER(A779),778,0)</x:f>
        <x:v>0</x:v>
      </x:c>
    </x:row>
    <x:row r="780">
      <x:c r="A780" s="6"/>
      <x:c r="B780" s="7" t="n">
        <x:v>0.0008468327292140769</x:v>
      </x:c>
      <x:c r="C780" s="7" t="n">
        <x:v>0.025085954032930766</x:v>
      </x:c>
      <x:c r="D780" s="7" t="n">
        <x:v>0.0017190811399542636</x:v>
      </x:c>
      <x:c r="E780" t="n">
        <x:f>IF(ISNUMBER(A780),779,0)</x:f>
        <x:v>0</x:v>
      </x:c>
    </x:row>
    <x:row r="781">
      <x:c r="A781" s="6"/>
      <x:c r="B781" s="7" t="n">
        <x:v>-0.0004008078294282397</x:v>
      </x:c>
      <x:c r="C781" s="7" t="n">
        <x:v>-0.002820223047011461</x:v>
      </x:c>
      <x:c r="D781" s="7" t="n">
        <x:v>-0.0022683201755363384</x:v>
      </x:c>
      <x:c r="E781" t="n">
        <x:f>IF(ISNUMBER(A781),780,0)</x:f>
        <x:v>0</x:v>
      </x:c>
    </x:row>
    <x:row r="782">
      <x:c r="A782" s="6"/>
      <x:c r="B782" s="7" t="n">
        <x:v>0.0188627427458827</x:v>
      </x:c>
      <x:c r="C782" s="7" t="n">
        <x:v>-0.010320691982539857</x:v>
      </x:c>
      <x:c r="D782" s="7" t="n">
        <x:v>-0.0007472945284478717</x:v>
      </x:c>
      <x:c r="E782" t="n">
        <x:f>IF(ISNUMBER(A782),781,0)</x:f>
        <x:v>0</x:v>
      </x:c>
    </x:row>
    <x:row r="783">
      <x:c r="A783" s="6"/>
      <x:c r="B783" s="7" t="n">
        <x:v>-0.0009153489523653442</x:v>
      </x:c>
      <x:c r="C783" s="7" t="n">
        <x:v>-0.009245282191845708</x:v>
      </x:c>
      <x:c r="D783" s="7" t="n">
        <x:v>-0.011937702856482518</x:v>
      </x:c>
      <x:c r="E783" t="n">
        <x:f>IF(ISNUMBER(A783),782,0)</x:f>
        <x:v>0</x:v>
      </x:c>
    </x:row>
    <x:row r="784">
      <x:c r="A784" s="6"/>
      <x:c r="B784" s="7" t="n">
        <x:v>-0.0003554354914365791</x:v>
      </x:c>
      <x:c r="C784" s="7" t="n">
        <x:v>0.0029798860286018207</x:v>
      </x:c>
      <x:c r="D784" s="7" t="n">
        <x:v>-0.002666370825691082</x:v>
      </x:c>
      <x:c r="E784" t="n">
        <x:f>IF(ISNUMBER(A784),783,0)</x:f>
        <x:v>0</x:v>
      </x:c>
    </x:row>
    <x:row r="785">
      <x:c r="A785" s="6"/>
      <x:c r="B785" s="7" t="n">
        <x:v>-0.001761477443182183</x:v>
      </x:c>
      <x:c r="C785" s="7" t="n">
        <x:v>0.0037314023840184763</x:v>
      </x:c>
      <x:c r="D785" s="7" t="n">
        <x:v>-0.004130037671756444</x:v>
      </x:c>
      <x:c r="E785" t="n">
        <x:f>IF(ISNUMBER(A785),784,0)</x:f>
        <x:v>0</x:v>
      </x:c>
    </x:row>
    <x:row r="786">
      <x:c r="A786" s="6"/>
      <x:c r="B786" s="7" t="n">
        <x:v>0.0058730839649083575</x:v>
      </x:c>
      <x:c r="C786" s="7" t="n">
        <x:v>0.0002008905771988656</x:v>
      </x:c>
      <x:c r="D786" s="7" t="n">
        <x:v>0.009273809848511044</x:v>
      </x:c>
      <x:c r="E786" t="n">
        <x:f>IF(ISNUMBER(A786),785,0)</x:f>
        <x:v>0</x:v>
      </x:c>
    </x:row>
    <x:row r="787">
      <x:c r="A787" s="6"/>
      <x:c r="B787" s="7" t="n">
        <x:v>-0.005697022555550598</x:v>
      </x:c>
      <x:c r="C787" s="7" t="n">
        <x:v>0.009771340722032054</x:v>
      </x:c>
      <x:c r="D787" s="7" t="n">
        <x:v>0.004946482048655381</x:v>
      </x:c>
      <x:c r="E787" t="n">
        <x:f>IF(ISNUMBER(A787),786,0)</x:f>
        <x:v>0</x:v>
      </x:c>
    </x:row>
    <x:row r="788">
      <x:c r="A788" s="6"/>
      <x:c r="B788" s="7" t="n">
        <x:v>-0.008595677849985824</x:v>
      </x:c>
      <x:c r="C788" s="7" t="n">
        <x:v>0.004564701729918819</x:v>
      </x:c>
      <x:c r="D788" s="7" t="n">
        <x:v>-0.011223007765993652</x:v>
      </x:c>
      <x:c r="E788" t="n">
        <x:f>IF(ISNUMBER(A788),787,0)</x:f>
        <x:v>0</x:v>
      </x:c>
    </x:row>
    <x:row r="789">
      <x:c r="A789" s="6"/>
      <x:c r="B789" s="7" t="n">
        <x:v>-0.016219940947093354</x:v>
      </x:c>
      <x:c r="C789" s="7" t="n">
        <x:v>-0.006352570423861272</x:v>
      </x:c>
      <x:c r="D789" s="7" t="n">
        <x:v>-0.005663943829784237</x:v>
      </x:c>
      <x:c r="E789" t="n">
        <x:f>IF(ISNUMBER(A789),788,0)</x:f>
        <x:v>0</x:v>
      </x:c>
    </x:row>
    <x:row r="790">
      <x:c r="A790" s="6"/>
      <x:c r="B790" s="7" t="n">
        <x:v>-0.003972720292914435</x:v>
      </x:c>
      <x:c r="C790" s="7" t="n">
        <x:v>0.0046476031594297595</x:v>
      </x:c>
      <x:c r="D790" s="7" t="n">
        <x:v>-0.012285516495814568</x:v>
      </x:c>
      <x:c r="E790" t="n">
        <x:f>IF(ISNUMBER(A790),789,0)</x:f>
        <x:v>0</x:v>
      </x:c>
    </x:row>
    <x:row r="791">
      <x:c r="A791" s="6"/>
      <x:c r="B791" s="7" t="n">
        <x:v>0.00033245978155536877</x:v>
      </x:c>
      <x:c r="C791" s="7" t="n">
        <x:v>0.00012197144149505009</x:v>
      </x:c>
      <x:c r="D791" s="7" t="n">
        <x:v>-0.009839824422697293</x:v>
      </x:c>
      <x:c r="E791" t="n">
        <x:f>IF(ISNUMBER(A791),790,0)</x:f>
        <x:v>0</x:v>
      </x:c>
    </x:row>
    <x:row r="792">
      <x:c r="A792" s="6"/>
      <x:c r="B792" s="7" t="n">
        <x:v>-0.008574695036646074</x:v>
      </x:c>
      <x:c r="C792" s="7" t="n">
        <x:v>0.001531514705612076</x:v>
      </x:c>
      <x:c r="D792" s="7" t="n">
        <x:v>-0.00725476092544529</x:v>
      </x:c>
      <x:c r="E792" t="n">
        <x:f>IF(ISNUMBER(A792),791,0)</x:f>
        <x:v>0</x:v>
      </x:c>
    </x:row>
    <x:row r="793">
      <x:c r="A793" s="6"/>
      <x:c r="B793" s="7" t="n">
        <x:v>0.024822203960244767</x:v>
      </x:c>
      <x:c r="C793" s="7" t="n">
        <x:v>-0.004878393297348459</x:v>
      </x:c>
      <x:c r="D793" s="7" t="n">
        <x:v>0.005542114649180236</x:v>
      </x:c>
      <x:c r="E793" t="n">
        <x:f>IF(ISNUMBER(A793),792,0)</x:f>
        <x:v>0</x:v>
      </x:c>
    </x:row>
    <x:row r="794">
      <x:c r="A794" s="6"/>
      <x:c r="B794" s="7" t="n">
        <x:v>0.009217435064282171</x:v>
      </x:c>
      <x:c r="C794" s="7" t="n">
        <x:v>-0.006299076369566583</x:v>
      </x:c>
      <x:c r="D794" s="7" t="n">
        <x:v>-0.005488739763470884</x:v>
      </x:c>
      <x:c r="E794" t="n">
        <x:f>IF(ISNUMBER(A794),793,0)</x:f>
        <x:v>0</x:v>
      </x:c>
    </x:row>
    <x:row r="795">
      <x:c r="A795" s="6"/>
      <x:c r="B795" s="7" t="n">
        <x:v>0.012793281108714654</x:v>
      </x:c>
      <x:c r="C795" s="7" t="n">
        <x:v>0.00006583303254995987</x:v>
      </x:c>
      <x:c r="D795" s="7" t="n">
        <x:v>-0.00531242566125807</x:v>
      </x:c>
      <x:c r="E795" t="n">
        <x:f>IF(ISNUMBER(A795),794,0)</x:f>
        <x:v>0</x:v>
      </x:c>
    </x:row>
    <x:row r="796">
      <x:c r="A796" s="6"/>
      <x:c r="B796" s="7" t="n">
        <x:v>-0.008289062808404937</x:v>
      </x:c>
      <x:c r="C796" s="7" t="n">
        <x:v>-0.013086904905504187</x:v>
      </x:c>
      <x:c r="D796" s="7" t="n">
        <x:v>0.0008423655299880669</x:v>
      </x:c>
      <x:c r="E796" t="n">
        <x:f>IF(ISNUMBER(A796),795,0)</x:f>
        <x:v>0</x:v>
      </x:c>
    </x:row>
    <x:row r="797">
      <x:c r="A797" s="6"/>
      <x:c r="B797" s="7" t="n">
        <x:v>-0.012657816939224598</x:v>
      </x:c>
      <x:c r="C797" s="7" t="n">
        <x:v>-0.012612851818006565</x:v>
      </x:c>
      <x:c r="D797" s="7" t="n">
        <x:v>0.009410082232990578</x:v>
      </x:c>
      <x:c r="E797" t="n">
        <x:f>IF(ISNUMBER(A797),796,0)</x:f>
        <x:v>0</x:v>
      </x:c>
    </x:row>
    <x:row r="798">
      <x:c r="A798" s="6"/>
      <x:c r="B798" s="7" t="n">
        <x:v>0.007066688626041808</x:v>
      </x:c>
      <x:c r="C798" s="7" t="n">
        <x:v>-0.0013983951498643312</x:v>
      </x:c>
      <x:c r="D798" s="7" t="n">
        <x:v>0.004199224213980321</x:v>
      </x:c>
      <x:c r="E798" t="n">
        <x:f>IF(ISNUMBER(A798),797,0)</x:f>
        <x:v>0</x:v>
      </x:c>
    </x:row>
    <x:row r="799">
      <x:c r="A799" s="6"/>
      <x:c r="B799" s="7" t="n">
        <x:v>0.006752945208341593</x:v>
      </x:c>
      <x:c r="C799" s="7" t="n">
        <x:v>0.009065868802197325</x:v>
      </x:c>
      <x:c r="D799" s="7" t="n">
        <x:v>-0.008204823661281238</x:v>
      </x:c>
      <x:c r="E799" t="n">
        <x:f>IF(ISNUMBER(A799),798,0)</x:f>
        <x:v>0</x:v>
      </x:c>
    </x:row>
    <x:row r="800">
      <x:c r="A800" s="6"/>
      <x:c r="B800" s="7" t="n">
        <x:v>-0.0004971134711074458</x:v>
      </x:c>
      <x:c r="C800" s="7" t="n">
        <x:v>-0.0009560458446042537</x:v>
      </x:c>
      <x:c r="D800" s="7" t="n">
        <x:v>0.0053620045366049775</x:v>
      </x:c>
      <x:c r="E800" t="n">
        <x:f>IF(ISNUMBER(A800),799,0)</x:f>
        <x:v>0</x:v>
      </x:c>
    </x:row>
    <x:row r="801">
      <x:c r="A801" s="6"/>
      <x:c r="B801" s="7" t="n">
        <x:v>-0.012281149017812439</x:v>
      </x:c>
      <x:c r="C801" s="7" t="n">
        <x:v>-0.004593064967971896</x:v>
      </x:c>
      <x:c r="D801" s="7" t="n">
        <x:v>-0.004168448136630245</x:v>
      </x:c>
      <x:c r="E801" t="n">
        <x:f>IF(ISNUMBER(A801),800,0)</x:f>
        <x:v>0</x:v>
      </x:c>
    </x:row>
    <x:row r="802">
      <x:c r="A802" s="6"/>
      <x:c r="B802" s="7" t="n">
        <x:v>0.016075744640564597</x:v>
      </x:c>
      <x:c r="C802" s="7" t="n">
        <x:v>-0.009038797367679643</x:v>
      </x:c>
      <x:c r="D802" s="7" t="n">
        <x:v>0.010222295222906975</x:v>
      </x:c>
      <x:c r="E802" t="n">
        <x:f>IF(ISNUMBER(A802),801,0)</x:f>
        <x:v>0</x:v>
      </x:c>
    </x:row>
    <x:row r="803">
      <x:c r="A803" s="6"/>
      <x:c r="B803" s="7" t="n">
        <x:v>0.007349153194581311</x:v>
      </x:c>
      <x:c r="C803" s="7" t="n">
        <x:v>0.0003839222089132146</x:v>
      </x:c>
      <x:c r="D803" s="7" t="n">
        <x:v>0.0033558037814381838</x:v>
      </x:c>
      <x:c r="E803" t="n">
        <x:f>IF(ISNUMBER(A803),802,0)</x:f>
        <x:v>0</x:v>
      </x:c>
    </x:row>
    <x:row r="804">
      <x:c r="A804" s="6"/>
      <x:c r="B804" s="7" t="n">
        <x:v>0.0017044071652408208</x:v>
      </x:c>
      <x:c r="C804" s="7" t="n">
        <x:v>0.0011073531348177804</x:v>
      </x:c>
      <x:c r="D804" s="7" t="n">
        <x:v>-0.007709571143541804</x:v>
      </x:c>
      <x:c r="E804" t="n">
        <x:f>IF(ISNUMBER(A804),803,0)</x:f>
        <x:v>0</x:v>
      </x:c>
    </x:row>
    <x:row r="805">
      <x:c r="A805" s="6"/>
      <x:c r="B805" s="7" t="n">
        <x:v>0.009234979697386595</x:v>
      </x:c>
      <x:c r="C805" s="7" t="n">
        <x:v>0.004740251381600572</x:v>
      </x:c>
      <x:c r="D805" s="7" t="n">
        <x:v>0.008211353259830167</x:v>
      </x:c>
      <x:c r="E805" t="n">
        <x:f>IF(ISNUMBER(A805),804,0)</x:f>
        <x:v>0</x:v>
      </x:c>
    </x:row>
    <x:row r="806">
      <x:c r="A806" s="6"/>
      <x:c r="B806" s="7" t="n">
        <x:v>0.004960925402172275</x:v>
      </x:c>
      <x:c r="C806" s="7" t="n">
        <x:v>0.005716751261096413</x:v>
      </x:c>
      <x:c r="D806" s="7" t="n">
        <x:v>-0.010489979043384301</x:v>
      </x:c>
      <x:c r="E806" t="n">
        <x:f>IF(ISNUMBER(A806),805,0)</x:f>
        <x:v>0</x:v>
      </x:c>
    </x:row>
    <x:row r="807">
      <x:c r="A807" s="6"/>
      <x:c r="B807" s="7" t="n">
        <x:v>0.001852282352547547</x:v>
      </x:c>
      <x:c r="C807" s="7" t="n">
        <x:v>-0.005896379129901919</x:v>
      </x:c>
      <x:c r="D807" s="7" t="n">
        <x:v>0.00924397701276862</x:v>
      </x:c>
      <x:c r="E807" t="n">
        <x:f>IF(ISNUMBER(A807),806,0)</x:f>
        <x:v>0</x:v>
      </x:c>
    </x:row>
    <x:row r="808">
      <x:c r="A808" s="6"/>
      <x:c r="B808" s="7" t="n">
        <x:v>-0.01153211691131885</x:v>
      </x:c>
      <x:c r="C808" s="7" t="n">
        <x:v>0.011943242510222232</x:v>
      </x:c>
      <x:c r="D808" s="7" t="n">
        <x:v>0.0052629370339686106</x:v>
      </x:c>
      <x:c r="E808" t="n">
        <x:f>IF(ISNUMBER(A808),807,0)</x:f>
        <x:v>0</x:v>
      </x:c>
    </x:row>
    <x:row r="809">
      <x:c r="A809" s="6"/>
      <x:c r="B809" s="7" t="n">
        <x:v>-0.008258985331493787</x:v>
      </x:c>
      <x:c r="C809" s="7" t="n">
        <x:v>-0.007575594657829499</x:v>
      </x:c>
      <x:c r="D809" s="7" t="n">
        <x:v>-0.0003175257230758329</x:v>
      </x:c>
      <x:c r="E809" t="n">
        <x:f>IF(ISNUMBER(A809),808,0)</x:f>
        <x:v>0</x:v>
      </x:c>
    </x:row>
    <x:row r="810">
      <x:c r="A810" s="6"/>
      <x:c r="B810" s="7" t="n">
        <x:v>0.008327515426863887</x:v>
      </x:c>
      <x:c r="C810" s="7" t="n">
        <x:v>-0.007194229101025707</x:v>
      </x:c>
      <x:c r="D810" s="7" t="n">
        <x:v>-0.002581386050654721</x:v>
      </x:c>
      <x:c r="E810" t="n">
        <x:f>IF(ISNUMBER(A810),809,0)</x:f>
        <x:v>0</x:v>
      </x:c>
    </x:row>
    <x:row r="811">
      <x:c r="A811" s="6"/>
      <x:c r="B811" s="7" t="n">
        <x:v>0.00033929472905359996</x:v>
      </x:c>
      <x:c r="C811" s="7" t="n">
        <x:v>0.010183506380374033</x:v>
      </x:c>
      <x:c r="D811" s="7" t="n">
        <x:v>-0.009780891791329755</x:v>
      </x:c>
      <x:c r="E811" t="n">
        <x:f>IF(ISNUMBER(A811),810,0)</x:f>
        <x:v>0</x:v>
      </x:c>
    </x:row>
    <x:row r="812">
      <x:c r="A812" s="6"/>
      <x:c r="B812" s="7" t="n">
        <x:v>0.0037717852625008238</x:v>
      </x:c>
      <x:c r="C812" s="7" t="n">
        <x:v>0.010035042016032144</x:v>
      </x:c>
      <x:c r="D812" s="7" t="n">
        <x:v>-0.0043542223815005</x:v>
      </x:c>
      <x:c r="E812" t="n">
        <x:f>IF(ISNUMBER(A812),811,0)</x:f>
        <x:v>0</x:v>
      </x:c>
    </x:row>
    <x:row r="813">
      <x:c r="A813" s="6"/>
      <x:c r="B813" s="7" t="n">
        <x:v>-0.0015665227434560388</x:v>
      </x:c>
      <x:c r="C813" s="7" t="n">
        <x:v>0.0043175568244098236</x:v>
      </x:c>
      <x:c r="D813" s="7" t="n">
        <x:v>-0.00020098693479955247</x:v>
      </x:c>
      <x:c r="E813" t="n">
        <x:f>IF(ISNUMBER(A813),812,0)</x:f>
        <x:v>0</x:v>
      </x:c>
    </x:row>
    <x:row r="814">
      <x:c r="A814" s="6"/>
      <x:c r="B814" s="7" t="n">
        <x:v>0.0074431840858504355</x:v>
      </x:c>
      <x:c r="C814" s="7" t="n">
        <x:v>-0.0011877561617824398</x:v>
      </x:c>
      <x:c r="D814" s="7" t="n">
        <x:v>-0.007798902338867188</x:v>
      </x:c>
      <x:c r="E814" t="n">
        <x:f>IF(ISNUMBER(A814),813,0)</x:f>
        <x:v>0</x:v>
      </x:c>
    </x:row>
    <x:row r="815">
      <x:c r="A815" s="6"/>
      <x:c r="B815" s="7" t="n">
        <x:v>-0.001745226015299739</x:v>
      </x:c>
      <x:c r="C815" s="7" t="n">
        <x:v>0.010372849078744468</x:v>
      </x:c>
      <x:c r="D815" s="7" t="n">
        <x:v>0.005838272423815156</x:v>
      </x:c>
      <x:c r="E815" t="n">
        <x:f>IF(ISNUMBER(A815),814,0)</x:f>
        <x:v>0</x:v>
      </x:c>
    </x:row>
    <x:row r="816">
      <x:c r="A816" s="6"/>
      <x:c r="B816" s="7" t="n">
        <x:v>-0.006185430945076251</x:v>
      </x:c>
      <x:c r="C816" s="7" t="n">
        <x:v>0.007593551348200224</x:v>
      </x:c>
      <x:c r="D816" s="7" t="n">
        <x:v>-0.004297489728801035</x:v>
      </x:c>
      <x:c r="E816" t="n">
        <x:f>IF(ISNUMBER(A816),815,0)</x:f>
        <x:v>0</x:v>
      </x:c>
    </x:row>
    <x:row r="817">
      <x:c r="A817" s="6"/>
      <x:c r="B817" s="7" t="n">
        <x:v>-0.004623375552676866</x:v>
      </x:c>
      <x:c r="C817" s="7" t="n">
        <x:v>0.0038802902571067302</x:v>
      </x:c>
      <x:c r="D817" s="7" t="n">
        <x:v>0.013835758428878993</x:v>
      </x:c>
      <x:c r="E817" t="n">
        <x:f>IF(ISNUMBER(A817),816,0)</x:f>
        <x:v>0</x:v>
      </x:c>
    </x:row>
    <x:row r="818">
      <x:c r="A818" s="6"/>
      <x:c r="B818" s="7" t="n">
        <x:v>-0.005908581046529403</x:v>
      </x:c>
      <x:c r="C818" s="7" t="n">
        <x:v>-0.013513062969826201</x:v>
      </x:c>
      <x:c r="D818" s="7" t="n">
        <x:v>-0.0006767826818484673</x:v>
      </x:c>
      <x:c r="E818" t="n">
        <x:f>IF(ISNUMBER(A818),817,0)</x:f>
        <x:v>0</x:v>
      </x:c>
    </x:row>
    <x:row r="819">
      <x:c r="A819" s="6"/>
      <x:c r="B819" s="7" t="n">
        <x:v>-0.007630320758926683</x:v>
      </x:c>
      <x:c r="C819" s="7" t="n">
        <x:v>-0.0014275590756850102</x:v>
      </x:c>
      <x:c r="D819" s="7" t="n">
        <x:v>0.0033169000156667142</x:v>
      </x:c>
      <x:c r="E819" t="n">
        <x:f>IF(ISNUMBER(A819),818,0)</x:f>
        <x:v>0</x:v>
      </x:c>
    </x:row>
    <x:row r="820">
      <x:c r="A820" s="6"/>
      <x:c r="B820" s="7" t="n">
        <x:v>-0.0015467897680957474</x:v>
      </x:c>
      <x:c r="C820" s="7" t="n">
        <x:v>0.0008685784651968899</x:v>
      </x:c>
      <x:c r="D820" s="7" t="n">
        <x:v>0.0010295942180633105</x:v>
      </x:c>
      <x:c r="E820" t="n">
        <x:f>IF(ISNUMBER(A820),819,0)</x:f>
        <x:v>0</x:v>
      </x:c>
    </x:row>
    <x:row r="821">
      <x:c r="A821" s="6"/>
      <x:c r="B821" s="7" t="n">
        <x:v>-0.0011583654511348493</x:v>
      </x:c>
      <x:c r="C821" s="7" t="n">
        <x:v>0.0061881141417457815</x:v>
      </x:c>
      <x:c r="D821" s="7" t="n">
        <x:v>-0.0034395101849083788</x:v>
      </x:c>
      <x:c r="E821" t="n">
        <x:f>IF(ISNUMBER(A821),820,0)</x:f>
        <x:v>0</x:v>
      </x:c>
    </x:row>
    <x:row r="822">
      <x:c r="A822" s="6"/>
      <x:c r="B822" s="7" t="n">
        <x:v>0.00417088347742785</x:v>
      </x:c>
      <x:c r="C822" s="7" t="n">
        <x:v>-0.001206962924267016</x:v>
      </x:c>
      <x:c r="D822" s="7" t="n">
        <x:v>0.0004634875977512978</x:v>
      </x:c>
      <x:c r="E822" t="n">
        <x:f>IF(ISNUMBER(A822),821,0)</x:f>
        <x:v>0</x:v>
      </x:c>
    </x:row>
    <x:row r="823">
      <x:c r="A823" s="6"/>
      <x:c r="B823" s="7" t="n">
        <x:v>-0.0027836475460032346</x:v>
      </x:c>
      <x:c r="C823" s="7" t="n">
        <x:v>-0.012625469851125563</x:v>
      </x:c>
      <x:c r="D823" s="7" t="n">
        <x:v>-0.011406888008527443</x:v>
      </x:c>
      <x:c r="E823" t="n">
        <x:f>IF(ISNUMBER(A823),822,0)</x:f>
        <x:v>0</x:v>
      </x:c>
    </x:row>
    <x:row r="824">
      <x:c r="A824" s="6"/>
      <x:c r="B824" s="7" t="n">
        <x:v>0.015508636711103514</x:v>
      </x:c>
      <x:c r="C824" s="7" t="n">
        <x:v>0.002893451653189186</x:v>
      </x:c>
      <x:c r="D824" s="7" t="n">
        <x:v>0.0056910584962217604</x:v>
      </x:c>
      <x:c r="E824" t="n">
        <x:f>IF(ISNUMBER(A824),823,0)</x:f>
        <x:v>0</x:v>
      </x:c>
    </x:row>
    <x:row r="825">
      <x:c r="A825" s="6"/>
      <x:c r="B825" s="7" t="n">
        <x:v>-0.0025775213335819634</x:v>
      </x:c>
      <x:c r="C825" s="7" t="n">
        <x:v>-0.0018308589365134689</x:v>
      </x:c>
      <x:c r="D825" s="7" t="n">
        <x:v>0.0056018045547745286</x:v>
      </x:c>
      <x:c r="E825" t="n">
        <x:f>IF(ISNUMBER(A825),824,0)</x:f>
        <x:v>0</x:v>
      </x:c>
    </x:row>
    <x:row r="826">
      <x:c r="A826" s="6"/>
      <x:c r="B826" s="7" t="n">
        <x:v>-0.0068454659014370745</x:v>
      </x:c>
      <x:c r="C826" s="7" t="n">
        <x:v>-0.0035208902442783376</x:v>
      </x:c>
      <x:c r="D826" s="7" t="n">
        <x:v>0.00002271713538934509</x:v>
      </x:c>
      <x:c r="E826" t="n">
        <x:f>IF(ISNUMBER(A826),825,0)</x:f>
        <x:v>0</x:v>
      </x:c>
    </x:row>
    <x:row r="827">
      <x:c r="A827" s="6"/>
      <x:c r="B827" s="7" t="n">
        <x:v>-0.0028446887006135634</x:v>
      </x:c>
      <x:c r="C827" s="7" t="n">
        <x:v>-0.002288834337727904</x:v>
      </x:c>
      <x:c r="D827" s="7" t="n">
        <x:v>-0.004154916623390029</x:v>
      </x:c>
      <x:c r="E827" t="n">
        <x:f>IF(ISNUMBER(A827),826,0)</x:f>
        <x:v>0</x:v>
      </x:c>
    </x:row>
    <x:row r="828">
      <x:c r="A828" s="6"/>
      <x:c r="B828" s="7" t="n">
        <x:v>0.010443084416756199</x:v>
      </x:c>
      <x:c r="C828" s="7" t="n">
        <x:v>0.0038335390127008984</x:v>
      </x:c>
      <x:c r="D828" s="7" t="n">
        <x:v>-0.011878860787892997</x:v>
      </x:c>
      <x:c r="E828" t="n">
        <x:f>IF(ISNUMBER(A828),827,0)</x:f>
        <x:v>0</x:v>
      </x:c>
    </x:row>
    <x:row r="829">
      <x:c r="A829" s="6"/>
      <x:c r="B829" s="7" t="n">
        <x:v>0.0005806713014454478</x:v>
      </x:c>
      <x:c r="C829" s="7" t="n">
        <x:v>0.00045597378020552874</x:v>
      </x:c>
      <x:c r="D829" s="7" t="n">
        <x:v>-0.005249365124671946</x:v>
      </x:c>
      <x:c r="E829" t="n">
        <x:f>IF(ISNUMBER(A829),828,0)</x:f>
        <x:v>0</x:v>
      </x:c>
    </x:row>
    <x:row r="830">
      <x:c r="A830" s="6"/>
      <x:c r="B830" s="7" t="n">
        <x:v>-0.003331363329018371</x:v>
      </x:c>
      <x:c r="C830" s="7" t="n">
        <x:v>-0.0017652082067829405</x:v>
      </x:c>
      <x:c r="D830" s="7" t="n">
        <x:v>0.008755804827440426</x:v>
      </x:c>
      <x:c r="E830" t="n">
        <x:f>IF(ISNUMBER(A830),829,0)</x:f>
        <x:v>0</x:v>
      </x:c>
    </x:row>
    <x:row r="831">
      <x:c r="A831" s="6"/>
      <x:c r="B831" s="7" t="n">
        <x:v>0.010883277043929962</x:v>
      </x:c>
      <x:c r="C831" s="7" t="n">
        <x:v>-0.0034248387848324</x:v>
      </x:c>
      <x:c r="D831" s="7" t="n">
        <x:v>-0.002127987597214733</x:v>
      </x:c>
      <x:c r="E831" t="n">
        <x:f>IF(ISNUMBER(A831),830,0)</x:f>
        <x:v>0</x:v>
      </x:c>
    </x:row>
    <x:row r="832">
      <x:c r="A832" s="6"/>
      <x:c r="B832" s="7" t="n">
        <x:v>0.0037265233178225728</x:v>
      </x:c>
      <x:c r="C832" s="7" t="n">
        <x:v>-0.006411086703638715</x:v>
      </x:c>
      <x:c r="D832" s="7" t="n">
        <x:v>0.01797966497173001</x:v>
      </x:c>
      <x:c r="E832" t="n">
        <x:f>IF(ISNUMBER(A832),831,0)</x:f>
        <x:v>0</x:v>
      </x:c>
    </x:row>
    <x:row r="833">
      <x:c r="A833" s="6"/>
      <x:c r="B833" s="7" t="n">
        <x:v>-0.013953404880829254</x:v>
      </x:c>
      <x:c r="C833" s="7" t="n">
        <x:v>0.012946363450893209</x:v>
      </x:c>
      <x:c r="D833" s="7" t="n">
        <x:v>0.009186209686740388</x:v>
      </x:c>
      <x:c r="E833" t="n">
        <x:f>IF(ISNUMBER(A833),832,0)</x:f>
        <x:v>0</x:v>
      </x:c>
    </x:row>
    <x:row r="834">
      <x:c r="A834" s="6"/>
      <x:c r="B834" s="7" t="n">
        <x:v>0.017746243099492413</x:v>
      </x:c>
      <x:c r="C834" s="7" t="n">
        <x:v>-0.007768168404839094</x:v>
      </x:c>
      <x:c r="D834" s="7" t="n">
        <x:v>0.0029232650987308715</x:v>
      </x:c>
      <x:c r="E834" t="n">
        <x:f>IF(ISNUMBER(A834),833,0)</x:f>
        <x:v>0</x:v>
      </x:c>
    </x:row>
    <x:row r="835">
      <x:c r="A835" s="6"/>
      <x:c r="B835" s="7" t="n">
        <x:v>0.020867322128812104</x:v>
      </x:c>
      <x:c r="C835" s="7" t="n">
        <x:v>-0.003622681261768556</x:v>
      </x:c>
      <x:c r="D835" s="7" t="n">
        <x:v>-0.010022165822481603</x:v>
      </x:c>
      <x:c r="E835" t="n">
        <x:f>IF(ISNUMBER(A835),834,0)</x:f>
        <x:v>0</x:v>
      </x:c>
    </x:row>
    <x:row r="836">
      <x:c r="A836" s="6"/>
      <x:c r="B836" s="7" t="n">
        <x:v>-0.0038117715128138854</x:v>
      </x:c>
      <x:c r="C836" s="7" t="n">
        <x:v>-0.010670088838458458</x:v>
      </x:c>
      <x:c r="D836" s="7" t="n">
        <x:v>-0.01285144556127913</x:v>
      </x:c>
      <x:c r="E836" t="n">
        <x:f>IF(ISNUMBER(A836),835,0)</x:f>
        <x:v>0</x:v>
      </x:c>
    </x:row>
    <x:row r="837">
      <x:c r="A837" s="6"/>
      <x:c r="B837" s="7" t="n">
        <x:v>0.004040396508908695</x:v>
      </x:c>
      <x:c r="C837" s="7" t="n">
        <x:v>-0.00806445538642729</x:v>
      </x:c>
      <x:c r="D837" s="7" t="n">
        <x:v>-0.008006260609919462</x:v>
      </x:c>
      <x:c r="E837" t="n">
        <x:f>IF(ISNUMBER(A837),836,0)</x:f>
        <x:v>0</x:v>
      </x:c>
    </x:row>
    <x:row r="838">
      <x:c r="A838" s="6"/>
      <x:c r="B838" s="7" t="n">
        <x:v>-0.012192515091625097</x:v>
      </x:c>
      <x:c r="C838" s="7" t="n">
        <x:v>-0.004527924532487147</x:v>
      </x:c>
      <x:c r="D838" s="7" t="n">
        <x:v>0.00013293184688600466</x:v>
      </x:c>
      <x:c r="E838" t="n">
        <x:f>IF(ISNUMBER(A838),837,0)</x:f>
        <x:v>0</x:v>
      </x:c>
    </x:row>
    <x:row r="839">
      <x:c r="A839" s="6"/>
      <x:c r="B839" s="7" t="n">
        <x:v>-0.009630961632016401</x:v>
      </x:c>
      <x:c r="C839" s="7" t="n">
        <x:v>0.00043304573326792</x:v>
      </x:c>
      <x:c r="D839" s="7" t="n">
        <x:v>-0.00042094112574085467</x:v>
      </x:c>
      <x:c r="E839" t="n">
        <x:f>IF(ISNUMBER(A839),838,0)</x:f>
        <x:v>0</x:v>
      </x:c>
    </x:row>
    <x:row r="840">
      <x:c r="A840" s="6"/>
      <x:c r="B840" s="7" t="n">
        <x:v>0.0013860855204065345</x:v>
      </x:c>
      <x:c r="C840" s="7" t="n">
        <x:v>-0.0203743662439666</x:v>
      </x:c>
      <x:c r="D840" s="7" t="n">
        <x:v>0.005908094988949239</x:v>
      </x:c>
      <x:c r="E840" t="n">
        <x:f>IF(ISNUMBER(A840),839,0)</x:f>
        <x:v>0</x:v>
      </x:c>
    </x:row>
    <x:row r="841">
      <x:c r="A841" s="6"/>
      <x:c r="B841" s="7" t="n">
        <x:v>-0.027135698469351075</x:v>
      </x:c>
      <x:c r="C841" s="7" t="n">
        <x:v>0.0014672912148618667</x:v>
      </x:c>
      <x:c r="D841" s="7" t="n">
        <x:v>-0.0064822242477190276</x:v>
      </x:c>
      <x:c r="E841" t="n">
        <x:f>IF(ISNUMBER(A841),840,0)</x:f>
        <x:v>0</x:v>
      </x:c>
    </x:row>
    <x:row r="842">
      <x:c r="A842" s="6"/>
      <x:c r="B842" s="7" t="n">
        <x:v>-0.009022689607352995</x:v>
      </x:c>
      <x:c r="C842" s="7" t="n">
        <x:v>0.005430537403050533</x:v>
      </x:c>
      <x:c r="D842" s="7" t="n">
        <x:v>0.011716481868286496</x:v>
      </x:c>
      <x:c r="E842" t="n">
        <x:f>IF(ISNUMBER(A842),841,0)</x:f>
        <x:v>0</x:v>
      </x:c>
    </x:row>
    <x:row r="843">
      <x:c r="A843" s="6"/>
      <x:c r="B843" s="7" t="n">
        <x:v>-0.021917215332908774</x:v>
      </x:c>
      <x:c r="C843" s="7" t="n">
        <x:v>0.006251566551240256</x:v>
      </x:c>
      <x:c r="D843" s="7" t="n">
        <x:v>-0.000861670942077528</x:v>
      </x:c>
      <x:c r="E843" t="n">
        <x:f>IF(ISNUMBER(A843),842,0)</x:f>
        <x:v>0</x:v>
      </x:c>
    </x:row>
    <x:row r="844">
      <x:c r="A844" s="6"/>
      <x:c r="B844" s="7" t="n">
        <x:v>0.002719232693552686</x:v>
      </x:c>
      <x:c r="C844" s="7" t="n">
        <x:v>0.005382870915788194</x:v>
      </x:c>
      <x:c r="D844" s="7" t="n">
        <x:v>-0.00010027483322000125</x:v>
      </x:c>
      <x:c r="E844" t="n">
        <x:f>IF(ISNUMBER(A844),843,0)</x:f>
        <x:v>0</x:v>
      </x:c>
    </x:row>
    <x:row r="845">
      <x:c r="A845" s="6"/>
      <x:c r="B845" s="7" t="n">
        <x:v>-0.0023059546606393868</x:v>
      </x:c>
      <x:c r="C845" s="7" t="n">
        <x:v>0.004661957672791647</x:v>
      </x:c>
      <x:c r="D845" s="7" t="n">
        <x:v>-0.009290475456106851</x:v>
      </x:c>
      <x:c r="E845" t="n">
        <x:f>IF(ISNUMBER(A845),844,0)</x:f>
        <x:v>0</x:v>
      </x:c>
    </x:row>
    <x:row r="846">
      <x:c r="A846" s="6"/>
      <x:c r="B846" s="7" t="n">
        <x:v>0.0108012076545309</x:v>
      </x:c>
      <x:c r="C846" s="7" t="n">
        <x:v>0.0020815840256312745</x:v>
      </x:c>
      <x:c r="D846" s="7" t="n">
        <x:v>0.00431333284003024</x:v>
      </x:c>
      <x:c r="E846" t="n">
        <x:f>IF(ISNUMBER(A846),845,0)</x:f>
        <x:v>0</x:v>
      </x:c>
    </x:row>
    <x:row r="847">
      <x:c r="A847" s="6"/>
      <x:c r="B847" s="7" t="n">
        <x:v>-0.0054032635298660895</x:v>
      </x:c>
      <x:c r="C847" s="7" t="n">
        <x:v>-0.0027701546080556904</x:v>
      </x:c>
      <x:c r="D847" s="7" t="n">
        <x:v>-0.00968267585871875</x:v>
      </x:c>
      <x:c r="E847" t="n">
        <x:f>IF(ISNUMBER(A847),846,0)</x:f>
        <x:v>0</x:v>
      </x:c>
    </x:row>
    <x:row r="848">
      <x:c r="A848" s="6"/>
      <x:c r="B848" s="7" t="n">
        <x:v>0.00007641479607975786</x:v>
      </x:c>
      <x:c r="C848" s="7" t="n">
        <x:v>0.003256580826167505</x:v>
      </x:c>
      <x:c r="D848" s="7" t="n">
        <x:v>-0.009666862855075436</x:v>
      </x:c>
      <x:c r="E848" t="n">
        <x:f>IF(ISNUMBER(A848),847,0)</x:f>
        <x:v>0</x:v>
      </x:c>
    </x:row>
    <x:row r="849">
      <x:c r="A849" s="6"/>
      <x:c r="B849" s="7" t="n">
        <x:v>0.007917794432662176</x:v>
      </x:c>
      <x:c r="C849" s="7" t="n">
        <x:v>-0.005360314733689482</x:v>
      </x:c>
      <x:c r="D849" s="7" t="n">
        <x:v>0.0037676157191973256</x:v>
      </x:c>
      <x:c r="E849" t="n">
        <x:f>IF(ISNUMBER(A849),848,0)</x:f>
        <x:v>0</x:v>
      </x:c>
    </x:row>
    <x:row r="850">
      <x:c r="A850" s="6"/>
      <x:c r="B850" s="7" t="n">
        <x:v>0.006076590590351012</x:v>
      </x:c>
      <x:c r="C850" s="7" t="n">
        <x:v>-0.004411390060860855</x:v>
      </x:c>
      <x:c r="D850" s="7" t="n">
        <x:v>-0.00841632036819474</x:v>
      </x:c>
      <x:c r="E850" t="n">
        <x:f>IF(ISNUMBER(A850),849,0)</x:f>
        <x:v>0</x:v>
      </x:c>
    </x:row>
    <x:row r="851">
      <x:c r="A851" s="6"/>
      <x:c r="B851" s="7" t="n">
        <x:v>0.00423986732356877</x:v>
      </x:c>
      <x:c r="C851" s="7" t="n">
        <x:v>-0.006003771234249346</x:v>
      </x:c>
      <x:c r="D851" s="7" t="n">
        <x:v>0.006172656417665546</x:v>
      </x:c>
      <x:c r="E851" t="n">
        <x:f>IF(ISNUMBER(A851),850,0)</x:f>
        <x:v>0</x:v>
      </x:c>
    </x:row>
    <x:row r="852">
      <x:c r="A852" s="6"/>
      <x:c r="B852" s="7" t="n">
        <x:v>-0.0006374519234623296</x:v>
      </x:c>
      <x:c r="C852" s="7" t="n">
        <x:v>-0.009480878257374243</x:v>
      </x:c>
      <x:c r="D852" s="7" t="n">
        <x:v>0.00016608950129439967</x:v>
      </x:c>
      <x:c r="E852" t="n">
        <x:f>IF(ISNUMBER(A852),851,0)</x:f>
        <x:v>0</x:v>
      </x:c>
    </x:row>
    <x:row r="853">
      <x:c r="A853" s="6"/>
      <x:c r="B853" s="7" t="n">
        <x:v>-0.011045980723211134</x:v>
      </x:c>
      <x:c r="C853" s="7" t="n">
        <x:v>-0.006842544417981653</x:v>
      </x:c>
      <x:c r="D853" s="7" t="n">
        <x:v>0.003983542756818265</x:v>
      </x:c>
      <x:c r="E853" t="n">
        <x:f>IF(ISNUMBER(A853),852,0)</x:f>
        <x:v>0</x:v>
      </x:c>
    </x:row>
    <x:row r="854">
      <x:c r="A854" s="6"/>
      <x:c r="B854" s="7" t="n">
        <x:v>-0.00574497242744399</x:v>
      </x:c>
      <x:c r="C854" s="7" t="n">
        <x:v>0.0049876605916786354</x:v>
      </x:c>
      <x:c r="D854" s="7" t="n">
        <x:v>-0.000385092986503235</x:v>
      </x:c>
      <x:c r="E854" t="n">
        <x:f>IF(ISNUMBER(A854),853,0)</x:f>
        <x:v>0</x:v>
      </x:c>
    </x:row>
    <x:row r="855">
      <x:c r="A855" s="6"/>
      <x:c r="B855" s="7" t="n">
        <x:v>-0.021617055512421844</x:v>
      </x:c>
      <x:c r="C855" s="7" t="n">
        <x:v>-0.0028593008216360205</x:v>
      </x:c>
      <x:c r="D855" s="7" t="n">
        <x:v>-0.003703301311354604</x:v>
      </x:c>
      <x:c r="E855" t="n">
        <x:f>IF(ISNUMBER(A855),854,0)</x:f>
        <x:v>0</x:v>
      </x:c>
    </x:row>
    <x:row r="856">
      <x:c r="A856" s="6"/>
      <x:c r="B856" s="7" t="n">
        <x:v>-0.005327816639710119</x:v>
      </x:c>
      <x:c r="C856" s="7" t="n">
        <x:v>0.00027698074105493055</x:v>
      </x:c>
      <x:c r="D856" s="7" t="n">
        <x:v>0.012690720977148191</x:v>
      </x:c>
      <x:c r="E856" t="n">
        <x:f>IF(ISNUMBER(A856),855,0)</x:f>
        <x:v>0</x:v>
      </x:c>
    </x:row>
    <x:row r="857">
      <x:c r="A857" s="6"/>
      <x:c r="B857" s="7" t="n">
        <x:v>-0.0022957784734392813</x:v>
      </x:c>
      <x:c r="C857" s="7" t="n">
        <x:v>0.008287021557759476</x:v>
      </x:c>
      <x:c r="D857" s="7" t="n">
        <x:v>-0.014039258109500545</x:v>
      </x:c>
      <x:c r="E857" t="n">
        <x:f>IF(ISNUMBER(A857),856,0)</x:f>
        <x:v>0</x:v>
      </x:c>
    </x:row>
    <x:row r="858">
      <x:c r="A858" s="6"/>
      <x:c r="B858" s="7" t="n">
        <x:v>0.0009496215482961833</x:v>
      </x:c>
      <x:c r="C858" s="7" t="n">
        <x:v>0.002589626919943889</x:v>
      </x:c>
      <x:c r="D858" s="7" t="n">
        <x:v>0.00020725457161022782</x:v>
      </x:c>
      <x:c r="E858" t="n">
        <x:f>IF(ISNUMBER(A858),857,0)</x:f>
        <x:v>0</x:v>
      </x:c>
    </x:row>
    <x:row r="859">
      <x:c r="A859" s="6"/>
      <x:c r="B859" s="7" t="n">
        <x:v>-0.0028420126724351584</x:v>
      </x:c>
      <x:c r="C859" s="7" t="n">
        <x:v>0.0297612725080257</x:v>
      </x:c>
      <x:c r="D859" s="7" t="n">
        <x:v>0.004820634735378708</x:v>
      </x:c>
      <x:c r="E859" t="n">
        <x:f>IF(ISNUMBER(A859),858,0)</x:f>
        <x:v>0</x:v>
      </x:c>
    </x:row>
    <x:row r="860">
      <x:c r="A860" s="6"/>
      <x:c r="B860" s="7" t="n">
        <x:v>-0.02475897229701928</x:v>
      </x:c>
      <x:c r="C860" s="7" t="n">
        <x:v>-0.006651221599493466</x:v>
      </x:c>
      <x:c r="D860" s="7" t="n">
        <x:v>0.00515884822728421</x:v>
      </x:c>
      <x:c r="E860" t="n">
        <x:f>IF(ISNUMBER(A860),859,0)</x:f>
        <x:v>0</x:v>
      </x:c>
    </x:row>
    <x:row r="861">
      <x:c r="A861" s="6"/>
      <x:c r="B861" s="7" t="n">
        <x:v>-0.007763835634602245</x:v>
      </x:c>
      <x:c r="C861" s="7" t="n">
        <x:v>-0.009355430424551298</x:v>
      </x:c>
      <x:c r="D861" s="7" t="n">
        <x:v>-0.0018772724765457138</x:v>
      </x:c>
      <x:c r="E861" t="n">
        <x:f>IF(ISNUMBER(A861),860,0)</x:f>
        <x:v>0</x:v>
      </x:c>
    </x:row>
    <x:row r="862">
      <x:c r="A862" s="6"/>
      <x:c r="B862" s="7" t="n">
        <x:v>0.0047375441495819196</x:v>
      </x:c>
      <x:c r="C862" s="7" t="n">
        <x:v>0.02126384892781783</x:v>
      </x:c>
      <x:c r="D862" s="7" t="n">
        <x:v>-0.0039660529579040584</x:v>
      </x:c>
      <x:c r="E862" t="n">
        <x:f>IF(ISNUMBER(A862),861,0)</x:f>
        <x:v>0</x:v>
      </x:c>
    </x:row>
    <x:row r="863">
      <x:c r="A863" s="6"/>
      <x:c r="B863" s="7" t="n">
        <x:v>-0.00701350502314395</x:v>
      </x:c>
      <x:c r="C863" s="7" t="n">
        <x:v>0.029706333836931182</x:v>
      </x:c>
      <x:c r="D863" s="7" t="n">
        <x:v>0.009610314637833177</x:v>
      </x:c>
      <x:c r="E863" t="n">
        <x:f>IF(ISNUMBER(A863),862,0)</x:f>
        <x:v>0</x:v>
      </x:c>
    </x:row>
    <x:row r="864">
      <x:c r="A864" s="6"/>
      <x:c r="B864" s="7" t="n">
        <x:v>0.0018106104904667567</x:v>
      </x:c>
      <x:c r="C864" s="7" t="n">
        <x:v>0.0006765457831302551</x:v>
      </x:c>
      <x:c r="D864" s="7" t="n">
        <x:v>0.003195196565347396</x:v>
      </x:c>
      <x:c r="E864" t="n">
        <x:f>IF(ISNUMBER(A864),863,0)</x:f>
        <x:v>0</x:v>
      </x:c>
    </x:row>
    <x:row r="865">
      <x:c r="A865" s="6"/>
      <x:c r="B865" s="7" t="n">
        <x:v>-0.003720523797651686</x:v>
      </x:c>
      <x:c r="C865" s="7" t="n">
        <x:v>0.0024199507859475845</x:v>
      </x:c>
      <x:c r="D865" s="7" t="n">
        <x:v>0.00753094654741491</x:v>
      </x:c>
      <x:c r="E865" t="n">
        <x:f>IF(ISNUMBER(A865),864,0)</x:f>
        <x:v>0</x:v>
      </x:c>
    </x:row>
    <x:row r="866">
      <x:c r="A866" s="6"/>
      <x:c r="B866" s="7" t="n">
        <x:v>0.0043494944136132615</x:v>
      </x:c>
      <x:c r="C866" s="7" t="n">
        <x:v>0.010387393802119227</x:v>
      </x:c>
      <x:c r="D866" s="7" t="n">
        <x:v>-0.008410682975181452</x:v>
      </x:c>
      <x:c r="E866" t="n">
        <x:f>IF(ISNUMBER(A866),865,0)</x:f>
        <x:v>0</x:v>
      </x:c>
    </x:row>
    <x:row r="867">
      <x:c r="A867" s="6"/>
      <x:c r="B867" s="7" t="n">
        <x:v>0.015056134985145613</x:v>
      </x:c>
      <x:c r="C867" s="7" t="n">
        <x:v>-0.0017846125833285498</x:v>
      </x:c>
      <x:c r="D867" s="7" t="n">
        <x:v>0.0025931901675993485</x:v>
      </x:c>
      <x:c r="E867" t="n">
        <x:f>IF(ISNUMBER(A867),866,0)</x:f>
        <x:v>0</x:v>
      </x:c>
    </x:row>
    <x:row r="868">
      <x:c r="A868" s="6"/>
      <x:c r="B868" s="7" t="n">
        <x:v>0.000979362549140422</x:v>
      </x:c>
      <x:c r="C868" s="7" t="n">
        <x:v>-0.0011303611784404342</x:v>
      </x:c>
      <x:c r="D868" s="7" t="n">
        <x:v>-0.0028332012899385875</x:v>
      </x:c>
      <x:c r="E868" t="n">
        <x:f>IF(ISNUMBER(A868),867,0)</x:f>
        <x:v>0</x:v>
      </x:c>
    </x:row>
    <x:row r="869">
      <x:c r="A869" s="6"/>
      <x:c r="B869" s="7" t="n">
        <x:v>0.005790843773418108</x:v>
      </x:c>
      <x:c r="C869" s="7" t="n">
        <x:v>-0.0030700058450073664</x:v>
      </x:c>
      <x:c r="D869" s="7" t="n">
        <x:v>0.0019536492923715168</x:v>
      </x:c>
      <x:c r="E869" t="n">
        <x:f>IF(ISNUMBER(A869),868,0)</x:f>
        <x:v>0</x:v>
      </x:c>
    </x:row>
    <x:row r="870">
      <x:c r="A870" s="6"/>
      <x:c r="B870" s="7" t="n">
        <x:v>0.015396516979239466</x:v>
      </x:c>
      <x:c r="C870" s="7" t="n">
        <x:v>0.00234674641700972</x:v>
      </x:c>
      <x:c r="D870" s="7" t="n">
        <x:v>-0.001391802009279488</x:v>
      </x:c>
      <x:c r="E870" t="n">
        <x:f>IF(ISNUMBER(A870),869,0)</x:f>
        <x:v>0</x:v>
      </x:c>
    </x:row>
    <x:row r="871">
      <x:c r="A871" s="6"/>
      <x:c r="B871" s="7" t="n">
        <x:v>-0.00984843448626662</x:v>
      </x:c>
      <x:c r="C871" s="7" t="n">
        <x:v>-0.004773801932789677</x:v>
      </x:c>
      <x:c r="D871" s="7" t="n">
        <x:v>0.009341180874810942</x:v>
      </x:c>
      <x:c r="E871" t="n">
        <x:f>IF(ISNUMBER(A871),870,0)</x:f>
        <x:v>0</x:v>
      </x:c>
    </x:row>
    <x:row r="872">
      <x:c r="A872" s="6"/>
      <x:c r="B872" s="7" t="n">
        <x:v>-0.03432566242465914</x:v>
      </x:c>
      <x:c r="C872" s="7" t="n">
        <x:v>-0.001312196229810675</x:v>
      </x:c>
      <x:c r="D872" s="7" t="n">
        <x:v>-0.013097153545346097</x:v>
      </x:c>
      <x:c r="E872" t="n">
        <x:f>IF(ISNUMBER(A872),871,0)</x:f>
        <x:v>0</x:v>
      </x:c>
    </x:row>
    <x:row r="873">
      <x:c r="A873" s="6"/>
      <x:c r="B873" s="7" t="n">
        <x:v>-0.0032556537024080235</x:v>
      </x:c>
      <x:c r="C873" s="7" t="n">
        <x:v>0.004714862728500133</x:v>
      </x:c>
      <x:c r="D873" s="7" t="n">
        <x:v>-0.0032363949560867728</x:v>
      </x:c>
      <x:c r="E873" t="n">
        <x:f>IF(ISNUMBER(A873),872,0)</x:f>
        <x:v>0</x:v>
      </x:c>
    </x:row>
    <x:row r="874">
      <x:c r="A874" s="6"/>
      <x:c r="B874" s="7" t="n">
        <x:v>-0.018289307193044415</x:v>
      </x:c>
      <x:c r="C874" s="7" t="n">
        <x:v>0.004359491305843275</x:v>
      </x:c>
      <x:c r="D874" s="7" t="n">
        <x:v>0.008520852407223155</x:v>
      </x:c>
      <x:c r="E874" t="n">
        <x:f>IF(ISNUMBER(A874),873,0)</x:f>
        <x:v>0</x:v>
      </x:c>
    </x:row>
    <x:row r="875">
      <x:c r="A875" s="6"/>
      <x:c r="B875" s="7" t="n">
        <x:v>-0.007239515332291735</x:v>
      </x:c>
      <x:c r="C875" s="7" t="n">
        <x:v>0.005866202174200368</x:v>
      </x:c>
      <x:c r="D875" s="7" t="n">
        <x:v>0.004151843476095578</x:v>
      </x:c>
      <x:c r="E875" t="n">
        <x:f>IF(ISNUMBER(A875),874,0)</x:f>
        <x:v>0</x:v>
      </x:c>
    </x:row>
    <x:row r="876">
      <x:c r="A876" s="6"/>
      <x:c r="B876" s="7" t="n">
        <x:v>0.0013898514073062821</x:v>
      </x:c>
      <x:c r="C876" s="7" t="n">
        <x:v>-0.0016416068226258772</x:v>
      </x:c>
      <x:c r="D876" s="7" t="n">
        <x:v>0.004114155310541509</x:v>
      </x:c>
      <x:c r="E876" t="n">
        <x:f>IF(ISNUMBER(A876),875,0)</x:f>
        <x:v>0</x:v>
      </x:c>
    </x:row>
    <x:row r="877">
      <x:c r="A877" s="6"/>
      <x:c r="B877" s="7" t="n">
        <x:v>-0.0033596417507400717</x:v>
      </x:c>
      <x:c r="C877" s="7" t="n">
        <x:v>0.001997730473762829</x:v>
      </x:c>
      <x:c r="D877" s="7" t="n">
        <x:v>-0.007416330169918734</x:v>
      </x:c>
      <x:c r="E877" t="n">
        <x:f>IF(ISNUMBER(A877),876,0)</x:f>
        <x:v>0</x:v>
      </x:c>
    </x:row>
    <x:row r="878">
      <x:c r="A878" s="6"/>
      <x:c r="B878" s="7" t="n">
        <x:v>0.009319960590604416</x:v>
      </x:c>
      <x:c r="C878" s="7" t="n">
        <x:v>-0.010375772213596444</x:v>
      </x:c>
      <x:c r="D878" s="7" t="n">
        <x:v>-0.0013702820455363577</x:v>
      </x:c>
      <x:c r="E878" t="n">
        <x:f>IF(ISNUMBER(A878),877,0)</x:f>
        <x:v>0</x:v>
      </x:c>
    </x:row>
    <x:row r="879">
      <x:c r="A879" s="6"/>
      <x:c r="B879" s="7" t="n">
        <x:v>-0.013592046602439543</x:v>
      </x:c>
      <x:c r="C879" s="7" t="n">
        <x:v>0.004148251187457025</x:v>
      </x:c>
      <x:c r="D879" s="7" t="n">
        <x:v>-0.0026045901763539618</x:v>
      </x:c>
      <x:c r="E879" t="n">
        <x:f>IF(ISNUMBER(A879),878,0)</x:f>
        <x:v>0</x:v>
      </x:c>
    </x:row>
    <x:row r="880">
      <x:c r="A880" s="6"/>
      <x:c r="B880" s="7" t="n">
        <x:v>0.0029830712413935687</x:v>
      </x:c>
      <x:c r="C880" s="7" t="n">
        <x:v>-0.0048466476762631175</x:v>
      </x:c>
      <x:c r="D880" s="7" t="n">
        <x:v>-0.004229035858522053</x:v>
      </x:c>
      <x:c r="E880" t="n">
        <x:f>IF(ISNUMBER(A880),879,0)</x:f>
        <x:v>0</x:v>
      </x:c>
    </x:row>
    <x:row r="881">
      <x:c r="A881" s="6"/>
      <x:c r="B881" s="7" t="n">
        <x:v>0.004923533066934603</x:v>
      </x:c>
      <x:c r="C881" s="7" t="n">
        <x:v>0.0142735091806287</x:v>
      </x:c>
      <x:c r="D881" s="7" t="n">
        <x:v>-0.003375481816114306</x:v>
      </x:c>
      <x:c r="E881" t="n">
        <x:f>IF(ISNUMBER(A881),880,0)</x:f>
        <x:v>0</x:v>
      </x:c>
    </x:row>
    <x:row r="882">
      <x:c r="A882" s="6"/>
      <x:c r="B882" s="7" t="n">
        <x:v>0.012511391147022672</x:v>
      </x:c>
      <x:c r="C882" s="7" t="n">
        <x:v>0.01552038866013957</x:v>
      </x:c>
      <x:c r="D882" s="7" t="n">
        <x:v>-0.000704277994404808</x:v>
      </x:c>
      <x:c r="E882" t="n">
        <x:f>IF(ISNUMBER(A882),881,0)</x:f>
        <x:v>0</x:v>
      </x:c>
    </x:row>
    <x:row r="883">
      <x:c r="A883" s="6"/>
      <x:c r="B883" s="7" t="n">
        <x:v>0.002695236841123452</x:v>
      </x:c>
      <x:c r="C883" s="7" t="n">
        <x:v>-0.021790561938014156</x:v>
      </x:c>
      <x:c r="D883" s="7" t="n">
        <x:v>0.014525333137023706</x:v>
      </x:c>
      <x:c r="E883" t="n">
        <x:f>IF(ISNUMBER(A883),882,0)</x:f>
        <x:v>0</x:v>
      </x:c>
    </x:row>
    <x:row r="884">
      <x:c r="A884" s="6"/>
      <x:c r="B884" s="7" t="n">
        <x:v>-0.010894848913916606</x:v>
      </x:c>
      <x:c r="C884" s="7" t="n">
        <x:v>-0.0003889708631124882</x:v>
      </x:c>
      <x:c r="D884" s="7" t="n">
        <x:v>-0.0029976220362556956</x:v>
      </x:c>
      <x:c r="E884" t="n">
        <x:f>IF(ISNUMBER(A884),883,0)</x:f>
        <x:v>0</x:v>
      </x:c>
    </x:row>
    <x:row r="885">
      <x:c r="A885" s="6"/>
      <x:c r="B885" s="7" t="n">
        <x:v>-0.02694298780222299</x:v>
      </x:c>
      <x:c r="C885" s="7" t="n">
        <x:v>0.001662713380460587</x:v>
      </x:c>
      <x:c r="D885" s="7" t="n">
        <x:v>-0.0017411176274813897</x:v>
      </x:c>
      <x:c r="E885" t="n">
        <x:f>IF(ISNUMBER(A885),884,0)</x:f>
        <x:v>0</x:v>
      </x:c>
    </x:row>
    <x:row r="886">
      <x:c r="A886" s="6"/>
      <x:c r="B886" s="7" t="n">
        <x:v>-0.01070903899846889</x:v>
      </x:c>
      <x:c r="C886" s="7" t="n">
        <x:v>0.0013697785942688603</x:v>
      </x:c>
      <x:c r="D886" s="7" t="n">
        <x:v>-0.007147244214986046</x:v>
      </x:c>
      <x:c r="E886" t="n">
        <x:f>IF(ISNUMBER(A886),885,0)</x:f>
        <x:v>0</x:v>
      </x:c>
    </x:row>
    <x:row r="887">
      <x:c r="A887" s="6"/>
      <x:c r="B887" s="7" t="n">
        <x:v>-0.01080844862566199</x:v>
      </x:c>
      <x:c r="C887" s="7" t="n">
        <x:v>0.011457612899316365</x:v>
      </x:c>
      <x:c r="D887" s="7" t="n">
        <x:v>-0.004424764281839986</x:v>
      </x:c>
      <x:c r="E887" t="n">
        <x:f>IF(ISNUMBER(A887),886,0)</x:f>
        <x:v>0</x:v>
      </x:c>
    </x:row>
    <x:row r="888">
      <x:c r="A888" s="6"/>
      <x:c r="B888" s="7" t="n">
        <x:v>-0.007608562069370647</x:v>
      </x:c>
      <x:c r="C888" s="7" t="n">
        <x:v>0.008565579659348229</x:v>
      </x:c>
      <x:c r="D888" s="7" t="n">
        <x:v>0.0009543567315607109</x:v>
      </x:c>
      <x:c r="E888" t="n">
        <x:f>IF(ISNUMBER(A888),887,0)</x:f>
        <x:v>0</x:v>
      </x:c>
    </x:row>
    <x:row r="889">
      <x:c r="A889" s="6"/>
      <x:c r="B889" s="7" t="n">
        <x:v>0.001697070723542362</x:v>
      </x:c>
      <x:c r="C889" s="7" t="n">
        <x:v>0.006882243244459459</x:v>
      </x:c>
      <x:c r="D889" s="7" t="n">
        <x:v>-0.0005821735306712865</x:v>
      </x:c>
      <x:c r="E889" t="n">
        <x:f>IF(ISNUMBER(A889),888,0)</x:f>
        <x:v>0</x:v>
      </x:c>
    </x:row>
    <x:row r="890">
      <x:c r="A890" s="6"/>
      <x:c r="B890" s="7" t="n">
        <x:v>0.0025497863905731815</x:v>
      </x:c>
      <x:c r="C890" s="7" t="n">
        <x:v>0.006783325154553058</x:v>
      </x:c>
      <x:c r="D890" s="7" t="n">
        <x:v>0.0006246969578654368</x:v>
      </x:c>
      <x:c r="E890" t="n">
        <x:f>IF(ISNUMBER(A890),889,0)</x:f>
        <x:v>0</x:v>
      </x:c>
    </x:row>
    <x:row r="891">
      <x:c r="A891" s="6"/>
      <x:c r="B891" s="7" t="n">
        <x:v>-0.008830179291464811</x:v>
      </x:c>
      <x:c r="C891" s="7" t="n">
        <x:v>-0.0003403305890287912</x:v>
      </x:c>
      <x:c r="D891" s="7" t="n">
        <x:v>-0.0010951019351489765</x:v>
      </x:c>
      <x:c r="E891" t="n">
        <x:f>IF(ISNUMBER(A891),890,0)</x:f>
        <x:v>0</x:v>
      </x:c>
    </x:row>
    <x:row r="892">
      <x:c r="A892" s="6"/>
      <x:c r="B892" s="7" t="n">
        <x:v>0.0032666663045174456</x:v>
      </x:c>
      <x:c r="C892" s="7" t="n">
        <x:v>-0.002260484168599586</x:v>
      </x:c>
      <x:c r="D892" s="7" t="n">
        <x:v>-0.006728958259558473</x:v>
      </x:c>
      <x:c r="E892" t="n">
        <x:f>IF(ISNUMBER(A892),891,0)</x:f>
        <x:v>0</x:v>
      </x:c>
    </x:row>
    <x:row r="893">
      <x:c r="A893" s="6"/>
      <x:c r="B893" s="7" t="n">
        <x:v>-0.017881130733850465</x:v>
      </x:c>
      <x:c r="C893" s="7" t="n">
        <x:v>-0.006463948700900515</x:v>
      </x:c>
      <x:c r="D893" s="7" t="n">
        <x:v>0.0032154200786837076</x:v>
      </x:c>
      <x:c r="E893" t="n">
        <x:f>IF(ISNUMBER(A893),892,0)</x:f>
        <x:v>0</x:v>
      </x:c>
    </x:row>
    <x:row r="894">
      <x:c r="A894" s="6"/>
      <x:c r="B894" s="7" t="n">
        <x:v>0.0091581206601663</x:v>
      </x:c>
      <x:c r="C894" s="7" t="n">
        <x:v>-0.021196505341470457</x:v>
      </x:c>
      <x:c r="D894" s="7" t="n">
        <x:v>-0.00042541466015870357</x:v>
      </x:c>
      <x:c r="E894" t="n">
        <x:f>IF(ISNUMBER(A894),893,0)</x:f>
        <x:v>0</x:v>
      </x:c>
    </x:row>
    <x:row r="895">
      <x:c r="A895" s="6"/>
      <x:c r="B895" s="7" t="n">
        <x:v>-0.012523723652641556</x:v>
      </x:c>
      <x:c r="C895" s="7" t="n">
        <x:v>-0.009580329695281003</x:v>
      </x:c>
      <x:c r="D895" s="7" t="n">
        <x:v>-0.011783901377827203</x:v>
      </x:c>
      <x:c r="E895" t="n">
        <x:f>IF(ISNUMBER(A895),894,0)</x:f>
        <x:v>0</x:v>
      </x:c>
    </x:row>
    <x:row r="896">
      <x:c r="A896" s="6"/>
      <x:c r="B896" s="7" t="n">
        <x:v>-0.007397888248251403</x:v>
      </x:c>
      <x:c r="C896" s="7" t="n">
        <x:v>-0.016253453008618114</x:v>
      </x:c>
      <x:c r="D896" s="7" t="n">
        <x:v>-0.003550447970594335</x:v>
      </x:c>
      <x:c r="E896" t="n">
        <x:f>IF(ISNUMBER(A896),895,0)</x:f>
        <x:v>0</x:v>
      </x:c>
    </x:row>
    <x:row r="897">
      <x:c r="A897" s="6"/>
      <x:c r="B897" s="7" t="n">
        <x:v>-0.010925087586902362</x:v>
      </x:c>
      <x:c r="C897" s="7" t="n">
        <x:v>-0.01625526429247042</x:v>
      </x:c>
      <x:c r="D897" s="7" t="n">
        <x:v>-0.017320261747818644</x:v>
      </x:c>
      <x:c r="E897" t="n">
        <x:f>IF(ISNUMBER(A897),896,0)</x:f>
        <x:v>0</x:v>
      </x:c>
    </x:row>
    <x:row r="898">
      <x:c r="A898" s="6"/>
      <x:c r="B898" s="7" t="n">
        <x:v>0.011089652565303752</x:v>
      </x:c>
      <x:c r="C898" s="7" t="n">
        <x:v>0.004249203540284364</x:v>
      </x:c>
      <x:c r="D898" s="7" t="n">
        <x:v>0.006173895956466081</x:v>
      </x:c>
      <x:c r="E898" t="n">
        <x:f>IF(ISNUMBER(A898),897,0)</x:f>
        <x:v>0</x:v>
      </x:c>
    </x:row>
    <x:row r="899">
      <x:c r="A899" s="6"/>
      <x:c r="B899" s="7" t="n">
        <x:v>-0.01220507330320048</x:v>
      </x:c>
      <x:c r="C899" s="7" t="n">
        <x:v>-0.007596384745605232</x:v>
      </x:c>
      <x:c r="D899" s="7" t="n">
        <x:v>-0.0002670279711173645</x:v>
      </x:c>
      <x:c r="E899" t="n">
        <x:f>IF(ISNUMBER(A899),898,0)</x:f>
        <x:v>0</x:v>
      </x:c>
    </x:row>
    <x:row r="900">
      <x:c r="A900" s="6"/>
      <x:c r="B900" s="7" t="n">
        <x:v>0.0025147347803759295</x:v>
      </x:c>
      <x:c r="C900" s="7" t="n">
        <x:v>-0.0019232402307081072</x:v>
      </x:c>
      <x:c r="D900" s="7" t="n">
        <x:v>-0.00944488926668748</x:v>
      </x:c>
      <x:c r="E900" t="n">
        <x:f>IF(ISNUMBER(A900),899,0)</x:f>
        <x:v>0</x:v>
      </x:c>
    </x:row>
    <x:row r="901">
      <x:c r="A901" s="6"/>
      <x:c r="B901" s="7" t="n">
        <x:v>-0.007896436074829398</x:v>
      </x:c>
      <x:c r="C901" s="7" t="n">
        <x:v>0.01891234894487779</x:v>
      </x:c>
      <x:c r="D901" s="7" t="n">
        <x:v>0.006410752446607566</x:v>
      </x:c>
      <x:c r="E901" t="n">
        <x:f>IF(ISNUMBER(A901),900,0)</x:f>
        <x:v>0</x:v>
      </x:c>
    </x:row>
    <x:row r="902">
      <x:c r="A902" s="6"/>
      <x:c r="B902" s="7" t="n">
        <x:v>-0.0013128682226501512</x:v>
      </x:c>
      <x:c r="C902" s="7" t="n">
        <x:v>0.0039433131598454714</x:v>
      </x:c>
      <x:c r="D902" s="7" t="n">
        <x:v>0.010136031070353995</x:v>
      </x:c>
      <x:c r="E902" t="n">
        <x:f>IF(ISNUMBER(A902),901,0)</x:f>
        <x:v>0</x:v>
      </x:c>
    </x:row>
    <x:row r="903">
      <x:c r="A903" s="6"/>
      <x:c r="B903" s="7" t="n">
        <x:v>0.00968653898328446</x:v>
      </x:c>
      <x:c r="C903" s="7" t="n">
        <x:v>-0.005891060423363609</x:v>
      </x:c>
      <x:c r="D903" s="7" t="n">
        <x:v>-0.0014935666368017877</x:v>
      </x:c>
      <x:c r="E903" t="n">
        <x:f>IF(ISNUMBER(A903),902,0)</x:f>
        <x:v>0</x:v>
      </x:c>
    </x:row>
    <x:row r="904">
      <x:c r="A904" s="6"/>
      <x:c r="B904" s="7" t="n">
        <x:v>0.0006049740474411202</x:v>
      </x:c>
      <x:c r="C904" s="7" t="n">
        <x:v>-0.005095449599070676</x:v>
      </x:c>
      <x:c r="D904" s="7" t="n">
        <x:v>0.0014994132758675692</x:v>
      </x:c>
      <x:c r="E904" t="n">
        <x:f>IF(ISNUMBER(A904),903,0)</x:f>
        <x:v>0</x:v>
      </x:c>
    </x:row>
    <x:row r="905">
      <x:c r="A905" s="6"/>
      <x:c r="B905" s="7" t="n">
        <x:v>-0.0026355264236050534</x:v>
      </x:c>
      <x:c r="C905" s="7" t="n">
        <x:v>0.006501819407642139</x:v>
      </x:c>
      <x:c r="D905" s="7" t="n">
        <x:v>0.002091868809295641</x:v>
      </x:c>
      <x:c r="E905" t="n">
        <x:f>IF(ISNUMBER(A905),904,0)</x:f>
        <x:v>0</x:v>
      </x:c>
    </x:row>
    <x:row r="906">
      <x:c r="A906" s="6"/>
      <x:c r="B906" s="7" t="n">
        <x:v>0.008009639058652122</x:v>
      </x:c>
      <x:c r="C906" s="7" t="n">
        <x:v>0.0001392139988637987</x:v>
      </x:c>
      <x:c r="D906" s="7" t="n">
        <x:v>-0.015253554378075017</x:v>
      </x:c>
      <x:c r="E906" t="n">
        <x:f>IF(ISNUMBER(A906),905,0)</x:f>
        <x:v>0</x:v>
      </x:c>
    </x:row>
    <x:row r="907">
      <x:c r="A907" s="6"/>
      <x:c r="B907" s="7" t="n">
        <x:v>-0.015420384460475568</x:v>
      </x:c>
      <x:c r="C907" s="7" t="n">
        <x:v>0.00624509517036714</x:v>
      </x:c>
      <x:c r="D907" s="7" t="n">
        <x:v>-0.009578901320861128</x:v>
      </x:c>
      <x:c r="E907" t="n">
        <x:f>IF(ISNUMBER(A907),906,0)</x:f>
        <x:v>0</x:v>
      </x:c>
    </x:row>
    <x:row r="908">
      <x:c r="A908" s="6"/>
      <x:c r="B908" s="7" t="n">
        <x:v>-0.008737237352907507</x:v>
      </x:c>
      <x:c r="C908" s="7" t="n">
        <x:v>0.00013369720957052145</x:v>
      </x:c>
      <x:c r="D908" s="7" t="n">
        <x:v>0.0027271287643420997</x:v>
      </x:c>
      <x:c r="E908" t="n">
        <x:f>IF(ISNUMBER(A908),907,0)</x:f>
        <x:v>0</x:v>
      </x:c>
    </x:row>
    <x:row r="909">
      <x:c r="A909" s="6"/>
      <x:c r="B909" s="7" t="n">
        <x:v>-0.0019779810015746685</x:v>
      </x:c>
      <x:c r="C909" s="7" t="n">
        <x:v>0.0027835721026507614</x:v>
      </x:c>
      <x:c r="D909" s="7" t="n">
        <x:v>-0.002019285239986656</x:v>
      </x:c>
      <x:c r="E909" t="n">
        <x:f>IF(ISNUMBER(A909),908,0)</x:f>
        <x:v>0</x:v>
      </x:c>
    </x:row>
    <x:row r="910">
      <x:c r="A910" s="6"/>
      <x:c r="B910" s="7" t="n">
        <x:v>-0.0012863445520617828</x:v>
      </x:c>
      <x:c r="C910" s="7" t="n">
        <x:v>-0.0016087782212613271</x:v>
      </x:c>
      <x:c r="D910" s="7" t="n">
        <x:v>0.01369660415170909</x:v>
      </x:c>
      <x:c r="E910" t="n">
        <x:f>IF(ISNUMBER(A910),909,0)</x:f>
        <x:v>0</x:v>
      </x:c>
    </x:row>
    <x:row r="911">
      <x:c r="A911" s="6"/>
      <x:c r="B911" s="7" t="n">
        <x:v>0.02014123105487174</x:v>
      </x:c>
      <x:c r="C911" s="7" t="n">
        <x:v>0.00003284459093514699</x:v>
      </x:c>
      <x:c r="D911" s="7" t="n">
        <x:v>0.014522157480264421</x:v>
      </x:c>
      <x:c r="E911" t="n">
        <x:f>IF(ISNUMBER(A911),910,0)</x:f>
        <x:v>0</x:v>
      </x:c>
    </x:row>
    <x:row r="912">
      <x:c r="A912" s="6"/>
      <x:c r="B912" s="7" t="n">
        <x:v>0.0023408530021275485</x:v>
      </x:c>
      <x:c r="C912" s="7" t="n">
        <x:v>0.0004334808131343121</x:v>
      </x:c>
      <x:c r="D912" s="7" t="n">
        <x:v>0.011232303262182173</x:v>
      </x:c>
      <x:c r="E912" t="n">
        <x:f>IF(ISNUMBER(A912),911,0)</x:f>
        <x:v>0</x:v>
      </x:c>
    </x:row>
    <x:row r="913">
      <x:c r="A913" s="6"/>
      <x:c r="B913" s="7" t="n">
        <x:v>0.00439898320413854</x:v>
      </x:c>
      <x:c r="C913" s="7" t="n">
        <x:v>0.0036742534335548267</x:v>
      </x:c>
      <x:c r="D913" s="7" t="n">
        <x:v>0.00576126562354032</x:v>
      </x:c>
      <x:c r="E913" t="n">
        <x:f>IF(ISNUMBER(A913),912,0)</x:f>
        <x:v>0</x:v>
      </x:c>
    </x:row>
    <x:row r="914">
      <x:c r="A914" s="6"/>
      <x:c r="B914" s="7" t="n">
        <x:v>0.005513869190094017</x:v>
      </x:c>
      <x:c r="C914" s="7" t="n">
        <x:v>0.0063462960689891065</x:v>
      </x:c>
      <x:c r="D914" s="7" t="n">
        <x:v>-0.017963125536948836</x:v>
      </x:c>
      <x:c r="E914" t="n">
        <x:f>IF(ISNUMBER(A914),913,0)</x:f>
        <x:v>0</x:v>
      </x:c>
    </x:row>
    <x:row r="915">
      <x:c r="A915" s="6"/>
      <x:c r="B915" s="7" t="n">
        <x:v>-0.003981063101434524</x:v>
      </x:c>
      <x:c r="C915" s="7" t="n">
        <x:v>0.0037121990399973004</x:v>
      </x:c>
      <x:c r="D915" s="7" t="n">
        <x:v>0.0018715337736120012</x:v>
      </x:c>
      <x:c r="E915" t="n">
        <x:f>IF(ISNUMBER(A915),914,0)</x:f>
        <x:v>0</x:v>
      </x:c>
    </x:row>
    <x:row r="916">
      <x:c r="A916" s="6"/>
      <x:c r="B916" s="7" t="n">
        <x:v>-0.022548458267125454</x:v>
      </x:c>
      <x:c r="C916" s="7" t="n">
        <x:v>-0.0037479750653847464</x:v>
      </x:c>
      <x:c r="D916" s="7" t="n">
        <x:v>-0.0025972209003444087</x:v>
      </x:c>
      <x:c r="E916" t="n">
        <x:f>IF(ISNUMBER(A916),915,0)</x:f>
        <x:v>0</x:v>
      </x:c>
    </x:row>
    <x:row r="917">
      <x:c r="A917" s="6"/>
      <x:c r="B917" s="7" t="n">
        <x:v>-0.0020407915197201473</x:v>
      </x:c>
      <x:c r="C917" s="7" t="n">
        <x:v>0.002842965168571368</x:v>
      </x:c>
      <x:c r="D917" s="7" t="n">
        <x:v>-0.012020662796597222</x:v>
      </x:c>
      <x:c r="E917" t="n">
        <x:f>IF(ISNUMBER(A917),916,0)</x:f>
        <x:v>0</x:v>
      </x:c>
    </x:row>
    <x:row r="918">
      <x:c r="A918" s="6"/>
      <x:c r="B918" s="7" t="n">
        <x:v>0.022834573356008955</x:v>
      </x:c>
      <x:c r="C918" s="7" t="n">
        <x:v>-0.00022945967946815847</x:v>
      </x:c>
      <x:c r="D918" s="7" t="n">
        <x:v>0.01377774251074637</x:v>
      </x:c>
      <x:c r="E918" t="n">
        <x:f>IF(ISNUMBER(A918),917,0)</x:f>
        <x:v>0</x:v>
      </x:c>
    </x:row>
    <x:row r="919">
      <x:c r="A919" s="6"/>
      <x:c r="B919" s="7" t="n">
        <x:v>-0.001607183093742827</x:v>
      </x:c>
      <x:c r="C919" s="7" t="n">
        <x:v>0.005257182244528602</x:v>
      </x:c>
      <x:c r="D919" s="7" t="n">
        <x:v>-0.0006291369056805985</x:v>
      </x:c>
      <x:c r="E919" t="n">
        <x:f>IF(ISNUMBER(A919),918,0)</x:f>
        <x:v>0</x:v>
      </x:c>
    </x:row>
    <x:row r="920">
      <x:c r="A920" s="6"/>
      <x:c r="B920" s="7" t="n">
        <x:v>-0.0044655696593354525</x:v>
      </x:c>
      <x:c r="C920" s="7" t="n">
        <x:v>0.0001063001256218877</x:v>
      </x:c>
      <x:c r="D920" s="7" t="n">
        <x:v>-0.0007396362072681075</x:v>
      </x:c>
      <x:c r="E920" t="n">
        <x:f>IF(ISNUMBER(A920),919,0)</x:f>
        <x:v>0</x:v>
      </x:c>
    </x:row>
    <x:row r="921">
      <x:c r="A921" s="6"/>
      <x:c r="B921" s="7" t="n">
        <x:v>-0.007345228619228224</x:v>
      </x:c>
      <x:c r="C921" s="7" t="n">
        <x:v>-0.007514072948283351</x:v>
      </x:c>
      <x:c r="D921" s="7" t="n">
        <x:v>-0.0022126581058779476</x:v>
      </x:c>
      <x:c r="E921" t="n">
        <x:f>IF(ISNUMBER(A921),920,0)</x:f>
        <x:v>0</x:v>
      </x:c>
    </x:row>
    <x:row r="922">
      <x:c r="A922" s="6"/>
      <x:c r="B922" s="7" t="n">
        <x:v>-0.0034637503690971893</x:v>
      </x:c>
      <x:c r="C922" s="7" t="n">
        <x:v>0.01237145459099808</x:v>
      </x:c>
      <x:c r="D922" s="7" t="n">
        <x:v>-0.008997623493670438</x:v>
      </x:c>
      <x:c r="E922" t="n">
        <x:f>IF(ISNUMBER(A922),921,0)</x:f>
        <x:v>0</x:v>
      </x:c>
    </x:row>
    <x:row r="923">
      <x:c r="A923" s="6"/>
      <x:c r="B923" s="7" t="n">
        <x:v>-0.004795544534613346</x:v>
      </x:c>
      <x:c r="C923" s="7" t="n">
        <x:v>0.020998406456913216</x:v>
      </x:c>
      <x:c r="D923" s="7" t="n">
        <x:v>0.004772909180650959</x:v>
      </x:c>
      <x:c r="E923" t="n">
        <x:f>IF(ISNUMBER(A923),922,0)</x:f>
        <x:v>0</x:v>
      </x:c>
    </x:row>
    <x:row r="924">
      <x:c r="A924" s="6"/>
      <x:c r="B924" s="7" t="n">
        <x:v>0.024160049248181194</x:v>
      </x:c>
      <x:c r="C924" s="7" t="n">
        <x:v>-0.0015341002572927102</x:v>
      </x:c>
      <x:c r="D924" s="7" t="n">
        <x:v>-0.01292422467654</x:v>
      </x:c>
      <x:c r="E924" t="n">
        <x:f>IF(ISNUMBER(A924),923,0)</x:f>
        <x:v>0</x:v>
      </x:c>
    </x:row>
    <x:row r="925">
      <x:c r="A925" s="6"/>
      <x:c r="B925" s="7" t="n">
        <x:v>-0.00485629690045672</x:v>
      </x:c>
      <x:c r="C925" s="7" t="n">
        <x:v>0.017189879121871067</x:v>
      </x:c>
      <x:c r="D925" s="7" t="n">
        <x:v>-0.012857411409057119</x:v>
      </x:c>
      <x:c r="E925" t="n">
        <x:f>IF(ISNUMBER(A925),924,0)</x:f>
        <x:v>0</x:v>
      </x:c>
    </x:row>
    <x:row r="926">
      <x:c r="A926" s="6"/>
      <x:c r="B926" s="7" t="n">
        <x:v>-0.00035281104490927326</x:v>
      </x:c>
      <x:c r="C926" s="7" t="n">
        <x:v>0.003475008413480417</x:v>
      </x:c>
      <x:c r="D926" s="7" t="n">
        <x:v>-0.02044072795125957</x:v>
      </x:c>
      <x:c r="E926" t="n">
        <x:f>IF(ISNUMBER(A926),925,0)</x:f>
        <x:v>0</x:v>
      </x:c>
    </x:row>
    <x:row r="927">
      <x:c r="A927" s="6"/>
      <x:c r="B927" s="7" t="n">
        <x:v>-0.011417156519739553</x:v>
      </x:c>
      <x:c r="C927" s="7" t="n">
        <x:v>-0.003289659789968751</x:v>
      </x:c>
      <x:c r="D927" s="7" t="n">
        <x:v>-0.0072357740769848095</x:v>
      </x:c>
      <x:c r="E927" t="n">
        <x:f>IF(ISNUMBER(A927),926,0)</x:f>
        <x:v>0</x:v>
      </x:c>
    </x:row>
    <x:row r="928">
      <x:c r="A928" s="6"/>
      <x:c r="B928" s="7" t="n">
        <x:v>-0.0032660214099032004</x:v>
      </x:c>
      <x:c r="C928" s="7" t="n">
        <x:v>0.007804239650405211</x:v>
      </x:c>
      <x:c r="D928" s="7" t="n">
        <x:v>0.00800424530495089</x:v>
      </x:c>
      <x:c r="E928" t="n">
        <x:f>IF(ISNUMBER(A928),927,0)</x:f>
        <x:v>0</x:v>
      </x:c>
    </x:row>
    <x:row r="929">
      <x:c r="A929" s="6"/>
      <x:c r="B929" s="7" t="n">
        <x:v>0.0006147060072349464</x:v>
      </x:c>
      <x:c r="C929" s="7" t="n">
        <x:v>0.005368031690716184</x:v>
      </x:c>
      <x:c r="D929" s="7" t="n">
        <x:v>-0.005614256700450965</x:v>
      </x:c>
      <x:c r="E929" t="n">
        <x:f>IF(ISNUMBER(A929),928,0)</x:f>
        <x:v>0</x:v>
      </x:c>
    </x:row>
    <x:row r="930">
      <x:c r="A930" s="6"/>
      <x:c r="B930" s="7" t="n">
        <x:v>0.005373755891005109</x:v>
      </x:c>
      <x:c r="C930" s="7" t="n">
        <x:v>-0.0024149220272129137</x:v>
      </x:c>
      <x:c r="D930" s="7" t="n">
        <x:v>-0.003507195708894541</x:v>
      </x:c>
      <x:c r="E930" t="n">
        <x:f>IF(ISNUMBER(A930),929,0)</x:f>
        <x:v>0</x:v>
      </x:c>
    </x:row>
    <x:row r="931">
      <x:c r="A931" s="6"/>
      <x:c r="B931" s="7" t="n">
        <x:v>-0.010443985535068829</x:v>
      </x:c>
      <x:c r="C931" s="7" t="n">
        <x:v>0.008556375351964927</x:v>
      </x:c>
      <x:c r="D931" s="7" t="n">
        <x:v>0.003619623157285709</x:v>
      </x:c>
      <x:c r="E931" t="n">
        <x:f>IF(ISNUMBER(A931),930,0)</x:f>
        <x:v>0</x:v>
      </x:c>
    </x:row>
    <x:row r="932">
      <x:c r="A932" s="6"/>
      <x:c r="B932" s="7" t="n">
        <x:v>0.013600119111228822</x:v>
      </x:c>
      <x:c r="C932" s="7" t="n">
        <x:v>-0.017145852478175155</x:v>
      </x:c>
      <x:c r="D932" s="7" t="n">
        <x:v>0.002432469687260623</x:v>
      </x:c>
      <x:c r="E932" t="n">
        <x:f>IF(ISNUMBER(A932),931,0)</x:f>
        <x:v>0</x:v>
      </x:c>
    </x:row>
    <x:row r="933">
      <x:c r="A933" s="6"/>
      <x:c r="B933" s="7" t="n">
        <x:v>0.007123787120307967</x:v>
      </x:c>
      <x:c r="C933" s="7" t="n">
        <x:v>0.008206062757589285</x:v>
      </x:c>
      <x:c r="D933" s="7" t="n">
        <x:v>-0.005903550133131477</x:v>
      </x:c>
      <x:c r="E933" t="n">
        <x:f>IF(ISNUMBER(A933),932,0)</x:f>
        <x:v>0</x:v>
      </x:c>
    </x:row>
    <x:row r="934">
      <x:c r="A934" s="6"/>
      <x:c r="B934" s="7" t="n">
        <x:v>-0.005650332994904559</x:v>
      </x:c>
      <x:c r="C934" s="7" t="n">
        <x:v>-0.004117314717590967</x:v>
      </x:c>
      <x:c r="D934" s="7" t="n">
        <x:v>0.016157739406932964</x:v>
      </x:c>
      <x:c r="E934" t="n">
        <x:f>IF(ISNUMBER(A934),933,0)</x:f>
        <x:v>0</x:v>
      </x:c>
    </x:row>
    <x:row r="935">
      <x:c r="A935" s="6"/>
      <x:c r="B935" s="7" t="n">
        <x:v>-0.012238951881390814</x:v>
      </x:c>
      <x:c r="C935" s="7" t="n">
        <x:v>-0.0020261718666272333</x:v>
      </x:c>
      <x:c r="D935" s="7" t="n">
        <x:v>-0.008050688843072574</x:v>
      </x:c>
      <x:c r="E935" t="n">
        <x:f>IF(ISNUMBER(A935),934,0)</x:f>
        <x:v>0</x:v>
      </x:c>
    </x:row>
    <x:row r="936">
      <x:c r="A936" s="6"/>
      <x:c r="B936" s="7" t="n">
        <x:v>-0.013135881188400967</x:v>
      </x:c>
      <x:c r="C936" s="7" t="n">
        <x:v>-0.00506087656794746</x:v>
      </x:c>
      <x:c r="D936" s="7" t="n">
        <x:v>0.0004209504172091552</x:v>
      </x:c>
      <x:c r="E936" t="n">
        <x:f>IF(ISNUMBER(A936),935,0)</x:f>
        <x:v>0</x:v>
      </x:c>
    </x:row>
    <x:row r="937">
      <x:c r="A937" s="6"/>
      <x:c r="B937" s="7" t="n">
        <x:v>0.003535257913836204</x:v>
      </x:c>
      <x:c r="C937" s="7" t="n">
        <x:v>0.009422824239718592</x:v>
      </x:c>
      <x:c r="D937" s="7" t="n">
        <x:v>0.0019208541596347928</x:v>
      </x:c>
      <x:c r="E937" t="n">
        <x:f>IF(ISNUMBER(A937),936,0)</x:f>
        <x:v>0</x:v>
      </x:c>
    </x:row>
    <x:row r="938">
      <x:c r="A938" s="6"/>
      <x:c r="B938" s="7" t="n">
        <x:v>-0.0013181488970811007</x:v>
      </x:c>
      <x:c r="C938" s="7" t="n">
        <x:v>-0.009177746895387086</x:v>
      </x:c>
      <x:c r="D938" s="7" t="n">
        <x:v>-0.0178700456382505</x:v>
      </x:c>
      <x:c r="E938" t="n">
        <x:f>IF(ISNUMBER(A938),937,0)</x:f>
        <x:v>0</x:v>
      </x:c>
    </x:row>
    <x:row r="939">
      <x:c r="A939" s="6"/>
      <x:c r="B939" s="7" t="n">
        <x:v>0.0013823347346748269</x:v>
      </x:c>
      <x:c r="C939" s="7" t="n">
        <x:v>0.0013980744390842612</x:v>
      </x:c>
      <x:c r="D939" s="7" t="n">
        <x:v>-0.01432701942880511</x:v>
      </x:c>
      <x:c r="E939" t="n">
        <x:f>IF(ISNUMBER(A939),938,0)</x:f>
        <x:v>0</x:v>
      </x:c>
    </x:row>
    <x:row r="940">
      <x:c r="A940" s="6"/>
      <x:c r="B940" s="7" t="n">
        <x:v>-0.02242183364062477</x:v>
      </x:c>
      <x:c r="C940" s="7" t="n">
        <x:v>0.00016856518943999564</x:v>
      </x:c>
      <x:c r="D940" s="7" t="n">
        <x:v>-0.0009440520267026752</x:v>
      </x:c>
      <x:c r="E940" t="n">
        <x:f>IF(ISNUMBER(A940),939,0)</x:f>
        <x:v>0</x:v>
      </x:c>
    </x:row>
    <x:row r="941">
      <x:c r="A941" s="6"/>
      <x:c r="B941" s="7" t="n">
        <x:v>-0.00048429503253610384</x:v>
      </x:c>
      <x:c r="C941" s="7" t="n">
        <x:v>0.000739066976908394</x:v>
      </x:c>
      <x:c r="D941" s="7" t="n">
        <x:v>0.0020203857503808794</x:v>
      </x:c>
      <x:c r="E941" t="n">
        <x:f>IF(ISNUMBER(A941),940,0)</x:f>
        <x:v>0</x:v>
      </x:c>
    </x:row>
    <x:row r="942">
      <x:c r="A942" s="6"/>
      <x:c r="B942" s="7" t="n">
        <x:v>0.008773050280985085</x:v>
      </x:c>
      <x:c r="C942" s="7" t="n">
        <x:v>-0.008088411629315517</x:v>
      </x:c>
      <x:c r="D942" s="7" t="n">
        <x:v>0.004139412276632063</x:v>
      </x:c>
      <x:c r="E942" t="n">
        <x:f>IF(ISNUMBER(A942),941,0)</x:f>
        <x:v>0</x:v>
      </x:c>
    </x:row>
    <x:row r="943">
      <x:c r="A943" s="6"/>
      <x:c r="B943" s="7" t="n">
        <x:v>-0.0026799185057129068</x:v>
      </x:c>
      <x:c r="C943" s="7" t="n">
        <x:v>-0.0025443950261680144</x:v>
      </x:c>
      <x:c r="D943" s="7" t="n">
        <x:v>-0.00576243787015947</x:v>
      </x:c>
      <x:c r="E943" t="n">
        <x:f>IF(ISNUMBER(A943),942,0)</x:f>
        <x:v>0</x:v>
      </x:c>
    </x:row>
    <x:row r="944">
      <x:c r="A944" s="6"/>
      <x:c r="B944" s="7" t="n">
        <x:v>0.000810278162090377</x:v>
      </x:c>
      <x:c r="C944" s="7" t="n">
        <x:v>0.008848039481324586</x:v>
      </x:c>
      <x:c r="D944" s="7" t="n">
        <x:v>-0.007008685926825554</x:v>
      </x:c>
      <x:c r="E944" t="n">
        <x:f>IF(ISNUMBER(A944),943,0)</x:f>
        <x:v>0</x:v>
      </x:c>
    </x:row>
    <x:row r="945">
      <x:c r="A945" s="6"/>
      <x:c r="B945" s="7" t="n">
        <x:v>0.0056261265293158684</x:v>
      </x:c>
      <x:c r="C945" s="7" t="n">
        <x:v>-0.013731196589430747</x:v>
      </x:c>
      <x:c r="D945" s="7" t="n">
        <x:v>0.012048865473862498</x:v>
      </x:c>
      <x:c r="E945" t="n">
        <x:f>IF(ISNUMBER(A945),944,0)</x:f>
        <x:v>0</x:v>
      </x:c>
    </x:row>
    <x:row r="946">
      <x:c r="A946" s="6"/>
      <x:c r="B946" s="7" t="n">
        <x:v>0.007827478176518807</x:v>
      </x:c>
      <x:c r="C946" s="7" t="n">
        <x:v>-0.007631719706381479</x:v>
      </x:c>
      <x:c r="D946" s="7" t="n">
        <x:v>-0.0012955132812348487</x:v>
      </x:c>
      <x:c r="E946" t="n">
        <x:f>IF(ISNUMBER(A946),945,0)</x:f>
        <x:v>0</x:v>
      </x:c>
    </x:row>
    <x:row r="947">
      <x:c r="A947" s="6"/>
      <x:c r="B947" s="7" t="n">
        <x:v>0.026215393442177236</x:v>
      </x:c>
      <x:c r="C947" s="7" t="n">
        <x:v>0.0007199163220621686</x:v>
      </x:c>
      <x:c r="D947" s="7" t="n">
        <x:v>-0.015980625408171998</x:v>
      </x:c>
      <x:c r="E947" t="n">
        <x:f>IF(ISNUMBER(A947),946,0)</x:f>
        <x:v>0</x:v>
      </x:c>
    </x:row>
    <x:row r="948">
      <x:c r="A948" s="6"/>
      <x:c r="B948" s="7" t="n">
        <x:v>0.006845689178415148</x:v>
      </x:c>
      <x:c r="C948" s="7" t="n">
        <x:v>-0.011973275809090743</x:v>
      </x:c>
      <x:c r="D948" s="7" t="n">
        <x:v>0.006961879358994555</x:v>
      </x:c>
      <x:c r="E948" t="n">
        <x:f>IF(ISNUMBER(A948),947,0)</x:f>
        <x:v>0</x:v>
      </x:c>
    </x:row>
    <x:row r="949">
      <x:c r="A949" s="6"/>
      <x:c r="B949" s="7" t="n">
        <x:v>-0.0020442048644158327</x:v>
      </x:c>
      <x:c r="C949" s="7" t="n">
        <x:v>0.0064090284253338105</x:v>
      </x:c>
      <x:c r="D949" s="7" t="n">
        <x:v>-0.008947114685388596</x:v>
      </x:c>
      <x:c r="E949" t="n">
        <x:f>IF(ISNUMBER(A949),948,0)</x:f>
        <x:v>0</x:v>
      </x:c>
    </x:row>
    <x:row r="950">
      <x:c r="A950" s="6"/>
      <x:c r="B950" s="7" t="n">
        <x:v>0.014559953893288046</x:v>
      </x:c>
      <x:c r="C950" s="7" t="n">
        <x:v>-0.0047388411544591865</x:v>
      </x:c>
      <x:c r="D950" s="7" t="n">
        <x:v>0.008460948705496527</x:v>
      </x:c>
      <x:c r="E950" t="n">
        <x:f>IF(ISNUMBER(A950),949,0)</x:f>
        <x:v>0</x:v>
      </x:c>
    </x:row>
    <x:row r="951">
      <x:c r="A951" s="6"/>
      <x:c r="B951" s="7" t="n">
        <x:v>-0.010768551730769215</x:v>
      </x:c>
      <x:c r="C951" s="7" t="n">
        <x:v>-0.004454584427201373</x:v>
      </x:c>
      <x:c r="D951" s="7" t="n">
        <x:v>0.012935290810452884</x:v>
      </x:c>
      <x:c r="E951" t="n">
        <x:f>IF(ISNUMBER(A951),950,0)</x:f>
        <x:v>0</x:v>
      </x:c>
    </x:row>
    <x:row r="952">
      <x:c r="A952" s="6"/>
      <x:c r="B952" s="7" t="n">
        <x:v>-0.000869617654019456</x:v>
      </x:c>
      <x:c r="C952" s="7" t="n">
        <x:v>-0.00017591831825846267</x:v>
      </x:c>
      <x:c r="D952" s="7" t="n">
        <x:v>-0.003926542598754008</x:v>
      </x:c>
      <x:c r="E952" t="n">
        <x:f>IF(ISNUMBER(A952),951,0)</x:f>
        <x:v>0</x:v>
      </x:c>
    </x:row>
    <x:row r="953">
      <x:c r="A953" s="6"/>
      <x:c r="B953" s="7" t="n">
        <x:v>0.008113160803765063</x:v>
      </x:c>
      <x:c r="C953" s="7" t="n">
        <x:v>-0.010573383759428246</x:v>
      </x:c>
      <x:c r="D953" s="7" t="n">
        <x:v>-0.011444812892168341</x:v>
      </x:c>
      <x:c r="E953" t="n">
        <x:f>IF(ISNUMBER(A953),952,0)</x:f>
        <x:v>0</x:v>
      </x:c>
    </x:row>
    <x:row r="954">
      <x:c r="A954" s="6"/>
      <x:c r="B954" s="7" t="n">
        <x:v>0.0024482396590609643</x:v>
      </x:c>
      <x:c r="C954" s="7" t="n">
        <x:v>-0.005175049305208243</x:v>
      </x:c>
      <x:c r="D954" s="7" t="n">
        <x:v>-0.003973093255110872</x:v>
      </x:c>
      <x:c r="E954" t="n">
        <x:f>IF(ISNUMBER(A954),953,0)</x:f>
        <x:v>0</x:v>
      </x:c>
    </x:row>
    <x:row r="955">
      <x:c r="A955" s="6"/>
      <x:c r="B955" s="7" t="n">
        <x:v>0.003144038448429474</x:v>
      </x:c>
      <x:c r="C955" s="7" t="n">
        <x:v>0.006147741898694749</x:v>
      </x:c>
      <x:c r="D955" s="7" t="n">
        <x:v>-0.009765826790907766</x:v>
      </x:c>
      <x:c r="E955" t="n">
        <x:f>IF(ISNUMBER(A955),954,0)</x:f>
        <x:v>0</x:v>
      </x:c>
    </x:row>
    <x:row r="956">
      <x:c r="A956" s="6"/>
      <x:c r="B956" s="7" t="n">
        <x:v>0.0065911526516496954</x:v>
      </x:c>
      <x:c r="C956" s="7" t="n">
        <x:v>-0.00452923333576325</x:v>
      </x:c>
      <x:c r="D956" s="7" t="n">
        <x:v>0.013746239240668437</x:v>
      </x:c>
      <x:c r="E956" t="n">
        <x:f>IF(ISNUMBER(A956),955,0)</x:f>
        <x:v>0</x:v>
      </x:c>
    </x:row>
    <x:row r="957">
      <x:c r="A957" s="6"/>
      <x:c r="B957" s="7" t="n">
        <x:v>-0.013542278390993848</x:v>
      </x:c>
      <x:c r="C957" s="7" t="n">
        <x:v>0.024768259641407945</x:v>
      </x:c>
      <x:c r="D957" s="7" t="n">
        <x:v>-0.006120113978154892</x:v>
      </x:c>
      <x:c r="E957" t="n">
        <x:f>IF(ISNUMBER(A957),956,0)</x:f>
        <x:v>0</x:v>
      </x:c>
    </x:row>
    <x:row r="958">
      <x:c r="A958" s="6"/>
      <x:c r="B958" s="7" t="n">
        <x:v>0.0006389210508991298</x:v>
      </x:c>
      <x:c r="C958" s="7" t="n">
        <x:v>-0.0005569753529150303</x:v>
      </x:c>
      <x:c r="D958" s="7" t="n">
        <x:v>0.008204146657448947</x:v>
      </x:c>
      <x:c r="E958" t="n">
        <x:f>IF(ISNUMBER(A958),957,0)</x:f>
        <x:v>0</x:v>
      </x:c>
    </x:row>
    <x:row r="959">
      <x:c r="A959" s="6"/>
      <x:c r="B959" s="7" t="n">
        <x:v>-0.011077821639914292</x:v>
      </x:c>
      <x:c r="C959" s="7" t="n">
        <x:v>-0.0006832816747130154</x:v>
      </x:c>
      <x:c r="D959" s="7" t="n">
        <x:v>0.012477628223438732</x:v>
      </x:c>
      <x:c r="E959" t="n">
        <x:f>IF(ISNUMBER(A959),958,0)</x:f>
        <x:v>0</x:v>
      </x:c>
    </x:row>
    <x:row r="960">
      <x:c r="A960" s="6"/>
      <x:c r="B960" s="7" t="n">
        <x:v>-0.008502926312635313</x:v>
      </x:c>
      <x:c r="C960" s="7" t="n">
        <x:v>-0.015057114735445442</x:v>
      </x:c>
      <x:c r="D960" s="7" t="n">
        <x:v>-0.00452468238805156</x:v>
      </x:c>
      <x:c r="E960" t="n">
        <x:f>IF(ISNUMBER(A960),959,0)</x:f>
        <x:v>0</x:v>
      </x:c>
    </x:row>
    <x:row r="961">
      <x:c r="A961" s="6"/>
      <x:c r="B961" s="7" t="n">
        <x:v>-0.010516217448162361</x:v>
      </x:c>
      <x:c r="C961" s="7" t="n">
        <x:v>-0.005454645268256969</x:v>
      </x:c>
      <x:c r="D961" s="7" t="n">
        <x:v>0.0036812636194013004</x:v>
      </x:c>
      <x:c r="E961" t="n">
        <x:f>IF(ISNUMBER(A961),960,0)</x:f>
        <x:v>0</x:v>
      </x:c>
    </x:row>
    <x:row r="962">
      <x:c r="A962" s="6"/>
      <x:c r="B962" s="7" t="n">
        <x:v>0.007518649631009927</x:v>
      </x:c>
      <x:c r="C962" s="7" t="n">
        <x:v>-0.008292640873703282</x:v>
      </x:c>
      <x:c r="D962" s="7" t="n">
        <x:v>-0.006831145377924414</x:v>
      </x:c>
      <x:c r="E962" t="n">
        <x:f>IF(ISNUMBER(A962),961,0)</x:f>
        <x:v>0</x:v>
      </x:c>
    </x:row>
    <x:row r="963">
      <x:c r="A963" s="6"/>
      <x:c r="B963" s="7" t="n">
        <x:v>-0.013094849668135778</x:v>
      </x:c>
      <x:c r="C963" s="7" t="n">
        <x:v>-0.004443597776492057</x:v>
      </x:c>
      <x:c r="D963" s="7" t="n">
        <x:v>0.015061700441003103</x:v>
      </x:c>
      <x:c r="E963" t="n">
        <x:f>IF(ISNUMBER(A963),962,0)</x:f>
        <x:v>0</x:v>
      </x:c>
    </x:row>
    <x:row r="964">
      <x:c r="A964" s="6"/>
      <x:c r="B964" s="7" t="n">
        <x:v>0.005839327051340398</x:v>
      </x:c>
      <x:c r="C964" s="7" t="n">
        <x:v>0.00589482372203677</x:v>
      </x:c>
      <x:c r="D964" s="7" t="n">
        <x:v>-0.016191812139377475</x:v>
      </x:c>
      <x:c r="E964" t="n">
        <x:f>IF(ISNUMBER(A964),963,0)</x:f>
        <x:v>0</x:v>
      </x:c>
    </x:row>
    <x:row r="965">
      <x:c r="A965" s="6"/>
      <x:c r="B965" s="7" t="n">
        <x:v>-0.011133313394571511</x:v>
      </x:c>
      <x:c r="C965" s="7" t="n">
        <x:v>0.009328820416544266</x:v>
      </x:c>
      <x:c r="D965" s="7" t="n">
        <x:v>0.003659854210892879</x:v>
      </x:c>
      <x:c r="E965" t="n">
        <x:f>IF(ISNUMBER(A965),964,0)</x:f>
        <x:v>0</x:v>
      </x:c>
    </x:row>
    <x:row r="966">
      <x:c r="A966" s="6"/>
      <x:c r="B966" s="7" t="n">
        <x:v>0.012332991853211461</x:v>
      </x:c>
      <x:c r="C966" s="7" t="n">
        <x:v>-0.010758320925260176</x:v>
      </x:c>
      <x:c r="D966" s="7" t="n">
        <x:v>0.01760696219736626</x:v>
      </x:c>
      <x:c r="E966" t="n">
        <x:f>IF(ISNUMBER(A966),965,0)</x:f>
        <x:v>0</x:v>
      </x:c>
    </x:row>
    <x:row r="967">
      <x:c r="A967" s="6"/>
      <x:c r="B967" s="7" t="n">
        <x:v>-0.0007111175600784694</x:v>
      </x:c>
      <x:c r="C967" s="7" t="n">
        <x:v>0.005087831876079096</x:v>
      </x:c>
      <x:c r="D967" s="7" t="n">
        <x:v>0.013093687429350933</x:v>
      </x:c>
      <x:c r="E967" t="n">
        <x:f>IF(ISNUMBER(A967),966,0)</x:f>
        <x:v>0</x:v>
      </x:c>
    </x:row>
    <x:row r="968">
      <x:c r="A968" s="6"/>
      <x:c r="B968" s="7" t="n">
        <x:v>-0.00020302596008934558</x:v>
      </x:c>
      <x:c r="C968" s="7" t="n">
        <x:v>-0.008067633424832474</x:v>
      </x:c>
      <x:c r="D968" s="7" t="n">
        <x:v>0.00657967861323542</x:v>
      </x:c>
      <x:c r="E968" t="n">
        <x:f>IF(ISNUMBER(A968),967,0)</x:f>
        <x:v>0</x:v>
      </x:c>
    </x:row>
    <x:row r="969">
      <x:c r="A969" s="6"/>
      <x:c r="B969" s="7" t="n">
        <x:v>-0.013538341240681708</x:v>
      </x:c>
      <x:c r="C969" s="7" t="n">
        <x:v>-0.005076846915918074</x:v>
      </x:c>
      <x:c r="D969" s="7" t="n">
        <x:v>0.010403852500821834</x:v>
      </x:c>
      <x:c r="E969" t="n">
        <x:f>IF(ISNUMBER(A969),968,0)</x:f>
        <x:v>0</x:v>
      </x:c>
    </x:row>
    <x:row r="970">
      <x:c r="A970" s="6"/>
      <x:c r="B970" s="7" t="n">
        <x:v>-0.00525082313337429</x:v>
      </x:c>
      <x:c r="C970" s="7" t="n">
        <x:v>-0.005025050845588089</x:v>
      </x:c>
      <x:c r="D970" s="7" t="n">
        <x:v>-0.02261870683132352</x:v>
      </x:c>
      <x:c r="E970" t="n">
        <x:f>IF(ISNUMBER(A970),969,0)</x:f>
        <x:v>0</x:v>
      </x:c>
    </x:row>
    <x:row r="971">
      <x:c r="A971" s="6"/>
      <x:c r="B971" s="7" t="n">
        <x:v>0.01724046452700105</x:v>
      </x:c>
      <x:c r="C971" s="7" t="n">
        <x:v>-0.005324672038292099</x:v>
      </x:c>
      <x:c r="D971" s="7" t="n">
        <x:v>0.0009235795251543574</x:v>
      </x:c>
      <x:c r="E971" t="n">
        <x:f>IF(ISNUMBER(A971),970,0)</x:f>
        <x:v>0</x:v>
      </x:c>
    </x:row>
    <x:row r="972">
      <x:c r="A972" s="6"/>
      <x:c r="B972" s="7" t="n">
        <x:v>-0.0012824758436657657</x:v>
      </x:c>
      <x:c r="C972" s="7" t="n">
        <x:v>0.020283873955944564</x:v>
      </x:c>
      <x:c r="D972" s="7" t="n">
        <x:v>0.004985419925171989</x:v>
      </x:c>
      <x:c r="E972" t="n">
        <x:f>IF(ISNUMBER(A972),971,0)</x:f>
        <x:v>0</x:v>
      </x:c>
    </x:row>
    <x:row r="973">
      <x:c r="A973" s="6"/>
      <x:c r="B973" s="7" t="n">
        <x:v>0.015722143213437883</x:v>
      </x:c>
      <x:c r="C973" s="7" t="n">
        <x:v>-0.015358521132195258</x:v>
      </x:c>
      <x:c r="D973" s="7" t="n">
        <x:v>0.014432774025704712</x:v>
      </x:c>
      <x:c r="E973" t="n">
        <x:f>IF(ISNUMBER(A973),972,0)</x:f>
        <x:v>0</x:v>
      </x:c>
    </x:row>
    <x:row r="974">
      <x:c r="A974" s="6"/>
      <x:c r="B974" s="7" t="n">
        <x:v>0.00332830497009704</x:v>
      </x:c>
      <x:c r="C974" s="7" t="n">
        <x:v>-0.006922186992363179</x:v>
      </x:c>
      <x:c r="D974" s="7" t="n">
        <x:v>-0.018248102803509945</x:v>
      </x:c>
      <x:c r="E974" t="n">
        <x:f>IF(ISNUMBER(A974),973,0)</x:f>
        <x:v>0</x:v>
      </x:c>
    </x:row>
    <x:row r="975">
      <x:c r="A975" s="6"/>
      <x:c r="B975" s="7" t="n">
        <x:v>0.005398778551469934</x:v>
      </x:c>
      <x:c r="C975" s="7" t="n">
        <x:v>-0.00977318966098662</x:v>
      </x:c>
      <x:c r="D975" s="7" t="n">
        <x:v>-0.01334291747283399</x:v>
      </x:c>
      <x:c r="E975" t="n">
        <x:f>IF(ISNUMBER(A975),974,0)</x:f>
        <x:v>0</x:v>
      </x:c>
    </x:row>
    <x:row r="976">
      <x:c r="A976" s="6"/>
      <x:c r="B976" s="7" t="n">
        <x:v>-0.014710281805821152</x:v>
      </x:c>
      <x:c r="C976" s="7" t="n">
        <x:v>-0.006555430632638978</x:v>
      </x:c>
      <x:c r="D976" s="7" t="n">
        <x:v>0.02129719104725442</x:v>
      </x:c>
      <x:c r="E976" t="n">
        <x:f>IF(ISNUMBER(A976),975,0)</x:f>
        <x:v>0</x:v>
      </x:c>
    </x:row>
    <x:row r="977">
      <x:c r="A977" s="6"/>
      <x:c r="B977" s="7" t="n">
        <x:v>-0.02491526158156121</x:v>
      </x:c>
      <x:c r="C977" s="7" t="n">
        <x:v>-0.0060370514975966166</x:v>
      </x:c>
      <x:c r="D977" s="7" t="n">
        <x:v>-0.00009747177788383337</x:v>
      </x:c>
      <x:c r="E977" t="n">
        <x:f>IF(ISNUMBER(A977),976,0)</x:f>
        <x:v>0</x:v>
      </x:c>
    </x:row>
    <x:row r="978">
      <x:c r="A978" s="6"/>
      <x:c r="B978" s="7" t="n">
        <x:v>-0.019297681219422616</x:v>
      </x:c>
      <x:c r="C978" s="7" t="n">
        <x:v>-0.00027914185224310405</x:v>
      </x:c>
      <x:c r="D978" s="7" t="n">
        <x:v>0.0156509970583513</x:v>
      </x:c>
      <x:c r="E978" t="n">
        <x:f>IF(ISNUMBER(A978),977,0)</x:f>
        <x:v>0</x:v>
      </x:c>
    </x:row>
    <x:row r="979">
      <x:c r="A979" s="6"/>
      <x:c r="B979" s="7" t="n">
        <x:v>0.005190841763627927</x:v>
      </x:c>
      <x:c r="C979" s="7" t="n">
        <x:v>0.007630666737256477</x:v>
      </x:c>
      <x:c r="D979" s="7" t="n">
        <x:v>-0.0024469985709555954</x:v>
      </x:c>
      <x:c r="E979" t="n">
        <x:f>IF(ISNUMBER(A979),978,0)</x:f>
        <x:v>0</x:v>
      </x:c>
    </x:row>
    <x:row r="980">
      <x:c r="A980" s="6"/>
      <x:c r="B980" s="7" t="n">
        <x:v>0.0118311031601731</x:v>
      </x:c>
      <x:c r="C980" s="7" t="n">
        <x:v>0.0034560270798182904</x:v>
      </x:c>
      <x:c r="D980" s="7" t="n">
        <x:v>-0.0007778260426586345</x:v>
      </x:c>
      <x:c r="E980" t="n">
        <x:f>IF(ISNUMBER(A980),979,0)</x:f>
        <x:v>0</x:v>
      </x:c>
    </x:row>
    <x:row r="981">
      <x:c r="A981" s="6"/>
      <x:c r="B981" s="7" t="n">
        <x:v>-0.0011904105996441083</x:v>
      </x:c>
      <x:c r="C981" s="7" t="n">
        <x:v>0.030868950485682636</x:v>
      </x:c>
      <x:c r="D981" s="7" t="n">
        <x:v>-0.0051235748803106365</x:v>
      </x:c>
      <x:c r="E981" t="n">
        <x:f>IF(ISNUMBER(A981),980,0)</x:f>
        <x:v>0</x:v>
      </x:c>
    </x:row>
    <x:row r="982">
      <x:c r="A982" s="6"/>
      <x:c r="B982" s="7" t="n">
        <x:v>0.020235316815751764</x:v>
      </x:c>
      <x:c r="C982" s="7" t="n">
        <x:v>0.006415728368038645</x:v>
      </x:c>
      <x:c r="D982" s="7" t="n">
        <x:v>-0.011047500251898856</x:v>
      </x:c>
      <x:c r="E982" t="n">
        <x:f>IF(ISNUMBER(A982),981,0)</x:f>
        <x:v>0</x:v>
      </x:c>
    </x:row>
    <x:row r="983">
      <x:c r="A983" s="6"/>
      <x:c r="B983" s="7" t="n">
        <x:v>-0.005821821321266387</x:v>
      </x:c>
      <x:c r="C983" s="7" t="n">
        <x:v>0.004430069446507393</x:v>
      </x:c>
      <x:c r="D983" s="7" t="n">
        <x:v>-0.007989825288440274</x:v>
      </x:c>
      <x:c r="E983" t="n">
        <x:f>IF(ISNUMBER(A983),982,0)</x:f>
        <x:v>0</x:v>
      </x:c>
    </x:row>
    <x:row r="984">
      <x:c r="A984" s="6"/>
      <x:c r="B984" s="7" t="n">
        <x:v>-0.008458274261792556</x:v>
      </x:c>
      <x:c r="C984" s="7" t="n">
        <x:v>-0.02511724748462241</x:v>
      </x:c>
      <x:c r="D984" s="7" t="n">
        <x:v>-0.01266230863851804</x:v>
      </x:c>
      <x:c r="E984" t="n">
        <x:f>IF(ISNUMBER(A984),983,0)</x:f>
        <x:v>0</x:v>
      </x:c>
    </x:row>
    <x:row r="985">
      <x:c r="A985" s="6"/>
      <x:c r="B985" s="7" t="n">
        <x:v>0.0012198373525270304</x:v>
      </x:c>
      <x:c r="C985" s="7" t="n">
        <x:v>0.0022407485795411354</x:v>
      </x:c>
      <x:c r="D985" s="7" t="n">
        <x:v>0.0105680325799568</x:v>
      </x:c>
      <x:c r="E985" t="n">
        <x:f>IF(ISNUMBER(A985),984,0)</x:f>
        <x:v>0</x:v>
      </x:c>
    </x:row>
    <x:row r="986">
      <x:c r="A986" s="6"/>
      <x:c r="B986" s="7" t="n">
        <x:v>-0.0005320697752673096</x:v>
      </x:c>
      <x:c r="C986" s="7" t="n">
        <x:v>-0.003053642248278537</x:v>
      </x:c>
      <x:c r="D986" s="7" t="n">
        <x:v>0.009261260404374564</x:v>
      </x:c>
      <x:c r="E986" t="n">
        <x:f>IF(ISNUMBER(A986),985,0)</x:f>
        <x:v>0</x:v>
      </x:c>
    </x:row>
    <x:row r="987">
      <x:c r="A987" s="6"/>
      <x:c r="B987" s="7" t="n">
        <x:v>-0.011507636855559483</x:v>
      </x:c>
      <x:c r="C987" s="7" t="n">
        <x:v>-0.005103554126816643</x:v>
      </x:c>
      <x:c r="D987" s="7" t="n">
        <x:v>0.025150147262974043</x:v>
      </x:c>
      <x:c r="E987" t="n">
        <x:f>IF(ISNUMBER(A987),986,0)</x:f>
        <x:v>0</x:v>
      </x:c>
    </x:row>
    <x:row r="988">
      <x:c r="A988" s="6"/>
      <x:c r="B988" s="7" t="n">
        <x:v>0.015896729546040437</x:v>
      </x:c>
      <x:c r="C988" s="7" t="n">
        <x:v>-0.014513490778905657</x:v>
      </x:c>
      <x:c r="D988" s="7" t="n">
        <x:v>-0.006808202974969903</x:v>
      </x:c>
      <x:c r="E988" t="n">
        <x:f>IF(ISNUMBER(A988),987,0)</x:f>
        <x:v>0</x:v>
      </x:c>
    </x:row>
    <x:row r="989">
      <x:c r="A989" s="6"/>
      <x:c r="B989" s="7" t="n">
        <x:v>-0.018912084285960393</x:v>
      </x:c>
      <x:c r="C989" s="7" t="n">
        <x:v>0.0018354128052914384</x:v>
      </x:c>
      <x:c r="D989" s="7" t="n">
        <x:v>-0.008463434936629448</x:v>
      </x:c>
      <x:c r="E989" t="n">
        <x:f>IF(ISNUMBER(A989),988,0)</x:f>
        <x:v>0</x:v>
      </x:c>
    </x:row>
    <x:row r="990">
      <x:c r="A990" s="6"/>
      <x:c r="B990" s="7" t="n">
        <x:v>-0.005306209816711059</x:v>
      </x:c>
      <x:c r="C990" s="7" t="n">
        <x:v>0.004703787414298391</x:v>
      </x:c>
      <x:c r="D990" s="7" t="n">
        <x:v>0.026105748721564754</x:v>
      </x:c>
      <x:c r="E990" t="n">
        <x:f>IF(ISNUMBER(A990),989,0)</x:f>
        <x:v>0</x:v>
      </x:c>
    </x:row>
    <x:row r="991">
      <x:c r="A991" s="6"/>
      <x:c r="B991" s="7" t="n">
        <x:v>0.0004900354507954355</x:v>
      </x:c>
      <x:c r="C991" s="7" t="n">
        <x:v>0.006554387664203518</x:v>
      </x:c>
      <x:c r="D991" s="7" t="n">
        <x:v>-0.0031578923966325773</x:v>
      </x:c>
      <x:c r="E991" t="n">
        <x:f>IF(ISNUMBER(A991),990,0)</x:f>
        <x:v>0</x:v>
      </x:c>
    </x:row>
    <x:row r="992">
      <x:c r="A992" s="6"/>
      <x:c r="B992" s="7" t="n">
        <x:v>0.004237886359939867</x:v>
      </x:c>
      <x:c r="C992" s="7" t="n">
        <x:v>0.0008205446421289211</x:v>
      </x:c>
      <x:c r="D992" s="7" t="n">
        <x:v>0.009061914331538924</x:v>
      </x:c>
      <x:c r="E992" t="n">
        <x:f>IF(ISNUMBER(A992),991,0)</x:f>
        <x:v>0</x:v>
      </x:c>
    </x:row>
    <x:row r="993">
      <x:c r="A993" s="6"/>
      <x:c r="B993" s="7" t="n">
        <x:v>-0.007919744203596568</x:v>
      </x:c>
      <x:c r="C993" s="7" t="n">
        <x:v>0.012983063439634044</x:v>
      </x:c>
      <x:c r="D993" s="7" t="n">
        <x:v>0.021685631651032072</x:v>
      </x:c>
      <x:c r="E993" t="n">
        <x:f>IF(ISNUMBER(A993),992,0)</x:f>
        <x:v>0</x:v>
      </x:c>
    </x:row>
    <x:row r="994">
      <x:c r="A994" s="6"/>
      <x:c r="B994" s="7" t="n">
        <x:v>-0.013981776953889436</x:v>
      </x:c>
      <x:c r="C994" s="7" t="n">
        <x:v>0.00357580174881096</x:v>
      </x:c>
      <x:c r="D994" s="7" t="n">
        <x:v>0.00847508256047186</x:v>
      </x:c>
      <x:c r="E994" t="n">
        <x:f>IF(ISNUMBER(A994),993,0)</x:f>
        <x:v>0</x:v>
      </x:c>
    </x:row>
    <x:row r="995">
      <x:c r="A995" s="6"/>
      <x:c r="B995" s="7" t="n">
        <x:v>-0.017004056213685045</x:v>
      </x:c>
      <x:c r="C995" s="7" t="n">
        <x:v>0.0028480931793578575</x:v>
      </x:c>
      <x:c r="D995" s="7" t="n">
        <x:v>0.027942764638744132</x:v>
      </x:c>
      <x:c r="E995" t="n">
        <x:f>IF(ISNUMBER(A995),994,0)</x:f>
        <x:v>0</x:v>
      </x:c>
    </x:row>
    <x:row r="996">
      <x:c r="A996" s="6"/>
      <x:c r="B996" s="7" t="n">
        <x:v>-0.009750305965952211</x:v>
      </x:c>
      <x:c r="C996" s="7" t="n">
        <x:v>-0.00022682524140627076</x:v>
      </x:c>
      <x:c r="D996" s="7" t="n">
        <x:v>-0.0006694031048619245</x:v>
      </x:c>
      <x:c r="E996" t="n">
        <x:f>IF(ISNUMBER(A996),995,0)</x:f>
        <x:v>0</x:v>
      </x:c>
    </x:row>
    <x:row r="997">
      <x:c r="A997" s="6"/>
      <x:c r="B997" s="7" t="n">
        <x:v>-0.005524640905539889</x:v>
      </x:c>
      <x:c r="C997" s="7" t="n">
        <x:v>0.0022628025229823115</x:v>
      </x:c>
      <x:c r="D997" s="7" t="n">
        <x:v>-0.006976808004852351</x:v>
      </x:c>
      <x:c r="E997" t="n">
        <x:f>IF(ISNUMBER(A997),996,0)</x:f>
        <x:v>0</x:v>
      </x:c>
    </x:row>
    <x:row r="998">
      <x:c r="A998" s="6"/>
      <x:c r="B998" s="7" t="n">
        <x:v>-0.0008147234184977954</x:v>
      </x:c>
      <x:c r="C998" s="7" t="n">
        <x:v>-0.031434071504478724</x:v>
      </x:c>
      <x:c r="D998" s="7" t="n">
        <x:v>-0.009060354909705751</x:v>
      </x:c>
      <x:c r="E998" t="n">
        <x:f>IF(ISNUMBER(A998),997,0)</x:f>
        <x:v>0</x:v>
      </x:c>
    </x:row>
    <x:row r="999">
      <x:c r="A999" s="6"/>
      <x:c r="B999" s="7" t="n">
        <x:v>0.012649029631155648</x:v>
      </x:c>
      <x:c r="C999" s="7" t="n">
        <x:v>-0.000015938995521840516</x:v>
      </x:c>
      <x:c r="D999" s="7" t="n">
        <x:v>-0.014932029194279944</x:v>
      </x:c>
      <x:c r="E999" t="n">
        <x:f>IF(ISNUMBER(A999),998,0)</x:f>
        <x:v>0</x:v>
      </x:c>
    </x:row>
    <x:row r="1000">
      <x:c r="A1000" s="6"/>
      <x:c r="B1000" s="7" t="n">
        <x:v>-0.016624142777716983</x:v>
      </x:c>
      <x:c r="C1000" s="7" t="n">
        <x:v>-0.0020473890605497026</x:v>
      </x:c>
      <x:c r="D1000" s="7" t="n">
        <x:v>-0.00700894834884962</x:v>
      </x:c>
      <x:c r="E1000" t="n">
        <x:f>IF(ISNUMBER(A1000),999,0)</x:f>
        <x:v>0</x:v>
      </x:c>
    </x:row>
    <x:row r="1001">
      <x:c r="A1001" s="6"/>
      <x:c r="B1001" s="7" t="n">
        <x:v>0.024268401717457505</x:v>
      </x:c>
      <x:c r="C1001" s="7" t="n">
        <x:v>-0.01592016663890388</x:v>
      </x:c>
      <x:c r="D1001" s="7" t="n">
        <x:v>0.008975060633503307</x:v>
      </x:c>
      <x:c r="E1001" t="n">
        <x:f>IF(ISNUMBER(A1001),1000,0)</x:f>
        <x:v>0</x:v>
      </x:c>
    </x:row>
    <x:row r="1002">
      <x:c r="A1002" s="6"/>
      <x:c r="B1002" s="7"/>
      <x:c r="C1002" s="7"/>
      <x:c r="D1002" s="7"/>
      <x:c r="E1002" t="n">
        <x:f>IF(ISNUMBER(A1002),1001,0)</x:f>
        <x:v>0</x:v>
      </x:c>
    </x:row>
    <x:row r="1003">
      <x:c r="A1003" s="6"/>
      <x:c r="B1003" s="7"/>
      <x:c r="C1003" s="7"/>
      <x:c r="D1003" s="7"/>
      <x:c r="E1003" t="n">
        <x:f>IF(ISNUMBER(A1003),1002,0)</x:f>
        <x:v>0</x:v>
      </x:c>
    </x:row>
    <x:row r="1004">
      <x:c r="A1004" s="6"/>
      <x:c r="B1004" s="7"/>
      <x:c r="C1004" s="7"/>
      <x:c r="D1004" s="7"/>
      <x:c r="E1004" t="n">
        <x:f>IF(ISNUMBER(A1004),1003,0)</x:f>
        <x:v>0</x:v>
      </x:c>
    </x:row>
    <x:row r="1005">
      <x:c r="A1005" s="6"/>
      <x:c r="B1005" s="7"/>
      <x:c r="C1005" s="7"/>
      <x:c r="D1005" s="7"/>
      <x:c r="E1005" t="n">
        <x:f>IF(ISNUMBER(A1005),1004,0)</x:f>
        <x:v>0</x:v>
      </x:c>
    </x:row>
    <x:row r="1006">
      <x:c r="A1006" s="6"/>
      <x:c r="B1006" s="7"/>
      <x:c r="C1006" s="7"/>
      <x:c r="D1006" s="7"/>
      <x:c r="E1006" t="n">
        <x:f>IF(ISNUMBER(A1006),1005,0)</x:f>
        <x:v>0</x:v>
      </x:c>
    </x:row>
    <x:row r="1007">
      <x:c r="A1007" s="6"/>
      <x:c r="B1007" s="7"/>
      <x:c r="C1007" s="7"/>
      <x:c r="D1007" s="7"/>
      <x:c r="E1007" t="n">
        <x:f>IF(ISNUMBER(A1007),1006,0)</x:f>
        <x:v>0</x:v>
      </x:c>
    </x:row>
    <x:row r="1008">
      <x:c r="A1008" s="6"/>
      <x:c r="B1008" s="7"/>
      <x:c r="C1008" s="7"/>
      <x:c r="D1008" s="7"/>
      <x:c r="E1008" t="n">
        <x:f>IF(ISNUMBER(A1008),1007,0)</x:f>
        <x:v>0</x:v>
      </x:c>
    </x:row>
    <x:row r="1009">
      <x:c r="A1009" s="6"/>
      <x:c r="B1009" s="7"/>
      <x:c r="C1009" s="7"/>
      <x:c r="D1009" s="7"/>
      <x:c r="E1009" t="n">
        <x:f>IF(ISNUMBER(A1009),1008,0)</x:f>
        <x:v>0</x:v>
      </x:c>
    </x:row>
    <x:row r="1010">
      <x:c r="A1010" s="6"/>
      <x:c r="B1010" s="7"/>
      <x:c r="C1010" s="7"/>
      <x:c r="D1010" s="7"/>
      <x:c r="E1010" t="n">
        <x:f>IF(ISNUMBER(A1010),1009,0)</x:f>
        <x:v>0</x:v>
      </x:c>
    </x:row>
    <x:row r="1011">
      <x:c r="A1011" s="6"/>
      <x:c r="B1011" s="7"/>
      <x:c r="C1011" s="7"/>
      <x:c r="D1011" s="7"/>
      <x:c r="E1011" t="n">
        <x:f>IF(ISNUMBER(A1011),1010,0)</x:f>
        <x:v>0</x:v>
      </x:c>
    </x:row>
    <x:row r="1012">
      <x:c r="A1012" s="6"/>
      <x:c r="B1012" s="7"/>
      <x:c r="C1012" s="7"/>
      <x:c r="D1012" s="7"/>
      <x:c r="E1012" t="n">
        <x:f>IF(ISNUMBER(A1012),1011,0)</x:f>
        <x:v>0</x:v>
      </x:c>
    </x:row>
    <x:row r="1013">
      <x:c r="A1013" s="6"/>
      <x:c r="B1013" s="7"/>
      <x:c r="C1013" s="7"/>
      <x:c r="D1013" s="7"/>
      <x:c r="E1013" t="n">
        <x:f>IF(ISNUMBER(A1013),1012,0)</x:f>
        <x:v>0</x:v>
      </x:c>
    </x:row>
    <x:row r="1014">
      <x:c r="A1014" s="6"/>
      <x:c r="B1014" s="7"/>
      <x:c r="C1014" s="7"/>
      <x:c r="D1014" s="7"/>
      <x:c r="E1014" t="n">
        <x:f>IF(ISNUMBER(A1014),1013,0)</x:f>
        <x:v>0</x:v>
      </x:c>
    </x:row>
    <x:row r="1015">
      <x:c r="A1015" s="6"/>
      <x:c r="B1015" s="7"/>
      <x:c r="C1015" s="7"/>
      <x:c r="D1015" s="7"/>
      <x:c r="E1015" t="n">
        <x:f>IF(ISNUMBER(A1015),1014,0)</x:f>
        <x:v>0</x:v>
      </x:c>
    </x:row>
    <x:row r="1016">
      <x:c r="A1016" s="6"/>
      <x:c r="B1016" s="7"/>
      <x:c r="C1016" s="7"/>
      <x:c r="D1016" s="7"/>
      <x:c r="E1016" t="n">
        <x:f>IF(ISNUMBER(A1016),1015,0)</x:f>
        <x:v>0</x:v>
      </x:c>
    </x:row>
    <x:row r="1017">
      <x:c r="A1017" s="6"/>
      <x:c r="B1017" s="7"/>
      <x:c r="C1017" s="7"/>
      <x:c r="D1017" s="7"/>
      <x:c r="E1017" t="n">
        <x:f>IF(ISNUMBER(A1017),1016,0)</x:f>
        <x:v>0</x:v>
      </x:c>
    </x:row>
    <x:row r="1018">
      <x:c r="A1018" s="6"/>
      <x:c r="B1018" s="7"/>
      <x:c r="C1018" s="7"/>
      <x:c r="D1018" s="7"/>
      <x:c r="E1018" t="n">
        <x:f>IF(ISNUMBER(A1018),1017,0)</x:f>
        <x:v>0</x:v>
      </x:c>
    </x:row>
    <x:row r="1019">
      <x:c r="A1019" s="6"/>
      <x:c r="B1019" s="7"/>
      <x:c r="C1019" s="7"/>
      <x:c r="D1019" s="7"/>
      <x:c r="E1019" t="n">
        <x:f>IF(ISNUMBER(A1019),1018,0)</x:f>
        <x:v>0</x:v>
      </x:c>
    </x:row>
    <x:row r="1020">
      <x:c r="A1020" s="6"/>
      <x:c r="B1020" s="7"/>
      <x:c r="C1020" s="7"/>
      <x:c r="D1020" s="7"/>
      <x:c r="E1020" t="n">
        <x:f>IF(ISNUMBER(A1020),1019,0)</x:f>
        <x:v>0</x:v>
      </x:c>
    </x:row>
    <x:row r="1021">
      <x:c r="A1021" s="6"/>
      <x:c r="B1021" s="7"/>
      <x:c r="C1021" s="7"/>
      <x:c r="D1021" s="7"/>
      <x:c r="E1021" t="n">
        <x:f>IF(ISNUMBER(A1021),1020,0)</x:f>
        <x:v>0</x:v>
      </x:c>
    </x:row>
    <x:row r="1022">
      <x:c r="A1022" s="6"/>
      <x:c r="B1022" s="7"/>
      <x:c r="C1022" s="7"/>
      <x:c r="D1022" s="7"/>
      <x:c r="E1022" t="n">
        <x:f>IF(ISNUMBER(A1022),1021,0)</x:f>
        <x:v>0</x:v>
      </x:c>
    </x:row>
    <x:row r="1023">
      <x:c r="A1023" s="6"/>
      <x:c r="B1023" s="7"/>
      <x:c r="C1023" s="7"/>
      <x:c r="D1023" s="7"/>
      <x:c r="E1023" t="n">
        <x:f>IF(ISNUMBER(A1023),1022,0)</x:f>
        <x:v>0</x:v>
      </x:c>
    </x:row>
    <x:row r="1024">
      <x:c r="A1024" s="6"/>
      <x:c r="B1024" s="7"/>
      <x:c r="C1024" s="7"/>
      <x:c r="D1024" s="7"/>
      <x:c r="E1024" t="n">
        <x:f>IF(ISNUMBER(A1024),1023,0)</x:f>
        <x:v>0</x:v>
      </x:c>
    </x:row>
    <x:row r="1025">
      <x:c r="A1025" s="6"/>
      <x:c r="B1025" s="7"/>
      <x:c r="C1025" s="7"/>
      <x:c r="D1025" s="7"/>
      <x:c r="E1025" t="n">
        <x:f>IF(ISNUMBER(A1025),1024,0)</x:f>
        <x:v>0</x:v>
      </x:c>
    </x:row>
    <x:row r="1026">
      <x:c r="A1026" s="6"/>
      <x:c r="B1026" s="7"/>
      <x:c r="C1026" s="7"/>
      <x:c r="D1026" s="7"/>
      <x:c r="E1026" t="n">
        <x:f>IF(ISNUMBER(A1026),1025,0)</x:f>
        <x:v>0</x:v>
      </x:c>
    </x:row>
    <x:row r="1027">
      <x:c r="A1027" s="6"/>
      <x:c r="B1027" s="7"/>
      <x:c r="C1027" s="7"/>
      <x:c r="D1027" s="7"/>
      <x:c r="E1027" t="n">
        <x:f>IF(ISNUMBER(A1027),1026,0)</x:f>
        <x:v>0</x:v>
      </x:c>
    </x:row>
    <x:row r="1028">
      <x:c r="A1028" s="6"/>
      <x:c r="B1028" s="7"/>
      <x:c r="C1028" s="7"/>
      <x:c r="D1028" s="7"/>
      <x:c r="E1028" t="n">
        <x:f>IF(ISNUMBER(A1028),1027,0)</x:f>
        <x:v>0</x:v>
      </x:c>
    </x:row>
    <x:row r="1029">
      <x:c r="A1029" s="6"/>
      <x:c r="B1029" s="7"/>
      <x:c r="C1029" s="7"/>
      <x:c r="D1029" s="7"/>
      <x:c r="E1029" t="n">
        <x:f>IF(ISNUMBER(A1029),1028,0)</x:f>
        <x:v>0</x:v>
      </x:c>
    </x:row>
    <x:row r="1030">
      <x:c r="A1030" s="6"/>
      <x:c r="B1030" s="7"/>
      <x:c r="C1030" s="7"/>
      <x:c r="D1030" s="7"/>
      <x:c r="E1030" t="n">
        <x:f>IF(ISNUMBER(A1030),1029,0)</x:f>
        <x:v>0</x:v>
      </x:c>
    </x:row>
    <x:row r="1031">
      <x:c r="A1031" s="6"/>
      <x:c r="B1031" s="7"/>
      <x:c r="C1031" s="7"/>
      <x:c r="D1031" s="7"/>
      <x:c r="E1031" t="n">
        <x:f>IF(ISNUMBER(A1031),1030,0)</x:f>
        <x:v>0</x:v>
      </x:c>
    </x:row>
    <x:row r="1032">
      <x:c r="A1032" s="6"/>
      <x:c r="B1032" s="7"/>
      <x:c r="C1032" s="7"/>
      <x:c r="D1032" s="7"/>
      <x:c r="E1032" t="n">
        <x:f>IF(ISNUMBER(A1032),1031,0)</x:f>
        <x:v>0</x:v>
      </x:c>
    </x:row>
    <x:row r="1033">
      <x:c r="A1033" s="6"/>
      <x:c r="B1033" s="7"/>
      <x:c r="C1033" s="7"/>
      <x:c r="D1033" s="7"/>
      <x:c r="E1033" t="n">
        <x:f>IF(ISNUMBER(A1033),1032,0)</x:f>
        <x:v>0</x:v>
      </x:c>
    </x:row>
    <x:row r="1034">
      <x:c r="A1034" s="6"/>
      <x:c r="B1034" s="7"/>
      <x:c r="C1034" s="7"/>
      <x:c r="D1034" s="7"/>
      <x:c r="E1034" t="n">
        <x:f>IF(ISNUMBER(A1034),1033,0)</x:f>
        <x:v>0</x:v>
      </x:c>
    </x:row>
    <x:row r="1035">
      <x:c r="A1035" s="6"/>
      <x:c r="B1035" s="7"/>
      <x:c r="C1035" s="7"/>
      <x:c r="D1035" s="7"/>
      <x:c r="E1035" t="n">
        <x:f>IF(ISNUMBER(A1035),1034,0)</x:f>
        <x:v>0</x:v>
      </x:c>
    </x:row>
    <x:row r="1036">
      <x:c r="A1036" s="6"/>
      <x:c r="B1036" s="7"/>
      <x:c r="C1036" s="7"/>
      <x:c r="D1036" s="7"/>
      <x:c r="E1036" t="n">
        <x:f>IF(ISNUMBER(A1036),1035,0)</x:f>
        <x:v>0</x:v>
      </x:c>
    </x:row>
    <x:row r="1037">
      <x:c r="A1037" s="6"/>
      <x:c r="B1037" s="7"/>
      <x:c r="C1037" s="7"/>
      <x:c r="D1037" s="7"/>
      <x:c r="E1037" t="n">
        <x:f>IF(ISNUMBER(A1037),1036,0)</x:f>
        <x:v>0</x:v>
      </x:c>
    </x:row>
    <x:row r="1038">
      <x:c r="A1038" s="6"/>
      <x:c r="B1038" s="7"/>
      <x:c r="C1038" s="7"/>
      <x:c r="D1038" s="7"/>
      <x:c r="E1038" t="n">
        <x:f>IF(ISNUMBER(A1038),1037,0)</x:f>
        <x:v>0</x:v>
      </x:c>
    </x:row>
    <x:row r="1039">
      <x:c r="A1039" s="6"/>
      <x:c r="B1039" s="7"/>
      <x:c r="C1039" s="7"/>
      <x:c r="D1039" s="7"/>
      <x:c r="E1039" t="n">
        <x:f>IF(ISNUMBER(A1039),1038,0)</x:f>
        <x:v>0</x:v>
      </x:c>
    </x:row>
    <x:row r="1040">
      <x:c r="A1040" s="6"/>
      <x:c r="B1040" s="7"/>
      <x:c r="C1040" s="7"/>
      <x:c r="D1040" s="7"/>
      <x:c r="E1040" t="n">
        <x:f>IF(ISNUMBER(A1040),1039,0)</x:f>
        <x:v>0</x:v>
      </x:c>
    </x:row>
    <x:row r="1041">
      <x:c r="A1041" s="6"/>
      <x:c r="B1041" s="7"/>
      <x:c r="C1041" s="7"/>
      <x:c r="D1041" s="7"/>
      <x:c r="E1041" t="n">
        <x:f>IF(ISNUMBER(A1041),1040,0)</x:f>
        <x:v>0</x:v>
      </x:c>
    </x:row>
    <x:row r="1042">
      <x:c r="A1042" s="6"/>
      <x:c r="B1042" s="7"/>
      <x:c r="C1042" s="7"/>
      <x:c r="D1042" s="7"/>
      <x:c r="E1042" t="n">
        <x:f>IF(ISNUMBER(A1042),1041,0)</x:f>
        <x:v>0</x:v>
      </x:c>
    </x:row>
    <x:row r="1043">
      <x:c r="A1043" s="6"/>
      <x:c r="B1043" s="7"/>
      <x:c r="C1043" s="7"/>
      <x:c r="D1043" s="7"/>
      <x:c r="E1043" t="n">
        <x:f>IF(ISNUMBER(A1043),1042,0)</x:f>
        <x:v>0</x:v>
      </x:c>
    </x:row>
    <x:row r="1044">
      <x:c r="A1044" s="6"/>
      <x:c r="B1044" s="7"/>
      <x:c r="C1044" s="7"/>
      <x:c r="D1044" s="7"/>
      <x:c r="E1044" t="n">
        <x:f>IF(ISNUMBER(A1044),1043,0)</x:f>
        <x:v>0</x:v>
      </x:c>
    </x:row>
    <x:row r="1045">
      <x:c r="A1045" s="6"/>
      <x:c r="B1045" s="7"/>
      <x:c r="C1045" s="7"/>
      <x:c r="D1045" s="7"/>
      <x:c r="E1045" t="n">
        <x:f>IF(ISNUMBER(A1045),1044,0)</x:f>
        <x:v>0</x:v>
      </x:c>
    </x:row>
    <x:row r="1046">
      <x:c r="A1046" s="6"/>
      <x:c r="B1046" s="7"/>
      <x:c r="C1046" s="7"/>
      <x:c r="D1046" s="7"/>
      <x:c r="E1046" t="n">
        <x:f>IF(ISNUMBER(A1046),1045,0)</x:f>
        <x:v>0</x:v>
      </x:c>
    </x:row>
    <x:row r="1047">
      <x:c r="A1047" s="6"/>
      <x:c r="B1047" s="7"/>
      <x:c r="C1047" s="7"/>
      <x:c r="D1047" s="7"/>
      <x:c r="E1047" t="n">
        <x:f>IF(ISNUMBER(A1047),1046,0)</x:f>
        <x:v>0</x:v>
      </x:c>
    </x:row>
    <x:row r="1048">
      <x:c r="A1048" s="6"/>
      <x:c r="B1048" s="7"/>
      <x:c r="C1048" s="7"/>
      <x:c r="D1048" s="7"/>
      <x:c r="E1048" t="n">
        <x:f>IF(ISNUMBER(A1048),1047,0)</x:f>
        <x:v>0</x:v>
      </x:c>
    </x:row>
    <x:row r="1049">
      <x:c r="A1049" s="6"/>
      <x:c r="B1049" s="7"/>
      <x:c r="C1049" s="7"/>
      <x:c r="D1049" s="7"/>
      <x:c r="E1049" t="n">
        <x:f>IF(ISNUMBER(A1049),1048,0)</x:f>
        <x:v>0</x:v>
      </x:c>
    </x:row>
    <x:row r="1050">
      <x:c r="A1050" s="6"/>
      <x:c r="B1050" s="7"/>
      <x:c r="C1050" s="7"/>
      <x:c r="D1050" s="7"/>
      <x:c r="E1050" t="n">
        <x:f>IF(ISNUMBER(A1050),1049,0)</x:f>
        <x:v>0</x:v>
      </x:c>
    </x:row>
    <x:row r="1051">
      <x:c r="A1051" s="6"/>
      <x:c r="B1051" s="7"/>
      <x:c r="C1051" s="7"/>
      <x:c r="D1051" s="7"/>
      <x:c r="E1051" t="n">
        <x:f>IF(ISNUMBER(A1051),1050,0)</x:f>
        <x:v>0</x:v>
      </x:c>
    </x:row>
    <x:row r="1052">
      <x:c r="A1052" s="6"/>
      <x:c r="B1052" s="7"/>
      <x:c r="C1052" s="7"/>
      <x:c r="D1052" s="7"/>
      <x:c r="E1052" t="n">
        <x:f>IF(ISNUMBER(A1052),1051,0)</x:f>
        <x:v>0</x:v>
      </x:c>
    </x:row>
    <x:row r="1053">
      <x:c r="A1053" s="6"/>
      <x:c r="B1053" s="7"/>
      <x:c r="C1053" s="7"/>
      <x:c r="D1053" s="7"/>
      <x:c r="E1053" t="n">
        <x:f>IF(ISNUMBER(A1053),1052,0)</x:f>
        <x:v>0</x:v>
      </x:c>
    </x:row>
    <x:row r="1054">
      <x:c r="A1054" s="6"/>
      <x:c r="B1054" s="7"/>
      <x:c r="C1054" s="7"/>
      <x:c r="D1054" s="7"/>
      <x:c r="E1054" t="n">
        <x:f>IF(ISNUMBER(A1054),1053,0)</x:f>
        <x:v>0</x:v>
      </x:c>
    </x:row>
    <x:row r="1055">
      <x:c r="A1055" s="6"/>
      <x:c r="B1055" s="7"/>
      <x:c r="C1055" s="7"/>
      <x:c r="D1055" s="7"/>
      <x:c r="E1055" t="n">
        <x:f>IF(ISNUMBER(A1055),1054,0)</x:f>
        <x:v>0</x:v>
      </x:c>
    </x:row>
    <x:row r="1056">
      <x:c r="A1056" s="6"/>
      <x:c r="B1056" s="7"/>
      <x:c r="C1056" s="7"/>
      <x:c r="D1056" s="7"/>
      <x:c r="E1056" t="n">
        <x:f>IF(ISNUMBER(A1056),1055,0)</x:f>
        <x:v>0</x:v>
      </x:c>
    </x:row>
    <x:row r="1057">
      <x:c r="A1057" s="6"/>
      <x:c r="B1057" s="7"/>
      <x:c r="C1057" s="7"/>
      <x:c r="D1057" s="7"/>
      <x:c r="E1057" t="n">
        <x:f>IF(ISNUMBER(A1057),1056,0)</x:f>
        <x:v>0</x:v>
      </x:c>
    </x:row>
    <x:row r="1058">
      <x:c r="A1058" s="6"/>
      <x:c r="B1058" s="7"/>
      <x:c r="C1058" s="7"/>
      <x:c r="D1058" s="7"/>
      <x:c r="E1058" t="n">
        <x:f>IF(ISNUMBER(A1058),1057,0)</x:f>
        <x:v>0</x:v>
      </x:c>
    </x:row>
    <x:row r="1059">
      <x:c r="A1059" s="6"/>
      <x:c r="B1059" s="7"/>
      <x:c r="C1059" s="7"/>
      <x:c r="D1059" s="7"/>
      <x:c r="E1059" t="n">
        <x:f>IF(ISNUMBER(A1059),1058,0)</x:f>
        <x:v>0</x:v>
      </x:c>
    </x:row>
    <x:row r="1060">
      <x:c r="A1060" s="6"/>
      <x:c r="B1060" s="7"/>
      <x:c r="C1060" s="7"/>
      <x:c r="D1060" s="7"/>
      <x:c r="E1060" t="n">
        <x:f>IF(ISNUMBER(A1060),1059,0)</x:f>
        <x:v>0</x:v>
      </x:c>
    </x:row>
    <x:row r="1061">
      <x:c r="A1061" s="6"/>
      <x:c r="B1061" s="7"/>
      <x:c r="C1061" s="7"/>
      <x:c r="D1061" s="7"/>
      <x:c r="E1061" t="n">
        <x:f>IF(ISNUMBER(A1061),1060,0)</x:f>
        <x:v>0</x:v>
      </x:c>
    </x:row>
    <x:row r="1062">
      <x:c r="A1062" s="6"/>
      <x:c r="B1062" s="7"/>
      <x:c r="C1062" s="7"/>
      <x:c r="D1062" s="7"/>
      <x:c r="E1062" t="n">
        <x:f>IF(ISNUMBER(A1062),1061,0)</x:f>
        <x:v>0</x:v>
      </x:c>
    </x:row>
    <x:row r="1063">
      <x:c r="A1063" s="6"/>
      <x:c r="B1063" s="7"/>
      <x:c r="C1063" s="7"/>
      <x:c r="D1063" s="7"/>
      <x:c r="E1063" t="n">
        <x:f>IF(ISNUMBER(A1063),1062,0)</x:f>
        <x:v>0</x:v>
      </x:c>
    </x:row>
    <x:row r="1064">
      <x:c r="A1064" s="6"/>
      <x:c r="B1064" s="7"/>
      <x:c r="C1064" s="7"/>
      <x:c r="D1064" s="7"/>
      <x:c r="E1064" t="n">
        <x:f>IF(ISNUMBER(A1064),1063,0)</x:f>
        <x:v>0</x:v>
      </x:c>
    </x:row>
    <x:row r="1065">
      <x:c r="A1065" s="6"/>
      <x:c r="B1065" s="7"/>
      <x:c r="C1065" s="7"/>
      <x:c r="D1065" s="7"/>
      <x:c r="E1065" t="n">
        <x:f>IF(ISNUMBER(A1065),1064,0)</x:f>
        <x:v>0</x:v>
      </x:c>
    </x:row>
    <x:row r="1066">
      <x:c r="A1066" s="6"/>
      <x:c r="B1066" s="7"/>
      <x:c r="C1066" s="7"/>
      <x:c r="D1066" s="7"/>
      <x:c r="E1066" t="n">
        <x:f>IF(ISNUMBER(A1066),1065,0)</x:f>
        <x:v>0</x:v>
      </x:c>
    </x:row>
    <x:row r="1067">
      <x:c r="A1067" s="6"/>
      <x:c r="B1067" s="7"/>
      <x:c r="C1067" s="7"/>
      <x:c r="D1067" s="7"/>
      <x:c r="E1067" t="n">
        <x:f>IF(ISNUMBER(A1067),1066,0)</x:f>
        <x:v>0</x:v>
      </x:c>
    </x:row>
    <x:row r="1068">
      <x:c r="A1068" s="6"/>
      <x:c r="B1068" s="7"/>
      <x:c r="C1068" s="7"/>
      <x:c r="D1068" s="7"/>
      <x:c r="E1068" t="n">
        <x:f>IF(ISNUMBER(A1068),1067,0)</x:f>
        <x:v>0</x:v>
      </x:c>
    </x:row>
    <x:row r="1069">
      <x:c r="A1069" s="6"/>
      <x:c r="B1069" s="7"/>
      <x:c r="C1069" s="7"/>
      <x:c r="D1069" s="7"/>
      <x:c r="E1069" t="n">
        <x:f>IF(ISNUMBER(A1069),1068,0)</x:f>
        <x:v>0</x:v>
      </x:c>
    </x:row>
    <x:row r="1070">
      <x:c r="A1070" s="6"/>
      <x:c r="B1070" s="7"/>
      <x:c r="C1070" s="7"/>
      <x:c r="D1070" s="7"/>
      <x:c r="E1070" t="n">
        <x:f>IF(ISNUMBER(A1070),1069,0)</x:f>
        <x:v>0</x:v>
      </x:c>
    </x:row>
    <x:row r="1071">
      <x:c r="A1071" s="6"/>
      <x:c r="B1071" s="7"/>
      <x:c r="C1071" s="7"/>
      <x:c r="D1071" s="7"/>
      <x:c r="E1071" t="n">
        <x:f>IF(ISNUMBER(A1071),1070,0)</x:f>
        <x:v>0</x:v>
      </x:c>
    </x:row>
    <x:row r="1072">
      <x:c r="A1072" s="6"/>
      <x:c r="B1072" s="7"/>
      <x:c r="C1072" s="7"/>
      <x:c r="D1072" s="7"/>
      <x:c r="E1072" t="n">
        <x:f>IF(ISNUMBER(A1072),1071,0)</x:f>
        <x:v>0</x:v>
      </x:c>
    </x:row>
    <x:row r="1073">
      <x:c r="A1073" s="6"/>
      <x:c r="B1073" s="7"/>
      <x:c r="C1073" s="7"/>
      <x:c r="D1073" s="7"/>
      <x:c r="E1073" t="n">
        <x:f>IF(ISNUMBER(A1073),1072,0)</x:f>
        <x:v>0</x:v>
      </x:c>
    </x:row>
    <x:row r="1074">
      <x:c r="A1074" s="6"/>
      <x:c r="B1074" s="7"/>
      <x:c r="C1074" s="7"/>
      <x:c r="D1074" s="7"/>
      <x:c r="E1074" t="n">
        <x:f>IF(ISNUMBER(A1074),1073,0)</x:f>
        <x:v>0</x:v>
      </x:c>
    </x:row>
    <x:row r="1075">
      <x:c r="A1075" s="6"/>
      <x:c r="B1075" s="7"/>
      <x:c r="C1075" s="7"/>
      <x:c r="D1075" s="7"/>
      <x:c r="E1075" t="n">
        <x:f>IF(ISNUMBER(A1075),1074,0)</x:f>
        <x:v>0</x:v>
      </x:c>
    </x:row>
    <x:row r="1076">
      <x:c r="A1076" s="6"/>
      <x:c r="B1076" s="7"/>
      <x:c r="C1076" s="7"/>
      <x:c r="D1076" s="7"/>
      <x:c r="E1076" t="n">
        <x:f>IF(ISNUMBER(A1076),1075,0)</x:f>
        <x:v>0</x:v>
      </x:c>
    </x:row>
    <x:row r="1077">
      <x:c r="A1077" s="6"/>
      <x:c r="B1077" s="7"/>
      <x:c r="C1077" s="7"/>
      <x:c r="D1077" s="7"/>
      <x:c r="E1077" t="n">
        <x:f>IF(ISNUMBER(A1077),1076,0)</x:f>
        <x:v>0</x:v>
      </x:c>
    </x:row>
    <x:row r="1078">
      <x:c r="A1078" s="6"/>
      <x:c r="B1078" s="7"/>
      <x:c r="C1078" s="7"/>
      <x:c r="D1078" s="7"/>
      <x:c r="E1078" t="n">
        <x:f>IF(ISNUMBER(A1078),1077,0)</x:f>
        <x:v>0</x:v>
      </x:c>
    </x:row>
    <x:row r="1079">
      <x:c r="A1079" s="6"/>
      <x:c r="B1079" s="7"/>
      <x:c r="C1079" s="7"/>
      <x:c r="D1079" s="7"/>
      <x:c r="E1079" t="n">
        <x:f>IF(ISNUMBER(A1079),1078,0)</x:f>
        <x:v>0</x:v>
      </x:c>
    </x:row>
    <x:row r="1080">
      <x:c r="A1080" s="6"/>
      <x:c r="B1080" s="7"/>
      <x:c r="C1080" s="7"/>
      <x:c r="D1080" s="7"/>
      <x:c r="E1080" t="n">
        <x:f>IF(ISNUMBER(A1080),1079,0)</x:f>
        <x:v>0</x:v>
      </x:c>
    </x:row>
    <x:row r="1081">
      <x:c r="A1081" s="6"/>
      <x:c r="B1081" s="7"/>
      <x:c r="C1081" s="7"/>
      <x:c r="D1081" s="7"/>
      <x:c r="E1081" t="n">
        <x:f>IF(ISNUMBER(A1081),1080,0)</x:f>
        <x:v>0</x:v>
      </x:c>
    </x:row>
    <x:row r="1082">
      <x:c r="A1082" s="6"/>
      <x:c r="B1082" s="7"/>
      <x:c r="C1082" s="7"/>
      <x:c r="D1082" s="7"/>
      <x:c r="E1082" t="n">
        <x:f>IF(ISNUMBER(A1082),1081,0)</x:f>
        <x:v>0</x:v>
      </x:c>
    </x:row>
    <x:row r="1083">
      <x:c r="A1083" s="6"/>
      <x:c r="B1083" s="7"/>
      <x:c r="C1083" s="7"/>
      <x:c r="D1083" s="7"/>
      <x:c r="E1083" t="n">
        <x:f>IF(ISNUMBER(A1083),1082,0)</x:f>
        <x:v>0</x:v>
      </x:c>
    </x:row>
    <x:row r="1084">
      <x:c r="A1084" s="6"/>
      <x:c r="B1084" s="7"/>
      <x:c r="C1084" s="7"/>
      <x:c r="D1084" s="7"/>
      <x:c r="E1084" t="n">
        <x:f>IF(ISNUMBER(A1084),1083,0)</x:f>
        <x:v>0</x:v>
      </x:c>
    </x:row>
    <x:row r="1085">
      <x:c r="A1085" s="6"/>
      <x:c r="B1085" s="7"/>
      <x:c r="C1085" s="7"/>
      <x:c r="D1085" s="7"/>
      <x:c r="E1085" t="n">
        <x:f>IF(ISNUMBER(A1085),1084,0)</x:f>
        <x:v>0</x:v>
      </x:c>
    </x:row>
    <x:row r="1086">
      <x:c r="A1086" s="6"/>
      <x:c r="B1086" s="7"/>
      <x:c r="C1086" s="7"/>
      <x:c r="D1086" s="7"/>
      <x:c r="E1086" t="n">
        <x:f>IF(ISNUMBER(A1086),1085,0)</x:f>
        <x:v>0</x:v>
      </x:c>
    </x:row>
    <x:row r="1087">
      <x:c r="A1087" s="6"/>
      <x:c r="B1087" s="7"/>
      <x:c r="C1087" s="7"/>
      <x:c r="D1087" s="7"/>
      <x:c r="E1087" t="n">
        <x:f>IF(ISNUMBER(A1087),1086,0)</x:f>
        <x:v>0</x:v>
      </x:c>
    </x:row>
    <x:row r="1088">
      <x:c r="A1088" s="6"/>
      <x:c r="B1088" s="7"/>
      <x:c r="C1088" s="7"/>
      <x:c r="D1088" s="7"/>
      <x:c r="E1088" t="n">
        <x:f>IF(ISNUMBER(A1088),1087,0)</x:f>
        <x:v>0</x:v>
      </x:c>
    </x:row>
    <x:row r="1089">
      <x:c r="A1089" s="6"/>
      <x:c r="B1089" s="7"/>
      <x:c r="C1089" s="7"/>
      <x:c r="D1089" s="7"/>
      <x:c r="E1089" t="n">
        <x:f>IF(ISNUMBER(A1089),1088,0)</x:f>
        <x:v>0</x:v>
      </x:c>
    </x:row>
    <x:row r="1090">
      <x:c r="A1090" s="6"/>
      <x:c r="B1090" s="7"/>
      <x:c r="C1090" s="7"/>
      <x:c r="D1090" s="7"/>
      <x:c r="E1090" t="n">
        <x:f>IF(ISNUMBER(A1090),1089,0)</x:f>
        <x:v>0</x:v>
      </x:c>
    </x:row>
    <x:row r="1091">
      <x:c r="A1091" s="6"/>
      <x:c r="B1091" s="7"/>
      <x:c r="C1091" s="7"/>
      <x:c r="D1091" s="7"/>
      <x:c r="E1091" t="n">
        <x:f>IF(ISNUMBER(A1091),1090,0)</x:f>
        <x:v>0</x:v>
      </x:c>
    </x:row>
    <x:row r="1092">
      <x:c r="A1092" s="6"/>
      <x:c r="B1092" s="7"/>
      <x:c r="C1092" s="7"/>
      <x:c r="D1092" s="7"/>
      <x:c r="E1092" t="n">
        <x:f>IF(ISNUMBER(A1092),1091,0)</x:f>
        <x:v>0</x:v>
      </x:c>
    </x:row>
    <x:row r="1093">
      <x:c r="A1093" s="6"/>
      <x:c r="B1093" s="7"/>
      <x:c r="C1093" s="7"/>
      <x:c r="D1093" s="7"/>
      <x:c r="E1093" t="n">
        <x:f>IF(ISNUMBER(A1093),1092,0)</x:f>
        <x:v>0</x:v>
      </x:c>
    </x:row>
    <x:row r="1094">
      <x:c r="A1094" s="6"/>
      <x:c r="B1094" s="7"/>
      <x:c r="C1094" s="7"/>
      <x:c r="D1094" s="7"/>
      <x:c r="E1094" t="n">
        <x:f>IF(ISNUMBER(A1094),1093,0)</x:f>
        <x:v>0</x:v>
      </x:c>
    </x:row>
    <x:row r="1095">
      <x:c r="A1095" s="6"/>
      <x:c r="B1095" s="7"/>
      <x:c r="C1095" s="7"/>
      <x:c r="D1095" s="7"/>
      <x:c r="E1095" t="n">
        <x:f>IF(ISNUMBER(A1095),1094,0)</x:f>
        <x:v>0</x:v>
      </x:c>
    </x:row>
    <x:row r="1096">
      <x:c r="A1096" s="6"/>
      <x:c r="B1096" s="7"/>
      <x:c r="C1096" s="7"/>
      <x:c r="D1096" s="7"/>
      <x:c r="E1096" t="n">
        <x:f>IF(ISNUMBER(A1096),1095,0)</x:f>
        <x:v>0</x:v>
      </x:c>
    </x:row>
    <x:row r="1097">
      <x:c r="A1097" s="6"/>
      <x:c r="B1097" s="7"/>
      <x:c r="C1097" s="7"/>
      <x:c r="D1097" s="7"/>
      <x:c r="E1097" t="n">
        <x:f>IF(ISNUMBER(A1097),1096,0)</x:f>
        <x:v>0</x:v>
      </x:c>
    </x:row>
    <x:row r="1098">
      <x:c r="A1098" s="6"/>
      <x:c r="B1098" s="7"/>
      <x:c r="C1098" s="7"/>
      <x:c r="D1098" s="7"/>
      <x:c r="E1098" t="n">
        <x:f>IF(ISNUMBER(A1098),1097,0)</x:f>
        <x:v>0</x:v>
      </x:c>
    </x:row>
    <x:row r="1099">
      <x:c r="A1099" s="6"/>
      <x:c r="B1099" s="7"/>
      <x:c r="C1099" s="7"/>
      <x:c r="D1099" s="7"/>
      <x:c r="E1099" t="n">
        <x:f>IF(ISNUMBER(A1099),1098,0)</x:f>
        <x:v>0</x:v>
      </x:c>
    </x:row>
    <x:row r="1100">
      <x:c r="A1100" s="6"/>
      <x:c r="B1100" s="7"/>
      <x:c r="C1100" s="7"/>
      <x:c r="D1100" s="7"/>
      <x:c r="E1100" t="n">
        <x:f>IF(ISNUMBER(A1100),1099,0)</x:f>
        <x:v>0</x:v>
      </x:c>
    </x:row>
    <x:row r="1101">
      <x:c r="A1101" s="6"/>
      <x:c r="B1101" s="7"/>
      <x:c r="C1101" s="7"/>
      <x:c r="D1101" s="7"/>
      <x:c r="E1101" t="n">
        <x:f>IF(ISNUMBER(A1101),1100,0)</x:f>
        <x:v>0</x:v>
      </x:c>
    </x:row>
    <x:row r="1102">
      <x:c r="A1102" s="6"/>
      <x:c r="B1102" s="7"/>
      <x:c r="C1102" s="7"/>
      <x:c r="D1102" s="7"/>
      <x:c r="E1102" t="n">
        <x:f>IF(ISNUMBER(A1102),1101,0)</x:f>
        <x:v>0</x:v>
      </x:c>
    </x:row>
    <x:row r="1103">
      <x:c r="A1103" s="6"/>
      <x:c r="B1103" s="7"/>
      <x:c r="C1103" s="7"/>
      <x:c r="D1103" s="7"/>
      <x:c r="E1103" t="n">
        <x:f>IF(ISNUMBER(A1103),1102,0)</x:f>
        <x:v>0</x:v>
      </x:c>
    </x:row>
    <x:row r="1104">
      <x:c r="A1104" s="6"/>
      <x:c r="B1104" s="7"/>
      <x:c r="C1104" s="7"/>
      <x:c r="D1104" s="7"/>
      <x:c r="E1104" t="n">
        <x:f>IF(ISNUMBER(A1104),1103,0)</x:f>
        <x:v>0</x:v>
      </x:c>
    </x:row>
    <x:row r="1105">
      <x:c r="A1105" s="6"/>
      <x:c r="B1105" s="7"/>
      <x:c r="C1105" s="7"/>
      <x:c r="D1105" s="7"/>
      <x:c r="E1105" t="n">
        <x:f>IF(ISNUMBER(A1105),1104,0)</x:f>
        <x:v>0</x:v>
      </x:c>
    </x:row>
    <x:row r="1106">
      <x:c r="A1106" s="6"/>
      <x:c r="B1106" s="7"/>
      <x:c r="C1106" s="7"/>
      <x:c r="D1106" s="7"/>
      <x:c r="E1106" t="n">
        <x:f>IF(ISNUMBER(A1106),1105,0)</x:f>
        <x:v>0</x:v>
      </x:c>
    </x:row>
    <x:row r="1107">
      <x:c r="A1107" s="6"/>
      <x:c r="B1107" s="7"/>
      <x:c r="C1107" s="7"/>
      <x:c r="D1107" s="7"/>
      <x:c r="E1107" t="n">
        <x:f>IF(ISNUMBER(A1107),1106,0)</x:f>
        <x:v>0</x:v>
      </x:c>
    </x:row>
    <x:row r="1108">
      <x:c r="A1108" s="6"/>
      <x:c r="B1108" s="7"/>
      <x:c r="C1108" s="7"/>
      <x:c r="D1108" s="7"/>
      <x:c r="E1108" t="n">
        <x:f>IF(ISNUMBER(A1108),1107,0)</x:f>
        <x:v>0</x:v>
      </x:c>
    </x:row>
    <x:row r="1109">
      <x:c r="A1109" s="6"/>
      <x:c r="B1109" s="7"/>
      <x:c r="C1109" s="7"/>
      <x:c r="D1109" s="7"/>
      <x:c r="E1109" t="n">
        <x:f>IF(ISNUMBER(A1109),1108,0)</x:f>
        <x:v>0</x:v>
      </x:c>
    </x:row>
    <x:row r="1110">
      <x:c r="A1110" s="6"/>
      <x:c r="B1110" s="7"/>
      <x:c r="C1110" s="7"/>
      <x:c r="D1110" s="7"/>
      <x:c r="E1110" t="n">
        <x:f>IF(ISNUMBER(A1110),1109,0)</x:f>
        <x:v>0</x:v>
      </x:c>
    </x:row>
    <x:row r="1111">
      <x:c r="A1111" s="6"/>
      <x:c r="B1111" s="7"/>
      <x:c r="C1111" s="7"/>
      <x:c r="D1111" s="7"/>
      <x:c r="E1111" t="n">
        <x:f>IF(ISNUMBER(A1111),1110,0)</x:f>
        <x:v>0</x:v>
      </x:c>
    </x:row>
    <x:row r="1112">
      <x:c r="A1112" s="6"/>
      <x:c r="B1112" s="7"/>
      <x:c r="C1112" s="7"/>
      <x:c r="D1112" s="7"/>
      <x:c r="E1112" t="n">
        <x:f>IF(ISNUMBER(A1112),1111,0)</x:f>
        <x:v>0</x:v>
      </x:c>
    </x:row>
    <x:row r="1113">
      <x:c r="A1113" s="6"/>
      <x:c r="B1113" s="7"/>
      <x:c r="C1113" s="7"/>
      <x:c r="D1113" s="7"/>
      <x:c r="E1113" t="n">
        <x:f>IF(ISNUMBER(A1113),1112,0)</x:f>
        <x:v>0</x:v>
      </x:c>
    </x:row>
    <x:row r="1114">
      <x:c r="A1114" s="6"/>
      <x:c r="B1114" s="7"/>
      <x:c r="C1114" s="7"/>
      <x:c r="D1114" s="7"/>
      <x:c r="E1114" t="n">
        <x:f>IF(ISNUMBER(A1114),1113,0)</x:f>
        <x:v>0</x:v>
      </x:c>
    </x:row>
    <x:row r="1115">
      <x:c r="A1115" s="6"/>
      <x:c r="B1115" s="7"/>
      <x:c r="C1115" s="7"/>
      <x:c r="D1115" s="7"/>
      <x:c r="E1115" t="n">
        <x:f>IF(ISNUMBER(A1115),1114,0)</x:f>
        <x:v>0</x:v>
      </x:c>
    </x:row>
    <x:row r="1116">
      <x:c r="A1116" s="6"/>
      <x:c r="B1116" s="7"/>
      <x:c r="C1116" s="7"/>
      <x:c r="D1116" s="7"/>
      <x:c r="E1116" t="n">
        <x:f>IF(ISNUMBER(A1116),1115,0)</x:f>
        <x:v>0</x:v>
      </x:c>
    </x:row>
    <x:row r="1117">
      <x:c r="A1117" s="6"/>
      <x:c r="B1117" s="7"/>
      <x:c r="C1117" s="7"/>
      <x:c r="D1117" s="7"/>
      <x:c r="E1117" t="n">
        <x:f>IF(ISNUMBER(A1117),1116,0)</x:f>
        <x:v>0</x:v>
      </x:c>
    </x:row>
    <x:row r="1118">
      <x:c r="A1118" s="6"/>
      <x:c r="B1118" s="7"/>
      <x:c r="C1118" s="7"/>
      <x:c r="D1118" s="7"/>
      <x:c r="E1118" t="n">
        <x:f>IF(ISNUMBER(A1118),1117,0)</x:f>
        <x:v>0</x:v>
      </x:c>
    </x:row>
    <x:row r="1119">
      <x:c r="A1119" s="6"/>
      <x:c r="B1119" s="7"/>
      <x:c r="C1119" s="7"/>
      <x:c r="D1119" s="7"/>
      <x:c r="E1119" t="n">
        <x:f>IF(ISNUMBER(A1119),1118,0)</x:f>
        <x:v>0</x:v>
      </x:c>
    </x:row>
    <x:row r="1120">
      <x:c r="A1120" s="6"/>
      <x:c r="B1120" s="7"/>
      <x:c r="C1120" s="7"/>
      <x:c r="D1120" s="7"/>
      <x:c r="E1120" t="n">
        <x:f>IF(ISNUMBER(A1120),1119,0)</x:f>
        <x:v>0</x:v>
      </x:c>
    </x:row>
    <x:row r="1121">
      <x:c r="A1121" s="6"/>
      <x:c r="B1121" s="7"/>
      <x:c r="C1121" s="7"/>
      <x:c r="D1121" s="7"/>
      <x:c r="E1121" t="n">
        <x:f>IF(ISNUMBER(A1121),1120,0)</x:f>
        <x:v>0</x:v>
      </x:c>
    </x:row>
    <x:row r="1122">
      <x:c r="A1122" s="6"/>
      <x:c r="B1122" s="7"/>
      <x:c r="C1122" s="7"/>
      <x:c r="D1122" s="7"/>
      <x:c r="E1122" t="n">
        <x:f>IF(ISNUMBER(A1122),1121,0)</x:f>
        <x:v>0</x:v>
      </x:c>
    </x:row>
    <x:row r="1123">
      <x:c r="A1123" s="6"/>
      <x:c r="B1123" s="7"/>
      <x:c r="C1123" s="7"/>
      <x:c r="D1123" s="7"/>
      <x:c r="E1123" t="n">
        <x:f>IF(ISNUMBER(A1123),1122,0)</x:f>
        <x:v>0</x:v>
      </x:c>
    </x:row>
    <x:row r="1124">
      <x:c r="A1124" s="6"/>
      <x:c r="B1124" s="7"/>
      <x:c r="C1124" s="7"/>
      <x:c r="D1124" s="7"/>
      <x:c r="E1124" t="n">
        <x:f>IF(ISNUMBER(A1124),1123,0)</x:f>
        <x:v>0</x:v>
      </x:c>
    </x:row>
    <x:row r="1125">
      <x:c r="A1125" s="6"/>
      <x:c r="B1125" s="7"/>
      <x:c r="C1125" s="7"/>
      <x:c r="D1125" s="7"/>
      <x:c r="E1125" t="n">
        <x:f>IF(ISNUMBER(A1125),1124,0)</x:f>
        <x:v>0</x:v>
      </x:c>
    </x:row>
    <x:row r="1126">
      <x:c r="A1126" s="6"/>
      <x:c r="B1126" s="7"/>
      <x:c r="C1126" s="7"/>
      <x:c r="D1126" s="7"/>
      <x:c r="E1126" t="n">
        <x:f>IF(ISNUMBER(A1126),1125,0)</x:f>
        <x:v>0</x:v>
      </x:c>
    </x:row>
    <x:row r="1127">
      <x:c r="A1127" s="6"/>
      <x:c r="B1127" s="7"/>
      <x:c r="C1127" s="7"/>
      <x:c r="D1127" s="7"/>
      <x:c r="E1127" t="n">
        <x:f>IF(ISNUMBER(A1127),1126,0)</x:f>
        <x:v>0</x:v>
      </x:c>
    </x:row>
    <x:row r="1128">
      <x:c r="A1128" s="6"/>
      <x:c r="B1128" s="7"/>
      <x:c r="C1128" s="7"/>
      <x:c r="D1128" s="7"/>
      <x:c r="E1128" t="n">
        <x:f>IF(ISNUMBER(A1128),1127,0)</x:f>
        <x:v>0</x:v>
      </x:c>
    </x:row>
    <x:row r="1129">
      <x:c r="A1129" s="6"/>
      <x:c r="B1129" s="7"/>
      <x:c r="C1129" s="7"/>
      <x:c r="D1129" s="7"/>
      <x:c r="E1129" t="n">
        <x:f>IF(ISNUMBER(A1129),1128,0)</x:f>
        <x:v>0</x:v>
      </x:c>
    </x:row>
    <x:row r="1130">
      <x:c r="A1130" s="6"/>
      <x:c r="B1130" s="7"/>
      <x:c r="C1130" s="7"/>
      <x:c r="D1130" s="7"/>
      <x:c r="E1130" t="n">
        <x:f>IF(ISNUMBER(A1130),1129,0)</x:f>
        <x:v>0</x:v>
      </x:c>
    </x:row>
    <x:row r="1131">
      <x:c r="A1131" s="6"/>
      <x:c r="B1131" s="7"/>
      <x:c r="C1131" s="7"/>
      <x:c r="D1131" s="7"/>
      <x:c r="E1131" t="n">
        <x:f>IF(ISNUMBER(A1131),1130,0)</x:f>
        <x:v>0</x:v>
      </x:c>
    </x:row>
    <x:row r="1132">
      <x:c r="A1132" s="6"/>
      <x:c r="B1132" s="7"/>
      <x:c r="C1132" s="7"/>
      <x:c r="D1132" s="7"/>
      <x:c r="E1132" t="n">
        <x:f>IF(ISNUMBER(A1132),1131,0)</x:f>
        <x:v>0</x:v>
      </x:c>
    </x:row>
    <x:row r="1133">
      <x:c r="A1133" s="6"/>
      <x:c r="B1133" s="7"/>
      <x:c r="C1133" s="7"/>
      <x:c r="D1133" s="7"/>
      <x:c r="E1133" t="n">
        <x:f>IF(ISNUMBER(A1133),1132,0)</x:f>
        <x:v>0</x:v>
      </x:c>
    </x:row>
    <x:row r="1134">
      <x:c r="A1134" s="6"/>
      <x:c r="B1134" s="7"/>
      <x:c r="C1134" s="7"/>
      <x:c r="D1134" s="7"/>
      <x:c r="E1134" t="n">
        <x:f>IF(ISNUMBER(A1134),1133,0)</x:f>
        <x:v>0</x:v>
      </x:c>
    </x:row>
    <x:row r="1135">
      <x:c r="A1135" s="6"/>
      <x:c r="B1135" s="7"/>
      <x:c r="C1135" s="7"/>
      <x:c r="D1135" s="7"/>
      <x:c r="E1135" t="n">
        <x:f>IF(ISNUMBER(A1135),1134,0)</x:f>
        <x:v>0</x:v>
      </x:c>
    </x:row>
    <x:row r="1136">
      <x:c r="A1136" s="6"/>
      <x:c r="B1136" s="7"/>
      <x:c r="C1136" s="7"/>
      <x:c r="D1136" s="7"/>
      <x:c r="E1136" t="n">
        <x:f>IF(ISNUMBER(A1136),1135,0)</x:f>
        <x:v>0</x:v>
      </x:c>
    </x:row>
    <x:row r="1137">
      <x:c r="A1137" s="6"/>
      <x:c r="B1137" s="7"/>
      <x:c r="C1137" s="7"/>
      <x:c r="D1137" s="7"/>
      <x:c r="E1137" t="n">
        <x:f>IF(ISNUMBER(A1137),1136,0)</x:f>
        <x:v>0</x:v>
      </x:c>
    </x:row>
    <x:row r="1138">
      <x:c r="A1138" s="6"/>
      <x:c r="B1138" s="7"/>
      <x:c r="C1138" s="7"/>
      <x:c r="D1138" s="7"/>
      <x:c r="E1138" t="n">
        <x:f>IF(ISNUMBER(A1138),1137,0)</x:f>
        <x:v>0</x:v>
      </x:c>
    </x:row>
    <x:row r="1139">
      <x:c r="A1139" s="6"/>
      <x:c r="B1139" s="7"/>
      <x:c r="C1139" s="7"/>
      <x:c r="D1139" s="7"/>
      <x:c r="E1139" t="n">
        <x:f>IF(ISNUMBER(A1139),1138,0)</x:f>
        <x:v>0</x:v>
      </x:c>
    </x:row>
    <x:row r="1140">
      <x:c r="A1140" s="6"/>
      <x:c r="B1140" s="7"/>
      <x:c r="C1140" s="7"/>
      <x:c r="D1140" s="7"/>
      <x:c r="E1140" t="n">
        <x:f>IF(ISNUMBER(A1140),1139,0)</x:f>
        <x:v>0</x:v>
      </x:c>
    </x:row>
    <x:row r="1141">
      <x:c r="A1141" s="6"/>
      <x:c r="B1141" s="7"/>
      <x:c r="C1141" s="7"/>
      <x:c r="D1141" s="7"/>
      <x:c r="E1141" t="n">
        <x:f>IF(ISNUMBER(A1141),1140,0)</x:f>
        <x:v>0</x:v>
      </x:c>
    </x:row>
    <x:row r="1142">
      <x:c r="A1142" s="6"/>
      <x:c r="B1142" s="7"/>
      <x:c r="C1142" s="7"/>
      <x:c r="D1142" s="7"/>
      <x:c r="E1142" t="n">
        <x:f>IF(ISNUMBER(A1142),1141,0)</x:f>
        <x:v>0</x:v>
      </x:c>
    </x:row>
    <x:row r="1143">
      <x:c r="A1143" s="6"/>
      <x:c r="B1143" s="7"/>
      <x:c r="C1143" s="7"/>
      <x:c r="D1143" s="7"/>
      <x:c r="E1143" t="n">
        <x:f>IF(ISNUMBER(A1143),1142,0)</x:f>
        <x:v>0</x:v>
      </x:c>
    </x:row>
    <x:row r="1144">
      <x:c r="A1144" s="6"/>
      <x:c r="B1144" s="7"/>
      <x:c r="C1144" s="7"/>
      <x:c r="D1144" s="7"/>
      <x:c r="E1144" t="n">
        <x:f>IF(ISNUMBER(A1144),1143,0)</x:f>
        <x:v>0</x:v>
      </x:c>
    </x:row>
    <x:row r="1145">
      <x:c r="A1145" s="6"/>
      <x:c r="B1145" s="7"/>
      <x:c r="C1145" s="7"/>
      <x:c r="D1145" s="7"/>
      <x:c r="E1145" t="n">
        <x:f>IF(ISNUMBER(A1145),1144,0)</x:f>
        <x:v>0</x:v>
      </x:c>
    </x:row>
    <x:row r="1146">
      <x:c r="A1146" s="6"/>
      <x:c r="B1146" s="7"/>
      <x:c r="C1146" s="7"/>
      <x:c r="D1146" s="7"/>
      <x:c r="E1146" t="n">
        <x:f>IF(ISNUMBER(A1146),1145,0)</x:f>
        <x:v>0</x:v>
      </x:c>
    </x:row>
    <x:row r="1147">
      <x:c r="A1147" s="6"/>
      <x:c r="B1147" s="7"/>
      <x:c r="C1147" s="7"/>
      <x:c r="D1147" s="7"/>
      <x:c r="E1147" t="n">
        <x:f>IF(ISNUMBER(A1147),1146,0)</x:f>
        <x:v>0</x:v>
      </x:c>
    </x:row>
    <x:row r="1148">
      <x:c r="A1148" s="6"/>
      <x:c r="B1148" s="7"/>
      <x:c r="C1148" s="7"/>
      <x:c r="D1148" s="7"/>
      <x:c r="E1148" t="n">
        <x:f>IF(ISNUMBER(A1148),1147,0)</x:f>
        <x:v>0</x:v>
      </x:c>
    </x:row>
    <x:row r="1149">
      <x:c r="A1149" s="6"/>
      <x:c r="B1149" s="7"/>
      <x:c r="C1149" s="7"/>
      <x:c r="D1149" s="7"/>
      <x:c r="E1149" t="n">
        <x:f>IF(ISNUMBER(A1149),1148,0)</x:f>
        <x:v>0</x:v>
      </x:c>
    </x:row>
    <x:row r="1150">
      <x:c r="A1150" s="6"/>
      <x:c r="B1150" s="7"/>
      <x:c r="C1150" s="7"/>
      <x:c r="D1150" s="7"/>
      <x:c r="E1150" t="n">
        <x:f>IF(ISNUMBER(A1150),1149,0)</x:f>
        <x:v>0</x:v>
      </x:c>
    </x:row>
    <x:row r="1151">
      <x:c r="A1151" s="6"/>
      <x:c r="B1151" s="7"/>
      <x:c r="C1151" s="7"/>
      <x:c r="D1151" s="7"/>
      <x:c r="E1151" t="n">
        <x:f>IF(ISNUMBER(A1151),1150,0)</x:f>
        <x:v>0</x:v>
      </x:c>
    </x:row>
    <x:row r="1152">
      <x:c r="A1152" s="6"/>
      <x:c r="B1152" s="7"/>
      <x:c r="C1152" s="7"/>
      <x:c r="D1152" s="7"/>
      <x:c r="E1152" t="n">
        <x:f>IF(ISNUMBER(A1152),1151,0)</x:f>
        <x:v>0</x:v>
      </x:c>
    </x:row>
    <x:row r="1153">
      <x:c r="A1153" s="6"/>
      <x:c r="B1153" s="7"/>
      <x:c r="C1153" s="7"/>
      <x:c r="D1153" s="7"/>
      <x:c r="E1153" t="n">
        <x:f>IF(ISNUMBER(A1153),1152,0)</x:f>
        <x:v>0</x:v>
      </x:c>
    </x:row>
    <x:row r="1154">
      <x:c r="A1154" s="6"/>
      <x:c r="B1154" s="7"/>
      <x:c r="C1154" s="7"/>
      <x:c r="D1154" s="7"/>
      <x:c r="E1154" t="n">
        <x:f>IF(ISNUMBER(A1154),1153,0)</x:f>
        <x:v>0</x:v>
      </x:c>
    </x:row>
    <x:row r="1155">
      <x:c r="A1155" s="6"/>
      <x:c r="B1155" s="7"/>
      <x:c r="C1155" s="7"/>
      <x:c r="D1155" s="7"/>
      <x:c r="E1155" t="n">
        <x:f>IF(ISNUMBER(A1155),1154,0)</x:f>
        <x:v>0</x:v>
      </x:c>
    </x:row>
    <x:row r="1156">
      <x:c r="A1156" s="6"/>
      <x:c r="B1156" s="7"/>
      <x:c r="C1156" s="7"/>
      <x:c r="D1156" s="7"/>
      <x:c r="E1156" t="n">
        <x:f>IF(ISNUMBER(A1156),1155,0)</x:f>
        <x:v>0</x:v>
      </x:c>
    </x:row>
    <x:row r="1157">
      <x:c r="A1157" s="6"/>
      <x:c r="B1157" s="7"/>
      <x:c r="C1157" s="7"/>
      <x:c r="D1157" s="7"/>
      <x:c r="E1157" t="n">
        <x:f>IF(ISNUMBER(A1157),1156,0)</x:f>
        <x:v>0</x:v>
      </x:c>
    </x:row>
    <x:row r="1158">
      <x:c r="A1158" s="6"/>
      <x:c r="B1158" s="7"/>
      <x:c r="C1158" s="7"/>
      <x:c r="D1158" s="7"/>
      <x:c r="E1158" t="n">
        <x:f>IF(ISNUMBER(A1158),1157,0)</x:f>
        <x:v>0</x:v>
      </x:c>
    </x:row>
    <x:row r="1159">
      <x:c r="A1159" s="6"/>
      <x:c r="B1159" s="7"/>
      <x:c r="C1159" s="7"/>
      <x:c r="D1159" s="7"/>
      <x:c r="E1159" t="n">
        <x:f>IF(ISNUMBER(A1159),1158,0)</x:f>
        <x:v>0</x:v>
      </x:c>
    </x:row>
    <x:row r="1160">
      <x:c r="A1160" s="6"/>
      <x:c r="B1160" s="7"/>
      <x:c r="C1160" s="7"/>
      <x:c r="D1160" s="7"/>
      <x:c r="E1160" t="n">
        <x:f>IF(ISNUMBER(A1160),1159,0)</x:f>
        <x:v>0</x:v>
      </x:c>
    </x:row>
    <x:row r="1161">
      <x:c r="A1161" s="6"/>
      <x:c r="B1161" s="7"/>
      <x:c r="C1161" s="7"/>
      <x:c r="D1161" s="7"/>
      <x:c r="E1161" t="n">
        <x:f>IF(ISNUMBER(A1161),1160,0)</x:f>
        <x:v>0</x:v>
      </x:c>
    </x:row>
    <x:row r="1162">
      <x:c r="A1162" s="6"/>
      <x:c r="B1162" s="7"/>
      <x:c r="C1162" s="7"/>
      <x:c r="D1162" s="7"/>
      <x:c r="E1162" t="n">
        <x:f>IF(ISNUMBER(A1162),1161,0)</x:f>
        <x:v>0</x:v>
      </x:c>
    </x:row>
    <x:row r="1163">
      <x:c r="A1163" s="6"/>
      <x:c r="B1163" s="7"/>
      <x:c r="C1163" s="7"/>
      <x:c r="D1163" s="7"/>
      <x:c r="E1163" t="n">
        <x:f>IF(ISNUMBER(A1163),1162,0)</x:f>
        <x:v>0</x:v>
      </x:c>
    </x:row>
    <x:row r="1164">
      <x:c r="A1164" s="6"/>
      <x:c r="B1164" s="7"/>
      <x:c r="C1164" s="7"/>
      <x:c r="D1164" s="7"/>
      <x:c r="E1164" t="n">
        <x:f>IF(ISNUMBER(A1164),1163,0)</x:f>
        <x:v>0</x:v>
      </x:c>
    </x:row>
    <x:row r="1165">
      <x:c r="A1165" s="6"/>
      <x:c r="B1165" s="7"/>
      <x:c r="C1165" s="7"/>
      <x:c r="D1165" s="7"/>
      <x:c r="E1165" t="n">
        <x:f>IF(ISNUMBER(A1165),1164,0)</x:f>
        <x:v>0</x:v>
      </x:c>
    </x:row>
    <x:row r="1166">
      <x:c r="A1166" s="6"/>
      <x:c r="B1166" s="7"/>
      <x:c r="C1166" s="7"/>
      <x:c r="D1166" s="7"/>
      <x:c r="E1166" t="n">
        <x:f>IF(ISNUMBER(A1166),1165,0)</x:f>
        <x:v>0</x:v>
      </x:c>
    </x:row>
    <x:row r="1167">
      <x:c r="A1167" s="6"/>
      <x:c r="B1167" s="7"/>
      <x:c r="C1167" s="7"/>
      <x:c r="D1167" s="7"/>
      <x:c r="E1167" t="n">
        <x:f>IF(ISNUMBER(A1167),1166,0)</x:f>
        <x:v>0</x:v>
      </x:c>
    </x:row>
    <x:row r="1168">
      <x:c r="A1168" s="6"/>
      <x:c r="B1168" s="7"/>
      <x:c r="C1168" s="7"/>
      <x:c r="D1168" s="7"/>
      <x:c r="E1168" t="n">
        <x:f>IF(ISNUMBER(A1168),1167,0)</x:f>
        <x:v>0</x:v>
      </x:c>
    </x:row>
    <x:row r="1169">
      <x:c r="A1169" s="6"/>
      <x:c r="B1169" s="7"/>
      <x:c r="C1169" s="7"/>
      <x:c r="D1169" s="7"/>
      <x:c r="E1169" t="n">
        <x:f>IF(ISNUMBER(A1169),1168,0)</x:f>
        <x:v>0</x:v>
      </x:c>
    </x:row>
    <x:row r="1170">
      <x:c r="A1170" s="6"/>
      <x:c r="B1170" s="7"/>
      <x:c r="C1170" s="7"/>
      <x:c r="D1170" s="7"/>
      <x:c r="E1170" t="n">
        <x:f>IF(ISNUMBER(A1170),1169,0)</x:f>
        <x:v>0</x:v>
      </x:c>
    </x:row>
    <x:row r="1171">
      <x:c r="A1171" s="6"/>
      <x:c r="B1171" s="7"/>
      <x:c r="C1171" s="7"/>
      <x:c r="D1171" s="7"/>
      <x:c r="E1171" t="n">
        <x:f>IF(ISNUMBER(A1171),1170,0)</x:f>
        <x:v>0</x:v>
      </x:c>
    </x:row>
    <x:row r="1172">
      <x:c r="A1172" s="6"/>
      <x:c r="B1172" s="7"/>
      <x:c r="C1172" s="7"/>
      <x:c r="D1172" s="7"/>
      <x:c r="E1172" t="n">
        <x:f>IF(ISNUMBER(A1172),1171,0)</x:f>
        <x:v>0</x:v>
      </x:c>
    </x:row>
    <x:row r="1173">
      <x:c r="A1173" s="6"/>
      <x:c r="B1173" s="7"/>
      <x:c r="C1173" s="7"/>
      <x:c r="D1173" s="7"/>
      <x:c r="E1173" t="n">
        <x:f>IF(ISNUMBER(A1173),1172,0)</x:f>
        <x:v>0</x:v>
      </x:c>
    </x:row>
    <x:row r="1174">
      <x:c r="A1174" s="6"/>
      <x:c r="B1174" s="7"/>
      <x:c r="C1174" s="7"/>
      <x:c r="D1174" s="7"/>
      <x:c r="E1174" t="n">
        <x:f>IF(ISNUMBER(A1174),1173,0)</x:f>
        <x:v>0</x:v>
      </x:c>
    </x:row>
    <x:row r="1175">
      <x:c r="A1175" s="6"/>
      <x:c r="B1175" s="7"/>
      <x:c r="C1175" s="7"/>
      <x:c r="D1175" s="7"/>
      <x:c r="E1175" t="n">
        <x:f>IF(ISNUMBER(A1175),1174,0)</x:f>
        <x:v>0</x:v>
      </x:c>
    </x:row>
    <x:row r="1176">
      <x:c r="A1176" s="6"/>
      <x:c r="B1176" s="7"/>
      <x:c r="C1176" s="7"/>
      <x:c r="D1176" s="7"/>
      <x:c r="E1176" t="n">
        <x:f>IF(ISNUMBER(A1176),1175,0)</x:f>
        <x:v>0</x:v>
      </x:c>
    </x:row>
    <x:row r="1177">
      <x:c r="A1177" s="6"/>
      <x:c r="B1177" s="7"/>
      <x:c r="C1177" s="7"/>
      <x:c r="D1177" s="7"/>
      <x:c r="E1177" t="n">
        <x:f>IF(ISNUMBER(A1177),1176,0)</x:f>
        <x:v>0</x:v>
      </x:c>
    </x:row>
    <x:row r="1178">
      <x:c r="A1178" s="6"/>
      <x:c r="B1178" s="7"/>
      <x:c r="C1178" s="7"/>
      <x:c r="D1178" s="7"/>
      <x:c r="E1178" t="n">
        <x:f>IF(ISNUMBER(A1178),1177,0)</x:f>
        <x:v>0</x:v>
      </x:c>
    </x:row>
    <x:row r="1179">
      <x:c r="A1179" s="6"/>
      <x:c r="B1179" s="7"/>
      <x:c r="C1179" s="7"/>
      <x:c r="D1179" s="7"/>
      <x:c r="E1179" t="n">
        <x:f>IF(ISNUMBER(A1179),1178,0)</x:f>
        <x:v>0</x:v>
      </x:c>
    </x:row>
    <x:row r="1180">
      <x:c r="A1180" s="6"/>
      <x:c r="B1180" s="7"/>
      <x:c r="C1180" s="7"/>
      <x:c r="D1180" s="7"/>
      <x:c r="E1180" t="n">
        <x:f>IF(ISNUMBER(A1180),1179,0)</x:f>
        <x:v>0</x:v>
      </x:c>
    </x:row>
    <x:row r="1181">
      <x:c r="A1181" s="6"/>
      <x:c r="B1181" s="7"/>
      <x:c r="C1181" s="7"/>
      <x:c r="D1181" s="7"/>
      <x:c r="E1181" t="n">
        <x:f>IF(ISNUMBER(A1181),1180,0)</x:f>
        <x:v>0</x:v>
      </x:c>
    </x:row>
    <x:row r="1182">
      <x:c r="A1182" s="6"/>
      <x:c r="B1182" s="7"/>
      <x:c r="C1182" s="7"/>
      <x:c r="D1182" s="7"/>
      <x:c r="E1182" t="n">
        <x:f>IF(ISNUMBER(A1182),1181,0)</x:f>
        <x:v>0</x:v>
      </x:c>
    </x:row>
    <x:row r="1183">
      <x:c r="A1183" s="6"/>
      <x:c r="B1183" s="7"/>
      <x:c r="C1183" s="7"/>
      <x:c r="D1183" s="7"/>
      <x:c r="E1183" t="n">
        <x:f>IF(ISNUMBER(A1183),1182,0)</x:f>
        <x:v>0</x:v>
      </x:c>
    </x:row>
    <x:row r="1184">
      <x:c r="A1184" s="6"/>
      <x:c r="B1184" s="7"/>
      <x:c r="C1184" s="7"/>
      <x:c r="D1184" s="7"/>
      <x:c r="E1184" t="n">
        <x:f>IF(ISNUMBER(A1184),1183,0)</x:f>
        <x:v>0</x:v>
      </x:c>
    </x:row>
    <x:row r="1185">
      <x:c r="A1185" s="6"/>
      <x:c r="B1185" s="7"/>
      <x:c r="C1185" s="7"/>
      <x:c r="D1185" s="7"/>
      <x:c r="E1185" t="n">
        <x:f>IF(ISNUMBER(A1185),1184,0)</x:f>
        <x:v>0</x:v>
      </x:c>
    </x:row>
    <x:row r="1186">
      <x:c r="A1186" s="6"/>
      <x:c r="B1186" s="7"/>
      <x:c r="C1186" s="7"/>
      <x:c r="D1186" s="7"/>
      <x:c r="E1186" t="n">
        <x:f>IF(ISNUMBER(A1186),1185,0)</x:f>
        <x:v>0</x:v>
      </x:c>
    </x:row>
    <x:row r="1187">
      <x:c r="A1187" s="6"/>
      <x:c r="B1187" s="7"/>
      <x:c r="C1187" s="7"/>
      <x:c r="D1187" s="7"/>
      <x:c r="E1187" t="n">
        <x:f>IF(ISNUMBER(A1187),1186,0)</x:f>
        <x:v>0</x:v>
      </x:c>
    </x:row>
    <x:row r="1188">
      <x:c r="A1188" s="6"/>
      <x:c r="B1188" s="7"/>
      <x:c r="C1188" s="7"/>
      <x:c r="D1188" s="7"/>
      <x:c r="E1188" t="n">
        <x:f>IF(ISNUMBER(A1188),1187,0)</x:f>
        <x:v>0</x:v>
      </x:c>
    </x:row>
    <x:row r="1189">
      <x:c r="A1189" s="6"/>
      <x:c r="B1189" s="7"/>
      <x:c r="C1189" s="7"/>
      <x:c r="D1189" s="7"/>
      <x:c r="E1189" t="n">
        <x:f>IF(ISNUMBER(A1189),1188,0)</x:f>
        <x:v>0</x:v>
      </x:c>
    </x:row>
    <x:row r="1190">
      <x:c r="A1190" s="6"/>
      <x:c r="B1190" s="7"/>
      <x:c r="C1190" s="7"/>
      <x:c r="D1190" s="7"/>
      <x:c r="E1190" t="n">
        <x:f>IF(ISNUMBER(A1190),1189,0)</x:f>
        <x:v>0</x:v>
      </x:c>
    </x:row>
    <x:row r="1191">
      <x:c r="A1191" s="6"/>
      <x:c r="B1191" s="7"/>
      <x:c r="C1191" s="7"/>
      <x:c r="D1191" s="7"/>
      <x:c r="E1191" t="n">
        <x:f>IF(ISNUMBER(A1191),1190,0)</x:f>
        <x:v>0</x:v>
      </x:c>
    </x:row>
    <x:row r="1192">
      <x:c r="A1192" s="6"/>
      <x:c r="B1192" s="7"/>
      <x:c r="C1192" s="7"/>
      <x:c r="D1192" s="7"/>
      <x:c r="E1192" t="n">
        <x:f>IF(ISNUMBER(A1192),1191,0)</x:f>
        <x:v>0</x:v>
      </x:c>
    </x:row>
    <x:row r="1193">
      <x:c r="A1193" s="6"/>
      <x:c r="B1193" s="7"/>
      <x:c r="C1193" s="7"/>
      <x:c r="D1193" s="7"/>
      <x:c r="E1193" t="n">
        <x:f>IF(ISNUMBER(A1193),1192,0)</x:f>
        <x:v>0</x:v>
      </x:c>
    </x:row>
    <x:row r="1194">
      <x:c r="A1194" s="6"/>
      <x:c r="B1194" s="7"/>
      <x:c r="C1194" s="7"/>
      <x:c r="D1194" s="7"/>
      <x:c r="E1194" t="n">
        <x:f>IF(ISNUMBER(A1194),1193,0)</x:f>
        <x:v>0</x:v>
      </x:c>
    </x:row>
    <x:row r="1195">
      <x:c r="A1195" s="6"/>
      <x:c r="B1195" s="7"/>
      <x:c r="C1195" s="7"/>
      <x:c r="D1195" s="7"/>
      <x:c r="E1195" t="n">
        <x:f>IF(ISNUMBER(A1195),1194,0)</x:f>
        <x:v>0</x:v>
      </x:c>
    </x:row>
    <x:row r="1196">
      <x:c r="A1196" s="6"/>
      <x:c r="B1196" s="7"/>
      <x:c r="C1196" s="7"/>
      <x:c r="D1196" s="7"/>
      <x:c r="E1196" t="n">
        <x:f>IF(ISNUMBER(A1196),1195,0)</x:f>
        <x:v>0</x:v>
      </x:c>
    </x:row>
    <x:row r="1197">
      <x:c r="A1197" s="6"/>
      <x:c r="B1197" s="7"/>
      <x:c r="C1197" s="7"/>
      <x:c r="D1197" s="7"/>
      <x:c r="E1197" t="n">
        <x:f>IF(ISNUMBER(A1197),1196,0)</x:f>
        <x:v>0</x:v>
      </x:c>
    </x:row>
    <x:row r="1198">
      <x:c r="A1198" s="6"/>
      <x:c r="B1198" s="7"/>
      <x:c r="C1198" s="7"/>
      <x:c r="D1198" s="7"/>
      <x:c r="E1198" t="n">
        <x:f>IF(ISNUMBER(A1198),1197,0)</x:f>
        <x:v>0</x:v>
      </x:c>
    </x:row>
    <x:row r="1199">
      <x:c r="A1199" s="6"/>
      <x:c r="B1199" s="7"/>
      <x:c r="C1199" s="7"/>
      <x:c r="D1199" s="7"/>
      <x:c r="E1199" t="n">
        <x:f>IF(ISNUMBER(A1199),1198,0)</x:f>
        <x:v>0</x:v>
      </x:c>
    </x:row>
    <x:row r="1200">
      <x:c r="A1200" s="6"/>
      <x:c r="B1200" s="7"/>
      <x:c r="C1200" s="7"/>
      <x:c r="D1200" s="7"/>
      <x:c r="E1200" t="n">
        <x:f>IF(ISNUMBER(A1200),1199,0)</x:f>
        <x:v>0</x:v>
      </x:c>
    </x:row>
    <x:row r="1201">
      <x:c r="A1201" s="6"/>
      <x:c r="B1201" s="7"/>
      <x:c r="C1201" s="7"/>
      <x:c r="D1201" s="7"/>
      <x:c r="E1201" t="n">
        <x:f>IF(ISNUMBER(A1201),1200,0)</x:f>
        <x:v>0</x:v>
      </x:c>
    </x:row>
    <x:row r="1202">
      <x:c r="A1202" s="6"/>
      <x:c r="B1202" s="7"/>
      <x:c r="C1202" s="7"/>
      <x:c r="D1202" s="7"/>
      <x:c r="E1202" t="n">
        <x:f>IF(ISNUMBER(A1202),1201,0)</x:f>
        <x:v>0</x:v>
      </x:c>
    </x:row>
    <x:row r="1203">
      <x:c r="A1203" s="6"/>
      <x:c r="B1203" s="7"/>
      <x:c r="C1203" s="7"/>
      <x:c r="D1203" s="7"/>
      <x:c r="E1203" t="n">
        <x:f>IF(ISNUMBER(A1203),1202,0)</x:f>
        <x:v>0</x:v>
      </x:c>
    </x:row>
    <x:row r="1204">
      <x:c r="A1204" s="6"/>
      <x:c r="B1204" s="7"/>
      <x:c r="C1204" s="7"/>
      <x:c r="D1204" s="7"/>
      <x:c r="E1204" t="n">
        <x:f>IF(ISNUMBER(A1204),1203,0)</x:f>
        <x:v>0</x:v>
      </x:c>
    </x:row>
    <x:row r="1205">
      <x:c r="A1205" s="6"/>
      <x:c r="B1205" s="7"/>
      <x:c r="C1205" s="7"/>
      <x:c r="D1205" s="7"/>
      <x:c r="E1205" t="n">
        <x:f>IF(ISNUMBER(A1205),1204,0)</x:f>
        <x:v>0</x:v>
      </x:c>
    </x:row>
    <x:row r="1206">
      <x:c r="A1206" s="6"/>
      <x:c r="B1206" s="7"/>
      <x:c r="C1206" s="7"/>
      <x:c r="D1206" s="7"/>
      <x:c r="E1206" t="n">
        <x:f>IF(ISNUMBER(A1206),1205,0)</x:f>
        <x:v>0</x:v>
      </x:c>
    </x:row>
    <x:row r="1207">
      <x:c r="A1207" s="6"/>
      <x:c r="B1207" s="7"/>
      <x:c r="C1207" s="7"/>
      <x:c r="D1207" s="7"/>
      <x:c r="E1207" t="n">
        <x:f>IF(ISNUMBER(A1207),1206,0)</x:f>
        <x:v>0</x:v>
      </x:c>
    </x:row>
    <x:row r="1208">
      <x:c r="A1208" s="6"/>
      <x:c r="B1208" s="7"/>
      <x:c r="C1208" s="7"/>
      <x:c r="D1208" s="7"/>
      <x:c r="E1208" t="n">
        <x:f>IF(ISNUMBER(A1208),1207,0)</x:f>
        <x:v>0</x:v>
      </x:c>
    </x:row>
    <x:row r="1209">
      <x:c r="A1209" s="6"/>
      <x:c r="B1209" s="7"/>
      <x:c r="C1209" s="7"/>
      <x:c r="D1209" s="7"/>
      <x:c r="E1209" t="n">
        <x:f>IF(ISNUMBER(A1209),1208,0)</x:f>
        <x:v>0</x:v>
      </x:c>
    </x:row>
    <x:row r="1210">
      <x:c r="A1210" s="6"/>
      <x:c r="B1210" s="7"/>
      <x:c r="C1210" s="7"/>
      <x:c r="D1210" s="7"/>
      <x:c r="E1210" t="n">
        <x:f>IF(ISNUMBER(A1210),1209,0)</x:f>
        <x:v>0</x:v>
      </x:c>
    </x:row>
    <x:row r="1211">
      <x:c r="A1211" s="6"/>
      <x:c r="B1211" s="7"/>
      <x:c r="C1211" s="7"/>
      <x:c r="D1211" s="7"/>
      <x:c r="E1211" t="n">
        <x:f>IF(ISNUMBER(A1211),1210,0)</x:f>
        <x:v>0</x:v>
      </x:c>
    </x:row>
    <x:row r="1212">
      <x:c r="A1212" s="6"/>
      <x:c r="B1212" s="7"/>
      <x:c r="C1212" s="7"/>
      <x:c r="D1212" s="7"/>
      <x:c r="E1212" t="n">
        <x:f>IF(ISNUMBER(A1212),1211,0)</x:f>
        <x:v>0</x:v>
      </x:c>
    </x:row>
    <x:row r="1213">
      <x:c r="A1213" s="6"/>
      <x:c r="B1213" s="7"/>
      <x:c r="C1213" s="7"/>
      <x:c r="D1213" s="7"/>
      <x:c r="E1213" t="n">
        <x:f>IF(ISNUMBER(A1213),1212,0)</x:f>
        <x:v>0</x:v>
      </x:c>
    </x:row>
    <x:row r="1214">
      <x:c r="A1214" s="6"/>
      <x:c r="B1214" s="7"/>
      <x:c r="C1214" s="7"/>
      <x:c r="D1214" s="7"/>
      <x:c r="E1214" t="n">
        <x:f>IF(ISNUMBER(A1214),1213,0)</x:f>
        <x:v>0</x:v>
      </x:c>
    </x:row>
    <x:row r="1215">
      <x:c r="A1215" s="6"/>
      <x:c r="B1215" s="7"/>
      <x:c r="C1215" s="7"/>
      <x:c r="D1215" s="7"/>
      <x:c r="E1215" t="n">
        <x:f>IF(ISNUMBER(A1215),1214,0)</x:f>
        <x:v>0</x:v>
      </x:c>
    </x:row>
    <x:row r="1216">
      <x:c r="A1216" s="6"/>
      <x:c r="B1216" s="7"/>
      <x:c r="C1216" s="7"/>
      <x:c r="D1216" s="7"/>
      <x:c r="E1216" t="n">
        <x:f>IF(ISNUMBER(A1216),1215,0)</x:f>
        <x:v>0</x:v>
      </x:c>
    </x:row>
    <x:row r="1217">
      <x:c r="A1217" s="6"/>
      <x:c r="B1217" s="7"/>
      <x:c r="C1217" s="7"/>
      <x:c r="D1217" s="7"/>
      <x:c r="E1217" t="n">
        <x:f>IF(ISNUMBER(A1217),1216,0)</x:f>
        <x:v>0</x:v>
      </x:c>
    </x:row>
    <x:row r="1218">
      <x:c r="A1218" s="6"/>
      <x:c r="B1218" s="7"/>
      <x:c r="C1218" s="7"/>
      <x:c r="D1218" s="7"/>
      <x:c r="E1218" t="n">
        <x:f>IF(ISNUMBER(A1218),1217,0)</x:f>
        <x:v>0</x:v>
      </x:c>
    </x:row>
    <x:row r="1219">
      <x:c r="A1219" s="6"/>
      <x:c r="B1219" s="7"/>
      <x:c r="C1219" s="7"/>
      <x:c r="D1219" s="7"/>
      <x:c r="E1219" t="n">
        <x:f>IF(ISNUMBER(A1219),1218,0)</x:f>
        <x:v>0</x:v>
      </x:c>
    </x:row>
    <x:row r="1220">
      <x:c r="A1220" s="6"/>
      <x:c r="B1220" s="7"/>
      <x:c r="C1220" s="7"/>
      <x:c r="D1220" s="7"/>
      <x:c r="E1220" t="n">
        <x:f>IF(ISNUMBER(A1220),1219,0)</x:f>
        <x:v>0</x:v>
      </x:c>
    </x:row>
    <x:row r="1221">
      <x:c r="A1221" s="6"/>
      <x:c r="B1221" s="7"/>
      <x:c r="C1221" s="7"/>
      <x:c r="D1221" s="7"/>
      <x:c r="E1221" t="n">
        <x:f>IF(ISNUMBER(A1221),1220,0)</x:f>
        <x:v>0</x:v>
      </x:c>
    </x:row>
    <x:row r="1222">
      <x:c r="A1222" s="6"/>
      <x:c r="B1222" s="7"/>
      <x:c r="C1222" s="7"/>
      <x:c r="D1222" s="7"/>
      <x:c r="E1222" t="n">
        <x:f>IF(ISNUMBER(A1222),1221,0)</x:f>
        <x:v>0</x:v>
      </x:c>
    </x:row>
    <x:row r="1223">
      <x:c r="A1223" s="6"/>
      <x:c r="B1223" s="7"/>
      <x:c r="C1223" s="7"/>
      <x:c r="D1223" s="7"/>
      <x:c r="E1223" t="n">
        <x:f>IF(ISNUMBER(A1223),1222,0)</x:f>
        <x:v>0</x:v>
      </x:c>
    </x:row>
    <x:row r="1224">
      <x:c r="A1224" s="6"/>
      <x:c r="B1224" s="7"/>
      <x:c r="C1224" s="7"/>
      <x:c r="D1224" s="7"/>
      <x:c r="E1224" t="n">
        <x:f>IF(ISNUMBER(A1224),1223,0)</x:f>
        <x:v>0</x:v>
      </x:c>
    </x:row>
    <x:row r="1225">
      <x:c r="A1225" s="6"/>
      <x:c r="B1225" s="7"/>
      <x:c r="C1225" s="7"/>
      <x:c r="D1225" s="7"/>
      <x:c r="E1225" t="n">
        <x:f>IF(ISNUMBER(A1225),1224,0)</x:f>
        <x:v>0</x:v>
      </x:c>
    </x:row>
    <x:row r="1226">
      <x:c r="A1226" s="6"/>
      <x:c r="B1226" s="7"/>
      <x:c r="C1226" s="7"/>
      <x:c r="D1226" s="7"/>
      <x:c r="E1226" t="n">
        <x:f>IF(ISNUMBER(A1226),1225,0)</x:f>
        <x:v>0</x:v>
      </x:c>
    </x:row>
    <x:row r="1227">
      <x:c r="A1227" s="6"/>
      <x:c r="B1227" s="7"/>
      <x:c r="C1227" s="7"/>
      <x:c r="D1227" s="7"/>
      <x:c r="E1227" t="n">
        <x:f>IF(ISNUMBER(A1227),1226,0)</x:f>
        <x:v>0</x:v>
      </x:c>
    </x:row>
    <x:row r="1228">
      <x:c r="A1228" s="6"/>
      <x:c r="B1228" s="7"/>
      <x:c r="C1228" s="7"/>
      <x:c r="D1228" s="7"/>
      <x:c r="E1228" t="n">
        <x:f>IF(ISNUMBER(A1228),1227,0)</x:f>
        <x:v>0</x:v>
      </x:c>
    </x:row>
    <x:row r="1229">
      <x:c r="A1229" s="6"/>
      <x:c r="B1229" s="7"/>
      <x:c r="C1229" s="7"/>
      <x:c r="D1229" s="7"/>
      <x:c r="E1229" t="n">
        <x:f>IF(ISNUMBER(A1229),1228,0)</x:f>
        <x:v>0</x:v>
      </x:c>
    </x:row>
    <x:row r="1230">
      <x:c r="A1230" s="6"/>
      <x:c r="B1230" s="7"/>
      <x:c r="C1230" s="7"/>
      <x:c r="D1230" s="7"/>
      <x:c r="E1230" t="n">
        <x:f>IF(ISNUMBER(A1230),1229,0)</x:f>
        <x:v>0</x:v>
      </x:c>
    </x:row>
    <x:row r="1231">
      <x:c r="A1231" s="6"/>
      <x:c r="B1231" s="7"/>
      <x:c r="C1231" s="7"/>
      <x:c r="D1231" s="7"/>
      <x:c r="E1231" t="n">
        <x:f>IF(ISNUMBER(A1231),1230,0)</x:f>
        <x:v>0</x:v>
      </x:c>
    </x:row>
    <x:row r="1232">
      <x:c r="A1232" s="6"/>
      <x:c r="B1232" s="7"/>
      <x:c r="C1232" s="7"/>
      <x:c r="D1232" s="7"/>
      <x:c r="E1232" t="n">
        <x:f>IF(ISNUMBER(A1232),1231,0)</x:f>
        <x:v>0</x:v>
      </x:c>
    </x:row>
    <x:row r="1233">
      <x:c r="A1233" s="6"/>
      <x:c r="B1233" s="7"/>
      <x:c r="C1233" s="7"/>
      <x:c r="D1233" s="7"/>
      <x:c r="E1233" t="n">
        <x:f>IF(ISNUMBER(A1233),1232,0)</x:f>
        <x:v>0</x:v>
      </x:c>
    </x:row>
    <x:row r="1234">
      <x:c r="A1234" s="6"/>
      <x:c r="B1234" s="7"/>
      <x:c r="C1234" s="7"/>
      <x:c r="D1234" s="7"/>
      <x:c r="E1234" t="n">
        <x:f>IF(ISNUMBER(A1234),1233,0)</x:f>
        <x:v>0</x:v>
      </x:c>
    </x:row>
    <x:row r="1235">
      <x:c r="A1235" s="6"/>
      <x:c r="B1235" s="7"/>
      <x:c r="C1235" s="7"/>
      <x:c r="D1235" s="7"/>
      <x:c r="E1235" t="n">
        <x:f>IF(ISNUMBER(A1235),1234,0)</x:f>
        <x:v>0</x:v>
      </x:c>
    </x:row>
    <x:row r="1236">
      <x:c r="A1236" s="6"/>
      <x:c r="B1236" s="7"/>
      <x:c r="C1236" s="7"/>
      <x:c r="D1236" s="7"/>
      <x:c r="E1236" t="n">
        <x:f>IF(ISNUMBER(A1236),1235,0)</x:f>
        <x:v>0</x:v>
      </x:c>
    </x:row>
    <x:row r="1237">
      <x:c r="A1237" s="6"/>
      <x:c r="B1237" s="7"/>
      <x:c r="C1237" s="7"/>
      <x:c r="D1237" s="7"/>
      <x:c r="E1237" t="n">
        <x:f>IF(ISNUMBER(A1237),1236,0)</x:f>
        <x:v>0</x:v>
      </x:c>
    </x:row>
    <x:row r="1238">
      <x:c r="A1238" s="6"/>
      <x:c r="B1238" s="7"/>
      <x:c r="C1238" s="7"/>
      <x:c r="D1238" s="7"/>
      <x:c r="E1238" t="n">
        <x:f>IF(ISNUMBER(A1238),1237,0)</x:f>
        <x:v>0</x:v>
      </x:c>
    </x:row>
    <x:row r="1239">
      <x:c r="A1239" s="6"/>
      <x:c r="B1239" s="7"/>
      <x:c r="C1239" s="7"/>
      <x:c r="D1239" s="7"/>
      <x:c r="E1239" t="n">
        <x:f>IF(ISNUMBER(A1239),1238,0)</x:f>
        <x:v>0</x:v>
      </x:c>
    </x:row>
    <x:row r="1240">
      <x:c r="A1240" s="6"/>
      <x:c r="B1240" s="7"/>
      <x:c r="C1240" s="7"/>
      <x:c r="D1240" s="7"/>
      <x:c r="E1240" t="n">
        <x:f>IF(ISNUMBER(A1240),1239,0)</x:f>
        <x:v>0</x:v>
      </x:c>
    </x:row>
    <x:row r="1241">
      <x:c r="A1241" s="6"/>
      <x:c r="B1241" s="7"/>
      <x:c r="C1241" s="7"/>
      <x:c r="D1241" s="7"/>
      <x:c r="E1241" t="n">
        <x:f>IF(ISNUMBER(A1241),1240,0)</x:f>
        <x:v>0</x:v>
      </x:c>
    </x:row>
    <x:row r="1242">
      <x:c r="A1242" s="6"/>
      <x:c r="B1242" s="7"/>
      <x:c r="C1242" s="7"/>
      <x:c r="D1242" s="7"/>
      <x:c r="E1242" t="n">
        <x:f>IF(ISNUMBER(A1242),1241,0)</x:f>
        <x:v>0</x:v>
      </x:c>
    </x:row>
    <x:row r="1243">
      <x:c r="A1243" s="6"/>
      <x:c r="B1243" s="7"/>
      <x:c r="C1243" s="7"/>
      <x:c r="D1243" s="7"/>
      <x:c r="E1243" t="n">
        <x:f>IF(ISNUMBER(A1243),1242,0)</x:f>
        <x:v>0</x:v>
      </x:c>
    </x:row>
    <x:row r="1244">
      <x:c r="A1244" s="6"/>
      <x:c r="B1244" s="7"/>
      <x:c r="C1244" s="7"/>
      <x:c r="D1244" s="7"/>
      <x:c r="E1244" t="n">
        <x:f>IF(ISNUMBER(A1244),1243,0)</x:f>
        <x:v>0</x:v>
      </x:c>
    </x:row>
    <x:row r="1245">
      <x:c r="A1245" s="6"/>
      <x:c r="B1245" s="7"/>
      <x:c r="C1245" s="7"/>
      <x:c r="D1245" s="7"/>
      <x:c r="E1245" t="n">
        <x:f>IF(ISNUMBER(A1245),1244,0)</x:f>
        <x:v>0</x:v>
      </x:c>
    </x:row>
    <x:row r="1246">
      <x:c r="A1246" s="6"/>
      <x:c r="B1246" s="7"/>
      <x:c r="C1246" s="7"/>
      <x:c r="D1246" s="7"/>
      <x:c r="E1246" t="n">
        <x:f>IF(ISNUMBER(A1246),1245,0)</x:f>
        <x:v>0</x:v>
      </x:c>
    </x:row>
    <x:row r="1247">
      <x:c r="A1247" s="6"/>
      <x:c r="B1247" s="7"/>
      <x:c r="C1247" s="7"/>
      <x:c r="D1247" s="7"/>
      <x:c r="E1247" t="n">
        <x:f>IF(ISNUMBER(A1247),1246,0)</x:f>
        <x:v>0</x:v>
      </x:c>
    </x:row>
    <x:row r="1248">
      <x:c r="A1248" s="6"/>
      <x:c r="B1248" s="7"/>
      <x:c r="C1248" s="7"/>
      <x:c r="D1248" s="7"/>
      <x:c r="E1248" t="n">
        <x:f>IF(ISNUMBER(A1248),1247,0)</x:f>
        <x:v>0</x:v>
      </x:c>
    </x:row>
    <x:row r="1249">
      <x:c r="A1249" s="6"/>
      <x:c r="B1249" s="7"/>
      <x:c r="C1249" s="7"/>
      <x:c r="D1249" s="7"/>
      <x:c r="E1249" t="n">
        <x:f>IF(ISNUMBER(A1249),1248,0)</x:f>
        <x:v>0</x:v>
      </x:c>
    </x:row>
    <x:row r="1250">
      <x:c r="A1250" s="6"/>
      <x:c r="B1250" s="7"/>
      <x:c r="C1250" s="7"/>
      <x:c r="D1250" s="7"/>
      <x:c r="E1250" t="n">
        <x:f>IF(ISNUMBER(A1250),1249,0)</x:f>
        <x:v>0</x:v>
      </x:c>
    </x:row>
    <x:row r="1251">
      <x:c r="A1251" s="6"/>
      <x:c r="B1251" s="7"/>
      <x:c r="C1251" s="7"/>
      <x:c r="D1251" s="7"/>
      <x:c r="E1251" t="n">
        <x:f>IF(ISNUMBER(A1251),1250,0)</x:f>
        <x:v>0</x:v>
      </x:c>
    </x:row>
    <x:row r="1252">
      <x:c r="A1252" s="6"/>
      <x:c r="B1252" s="7"/>
      <x:c r="C1252" s="7"/>
      <x:c r="D1252" s="7"/>
      <x:c r="E1252" t="n">
        <x:f>IF(ISNUMBER(A1252),1251,0)</x:f>
        <x:v>0</x:v>
      </x:c>
    </x:row>
    <x:row r="1253">
      <x:c r="A1253" s="6"/>
      <x:c r="B1253" s="7"/>
      <x:c r="C1253" s="7"/>
      <x:c r="D1253" s="7"/>
      <x:c r="E1253" t="n">
        <x:f>IF(ISNUMBER(A1253),1252,0)</x:f>
        <x:v>0</x:v>
      </x:c>
    </x:row>
    <x:row r="1254">
      <x:c r="A1254" s="6"/>
      <x:c r="B1254" s="7"/>
      <x:c r="C1254" s="7"/>
      <x:c r="D1254" s="7"/>
      <x:c r="E1254" t="n">
        <x:f>IF(ISNUMBER(A1254),1253,0)</x:f>
        <x:v>0</x:v>
      </x:c>
    </x:row>
    <x:row r="1255">
      <x:c r="A1255" s="6"/>
      <x:c r="B1255" s="7"/>
      <x:c r="C1255" s="7"/>
      <x:c r="D1255" s="7"/>
      <x:c r="E1255" t="n">
        <x:f>IF(ISNUMBER(A1255),1254,0)</x:f>
        <x:v>0</x:v>
      </x:c>
    </x:row>
    <x:row r="1256">
      <x:c r="A1256" s="6"/>
      <x:c r="B1256" s="7"/>
      <x:c r="C1256" s="7"/>
      <x:c r="D1256" s="7"/>
      <x:c r="E1256" t="n">
        <x:f>IF(ISNUMBER(A1256),1255,0)</x:f>
        <x:v>0</x:v>
      </x:c>
    </x:row>
    <x:row r="1257">
      <x:c r="A1257" s="6"/>
      <x:c r="B1257" s="7"/>
      <x:c r="C1257" s="7"/>
      <x:c r="D1257" s="7"/>
      <x:c r="E1257" t="n">
        <x:f>IF(ISNUMBER(A1257),1256,0)</x:f>
        <x:v>0</x:v>
      </x:c>
    </x:row>
    <x:row r="1258">
      <x:c r="A1258" s="6"/>
      <x:c r="B1258" s="7"/>
      <x:c r="C1258" s="7"/>
      <x:c r="D1258" s="7"/>
      <x:c r="E1258" t="n">
        <x:f>IF(ISNUMBER(A1258),1257,0)</x:f>
        <x:v>0</x:v>
      </x:c>
    </x:row>
    <x:row r="1259">
      <x:c r="A1259" s="6"/>
      <x:c r="B1259" s="7"/>
      <x:c r="C1259" s="7"/>
      <x:c r="D1259" s="7"/>
      <x:c r="E1259" t="n">
        <x:f>IF(ISNUMBER(A1259),1258,0)</x:f>
        <x:v>0</x:v>
      </x:c>
    </x:row>
    <x:row r="1260">
      <x:c r="A1260" s="6"/>
      <x:c r="B1260" s="7"/>
      <x:c r="C1260" s="7"/>
      <x:c r="D1260" s="7"/>
      <x:c r="E1260" t="n">
        <x:f>IF(ISNUMBER(A1260),1259,0)</x:f>
        <x:v>0</x:v>
      </x:c>
    </x:row>
    <x:row r="1261">
      <x:c r="A1261" s="6"/>
      <x:c r="B1261" s="7"/>
      <x:c r="C1261" s="7"/>
      <x:c r="D1261" s="7"/>
      <x:c r="E1261" t="n">
        <x:f>IF(ISNUMBER(A1261),1260,0)</x:f>
        <x:v>0</x:v>
      </x:c>
    </x:row>
    <x:row r="1262">
      <x:c r="A1262" s="6"/>
      <x:c r="B1262" s="7"/>
      <x:c r="C1262" s="7"/>
      <x:c r="D1262" s="7"/>
      <x:c r="E1262" t="n">
        <x:f>IF(ISNUMBER(A1262),1261,0)</x:f>
        <x:v>0</x:v>
      </x:c>
    </x:row>
    <x:row r="1263">
      <x:c r="A1263" s="6"/>
      <x:c r="B1263" s="7"/>
      <x:c r="C1263" s="7"/>
      <x:c r="D1263" s="7"/>
      <x:c r="E1263" t="n">
        <x:f>IF(ISNUMBER(A1263),1262,0)</x:f>
        <x:v>0</x:v>
      </x:c>
    </x:row>
    <x:row r="1264">
      <x:c r="A1264" s="6"/>
      <x:c r="B1264" s="7"/>
      <x:c r="C1264" s="7"/>
      <x:c r="D1264" s="7"/>
      <x:c r="E1264" t="n">
        <x:f>IF(ISNUMBER(A1264),1263,0)</x:f>
        <x:v>0</x:v>
      </x:c>
    </x:row>
    <x:row r="1265">
      <x:c r="A1265" s="6"/>
      <x:c r="B1265" s="7"/>
      <x:c r="C1265" s="7"/>
      <x:c r="D1265" s="7"/>
      <x:c r="E1265" t="n">
        <x:f>IF(ISNUMBER(A1265),1264,0)</x:f>
        <x:v>0</x:v>
      </x:c>
    </x:row>
    <x:row r="1266">
      <x:c r="A1266" s="6"/>
      <x:c r="B1266" s="7"/>
      <x:c r="C1266" s="7"/>
      <x:c r="D1266" s="7"/>
      <x:c r="E1266" t="n">
        <x:f>IF(ISNUMBER(A1266),1265,0)</x:f>
        <x:v>0</x:v>
      </x:c>
    </x:row>
    <x:row r="1267">
      <x:c r="A1267" s="6"/>
      <x:c r="B1267" s="7"/>
      <x:c r="C1267" s="7"/>
      <x:c r="D1267" s="7"/>
      <x:c r="E1267" t="n">
        <x:f>IF(ISNUMBER(A1267),1266,0)</x:f>
        <x:v>0</x:v>
      </x:c>
    </x:row>
    <x:row r="1268">
      <x:c r="A1268" s="6"/>
      <x:c r="B1268" s="7"/>
      <x:c r="C1268" s="7"/>
      <x:c r="D1268" s="7"/>
      <x:c r="E1268" t="n">
        <x:f>IF(ISNUMBER(A1268),1267,0)</x:f>
        <x:v>0</x:v>
      </x:c>
    </x:row>
    <x:row r="1269">
      <x:c r="A1269" s="6"/>
      <x:c r="B1269" s="7"/>
      <x:c r="C1269" s="7"/>
      <x:c r="D1269" s="7"/>
      <x:c r="E1269" t="n">
        <x:f>IF(ISNUMBER(A1269),1268,0)</x:f>
        <x:v>0</x:v>
      </x:c>
    </x:row>
    <x:row r="1270">
      <x:c r="A1270" s="6"/>
      <x:c r="B1270" s="7"/>
      <x:c r="C1270" s="7"/>
      <x:c r="D1270" s="7"/>
      <x:c r="E1270" t="n">
        <x:f>IF(ISNUMBER(A1270),1269,0)</x:f>
        <x:v>0</x:v>
      </x:c>
    </x:row>
    <x:row r="1271">
      <x:c r="A1271" s="6"/>
      <x:c r="B1271" s="7"/>
      <x:c r="C1271" s="7"/>
      <x:c r="D1271" s="7"/>
      <x:c r="E1271" t="n">
        <x:f>IF(ISNUMBER(A1271),1270,0)</x:f>
        <x:v>0</x:v>
      </x:c>
    </x:row>
    <x:row r="1272">
      <x:c r="A1272" s="6"/>
      <x:c r="B1272" s="7"/>
      <x:c r="C1272" s="7"/>
      <x:c r="D1272" s="7"/>
      <x:c r="E1272" t="n">
        <x:f>IF(ISNUMBER(A1272),1271,0)</x:f>
        <x:v>0</x:v>
      </x:c>
    </x:row>
    <x:row r="1273">
      <x:c r="A1273" s="6"/>
      <x:c r="B1273" s="7"/>
      <x:c r="C1273" s="7"/>
      <x:c r="D1273" s="7"/>
      <x:c r="E1273" t="n">
        <x:f>IF(ISNUMBER(A1273),1272,0)</x:f>
        <x:v>0</x:v>
      </x:c>
    </x:row>
    <x:row r="1274">
      <x:c r="A1274" s="6"/>
      <x:c r="B1274" s="7"/>
      <x:c r="C1274" s="7"/>
      <x:c r="D1274" s="7"/>
      <x:c r="E1274" t="n">
        <x:f>IF(ISNUMBER(A1274),1273,0)</x:f>
        <x:v>0</x:v>
      </x:c>
    </x:row>
    <x:row r="1275">
      <x:c r="A1275" s="6"/>
      <x:c r="B1275" s="7"/>
      <x:c r="C1275" s="7"/>
      <x:c r="D1275" s="7"/>
      <x:c r="E1275" t="n">
        <x:f>IF(ISNUMBER(A1275),1274,0)</x:f>
        <x:v>0</x:v>
      </x:c>
    </x:row>
    <x:row r="1276">
      <x:c r="A1276" s="6"/>
      <x:c r="B1276" s="7"/>
      <x:c r="C1276" s="7"/>
      <x:c r="D1276" s="7"/>
      <x:c r="E1276" t="n">
        <x:f>IF(ISNUMBER(A1276),1275,0)</x:f>
        <x:v>0</x:v>
      </x:c>
    </x:row>
    <x:row r="1277">
      <x:c r="A1277" s="6"/>
      <x:c r="B1277" s="7"/>
      <x:c r="C1277" s="7"/>
      <x:c r="D1277" s="7"/>
      <x:c r="E1277" t="n">
        <x:f>IF(ISNUMBER(A1277),1276,0)</x:f>
        <x:v>0</x:v>
      </x:c>
    </x:row>
    <x:row r="1278">
      <x:c r="A1278" s="6"/>
      <x:c r="B1278" s="7"/>
      <x:c r="C1278" s="7"/>
      <x:c r="D1278" s="7"/>
      <x:c r="E1278" t="n">
        <x:f>IF(ISNUMBER(A1278),1277,0)</x:f>
        <x:v>0</x:v>
      </x:c>
    </x:row>
    <x:row r="1279">
      <x:c r="A1279" s="6"/>
      <x:c r="B1279" s="7"/>
      <x:c r="C1279" s="7"/>
      <x:c r="D1279" s="7"/>
      <x:c r="E1279" t="n">
        <x:f>IF(ISNUMBER(A1279),1278,0)</x:f>
        <x:v>0</x:v>
      </x:c>
    </x:row>
    <x:row r="1280">
      <x:c r="A1280" s="6"/>
      <x:c r="B1280" s="7"/>
      <x:c r="C1280" s="7"/>
      <x:c r="D1280" s="7"/>
      <x:c r="E1280" t="n">
        <x:f>IF(ISNUMBER(A1280),1279,0)</x:f>
        <x:v>0</x:v>
      </x:c>
    </x:row>
    <x:row r="1281">
      <x:c r="A1281" s="6"/>
      <x:c r="B1281" s="7"/>
      <x:c r="C1281" s="7"/>
      <x:c r="D1281" s="7"/>
      <x:c r="E1281" t="n">
        <x:f>IF(ISNUMBER(A1281),1280,0)</x:f>
        <x:v>0</x:v>
      </x:c>
    </x:row>
    <x:row r="1282">
      <x:c r="A1282" s="6"/>
      <x:c r="B1282" s="7"/>
      <x:c r="C1282" s="7"/>
      <x:c r="D1282" s="7"/>
      <x:c r="E1282" t="n">
        <x:f>IF(ISNUMBER(A1282),1281,0)</x:f>
        <x:v>0</x:v>
      </x:c>
    </x:row>
    <x:row r="1283">
      <x:c r="A1283" s="6"/>
      <x:c r="B1283" s="7"/>
      <x:c r="C1283" s="7"/>
      <x:c r="D1283" s="7"/>
      <x:c r="E1283" t="n">
        <x:f>IF(ISNUMBER(A1283),1282,0)</x:f>
        <x:v>0</x:v>
      </x:c>
    </x:row>
    <x:row r="1284">
      <x:c r="A1284" s="6"/>
      <x:c r="B1284" s="7"/>
      <x:c r="C1284" s="7"/>
      <x:c r="D1284" s="7"/>
      <x:c r="E1284" t="n">
        <x:f>IF(ISNUMBER(A1284),1283,0)</x:f>
        <x:v>0</x:v>
      </x:c>
    </x:row>
    <x:row r="1285">
      <x:c r="A1285" s="6"/>
      <x:c r="B1285" s="7"/>
      <x:c r="C1285" s="7"/>
      <x:c r="D1285" s="7"/>
      <x:c r="E1285" t="n">
        <x:f>IF(ISNUMBER(A1285),1284,0)</x:f>
        <x:v>0</x:v>
      </x:c>
    </x:row>
    <x:row r="1286">
      <x:c r="A1286" s="6"/>
      <x:c r="B1286" s="7"/>
      <x:c r="C1286" s="7"/>
      <x:c r="D1286" s="7"/>
      <x:c r="E1286" t="n">
        <x:f>IF(ISNUMBER(A1286),1285,0)</x:f>
        <x:v>0</x:v>
      </x:c>
    </x:row>
    <x:row r="1287">
      <x:c r="A1287" s="6"/>
      <x:c r="B1287" s="7"/>
      <x:c r="C1287" s="7"/>
      <x:c r="D1287" s="7"/>
      <x:c r="E1287" t="n">
        <x:f>IF(ISNUMBER(A1287),1286,0)</x:f>
        <x:v>0</x:v>
      </x:c>
    </x:row>
    <x:row r="1288">
      <x:c r="A1288" s="6"/>
      <x:c r="B1288" s="7"/>
      <x:c r="C1288" s="7"/>
      <x:c r="D1288" s="7"/>
      <x:c r="E1288" t="n">
        <x:f>IF(ISNUMBER(A1288),1287,0)</x:f>
        <x:v>0</x:v>
      </x:c>
    </x:row>
    <x:row r="1289">
      <x:c r="A1289" s="6"/>
      <x:c r="B1289" s="7"/>
      <x:c r="C1289" s="7"/>
      <x:c r="D1289" s="7"/>
      <x:c r="E1289" t="n">
        <x:f>IF(ISNUMBER(A1289),1288,0)</x:f>
        <x:v>0</x:v>
      </x:c>
    </x:row>
    <x:row r="1290">
      <x:c r="A1290" s="6"/>
      <x:c r="B1290" s="7"/>
      <x:c r="C1290" s="7"/>
      <x:c r="D1290" s="7"/>
      <x:c r="E1290" t="n">
        <x:f>IF(ISNUMBER(A1290),1289,0)</x:f>
        <x:v>0</x:v>
      </x:c>
    </x:row>
    <x:row r="1291">
      <x:c r="A1291" s="6"/>
      <x:c r="B1291" s="7"/>
      <x:c r="C1291" s="7"/>
      <x:c r="D1291" s="7"/>
      <x:c r="E1291" t="n">
        <x:f>IF(ISNUMBER(A1291),1290,0)</x:f>
        <x:v>0</x:v>
      </x:c>
    </x:row>
    <x:row r="1292">
      <x:c r="A1292" s="6"/>
      <x:c r="B1292" s="7"/>
      <x:c r="C1292" s="7"/>
      <x:c r="D1292" s="7"/>
      <x:c r="E1292" t="n">
        <x:f>IF(ISNUMBER(A1292),1291,0)</x:f>
        <x:v>0</x:v>
      </x:c>
    </x:row>
    <x:row r="1293">
      <x:c r="A1293" s="6"/>
      <x:c r="B1293" s="7"/>
      <x:c r="C1293" s="7"/>
      <x:c r="D1293" s="7"/>
      <x:c r="E1293" t="n">
        <x:f>IF(ISNUMBER(A1293),1292,0)</x:f>
        <x:v>0</x:v>
      </x:c>
    </x:row>
    <x:row r="1294">
      <x:c r="A1294" s="6"/>
      <x:c r="B1294" s="7"/>
      <x:c r="C1294" s="7"/>
      <x:c r="D1294" s="7"/>
      <x:c r="E1294" t="n">
        <x:f>IF(ISNUMBER(A1294),1293,0)</x:f>
        <x:v>0</x:v>
      </x:c>
    </x:row>
    <x:row r="1295">
      <x:c r="A1295" s="6"/>
      <x:c r="B1295" s="7"/>
      <x:c r="C1295" s="7"/>
      <x:c r="D1295" s="7"/>
      <x:c r="E1295" t="n">
        <x:f>IF(ISNUMBER(A1295),1294,0)</x:f>
        <x:v>0</x:v>
      </x:c>
    </x:row>
    <x:row r="1296">
      <x:c r="A1296" s="6"/>
      <x:c r="B1296" s="7"/>
      <x:c r="C1296" s="7"/>
      <x:c r="D1296" s="7"/>
      <x:c r="E1296" t="n">
        <x:f>IF(ISNUMBER(A1296),1295,0)</x:f>
        <x:v>0</x:v>
      </x:c>
    </x:row>
    <x:row r="1297">
      <x:c r="A1297" s="6"/>
      <x:c r="B1297" s="7"/>
      <x:c r="C1297" s="7"/>
      <x:c r="D1297" s="7"/>
      <x:c r="E1297" t="n">
        <x:f>IF(ISNUMBER(A1297),1296,0)</x:f>
        <x:v>0</x:v>
      </x:c>
    </x:row>
    <x:row r="1298">
      <x:c r="A1298" s="6"/>
      <x:c r="B1298" s="7"/>
      <x:c r="C1298" s="7"/>
      <x:c r="D1298" s="7"/>
      <x:c r="E1298" t="n">
        <x:f>IF(ISNUMBER(A1298),1297,0)</x:f>
        <x:v>0</x:v>
      </x:c>
    </x:row>
    <x:row r="1299">
      <x:c r="A1299" s="6"/>
      <x:c r="B1299" s="7"/>
      <x:c r="C1299" s="7"/>
      <x:c r="D1299" s="7"/>
      <x:c r="E1299" t="n">
        <x:f>IF(ISNUMBER(A1299),1298,0)</x:f>
        <x:v>0</x:v>
      </x:c>
    </x:row>
    <x:row r="1300">
      <x:c r="A1300" s="6"/>
      <x:c r="B1300" s="7"/>
      <x:c r="C1300" s="7"/>
      <x:c r="D1300" s="7"/>
      <x:c r="E1300" t="n">
        <x:f>IF(ISNUMBER(A1300),1299,0)</x:f>
        <x:v>0</x:v>
      </x:c>
    </x:row>
    <x:row r="1301">
      <x:c r="A1301" s="6"/>
      <x:c r="B1301" s="7"/>
      <x:c r="C1301" s="7"/>
      <x:c r="D1301" s="7"/>
      <x:c r="E1301" t="n">
        <x:f>IF(ISNUMBER(A1301),1300,0)</x:f>
        <x:v>0</x:v>
      </x:c>
    </x:row>
    <x:row r="1302">
      <x:c r="A1302" s="6"/>
      <x:c r="B1302" s="7"/>
      <x:c r="C1302" s="7"/>
      <x:c r="D1302" s="7"/>
      <x:c r="E1302" t="n">
        <x:f>IF(ISNUMBER(A1302),1301,0)</x:f>
        <x:v>0</x:v>
      </x:c>
    </x:row>
    <x:row r="1303">
      <x:c r="A1303" s="6"/>
      <x:c r="B1303" s="7"/>
      <x:c r="C1303" s="7"/>
      <x:c r="D1303" s="7"/>
      <x:c r="E1303" t="n">
        <x:f>IF(ISNUMBER(A1303),1302,0)</x:f>
        <x:v>0</x:v>
      </x:c>
    </x:row>
    <x:row r="1304">
      <x:c r="A1304" s="6"/>
      <x:c r="B1304" s="7"/>
      <x:c r="C1304" s="7"/>
      <x:c r="D1304" s="7"/>
      <x:c r="E1304" t="n">
        <x:f>IF(ISNUMBER(A1304),1303,0)</x:f>
        <x:v>0</x:v>
      </x:c>
    </x:row>
    <x:row r="1305">
      <x:c r="A1305" s="6"/>
      <x:c r="B1305" s="7"/>
      <x:c r="C1305" s="7"/>
      <x:c r="D1305" s="7"/>
      <x:c r="E1305" t="n">
        <x:f>IF(ISNUMBER(A1305),1304,0)</x:f>
        <x:v>0</x:v>
      </x:c>
    </x:row>
    <x:row r="1306">
      <x:c r="A1306" s="6"/>
      <x:c r="B1306" s="7"/>
      <x:c r="C1306" s="7"/>
      <x:c r="D1306" s="7"/>
      <x:c r="E1306" t="n">
        <x:f>IF(ISNUMBER(A1306),1305,0)</x:f>
        <x:v>0</x:v>
      </x:c>
    </x:row>
    <x:row r="1307">
      <x:c r="A1307" s="6"/>
      <x:c r="B1307" s="7"/>
      <x:c r="C1307" s="7"/>
      <x:c r="D1307" s="7"/>
      <x:c r="E1307" t="n">
        <x:f>IF(ISNUMBER(A1307),1306,0)</x:f>
        <x:v>0</x:v>
      </x:c>
    </x:row>
    <x:row r="1308">
      <x:c r="A1308" s="6"/>
      <x:c r="B1308" s="7"/>
      <x:c r="C1308" s="7"/>
      <x:c r="D1308" s="7"/>
      <x:c r="E1308" t="n">
        <x:f>IF(ISNUMBER(A1308),1307,0)</x:f>
        <x:v>0</x:v>
      </x:c>
    </x:row>
    <x:row r="1309">
      <x:c r="A1309" s="6"/>
      <x:c r="B1309" s="7"/>
      <x:c r="C1309" s="7"/>
      <x:c r="D1309" s="7"/>
      <x:c r="E1309" t="n">
        <x:f>IF(ISNUMBER(A1309),1308,0)</x:f>
        <x:v>0</x:v>
      </x:c>
    </x:row>
    <x:row r="1310">
      <x:c r="A1310" s="6"/>
      <x:c r="B1310" s="7"/>
      <x:c r="C1310" s="7"/>
      <x:c r="D1310" s="7"/>
      <x:c r="E1310" t="n">
        <x:f>IF(ISNUMBER(A1310),1309,0)</x:f>
        <x:v>0</x:v>
      </x:c>
    </x:row>
    <x:row r="1311">
      <x:c r="A1311" s="6"/>
      <x:c r="B1311" s="7"/>
      <x:c r="C1311" s="7"/>
      <x:c r="D1311" s="7"/>
      <x:c r="E1311" t="n">
        <x:f>IF(ISNUMBER(A1311),1310,0)</x:f>
        <x:v>0</x:v>
      </x:c>
    </x:row>
    <x:row r="1312">
      <x:c r="A1312" s="6"/>
      <x:c r="B1312" s="7"/>
      <x:c r="C1312" s="7"/>
      <x:c r="D1312" s="7"/>
      <x:c r="E1312" t="n">
        <x:f>IF(ISNUMBER(A1312),1311,0)</x:f>
        <x:v>0</x:v>
      </x:c>
    </x:row>
    <x:row r="1313">
      <x:c r="A1313" s="6"/>
      <x:c r="B1313" s="7"/>
      <x:c r="C1313" s="7"/>
      <x:c r="D1313" s="7"/>
      <x:c r="E1313" t="n">
        <x:f>IF(ISNUMBER(A1313),1312,0)</x:f>
        <x:v>0</x:v>
      </x:c>
    </x:row>
    <x:row r="1314">
      <x:c r="A1314" s="6"/>
      <x:c r="B1314" s="7"/>
      <x:c r="C1314" s="7"/>
      <x:c r="D1314" s="7"/>
      <x:c r="E1314" t="n">
        <x:f>IF(ISNUMBER(A1314),1313,0)</x:f>
        <x:v>0</x:v>
      </x:c>
    </x:row>
    <x:row r="1315">
      <x:c r="A1315" s="6"/>
      <x:c r="B1315" s="7"/>
      <x:c r="C1315" s="7"/>
      <x:c r="D1315" s="7"/>
      <x:c r="E1315" t="n">
        <x:f>IF(ISNUMBER(A1315),1314,0)</x:f>
        <x:v>0</x:v>
      </x:c>
    </x:row>
    <x:row r="1316">
      <x:c r="A1316" s="6"/>
      <x:c r="B1316" s="7"/>
      <x:c r="C1316" s="7"/>
      <x:c r="D1316" s="7"/>
      <x:c r="E1316" t="n">
        <x:f>IF(ISNUMBER(A1316),1315,0)</x:f>
        <x:v>0</x:v>
      </x:c>
    </x:row>
    <x:row r="1317">
      <x:c r="A1317" s="6"/>
      <x:c r="B1317" s="7"/>
      <x:c r="C1317" s="7"/>
      <x:c r="D1317" s="7"/>
      <x:c r="E1317" t="n">
        <x:f>IF(ISNUMBER(A1317),1316,0)</x:f>
        <x:v>0</x:v>
      </x:c>
    </x:row>
    <x:row r="1318">
      <x:c r="A1318" s="6"/>
      <x:c r="B1318" s="7"/>
      <x:c r="C1318" s="7"/>
      <x:c r="D1318" s="7"/>
      <x:c r="E1318" t="n">
        <x:f>IF(ISNUMBER(A1318),1317,0)</x:f>
        <x:v>0</x:v>
      </x:c>
    </x:row>
    <x:row r="1319">
      <x:c r="A1319" s="6"/>
      <x:c r="B1319" s="7"/>
      <x:c r="C1319" s="7"/>
      <x:c r="D1319" s="7"/>
      <x:c r="E1319" t="n">
        <x:f>IF(ISNUMBER(A1319),1318,0)</x:f>
        <x:v>0</x:v>
      </x:c>
    </x:row>
    <x:row r="1320">
      <x:c r="A1320" s="6"/>
      <x:c r="B1320" s="7"/>
      <x:c r="C1320" s="7"/>
      <x:c r="D1320" s="7"/>
      <x:c r="E1320" t="n">
        <x:f>IF(ISNUMBER(A1320),1319,0)</x:f>
        <x:v>0</x:v>
      </x:c>
    </x:row>
    <x:row r="1321">
      <x:c r="A1321" s="6"/>
      <x:c r="B1321" s="7"/>
      <x:c r="C1321" s="7"/>
      <x:c r="D1321" s="7"/>
      <x:c r="E1321" t="n">
        <x:f>IF(ISNUMBER(A1321),1320,0)</x:f>
        <x:v>0</x:v>
      </x:c>
    </x:row>
    <x:row r="1322">
      <x:c r="A1322" s="6"/>
      <x:c r="B1322" s="7"/>
      <x:c r="C1322" s="7"/>
      <x:c r="D1322" s="7"/>
      <x:c r="E1322" t="n">
        <x:f>IF(ISNUMBER(A1322),1321,0)</x:f>
        <x:v>0</x:v>
      </x:c>
    </x:row>
    <x:row r="1323">
      <x:c r="A1323" s="6"/>
      <x:c r="B1323" s="7"/>
      <x:c r="C1323" s="7"/>
      <x:c r="D1323" s="7"/>
      <x:c r="E1323" t="n">
        <x:f>IF(ISNUMBER(A1323),1322,0)</x:f>
        <x:v>0</x:v>
      </x:c>
    </x:row>
    <x:row r="1324">
      <x:c r="A1324" s="6"/>
      <x:c r="B1324" s="7"/>
      <x:c r="C1324" s="7"/>
      <x:c r="D1324" s="7"/>
      <x:c r="E1324" t="n">
        <x:f>IF(ISNUMBER(A1324),1323,0)</x:f>
        <x:v>0</x:v>
      </x:c>
    </x:row>
    <x:row r="1325">
      <x:c r="A1325" s="6"/>
      <x:c r="B1325" s="7"/>
      <x:c r="C1325" s="7"/>
      <x:c r="D1325" s="7"/>
      <x:c r="E1325" t="n">
        <x:f>IF(ISNUMBER(A1325),1324,0)</x:f>
        <x:v>0</x:v>
      </x:c>
    </x:row>
    <x:row r="1326">
      <x:c r="A1326" s="6"/>
      <x:c r="B1326" s="7"/>
      <x:c r="C1326" s="7"/>
      <x:c r="D1326" s="7"/>
      <x:c r="E1326" t="n">
        <x:f>IF(ISNUMBER(A1326),1325,0)</x:f>
        <x:v>0</x:v>
      </x:c>
    </x:row>
    <x:row r="1327">
      <x:c r="A1327" s="6"/>
      <x:c r="B1327" s="7"/>
      <x:c r="C1327" s="7"/>
      <x:c r="D1327" s="7"/>
      <x:c r="E1327" t="n">
        <x:f>IF(ISNUMBER(A1327),1326,0)</x:f>
        <x:v>0</x:v>
      </x:c>
    </x:row>
    <x:row r="1328">
      <x:c r="A1328" s="6"/>
      <x:c r="B1328" s="7"/>
      <x:c r="C1328" s="7"/>
      <x:c r="D1328" s="7"/>
      <x:c r="E1328" t="n">
        <x:f>IF(ISNUMBER(A1328),1327,0)</x:f>
        <x:v>0</x:v>
      </x:c>
    </x:row>
    <x:row r="1329">
      <x:c r="A1329" s="6"/>
      <x:c r="B1329" s="7"/>
      <x:c r="C1329" s="7"/>
      <x:c r="D1329" s="7"/>
      <x:c r="E1329" t="n">
        <x:f>IF(ISNUMBER(A1329),1328,0)</x:f>
        <x:v>0</x:v>
      </x:c>
    </x:row>
    <x:row r="1330">
      <x:c r="A1330" s="6"/>
      <x:c r="B1330" s="7"/>
      <x:c r="C1330" s="7"/>
      <x:c r="D1330" s="7"/>
      <x:c r="E1330" t="n">
        <x:f>IF(ISNUMBER(A1330),1329,0)</x:f>
        <x:v>0</x:v>
      </x:c>
    </x:row>
    <x:row r="1331">
      <x:c r="A1331" s="6"/>
      <x:c r="B1331" s="7"/>
      <x:c r="C1331" s="7"/>
      <x:c r="D1331" s="7"/>
      <x:c r="E1331" t="n">
        <x:f>IF(ISNUMBER(A1331),1330,0)</x:f>
        <x:v>0</x:v>
      </x:c>
    </x:row>
    <x:row r="1332">
      <x:c r="A1332" s="6"/>
      <x:c r="B1332" s="7"/>
      <x:c r="C1332" s="7"/>
      <x:c r="D1332" s="7"/>
      <x:c r="E1332" t="n">
        <x:f>IF(ISNUMBER(A1332),1331,0)</x:f>
        <x:v>0</x:v>
      </x:c>
    </x:row>
    <x:row r="1333">
      <x:c r="A1333" s="6"/>
      <x:c r="B1333" s="7"/>
      <x:c r="C1333" s="7"/>
      <x:c r="D1333" s="7"/>
      <x:c r="E1333" t="n">
        <x:f>IF(ISNUMBER(A1333),1332,0)</x:f>
        <x:v>0</x:v>
      </x:c>
    </x:row>
    <x:row r="1334">
      <x:c r="A1334" s="6"/>
      <x:c r="B1334" s="7"/>
      <x:c r="C1334" s="7"/>
      <x:c r="D1334" s="7"/>
      <x:c r="E1334" t="n">
        <x:f>IF(ISNUMBER(A1334),1333,0)</x:f>
        <x:v>0</x:v>
      </x:c>
    </x:row>
    <x:row r="1335">
      <x:c r="A1335" s="6"/>
      <x:c r="B1335" s="7"/>
      <x:c r="C1335" s="7"/>
      <x:c r="D1335" s="7"/>
      <x:c r="E1335" t="n">
        <x:f>IF(ISNUMBER(A1335),1334,0)</x:f>
        <x:v>0</x:v>
      </x:c>
    </x:row>
    <x:row r="1336">
      <x:c r="A1336" s="6"/>
      <x:c r="B1336" s="7"/>
      <x:c r="C1336" s="7"/>
      <x:c r="D1336" s="7"/>
      <x:c r="E1336" t="n">
        <x:f>IF(ISNUMBER(A1336),1335,0)</x:f>
        <x:v>0</x:v>
      </x:c>
    </x:row>
    <x:row r="1337">
      <x:c r="A1337" s="6"/>
      <x:c r="B1337" s="7"/>
      <x:c r="C1337" s="7"/>
      <x:c r="D1337" s="7"/>
      <x:c r="E1337" t="n">
        <x:f>IF(ISNUMBER(A1337),1336,0)</x:f>
        <x:v>0</x:v>
      </x:c>
    </x:row>
    <x:row r="1338">
      <x:c r="A1338" s="6"/>
      <x:c r="B1338" s="7"/>
      <x:c r="C1338" s="7"/>
      <x:c r="D1338" s="7"/>
      <x:c r="E1338" t="n">
        <x:f>IF(ISNUMBER(A1338),1337,0)</x:f>
        <x:v>0</x:v>
      </x:c>
    </x:row>
    <x:row r="1339">
      <x:c r="A1339" s="6"/>
      <x:c r="B1339" s="7"/>
      <x:c r="C1339" s="7"/>
      <x:c r="D1339" s="7"/>
      <x:c r="E1339" t="n">
        <x:f>IF(ISNUMBER(A1339),1338,0)</x:f>
        <x:v>0</x:v>
      </x:c>
    </x:row>
    <x:row r="1340">
      <x:c r="A1340" s="6"/>
      <x:c r="B1340" s="7"/>
      <x:c r="C1340" s="7"/>
      <x:c r="D1340" s="7"/>
      <x:c r="E1340" t="n">
        <x:f>IF(ISNUMBER(A1340),1339,0)</x:f>
        <x:v>0</x:v>
      </x:c>
    </x:row>
    <x:row r="1341">
      <x:c r="A1341" s="6"/>
      <x:c r="B1341" s="7"/>
      <x:c r="C1341" s="7"/>
      <x:c r="D1341" s="7"/>
      <x:c r="E1341" t="n">
        <x:f>IF(ISNUMBER(A1341),1340,0)</x:f>
        <x:v>0</x:v>
      </x:c>
    </x:row>
    <x:row r="1342">
      <x:c r="A1342" s="6"/>
      <x:c r="B1342" s="7"/>
      <x:c r="C1342" s="7"/>
      <x:c r="D1342" s="7"/>
      <x:c r="E1342" t="n">
        <x:f>IF(ISNUMBER(A1342),1341,0)</x:f>
        <x:v>0</x:v>
      </x:c>
    </x:row>
    <x:row r="1343">
      <x:c r="A1343" s="6"/>
      <x:c r="B1343" s="7"/>
      <x:c r="C1343" s="7"/>
      <x:c r="D1343" s="7"/>
      <x:c r="E1343" t="n">
        <x:f>IF(ISNUMBER(A1343),1342,0)</x:f>
        <x:v>0</x:v>
      </x:c>
    </x:row>
    <x:row r="1344">
      <x:c r="A1344" s="6"/>
      <x:c r="B1344" s="7"/>
      <x:c r="C1344" s="7"/>
      <x:c r="D1344" s="7"/>
      <x:c r="E1344" t="n">
        <x:f>IF(ISNUMBER(A1344),1343,0)</x:f>
        <x:v>0</x:v>
      </x:c>
    </x:row>
    <x:row r="1345">
      <x:c r="A1345" s="6"/>
      <x:c r="B1345" s="7"/>
      <x:c r="C1345" s="7"/>
      <x:c r="D1345" s="7"/>
      <x:c r="E1345" t="n">
        <x:f>IF(ISNUMBER(A1345),1344,0)</x:f>
        <x:v>0</x:v>
      </x:c>
    </x:row>
    <x:row r="1346">
      <x:c r="A1346" s="6"/>
      <x:c r="B1346" s="7"/>
      <x:c r="C1346" s="7"/>
      <x:c r="D1346" s="7"/>
      <x:c r="E1346" t="n">
        <x:f>IF(ISNUMBER(A1346),1345,0)</x:f>
        <x:v>0</x:v>
      </x:c>
    </x:row>
    <x:row r="1347">
      <x:c r="A1347" s="6"/>
      <x:c r="B1347" s="7"/>
      <x:c r="C1347" s="7"/>
      <x:c r="D1347" s="7"/>
      <x:c r="E1347" t="n">
        <x:f>IF(ISNUMBER(A1347),1346,0)</x:f>
        <x:v>0</x:v>
      </x:c>
    </x:row>
    <x:row r="1348">
      <x:c r="A1348" s="6"/>
      <x:c r="B1348" s="7"/>
      <x:c r="C1348" s="7"/>
      <x:c r="D1348" s="7"/>
      <x:c r="E1348" t="n">
        <x:f>IF(ISNUMBER(A1348),1347,0)</x:f>
        <x:v>0</x:v>
      </x:c>
    </x:row>
    <x:row r="1349">
      <x:c r="A1349" s="6"/>
      <x:c r="B1349" s="7"/>
      <x:c r="C1349" s="7"/>
      <x:c r="D1349" s="7"/>
      <x:c r="E1349" t="n">
        <x:f>IF(ISNUMBER(A1349),1348,0)</x:f>
        <x:v>0</x:v>
      </x:c>
    </x:row>
    <x:row r="1350">
      <x:c r="A1350" s="6"/>
      <x:c r="B1350" s="7"/>
      <x:c r="C1350" s="7"/>
      <x:c r="D1350" s="7"/>
      <x:c r="E1350" t="n">
        <x:f>IF(ISNUMBER(A1350),1349,0)</x:f>
        <x:v>0</x:v>
      </x:c>
    </x:row>
    <x:row r="1351">
      <x:c r="A1351" s="6"/>
      <x:c r="B1351" s="7"/>
      <x:c r="C1351" s="7"/>
      <x:c r="D1351" s="7"/>
      <x:c r="E1351" t="n">
        <x:f>IF(ISNUMBER(A1351),1350,0)</x:f>
        <x:v>0</x:v>
      </x:c>
    </x:row>
    <x:row r="1352">
      <x:c r="A1352" s="6"/>
      <x:c r="B1352" s="7"/>
      <x:c r="C1352" s="7"/>
      <x:c r="D1352" s="7"/>
      <x:c r="E1352" t="n">
        <x:f>IF(ISNUMBER(A1352),1351,0)</x:f>
        <x:v>0</x:v>
      </x:c>
    </x:row>
    <x:row r="1353">
      <x:c r="A1353" s="6"/>
      <x:c r="B1353" s="7"/>
      <x:c r="C1353" s="7"/>
      <x:c r="D1353" s="7"/>
      <x:c r="E1353" t="n">
        <x:f>IF(ISNUMBER(A1353),1352,0)</x:f>
        <x:v>0</x:v>
      </x:c>
    </x:row>
    <x:row r="1354">
      <x:c r="A1354" s="6"/>
      <x:c r="B1354" s="7"/>
      <x:c r="C1354" s="7"/>
      <x:c r="D1354" s="7"/>
      <x:c r="E1354" t="n">
        <x:f>IF(ISNUMBER(A1354),1353,0)</x:f>
        <x:v>0</x:v>
      </x:c>
    </x:row>
    <x:row r="1355">
      <x:c r="A1355" s="6"/>
      <x:c r="B1355" s="7"/>
      <x:c r="C1355" s="7"/>
      <x:c r="D1355" s="7"/>
      <x:c r="E1355" t="n">
        <x:f>IF(ISNUMBER(A1355),1354,0)</x:f>
        <x:v>0</x:v>
      </x:c>
    </x:row>
    <x:row r="1356">
      <x:c r="A1356" s="6"/>
      <x:c r="B1356" s="7"/>
      <x:c r="C1356" s="7"/>
      <x:c r="D1356" s="7"/>
      <x:c r="E1356" t="n">
        <x:f>IF(ISNUMBER(A1356),1355,0)</x:f>
        <x:v>0</x:v>
      </x:c>
    </x:row>
    <x:row r="1357">
      <x:c r="A1357" s="6"/>
      <x:c r="B1357" s="7"/>
      <x:c r="C1357" s="7"/>
      <x:c r="D1357" s="7"/>
      <x:c r="E1357" t="n">
        <x:f>IF(ISNUMBER(A1357),1356,0)</x:f>
        <x:v>0</x:v>
      </x:c>
    </x:row>
    <x:row r="1358">
      <x:c r="A1358" s="6"/>
      <x:c r="B1358" s="7"/>
      <x:c r="C1358" s="7"/>
      <x:c r="D1358" s="7"/>
      <x:c r="E1358" t="n">
        <x:f>IF(ISNUMBER(A1358),1357,0)</x:f>
        <x:v>0</x:v>
      </x:c>
    </x:row>
    <x:row r="1359">
      <x:c r="A1359" s="6"/>
      <x:c r="B1359" s="7"/>
      <x:c r="C1359" s="7"/>
      <x:c r="D1359" s="7"/>
      <x:c r="E1359" t="n">
        <x:f>IF(ISNUMBER(A1359),1358,0)</x:f>
        <x:v>0</x:v>
      </x:c>
    </x:row>
    <x:row r="1360">
      <x:c r="A1360" s="6"/>
      <x:c r="B1360" s="7"/>
      <x:c r="C1360" s="7"/>
      <x:c r="D1360" s="7"/>
      <x:c r="E1360" t="n">
        <x:f>IF(ISNUMBER(A1360),1359,0)</x:f>
        <x:v>0</x:v>
      </x:c>
    </x:row>
    <x:row r="1361">
      <x:c r="A1361" s="6"/>
      <x:c r="B1361" s="7"/>
      <x:c r="C1361" s="7"/>
      <x:c r="D1361" s="7"/>
      <x:c r="E1361" t="n">
        <x:f>IF(ISNUMBER(A1361),1360,0)</x:f>
        <x:v>0</x:v>
      </x:c>
    </x:row>
    <x:row r="1362">
      <x:c r="A1362" s="6"/>
      <x:c r="B1362" s="7"/>
      <x:c r="C1362" s="7"/>
      <x:c r="D1362" s="7"/>
      <x:c r="E1362" t="n">
        <x:f>IF(ISNUMBER(A1362),1361,0)</x:f>
        <x:v>0</x:v>
      </x:c>
    </x:row>
    <x:row r="1363">
      <x:c r="A1363" s="6"/>
      <x:c r="B1363" s="7"/>
      <x:c r="C1363" s="7"/>
      <x:c r="D1363" s="7"/>
      <x:c r="E1363" t="n">
        <x:f>IF(ISNUMBER(A1363),1362,0)</x:f>
        <x:v>0</x:v>
      </x:c>
    </x:row>
    <x:row r="1364">
      <x:c r="A1364" s="6"/>
      <x:c r="B1364" s="7"/>
      <x:c r="C1364" s="7"/>
      <x:c r="D1364" s="7"/>
      <x:c r="E1364" t="n">
        <x:f>IF(ISNUMBER(A1364),1363,0)</x:f>
        <x:v>0</x:v>
      </x:c>
    </x:row>
    <x:row r="1365">
      <x:c r="A1365" s="6"/>
      <x:c r="B1365" s="7"/>
      <x:c r="C1365" s="7"/>
      <x:c r="D1365" s="7"/>
      <x:c r="E1365" t="n">
        <x:f>IF(ISNUMBER(A1365),1364,0)</x:f>
        <x:v>0</x:v>
      </x:c>
    </x:row>
    <x:row r="1366">
      <x:c r="A1366" s="6"/>
      <x:c r="B1366" s="7"/>
      <x:c r="C1366" s="7"/>
      <x:c r="D1366" s="7"/>
      <x:c r="E1366" t="n">
        <x:f>IF(ISNUMBER(A1366),1365,0)</x:f>
        <x:v>0</x:v>
      </x:c>
    </x:row>
    <x:row r="1367">
      <x:c r="A1367" s="6"/>
      <x:c r="B1367" s="7"/>
      <x:c r="C1367" s="7"/>
      <x:c r="D1367" s="7"/>
      <x:c r="E1367" t="n">
        <x:f>IF(ISNUMBER(A1367),1366,0)</x:f>
        <x:v>0</x:v>
      </x:c>
    </x:row>
    <x:row r="1368">
      <x:c r="A1368" s="6"/>
      <x:c r="B1368" s="7"/>
      <x:c r="C1368" s="7"/>
      <x:c r="D1368" s="7"/>
      <x:c r="E1368" t="n">
        <x:f>IF(ISNUMBER(A1368),1367,0)</x:f>
        <x:v>0</x:v>
      </x:c>
    </x:row>
    <x:row r="1369">
      <x:c r="A1369" s="6"/>
      <x:c r="B1369" s="7"/>
      <x:c r="C1369" s="7"/>
      <x:c r="D1369" s="7"/>
      <x:c r="E1369" t="n">
        <x:f>IF(ISNUMBER(A1369),1368,0)</x:f>
        <x:v>0</x:v>
      </x:c>
    </x:row>
    <x:row r="1370">
      <x:c r="A1370" s="6"/>
      <x:c r="B1370" s="7"/>
      <x:c r="C1370" s="7"/>
      <x:c r="D1370" s="7"/>
      <x:c r="E1370" t="n">
        <x:f>IF(ISNUMBER(A1370),1369,0)</x:f>
        <x:v>0</x:v>
      </x:c>
    </x:row>
    <x:row r="1371">
      <x:c r="A1371" s="6"/>
      <x:c r="B1371" s="7"/>
      <x:c r="C1371" s="7"/>
      <x:c r="D1371" s="7"/>
      <x:c r="E1371" t="n">
        <x:f>IF(ISNUMBER(A1371),1370,0)</x:f>
        <x:v>0</x:v>
      </x:c>
    </x:row>
    <x:row r="1372">
      <x:c r="A1372" s="6"/>
      <x:c r="B1372" s="7"/>
      <x:c r="C1372" s="7"/>
      <x:c r="D1372" s="7"/>
      <x:c r="E1372" t="n">
        <x:f>IF(ISNUMBER(A1372),1371,0)</x:f>
        <x:v>0</x:v>
      </x:c>
    </x:row>
    <x:row r="1373">
      <x:c r="A1373" s="6"/>
      <x:c r="B1373" s="7"/>
      <x:c r="C1373" s="7"/>
      <x:c r="D1373" s="7"/>
      <x:c r="E1373" t="n">
        <x:f>IF(ISNUMBER(A1373),1372,0)</x:f>
        <x:v>0</x:v>
      </x:c>
    </x:row>
    <x:row r="1374">
      <x:c r="A1374" s="6"/>
      <x:c r="B1374" s="7"/>
      <x:c r="C1374" s="7"/>
      <x:c r="D1374" s="7"/>
      <x:c r="E1374" t="n">
        <x:f>IF(ISNUMBER(A1374),1373,0)</x:f>
        <x:v>0</x:v>
      </x:c>
    </x:row>
    <x:row r="1375">
      <x:c r="A1375" s="6"/>
      <x:c r="B1375" s="7"/>
      <x:c r="C1375" s="7"/>
      <x:c r="D1375" s="7"/>
      <x:c r="E1375" t="n">
        <x:f>IF(ISNUMBER(A1375),1374,0)</x:f>
        <x:v>0</x:v>
      </x:c>
    </x:row>
    <x:row r="1376">
      <x:c r="A1376" s="6"/>
      <x:c r="B1376" s="7"/>
      <x:c r="C1376" s="7"/>
      <x:c r="D1376" s="7"/>
      <x:c r="E1376" t="n">
        <x:f>IF(ISNUMBER(A1376),1375,0)</x:f>
        <x:v>0</x:v>
      </x:c>
    </x:row>
    <x:row r="1377">
      <x:c r="A1377" s="6"/>
      <x:c r="B1377" s="7"/>
      <x:c r="C1377" s="7"/>
      <x:c r="D1377" s="7"/>
      <x:c r="E1377" t="n">
        <x:f>IF(ISNUMBER(A1377),1376,0)</x:f>
        <x:v>0</x:v>
      </x:c>
    </x:row>
    <x:row r="1378">
      <x:c r="A1378" s="6"/>
      <x:c r="B1378" s="7"/>
      <x:c r="C1378" s="7"/>
      <x:c r="D1378" s="7"/>
      <x:c r="E1378" t="n">
        <x:f>IF(ISNUMBER(A1378),1377,0)</x:f>
        <x:v>0</x:v>
      </x:c>
    </x:row>
    <x:row r="1379">
      <x:c r="A1379" s="6"/>
      <x:c r="B1379" s="7"/>
      <x:c r="C1379" s="7"/>
      <x:c r="D1379" s="7"/>
      <x:c r="E1379" t="n">
        <x:f>IF(ISNUMBER(A1379),1378,0)</x:f>
        <x:v>0</x:v>
      </x:c>
    </x:row>
    <x:row r="1380">
      <x:c r="A1380" s="6"/>
      <x:c r="B1380" s="7"/>
      <x:c r="C1380" s="7"/>
      <x:c r="D1380" s="7"/>
      <x:c r="E1380" t="n">
        <x:f>IF(ISNUMBER(A1380),1379,0)</x:f>
        <x:v>0</x:v>
      </x:c>
    </x:row>
    <x:row r="1381">
      <x:c r="A1381" s="6"/>
      <x:c r="B1381" s="7"/>
      <x:c r="C1381" s="7"/>
      <x:c r="D1381" s="7"/>
      <x:c r="E1381" t="n">
        <x:f>IF(ISNUMBER(A1381),1380,0)</x:f>
        <x:v>0</x:v>
      </x:c>
    </x:row>
    <x:row r="1382">
      <x:c r="A1382" s="6"/>
      <x:c r="B1382" s="7"/>
      <x:c r="C1382" s="7"/>
      <x:c r="D1382" s="7"/>
      <x:c r="E1382" t="n">
        <x:f>IF(ISNUMBER(A1382),1381,0)</x:f>
        <x:v>0</x:v>
      </x:c>
    </x:row>
    <x:row r="1383">
      <x:c r="A1383" s="6"/>
      <x:c r="B1383" s="7"/>
      <x:c r="C1383" s="7"/>
      <x:c r="D1383" s="7"/>
      <x:c r="E1383" t="n">
        <x:f>IF(ISNUMBER(A1383),1382,0)</x:f>
        <x:v>0</x:v>
      </x:c>
    </x:row>
    <x:row r="1384">
      <x:c r="A1384" s="6"/>
      <x:c r="B1384" s="7"/>
      <x:c r="C1384" s="7"/>
      <x:c r="D1384" s="7"/>
      <x:c r="E1384" t="n">
        <x:f>IF(ISNUMBER(A1384),1383,0)</x:f>
        <x:v>0</x:v>
      </x:c>
    </x:row>
    <x:row r="1385">
      <x:c r="A1385" s="6"/>
      <x:c r="B1385" s="7"/>
      <x:c r="C1385" s="7"/>
      <x:c r="D1385" s="7"/>
      <x:c r="E1385" t="n">
        <x:f>IF(ISNUMBER(A1385),1384,0)</x:f>
        <x:v>0</x:v>
      </x:c>
    </x:row>
    <x:row r="1386">
      <x:c r="A1386" s="6"/>
      <x:c r="B1386" s="7"/>
      <x:c r="C1386" s="7"/>
      <x:c r="D1386" s="7"/>
      <x:c r="E1386" t="n">
        <x:f>IF(ISNUMBER(A1386),1385,0)</x:f>
        <x:v>0</x:v>
      </x:c>
    </x:row>
    <x:row r="1387">
      <x:c r="A1387" s="6"/>
      <x:c r="B1387" s="7"/>
      <x:c r="C1387" s="7"/>
      <x:c r="D1387" s="7"/>
      <x:c r="E1387" t="n">
        <x:f>IF(ISNUMBER(A1387),1386,0)</x:f>
        <x:v>0</x:v>
      </x:c>
    </x:row>
    <x:row r="1388">
      <x:c r="A1388" s="6"/>
      <x:c r="B1388" s="7"/>
      <x:c r="C1388" s="7"/>
      <x:c r="D1388" s="7"/>
      <x:c r="E1388" t="n">
        <x:f>IF(ISNUMBER(A1388),1387,0)</x:f>
        <x:v>0</x:v>
      </x:c>
    </x:row>
    <x:row r="1389">
      <x:c r="A1389" s="6"/>
      <x:c r="B1389" s="7"/>
      <x:c r="C1389" s="7"/>
      <x:c r="D1389" s="7"/>
      <x:c r="E1389" t="n">
        <x:f>IF(ISNUMBER(A1389),1388,0)</x:f>
        <x:v>0</x:v>
      </x:c>
    </x:row>
    <x:row r="1390">
      <x:c r="A1390" s="6"/>
      <x:c r="B1390" s="7"/>
      <x:c r="C1390" s="7"/>
      <x:c r="D1390" s="7"/>
      <x:c r="E1390" t="n">
        <x:f>IF(ISNUMBER(A1390),1389,0)</x:f>
        <x:v>0</x:v>
      </x:c>
    </x:row>
    <x:row r="1391">
      <x:c r="A1391" s="6"/>
      <x:c r="B1391" s="7"/>
      <x:c r="C1391" s="7"/>
      <x:c r="D1391" s="7"/>
      <x:c r="E1391" t="n">
        <x:f>IF(ISNUMBER(A1391),1390,0)</x:f>
        <x:v>0</x:v>
      </x:c>
    </x:row>
    <x:row r="1392">
      <x:c r="A1392" s="6"/>
      <x:c r="B1392" s="7"/>
      <x:c r="C1392" s="7"/>
      <x:c r="D1392" s="7"/>
      <x:c r="E1392" t="n">
        <x:f>IF(ISNUMBER(A1392),1391,0)</x:f>
        <x:v>0</x:v>
      </x:c>
    </x:row>
    <x:row r="1393">
      <x:c r="A1393" s="6"/>
      <x:c r="B1393" s="7"/>
      <x:c r="C1393" s="7"/>
      <x:c r="D1393" s="7"/>
      <x:c r="E1393" t="n">
        <x:f>IF(ISNUMBER(A1393),1392,0)</x:f>
        <x:v>0</x:v>
      </x:c>
    </x:row>
    <x:row r="1394">
      <x:c r="A1394" s="6"/>
      <x:c r="B1394" s="7"/>
      <x:c r="C1394" s="7"/>
      <x:c r="D1394" s="7"/>
      <x:c r="E1394" t="n">
        <x:f>IF(ISNUMBER(A1394),1393,0)</x:f>
        <x:v>0</x:v>
      </x:c>
    </x:row>
    <x:row r="1395">
      <x:c r="A1395" s="6"/>
      <x:c r="B1395" s="7"/>
      <x:c r="C1395" s="7"/>
      <x:c r="D1395" s="7"/>
      <x:c r="E1395" t="n">
        <x:f>IF(ISNUMBER(A1395),1394,0)</x:f>
        <x:v>0</x:v>
      </x:c>
    </x:row>
    <x:row r="1396">
      <x:c r="A1396" s="6"/>
      <x:c r="B1396" s="7"/>
      <x:c r="C1396" s="7"/>
      <x:c r="D1396" s="7"/>
      <x:c r="E1396" t="n">
        <x:f>IF(ISNUMBER(A1396),1395,0)</x:f>
        <x:v>0</x:v>
      </x:c>
    </x:row>
    <x:row r="1397">
      <x:c r="A1397" s="6"/>
      <x:c r="B1397" s="7"/>
      <x:c r="C1397" s="7"/>
      <x:c r="D1397" s="7"/>
      <x:c r="E1397" t="n">
        <x:f>IF(ISNUMBER(A1397),1396,0)</x:f>
        <x:v>0</x:v>
      </x:c>
    </x:row>
    <x:row r="1398">
      <x:c r="A1398" s="6"/>
      <x:c r="B1398" s="7"/>
      <x:c r="C1398" s="7"/>
      <x:c r="D1398" s="7"/>
      <x:c r="E1398" t="n">
        <x:f>IF(ISNUMBER(A1398),1397,0)</x:f>
        <x:v>0</x:v>
      </x:c>
    </x:row>
    <x:row r="1399">
      <x:c r="A1399" s="6"/>
      <x:c r="B1399" s="7"/>
      <x:c r="C1399" s="7"/>
      <x:c r="D1399" s="7"/>
      <x:c r="E1399" t="n">
        <x:f>IF(ISNUMBER(A1399),1398,0)</x:f>
        <x:v>0</x:v>
      </x:c>
    </x:row>
    <x:row r="1400">
      <x:c r="A1400" s="6"/>
      <x:c r="B1400" s="7"/>
      <x:c r="C1400" s="7"/>
      <x:c r="D1400" s="7"/>
      <x:c r="E1400" t="n">
        <x:f>IF(ISNUMBER(A1400),1399,0)</x:f>
        <x:v>0</x:v>
      </x:c>
    </x:row>
    <x:row r="1401">
      <x:c r="A1401" s="6"/>
      <x:c r="B1401" s="7"/>
      <x:c r="C1401" s="7"/>
      <x:c r="D1401" s="7"/>
      <x:c r="E1401" t="n">
        <x:f>IF(ISNUMBER(A1401),1400,0)</x:f>
        <x:v>0</x:v>
      </x:c>
    </x:row>
    <x:row r="1402">
      <x:c r="A1402" s="6"/>
      <x:c r="B1402" s="7"/>
      <x:c r="C1402" s="7"/>
      <x:c r="D1402" s="7"/>
      <x:c r="E1402" t="n">
        <x:f>IF(ISNUMBER(A1402),1401,0)</x:f>
        <x:v>0</x:v>
      </x:c>
    </x:row>
    <x:row r="1403">
      <x:c r="A1403" s="6"/>
      <x:c r="B1403" s="7"/>
      <x:c r="C1403" s="7"/>
      <x:c r="D1403" s="7"/>
      <x:c r="E1403" t="n">
        <x:f>IF(ISNUMBER(A1403),1402,0)</x:f>
        <x:v>0</x:v>
      </x:c>
    </x:row>
    <x:row r="1404">
      <x:c r="A1404" s="6"/>
      <x:c r="B1404" s="7"/>
      <x:c r="C1404" s="7"/>
      <x:c r="D1404" s="7"/>
      <x:c r="E1404" t="n">
        <x:f>IF(ISNUMBER(A1404),1403,0)</x:f>
        <x:v>0</x:v>
      </x:c>
    </x:row>
    <x:row r="1405">
      <x:c r="A1405" s="6"/>
      <x:c r="B1405" s="7"/>
      <x:c r="C1405" s="7"/>
      <x:c r="D1405" s="7"/>
      <x:c r="E1405" t="n">
        <x:f>IF(ISNUMBER(A1405),1404,0)</x:f>
        <x:v>0</x:v>
      </x:c>
    </x:row>
    <x:row r="1406">
      <x:c r="A1406" s="6"/>
      <x:c r="B1406" s="7"/>
      <x:c r="C1406" s="7"/>
      <x:c r="D1406" s="7"/>
      <x:c r="E1406" t="n">
        <x:f>IF(ISNUMBER(A1406),1405,0)</x:f>
        <x:v>0</x:v>
      </x:c>
    </x:row>
    <x:row r="1407">
      <x:c r="A1407" s="6"/>
      <x:c r="B1407" s="7"/>
      <x:c r="C1407" s="7"/>
      <x:c r="D1407" s="7"/>
      <x:c r="E1407" t="n">
        <x:f>IF(ISNUMBER(A1407),1406,0)</x:f>
        <x:v>0</x:v>
      </x:c>
    </x:row>
    <x:row r="1408">
      <x:c r="A1408" s="6"/>
      <x:c r="B1408" s="7"/>
      <x:c r="C1408" s="7"/>
      <x:c r="D1408" s="7"/>
      <x:c r="E1408" t="n">
        <x:f>IF(ISNUMBER(A1408),1407,0)</x:f>
        <x:v>0</x:v>
      </x:c>
    </x:row>
    <x:row r="1409">
      <x:c r="A1409" s="6"/>
      <x:c r="B1409" s="7"/>
      <x:c r="C1409" s="7"/>
      <x:c r="D1409" s="7"/>
      <x:c r="E1409" t="n">
        <x:f>IF(ISNUMBER(A1409),1408,0)</x:f>
        <x:v>0</x:v>
      </x:c>
    </x:row>
    <x:row r="1410">
      <x:c r="A1410" s="6"/>
      <x:c r="B1410" s="7"/>
      <x:c r="C1410" s="7"/>
      <x:c r="D1410" s="7"/>
      <x:c r="E1410" t="n">
        <x:f>IF(ISNUMBER(A1410),1409,0)</x:f>
        <x:v>0</x:v>
      </x:c>
    </x:row>
    <x:row r="1411">
      <x:c r="A1411" s="6"/>
      <x:c r="B1411" s="7"/>
      <x:c r="C1411" s="7"/>
      <x:c r="D1411" s="7"/>
      <x:c r="E1411" t="n">
        <x:f>IF(ISNUMBER(A1411),1410,0)</x:f>
        <x:v>0</x:v>
      </x:c>
    </x:row>
    <x:row r="1412">
      <x:c r="A1412" s="6"/>
      <x:c r="B1412" s="7"/>
      <x:c r="C1412" s="7"/>
      <x:c r="D1412" s="7"/>
      <x:c r="E1412" t="n">
        <x:f>IF(ISNUMBER(A1412),1411,0)</x:f>
        <x:v>0</x:v>
      </x:c>
    </x:row>
    <x:row r="1413">
      <x:c r="A1413" s="6"/>
      <x:c r="B1413" s="7"/>
      <x:c r="C1413" s="7"/>
      <x:c r="D1413" s="7"/>
      <x:c r="E1413" t="n">
        <x:f>IF(ISNUMBER(A1413),1412,0)</x:f>
        <x:v>0</x:v>
      </x:c>
    </x:row>
    <x:row r="1414">
      <x:c r="A1414" s="6"/>
      <x:c r="B1414" s="7"/>
      <x:c r="C1414" s="7"/>
      <x:c r="D1414" s="7"/>
      <x:c r="E1414" t="n">
        <x:f>IF(ISNUMBER(A1414),1413,0)</x:f>
        <x:v>0</x:v>
      </x:c>
    </x:row>
    <x:row r="1415">
      <x:c r="A1415" s="6"/>
      <x:c r="B1415" s="7"/>
      <x:c r="C1415" s="7"/>
      <x:c r="D1415" s="7"/>
      <x:c r="E1415" t="n">
        <x:f>IF(ISNUMBER(A1415),1414,0)</x:f>
        <x:v>0</x:v>
      </x:c>
    </x:row>
    <x:row r="1416">
      <x:c r="A1416" s="6"/>
      <x:c r="B1416" s="7"/>
      <x:c r="C1416" s="7"/>
      <x:c r="D1416" s="7"/>
      <x:c r="E1416" t="n">
        <x:f>IF(ISNUMBER(A1416),1415,0)</x:f>
        <x:v>0</x:v>
      </x:c>
    </x:row>
    <x:row r="1417">
      <x:c r="A1417" s="6"/>
      <x:c r="B1417" s="7"/>
      <x:c r="C1417" s="7"/>
      <x:c r="D1417" s="7"/>
      <x:c r="E1417" t="n">
        <x:f>IF(ISNUMBER(A1417),1416,0)</x:f>
        <x:v>0</x:v>
      </x:c>
    </x:row>
    <x:row r="1418">
      <x:c r="A1418" s="6"/>
      <x:c r="B1418" s="7"/>
      <x:c r="C1418" s="7"/>
      <x:c r="D1418" s="7"/>
      <x:c r="E1418" t="n">
        <x:f>IF(ISNUMBER(A1418),1417,0)</x:f>
        <x:v>0</x:v>
      </x:c>
    </x:row>
    <x:row r="1419">
      <x:c r="A1419" s="6"/>
      <x:c r="B1419" s="7"/>
      <x:c r="C1419" s="7"/>
      <x:c r="D1419" s="7"/>
      <x:c r="E1419" t="n">
        <x:f>IF(ISNUMBER(A1419),1418,0)</x:f>
        <x:v>0</x:v>
      </x:c>
    </x:row>
    <x:row r="1420">
      <x:c r="A1420" s="6"/>
      <x:c r="B1420" s="7"/>
      <x:c r="C1420" s="7"/>
      <x:c r="D1420" s="7"/>
      <x:c r="E1420" t="n">
        <x:f>IF(ISNUMBER(A1420),1419,0)</x:f>
        <x:v>0</x:v>
      </x:c>
    </x:row>
    <x:row r="1421">
      <x:c r="A1421" s="6"/>
      <x:c r="B1421" s="7"/>
      <x:c r="C1421" s="7"/>
      <x:c r="D1421" s="7"/>
      <x:c r="E1421" t="n">
        <x:f>IF(ISNUMBER(A1421),1420,0)</x:f>
        <x:v>0</x:v>
      </x:c>
    </x:row>
    <x:row r="1422">
      <x:c r="A1422" s="6"/>
      <x:c r="B1422" s="7"/>
      <x:c r="C1422" s="7"/>
      <x:c r="D1422" s="7"/>
      <x:c r="E1422" t="n">
        <x:f>IF(ISNUMBER(A1422),1421,0)</x:f>
        <x:v>0</x:v>
      </x:c>
    </x:row>
    <x:row r="1423">
      <x:c r="A1423" s="6"/>
      <x:c r="B1423" s="7"/>
      <x:c r="C1423" s="7"/>
      <x:c r="D1423" s="7"/>
      <x:c r="E1423" t="n">
        <x:f>IF(ISNUMBER(A1423),1422,0)</x:f>
        <x:v>0</x:v>
      </x:c>
    </x:row>
    <x:row r="1424">
      <x:c r="A1424" s="6"/>
      <x:c r="B1424" s="7"/>
      <x:c r="C1424" s="7"/>
      <x:c r="D1424" s="7"/>
      <x:c r="E1424" t="n">
        <x:f>IF(ISNUMBER(A1424),1423,0)</x:f>
        <x:v>0</x:v>
      </x:c>
    </x:row>
    <x:row r="1425">
      <x:c r="A1425" s="6"/>
      <x:c r="B1425" s="7"/>
      <x:c r="C1425" s="7"/>
      <x:c r="D1425" s="7"/>
      <x:c r="E1425" t="n">
        <x:f>IF(ISNUMBER(A1425),1424,0)</x:f>
        <x:v>0</x:v>
      </x:c>
    </x:row>
    <x:row r="1426">
      <x:c r="A1426" s="6"/>
      <x:c r="B1426" s="7"/>
      <x:c r="C1426" s="7"/>
      <x:c r="D1426" s="7"/>
      <x:c r="E1426" t="n">
        <x:f>IF(ISNUMBER(A1426),1425,0)</x:f>
        <x:v>0</x:v>
      </x:c>
    </x:row>
    <x:row r="1427">
      <x:c r="A1427" s="6"/>
      <x:c r="B1427" s="7"/>
      <x:c r="C1427" s="7"/>
      <x:c r="D1427" s="7"/>
      <x:c r="E1427" t="n">
        <x:f>IF(ISNUMBER(A1427),1426,0)</x:f>
        <x:v>0</x:v>
      </x:c>
    </x:row>
    <x:row r="1428">
      <x:c r="A1428" s="6"/>
      <x:c r="B1428" s="7"/>
      <x:c r="C1428" s="7"/>
      <x:c r="D1428" s="7"/>
      <x:c r="E1428" t="n">
        <x:f>IF(ISNUMBER(A1428),1427,0)</x:f>
        <x:v>0</x:v>
      </x:c>
    </x:row>
    <x:row r="1429">
      <x:c r="A1429" s="6"/>
      <x:c r="B1429" s="7"/>
      <x:c r="C1429" s="7"/>
      <x:c r="D1429" s="7"/>
      <x:c r="E1429" t="n">
        <x:f>IF(ISNUMBER(A1429),1428,0)</x:f>
        <x:v>0</x:v>
      </x:c>
    </x:row>
    <x:row r="1430">
      <x:c r="A1430" s="6"/>
      <x:c r="B1430" s="7"/>
      <x:c r="C1430" s="7"/>
      <x:c r="D1430" s="7"/>
      <x:c r="E1430" t="n">
        <x:f>IF(ISNUMBER(A1430),1429,0)</x:f>
        <x:v>0</x:v>
      </x:c>
    </x:row>
    <x:row r="1431">
      <x:c r="A1431" s="6"/>
      <x:c r="B1431" s="7"/>
      <x:c r="C1431" s="7"/>
      <x:c r="D1431" s="7"/>
      <x:c r="E1431" t="n">
        <x:f>IF(ISNUMBER(A1431),1430,0)</x:f>
        <x:v>0</x:v>
      </x:c>
    </x:row>
    <x:row r="1432">
      <x:c r="A1432" s="6"/>
      <x:c r="B1432" s="7"/>
      <x:c r="C1432" s="7"/>
      <x:c r="D1432" s="7"/>
      <x:c r="E1432" t="n">
        <x:f>IF(ISNUMBER(A1432),1431,0)</x:f>
        <x:v>0</x:v>
      </x:c>
    </x:row>
    <x:row r="1433">
      <x:c r="A1433" s="6"/>
      <x:c r="B1433" s="7"/>
      <x:c r="C1433" s="7"/>
      <x:c r="D1433" s="7"/>
      <x:c r="E1433" t="n">
        <x:f>IF(ISNUMBER(A1433),1432,0)</x:f>
        <x:v>0</x:v>
      </x:c>
    </x:row>
    <x:row r="1434">
      <x:c r="A1434" s="6"/>
      <x:c r="B1434" s="7"/>
      <x:c r="C1434" s="7"/>
      <x:c r="D1434" s="7"/>
      <x:c r="E1434" t="n">
        <x:f>IF(ISNUMBER(A1434),1433,0)</x:f>
        <x:v>0</x:v>
      </x:c>
    </x:row>
    <x:row r="1435">
      <x:c r="A1435" s="6"/>
      <x:c r="B1435" s="7"/>
      <x:c r="C1435" s="7"/>
      <x:c r="D1435" s="7"/>
      <x:c r="E1435" t="n">
        <x:f>IF(ISNUMBER(A1435),1434,0)</x:f>
        <x:v>0</x:v>
      </x:c>
    </x:row>
    <x:row r="1436">
      <x:c r="A1436" s="6"/>
      <x:c r="B1436" s="7"/>
      <x:c r="C1436" s="7"/>
      <x:c r="D1436" s="7"/>
      <x:c r="E1436" t="n">
        <x:f>IF(ISNUMBER(A1436),1435,0)</x:f>
        <x:v>0</x:v>
      </x:c>
    </x:row>
    <x:row r="1437">
      <x:c r="A1437" s="6"/>
      <x:c r="B1437" s="7"/>
      <x:c r="C1437" s="7"/>
      <x:c r="D1437" s="7"/>
      <x:c r="E1437" t="n">
        <x:f>IF(ISNUMBER(A1437),1436,0)</x:f>
        <x:v>0</x:v>
      </x:c>
    </x:row>
    <x:row r="1438">
      <x:c r="A1438" s="6"/>
      <x:c r="B1438" s="7"/>
      <x:c r="C1438" s="7"/>
      <x:c r="D1438" s="7"/>
      <x:c r="E1438" t="n">
        <x:f>IF(ISNUMBER(A1438),1437,0)</x:f>
        <x:v>0</x:v>
      </x:c>
    </x:row>
    <x:row r="1439">
      <x:c r="A1439" s="6"/>
      <x:c r="B1439" s="7"/>
      <x:c r="C1439" s="7"/>
      <x:c r="D1439" s="7"/>
      <x:c r="E1439" t="n">
        <x:f>IF(ISNUMBER(A1439),1438,0)</x:f>
        <x:v>0</x:v>
      </x:c>
    </x:row>
    <x:row r="1440">
      <x:c r="A1440" s="6"/>
      <x:c r="B1440" s="7"/>
      <x:c r="C1440" s="7"/>
      <x:c r="D1440" s="7"/>
      <x:c r="E1440" t="n">
        <x:f>IF(ISNUMBER(A1440),1439,0)</x:f>
        <x:v>0</x:v>
      </x:c>
    </x:row>
    <x:row r="1441">
      <x:c r="A1441" s="6"/>
      <x:c r="B1441" s="7"/>
      <x:c r="C1441" s="7"/>
      <x:c r="D1441" s="7"/>
      <x:c r="E1441" t="n">
        <x:f>IF(ISNUMBER(A1441),1440,0)</x:f>
        <x:v>0</x:v>
      </x:c>
    </x:row>
    <x:row r="1442">
      <x:c r="A1442" s="6"/>
      <x:c r="B1442" s="7"/>
      <x:c r="C1442" s="7"/>
      <x:c r="D1442" s="7"/>
      <x:c r="E1442" t="n">
        <x:f>IF(ISNUMBER(A1442),1441,0)</x:f>
        <x:v>0</x:v>
      </x:c>
    </x:row>
    <x:row r="1443">
      <x:c r="A1443" s="6"/>
      <x:c r="B1443" s="7"/>
      <x:c r="C1443" s="7"/>
      <x:c r="D1443" s="7"/>
      <x:c r="E1443" t="n">
        <x:f>IF(ISNUMBER(A1443),1442,0)</x:f>
        <x:v>0</x:v>
      </x:c>
    </x:row>
    <x:row r="1444">
      <x:c r="A1444" s="6"/>
      <x:c r="B1444" s="7"/>
      <x:c r="C1444" s="7"/>
      <x:c r="D1444" s="7"/>
      <x:c r="E1444" t="n">
        <x:f>IF(ISNUMBER(A1444),1443,0)</x:f>
        <x:v>0</x:v>
      </x:c>
    </x:row>
    <x:row r="1445">
      <x:c r="A1445" s="6"/>
      <x:c r="B1445" s="7"/>
      <x:c r="C1445" s="7"/>
      <x:c r="D1445" s="7"/>
      <x:c r="E1445" t="n">
        <x:f>IF(ISNUMBER(A1445),1444,0)</x:f>
        <x:v>0</x:v>
      </x:c>
    </x:row>
    <x:row r="1446">
      <x:c r="A1446" s="6"/>
      <x:c r="B1446" s="7"/>
      <x:c r="C1446" s="7"/>
      <x:c r="D1446" s="7"/>
      <x:c r="E1446" t="n">
        <x:f>IF(ISNUMBER(A1446),1445,0)</x:f>
        <x:v>0</x:v>
      </x:c>
    </x:row>
    <x:row r="1447">
      <x:c r="A1447" s="6"/>
      <x:c r="B1447" s="7"/>
      <x:c r="C1447" s="7"/>
      <x:c r="D1447" s="7"/>
      <x:c r="E1447" t="n">
        <x:f>IF(ISNUMBER(A1447),1446,0)</x:f>
        <x:v>0</x:v>
      </x:c>
    </x:row>
    <x:row r="1448">
      <x:c r="A1448" s="6"/>
      <x:c r="B1448" s="7"/>
      <x:c r="C1448" s="7"/>
      <x:c r="D1448" s="7"/>
      <x:c r="E1448" t="n">
        <x:f>IF(ISNUMBER(A1448),1447,0)</x:f>
        <x:v>0</x:v>
      </x:c>
    </x:row>
    <x:row r="1449">
      <x:c r="A1449" s="6"/>
      <x:c r="B1449" s="7"/>
      <x:c r="C1449" s="7"/>
      <x:c r="D1449" s="7"/>
      <x:c r="E1449" t="n">
        <x:f>IF(ISNUMBER(A1449),1448,0)</x:f>
        <x:v>0</x:v>
      </x:c>
    </x:row>
    <x:row r="1450">
      <x:c r="A1450" s="6"/>
      <x:c r="B1450" s="7"/>
      <x:c r="C1450" s="7"/>
      <x:c r="D1450" s="7"/>
      <x:c r="E1450" t="n">
        <x:f>IF(ISNUMBER(A1450),1449,0)</x:f>
        <x:v>0</x:v>
      </x:c>
    </x:row>
    <x:row r="1451">
      <x:c r="A1451" s="6"/>
      <x:c r="B1451" s="7"/>
      <x:c r="C1451" s="7"/>
      <x:c r="D1451" s="7"/>
      <x:c r="E1451" t="n">
        <x:f>IF(ISNUMBER(A1451),1450,0)</x:f>
        <x:v>0</x:v>
      </x:c>
    </x:row>
    <x:row r="1452">
      <x:c r="A1452" s="6"/>
      <x:c r="B1452" s="7"/>
      <x:c r="C1452" s="7"/>
      <x:c r="D1452" s="7"/>
      <x:c r="E1452" t="n">
        <x:f>IF(ISNUMBER(A1452),1451,0)</x:f>
        <x:v>0</x:v>
      </x:c>
    </x:row>
    <x:row r="1453">
      <x:c r="A1453" s="6"/>
      <x:c r="B1453" s="7"/>
      <x:c r="C1453" s="7"/>
      <x:c r="D1453" s="7"/>
      <x:c r="E1453" t="n">
        <x:f>IF(ISNUMBER(A1453),1452,0)</x:f>
        <x:v>0</x:v>
      </x:c>
    </x:row>
    <x:row r="1454">
      <x:c r="A1454" s="6"/>
      <x:c r="B1454" s="7"/>
      <x:c r="C1454" s="7"/>
      <x:c r="D1454" s="7"/>
      <x:c r="E1454" t="n">
        <x:f>IF(ISNUMBER(A1454),1453,0)</x:f>
        <x:v>0</x:v>
      </x:c>
    </x:row>
    <x:row r="1455">
      <x:c r="A1455" s="6"/>
      <x:c r="B1455" s="7"/>
      <x:c r="C1455" s="7"/>
      <x:c r="D1455" s="7"/>
      <x:c r="E1455" t="n">
        <x:f>IF(ISNUMBER(A1455),1454,0)</x:f>
        <x:v>0</x:v>
      </x:c>
    </x:row>
    <x:row r="1456">
      <x:c r="A1456" s="6"/>
      <x:c r="B1456" s="7"/>
      <x:c r="C1456" s="7"/>
      <x:c r="D1456" s="7"/>
      <x:c r="E1456" t="n">
        <x:f>IF(ISNUMBER(A1456),1455,0)</x:f>
        <x:v>0</x:v>
      </x:c>
    </x:row>
    <x:row r="1457">
      <x:c r="A1457" s="6"/>
      <x:c r="B1457" s="7"/>
      <x:c r="C1457" s="7"/>
      <x:c r="D1457" s="7"/>
      <x:c r="E1457" t="n">
        <x:f>IF(ISNUMBER(A1457),1456,0)</x:f>
        <x:v>0</x:v>
      </x:c>
    </x:row>
    <x:row r="1458">
      <x:c r="A1458" s="6"/>
      <x:c r="B1458" s="7"/>
      <x:c r="C1458" s="7"/>
      <x:c r="D1458" s="7"/>
      <x:c r="E1458" t="n">
        <x:f>IF(ISNUMBER(A1458),1457,0)</x:f>
        <x:v>0</x:v>
      </x:c>
    </x:row>
    <x:row r="1459">
      <x:c r="A1459" s="6"/>
      <x:c r="B1459" s="7"/>
      <x:c r="C1459" s="7"/>
      <x:c r="D1459" s="7"/>
      <x:c r="E1459" t="n">
        <x:f>IF(ISNUMBER(A1459),1458,0)</x:f>
        <x:v>0</x:v>
      </x:c>
    </x:row>
    <x:row r="1460">
      <x:c r="A1460" s="6"/>
      <x:c r="B1460" s="7"/>
      <x:c r="C1460" s="7"/>
      <x:c r="D1460" s="7"/>
      <x:c r="E1460" t="n">
        <x:f>IF(ISNUMBER(A1460),1459,0)</x:f>
        <x:v>0</x:v>
      </x:c>
    </x:row>
    <x:row r="1461">
      <x:c r="A1461" s="6"/>
      <x:c r="B1461" s="7"/>
      <x:c r="C1461" s="7"/>
      <x:c r="D1461" s="7"/>
      <x:c r="E1461" t="n">
        <x:f>IF(ISNUMBER(A1461),1460,0)</x:f>
        <x:v>0</x:v>
      </x:c>
    </x:row>
    <x:row r="1462">
      <x:c r="A1462" s="6"/>
      <x:c r="B1462" s="7"/>
      <x:c r="C1462" s="7"/>
      <x:c r="D1462" s="7"/>
      <x:c r="E1462" t="n">
        <x:f>IF(ISNUMBER(A1462),1461,0)</x:f>
        <x:v>0</x:v>
      </x:c>
    </x:row>
    <x:row r="1463">
      <x:c r="A1463" s="6"/>
      <x:c r="B1463" s="7"/>
      <x:c r="C1463" s="7"/>
      <x:c r="D1463" s="7"/>
      <x:c r="E1463" t="n">
        <x:f>IF(ISNUMBER(A1463),1462,0)</x:f>
        <x:v>0</x:v>
      </x:c>
    </x:row>
    <x:row r="1464">
      <x:c r="A1464" s="6"/>
      <x:c r="B1464" s="7"/>
      <x:c r="C1464" s="7"/>
      <x:c r="D1464" s="7"/>
      <x:c r="E1464" t="n">
        <x:f>IF(ISNUMBER(A1464),1463,0)</x:f>
        <x:v>0</x:v>
      </x:c>
    </x:row>
    <x:row r="1465">
      <x:c r="A1465" s="6"/>
      <x:c r="B1465" s="7"/>
      <x:c r="C1465" s="7"/>
      <x:c r="D1465" s="7"/>
      <x:c r="E1465" t="n">
        <x:f>IF(ISNUMBER(A1465),1464,0)</x:f>
        <x:v>0</x:v>
      </x:c>
    </x:row>
    <x:row r="1466">
      <x:c r="A1466" s="6"/>
      <x:c r="B1466" s="7"/>
      <x:c r="C1466" s="7"/>
      <x:c r="D1466" s="7"/>
      <x:c r="E1466" t="n">
        <x:f>IF(ISNUMBER(A1466),1465,0)</x:f>
        <x:v>0</x:v>
      </x:c>
    </x:row>
    <x:row r="1467">
      <x:c r="A1467" s="6"/>
      <x:c r="B1467" s="7"/>
      <x:c r="C1467" s="7"/>
      <x:c r="D1467" s="7"/>
      <x:c r="E1467" t="n">
        <x:f>IF(ISNUMBER(A1467),1466,0)</x:f>
        <x:v>0</x:v>
      </x:c>
    </x:row>
    <x:row r="1468">
      <x:c r="A1468" s="6"/>
      <x:c r="B1468" s="7"/>
      <x:c r="C1468" s="7"/>
      <x:c r="D1468" s="7"/>
      <x:c r="E1468" t="n">
        <x:f>IF(ISNUMBER(A1468),1467,0)</x:f>
        <x:v>0</x:v>
      </x:c>
    </x:row>
    <x:row r="1469">
      <x:c r="A1469" s="6"/>
      <x:c r="B1469" s="7"/>
      <x:c r="C1469" s="7"/>
      <x:c r="D1469" s="7"/>
      <x:c r="E1469" t="n">
        <x:f>IF(ISNUMBER(A1469),1468,0)</x:f>
        <x:v>0</x:v>
      </x:c>
    </x:row>
    <x:row r="1470">
      <x:c r="A1470" s="6"/>
      <x:c r="B1470" s="7"/>
      <x:c r="C1470" s="7"/>
      <x:c r="D1470" s="7"/>
      <x:c r="E1470" t="n">
        <x:f>IF(ISNUMBER(A1470),1469,0)</x:f>
        <x:v>0</x:v>
      </x:c>
    </x:row>
    <x:row r="1471">
      <x:c r="A1471" s="6"/>
      <x:c r="B1471" s="7"/>
      <x:c r="C1471" s="7"/>
      <x:c r="D1471" s="7"/>
      <x:c r="E1471" t="n">
        <x:f>IF(ISNUMBER(A1471),1470,0)</x:f>
        <x:v>0</x:v>
      </x:c>
    </x:row>
    <x:row r="1472">
      <x:c r="A1472" s="6"/>
      <x:c r="B1472" s="7"/>
      <x:c r="C1472" s="7"/>
      <x:c r="D1472" s="7"/>
      <x:c r="E1472" t="n">
        <x:f>IF(ISNUMBER(A1472),1471,0)</x:f>
        <x:v>0</x:v>
      </x:c>
    </x:row>
    <x:row r="1473">
      <x:c r="A1473" s="6"/>
      <x:c r="B1473" s="7"/>
      <x:c r="C1473" s="7"/>
      <x:c r="D1473" s="7"/>
      <x:c r="E1473" t="n">
        <x:f>IF(ISNUMBER(A1473),1472,0)</x:f>
        <x:v>0</x:v>
      </x:c>
    </x:row>
    <x:row r="1474">
      <x:c r="A1474" s="6"/>
      <x:c r="B1474" s="7"/>
      <x:c r="C1474" s="7"/>
      <x:c r="D1474" s="7"/>
      <x:c r="E1474" t="n">
        <x:f>IF(ISNUMBER(A1474),1473,0)</x:f>
        <x:v>0</x:v>
      </x:c>
    </x:row>
    <x:row r="1475">
      <x:c r="A1475" s="6"/>
      <x:c r="B1475" s="7"/>
      <x:c r="C1475" s="7"/>
      <x:c r="D1475" s="7"/>
      <x:c r="E1475" t="n">
        <x:f>IF(ISNUMBER(A1475),1474,0)</x:f>
        <x:v>0</x:v>
      </x:c>
    </x:row>
    <x:row r="1476">
      <x:c r="A1476" s="6"/>
      <x:c r="B1476" s="7"/>
      <x:c r="C1476" s="7"/>
      <x:c r="D1476" s="7"/>
      <x:c r="E1476" t="n">
        <x:f>IF(ISNUMBER(A1476),1475,0)</x:f>
        <x:v>0</x:v>
      </x:c>
    </x:row>
    <x:row r="1477">
      <x:c r="A1477" s="6"/>
      <x:c r="B1477" s="7"/>
      <x:c r="C1477" s="7"/>
      <x:c r="D1477" s="7"/>
      <x:c r="E1477" t="n">
        <x:f>IF(ISNUMBER(A1477),1476,0)</x:f>
        <x:v>0</x:v>
      </x:c>
    </x:row>
    <x:row r="1478">
      <x:c r="A1478" s="6"/>
      <x:c r="B1478" s="7"/>
      <x:c r="C1478" s="7"/>
      <x:c r="D1478" s="7"/>
      <x:c r="E1478" t="n">
        <x:f>IF(ISNUMBER(A1478),1477,0)</x:f>
        <x:v>0</x:v>
      </x:c>
    </x:row>
    <x:row r="1479">
      <x:c r="A1479" s="6"/>
      <x:c r="B1479" s="7"/>
      <x:c r="C1479" s="7"/>
      <x:c r="D1479" s="7"/>
      <x:c r="E1479" t="n">
        <x:f>IF(ISNUMBER(A1479),1478,0)</x:f>
        <x:v>0</x:v>
      </x:c>
    </x:row>
    <x:row r="1480">
      <x:c r="A1480" s="6"/>
      <x:c r="B1480" s="7"/>
      <x:c r="C1480" s="7"/>
      <x:c r="D1480" s="7"/>
      <x:c r="E1480" t="n">
        <x:f>IF(ISNUMBER(A1480),1479,0)</x:f>
        <x:v>0</x:v>
      </x:c>
    </x:row>
    <x:row r="1481">
      <x:c r="A1481" s="6"/>
      <x:c r="B1481" s="7"/>
      <x:c r="C1481" s="7"/>
      <x:c r="D1481" s="7"/>
      <x:c r="E1481" t="n">
        <x:f>IF(ISNUMBER(A1481),1480,0)</x:f>
        <x:v>0</x:v>
      </x:c>
    </x:row>
    <x:row r="1482">
      <x:c r="A1482" s="6"/>
      <x:c r="B1482" s="7"/>
      <x:c r="C1482" s="7"/>
      <x:c r="D1482" s="7"/>
      <x:c r="E1482" t="n">
        <x:f>IF(ISNUMBER(A1482),1481,0)</x:f>
        <x:v>0</x:v>
      </x:c>
    </x:row>
    <x:row r="1483">
      <x:c r="A1483" s="6"/>
      <x:c r="B1483" s="7"/>
      <x:c r="C1483" s="7"/>
      <x:c r="D1483" s="7"/>
      <x:c r="E1483" t="n">
        <x:f>IF(ISNUMBER(A1483),1482,0)</x:f>
        <x:v>0</x:v>
      </x:c>
    </x:row>
    <x:row r="1484">
      <x:c r="A1484" s="6"/>
      <x:c r="B1484" s="7"/>
      <x:c r="C1484" s="7"/>
      <x:c r="D1484" s="7"/>
      <x:c r="E1484" t="n">
        <x:f>IF(ISNUMBER(A1484),1483,0)</x:f>
        <x:v>0</x:v>
      </x:c>
    </x:row>
    <x:row r="1485">
      <x:c r="A1485" s="6"/>
      <x:c r="B1485" s="7"/>
      <x:c r="C1485" s="7"/>
      <x:c r="D1485" s="7"/>
      <x:c r="E1485" t="n">
        <x:f>IF(ISNUMBER(A1485),1484,0)</x:f>
        <x:v>0</x:v>
      </x:c>
    </x:row>
    <x:row r="1486">
      <x:c r="A1486" s="6"/>
      <x:c r="B1486" s="7"/>
      <x:c r="C1486" s="7"/>
      <x:c r="D1486" s="7"/>
      <x:c r="E1486" t="n">
        <x:f>IF(ISNUMBER(A1486),1485,0)</x:f>
        <x:v>0</x:v>
      </x:c>
    </x:row>
    <x:row r="1487">
      <x:c r="A1487" s="6"/>
      <x:c r="B1487" s="7"/>
      <x:c r="C1487" s="7"/>
      <x:c r="D1487" s="7"/>
      <x:c r="E1487" t="n">
        <x:f>IF(ISNUMBER(A1487),1486,0)</x:f>
        <x:v>0</x:v>
      </x:c>
    </x:row>
    <x:row r="1488">
      <x:c r="A1488" s="6"/>
      <x:c r="B1488" s="7"/>
      <x:c r="C1488" s="7"/>
      <x:c r="D1488" s="7"/>
      <x:c r="E1488" t="n">
        <x:f>IF(ISNUMBER(A1488),1487,0)</x:f>
        <x:v>0</x:v>
      </x:c>
    </x:row>
    <x:row r="1489">
      <x:c r="A1489" s="6"/>
      <x:c r="B1489" s="7"/>
      <x:c r="C1489" s="7"/>
      <x:c r="D1489" s="7"/>
      <x:c r="E1489" t="n">
        <x:f>IF(ISNUMBER(A1489),1488,0)</x:f>
        <x:v>0</x:v>
      </x:c>
    </x:row>
    <x:row r="1490">
      <x:c r="A1490" s="6"/>
      <x:c r="B1490" s="7"/>
      <x:c r="C1490" s="7"/>
      <x:c r="D1490" s="7"/>
      <x:c r="E1490" t="n">
        <x:f>IF(ISNUMBER(A1490),1489,0)</x:f>
        <x:v>0</x:v>
      </x:c>
    </x:row>
    <x:row r="1491">
      <x:c r="A1491" s="6"/>
      <x:c r="B1491" s="7"/>
      <x:c r="C1491" s="7"/>
      <x:c r="D1491" s="7"/>
      <x:c r="E1491" t="n">
        <x:f>IF(ISNUMBER(A1491),1490,0)</x:f>
        <x:v>0</x:v>
      </x:c>
    </x:row>
    <x:row r="1492">
      <x:c r="A1492" s="6"/>
      <x:c r="B1492" s="7"/>
      <x:c r="C1492" s="7"/>
      <x:c r="D1492" s="7"/>
      <x:c r="E1492" t="n">
        <x:f>IF(ISNUMBER(A1492),1491,0)</x:f>
        <x:v>0</x:v>
      </x:c>
    </x:row>
    <x:row r="1493">
      <x:c r="A1493" s="6"/>
      <x:c r="B1493" s="7"/>
      <x:c r="C1493" s="7"/>
      <x:c r="D1493" s="7"/>
      <x:c r="E1493" t="n">
        <x:f>IF(ISNUMBER(A1493),1492,0)</x:f>
        <x:v>0</x:v>
      </x:c>
    </x:row>
    <x:row r="1494">
      <x:c r="A1494" s="6"/>
      <x:c r="B1494" s="7"/>
      <x:c r="C1494" s="7"/>
      <x:c r="D1494" s="7"/>
      <x:c r="E1494" t="n">
        <x:f>IF(ISNUMBER(A1494),1493,0)</x:f>
        <x:v>0</x:v>
      </x:c>
    </x:row>
    <x:row r="1495">
      <x:c r="A1495" s="6"/>
      <x:c r="B1495" s="7"/>
      <x:c r="C1495" s="7"/>
      <x:c r="D1495" s="7"/>
      <x:c r="E1495" t="n">
        <x:f>IF(ISNUMBER(A1495),1494,0)</x:f>
        <x:v>0</x:v>
      </x:c>
    </x:row>
    <x:row r="1496">
      <x:c r="A1496" s="6"/>
      <x:c r="B1496" s="7"/>
      <x:c r="C1496" s="7"/>
      <x:c r="D1496" s="7"/>
      <x:c r="E1496" t="n">
        <x:f>IF(ISNUMBER(A1496),1495,0)</x:f>
        <x:v>0</x:v>
      </x:c>
    </x:row>
    <x:row r="1497">
      <x:c r="A1497" s="6"/>
      <x:c r="B1497" s="7"/>
      <x:c r="C1497" s="7"/>
      <x:c r="D1497" s="7"/>
      <x:c r="E1497" t="n">
        <x:f>IF(ISNUMBER(A1497),1496,0)</x:f>
        <x:v>0</x:v>
      </x:c>
    </x:row>
    <x:row r="1498">
      <x:c r="A1498" s="6"/>
      <x:c r="B1498" s="7"/>
      <x:c r="C1498" s="7"/>
      <x:c r="D1498" s="7"/>
      <x:c r="E1498" t="n">
        <x:f>IF(ISNUMBER(A1498),1497,0)</x:f>
        <x:v>0</x:v>
      </x:c>
    </x:row>
    <x:row r="1499">
      <x:c r="A1499" s="6"/>
      <x:c r="B1499" s="7"/>
      <x:c r="C1499" s="7"/>
      <x:c r="D1499" s="7"/>
      <x:c r="E1499" t="n">
        <x:f>IF(ISNUMBER(A1499),1498,0)</x:f>
        <x:v>0</x:v>
      </x:c>
    </x:row>
    <x:row r="1500">
      <x:c r="A1500" s="6"/>
      <x:c r="B1500" s="7"/>
      <x:c r="C1500" s="7"/>
      <x:c r="D1500" s="7"/>
      <x:c r="E1500" t="n">
        <x:f>IF(ISNUMBER(A1500),1499,0)</x:f>
        <x:v>0</x:v>
      </x:c>
    </x:row>
    <x:row r="1501">
      <x:c r="A1501" s="6"/>
      <x:c r="B1501" s="7"/>
      <x:c r="C1501" s="7"/>
      <x:c r="D1501" s="7"/>
      <x:c r="E1501" t="n">
        <x:f>IF(ISNUMBER(A1501),1500,0)</x:f>
        <x:v>0</x:v>
      </x:c>
    </x:row>
    <x:row r="1502">
      <x:c r="A1502" s="6"/>
      <x:c r="B1502" s="7"/>
      <x:c r="C1502" s="7"/>
      <x:c r="D1502" s="7"/>
      <x:c r="E1502" t="n">
        <x:f>IF(ISNUMBER(A1502),1501,0)</x:f>
        <x:v>0</x:v>
      </x:c>
    </x:row>
    <x:row r="1503">
      <x:c r="A1503" s="6"/>
      <x:c r="B1503" s="7"/>
      <x:c r="C1503" s="7"/>
      <x:c r="D1503" s="7"/>
      <x:c r="E1503" t="n">
        <x:f>IF(ISNUMBER(A1503),1502,0)</x:f>
        <x:v>0</x:v>
      </x:c>
    </x:row>
    <x:row r="1504">
      <x:c r="A1504" s="6"/>
      <x:c r="B1504" s="7"/>
      <x:c r="C1504" s="7"/>
      <x:c r="D1504" s="7"/>
      <x:c r="E1504" t="n">
        <x:f>IF(ISNUMBER(A1504),1503,0)</x:f>
        <x:v>0</x:v>
      </x:c>
    </x:row>
    <x:row r="1505">
      <x:c r="A1505" s="6"/>
      <x:c r="B1505" s="7"/>
      <x:c r="C1505" s="7"/>
      <x:c r="D1505" s="7"/>
      <x:c r="E1505" t="n">
        <x:f>IF(ISNUMBER(A1505),1504,0)</x:f>
        <x:v>0</x:v>
      </x:c>
    </x:row>
    <x:row r="1506">
      <x:c r="A1506" s="6"/>
      <x:c r="B1506" s="7"/>
      <x:c r="C1506" s="7"/>
      <x:c r="D1506" s="7"/>
      <x:c r="E1506" t="n">
        <x:f>IF(ISNUMBER(A1506),1505,0)</x:f>
        <x:v>0</x:v>
      </x:c>
    </x:row>
    <x:row r="1507">
      <x:c r="A1507" s="6"/>
      <x:c r="B1507" s="7"/>
      <x:c r="C1507" s="7"/>
      <x:c r="D1507" s="7"/>
      <x:c r="E1507" t="n">
        <x:f>IF(ISNUMBER(A1507),1506,0)</x:f>
        <x:v>0</x:v>
      </x:c>
    </x:row>
    <x:row r="1508">
      <x:c r="A1508" s="6"/>
      <x:c r="B1508" s="7"/>
      <x:c r="C1508" s="7"/>
      <x:c r="D1508" s="7"/>
      <x:c r="E1508" t="n">
        <x:f>IF(ISNUMBER(A1508),1507,0)</x:f>
        <x:v>0</x:v>
      </x:c>
    </x:row>
    <x:row r="1509">
      <x:c r="A1509" s="6"/>
      <x:c r="B1509" s="7"/>
      <x:c r="C1509" s="7"/>
      <x:c r="D1509" s="7"/>
      <x:c r="E1509" t="n">
        <x:f>IF(ISNUMBER(A1509),1508,0)</x:f>
        <x:v>0</x:v>
      </x:c>
    </x:row>
    <x:row r="1510">
      <x:c r="A1510" s="6"/>
      <x:c r="B1510" s="7"/>
      <x:c r="C1510" s="7"/>
      <x:c r="D1510" s="7"/>
      <x:c r="E1510" t="n">
        <x:f>IF(ISNUMBER(A1510),1509,0)</x:f>
        <x:v>0</x:v>
      </x:c>
    </x:row>
    <x:row r="1511">
      <x:c r="A1511" s="6"/>
      <x:c r="B1511" s="7"/>
      <x:c r="C1511" s="7"/>
      <x:c r="D1511" s="7"/>
      <x:c r="E1511" t="n">
        <x:f>IF(ISNUMBER(A1511),1510,0)</x:f>
        <x:v>0</x:v>
      </x:c>
    </x:row>
    <x:row r="1512">
      <x:c r="A1512" s="6"/>
      <x:c r="B1512" s="7"/>
      <x:c r="C1512" s="7"/>
      <x:c r="D1512" s="7"/>
      <x:c r="E1512" t="n">
        <x:f>IF(ISNUMBER(A1512),1511,0)</x:f>
        <x:v>0</x:v>
      </x:c>
    </x:row>
    <x:row r="1513">
      <x:c r="A1513" s="6"/>
      <x:c r="B1513" s="7"/>
      <x:c r="C1513" s="7"/>
      <x:c r="D1513" s="7"/>
      <x:c r="E1513" t="n">
        <x:f>IF(ISNUMBER(A1513),1512,0)</x:f>
        <x:v>0</x:v>
      </x:c>
    </x:row>
    <x:row r="1514">
      <x:c r="A1514" s="6"/>
      <x:c r="B1514" s="7"/>
      <x:c r="C1514" s="7"/>
      <x:c r="D1514" s="7"/>
      <x:c r="E1514" t="n">
        <x:f>IF(ISNUMBER(A1514),1513,0)</x:f>
        <x:v>0</x:v>
      </x:c>
    </x:row>
    <x:row r="1515">
      <x:c r="A1515" s="6"/>
      <x:c r="B1515" s="7"/>
      <x:c r="C1515" s="7"/>
      <x:c r="D1515" s="7"/>
      <x:c r="E1515" t="n">
        <x:f>IF(ISNUMBER(A1515),1514,0)</x:f>
        <x:v>0</x:v>
      </x:c>
    </x:row>
    <x:row r="1516">
      <x:c r="A1516" s="6"/>
      <x:c r="B1516" s="7"/>
      <x:c r="C1516" s="7"/>
      <x:c r="D1516" s="7"/>
      <x:c r="E1516" t="n">
        <x:f>IF(ISNUMBER(A1516),1515,0)</x:f>
        <x:v>0</x:v>
      </x:c>
    </x:row>
    <x:row r="1517">
      <x:c r="A1517" s="6"/>
      <x:c r="B1517" s="7"/>
      <x:c r="C1517" s="7"/>
      <x:c r="D1517" s="7"/>
      <x:c r="E1517" t="n">
        <x:f>IF(ISNUMBER(A1517),1516,0)</x:f>
        <x:v>0</x:v>
      </x:c>
    </x:row>
    <x:row r="1518">
      <x:c r="A1518" s="6"/>
      <x:c r="B1518" s="7"/>
      <x:c r="C1518" s="7"/>
      <x:c r="D1518" s="7"/>
      <x:c r="E1518" t="n">
        <x:f>IF(ISNUMBER(A1518),1517,0)</x:f>
        <x:v>0</x:v>
      </x:c>
    </x:row>
    <x:row r="1519">
      <x:c r="A1519" s="6"/>
      <x:c r="B1519" s="7"/>
      <x:c r="C1519" s="7"/>
      <x:c r="D1519" s="7"/>
      <x:c r="E1519" t="n">
        <x:f>IF(ISNUMBER(A1519),1518,0)</x:f>
        <x:v>0</x:v>
      </x:c>
    </x:row>
    <x:row r="1520">
      <x:c r="A1520" s="6"/>
      <x:c r="B1520" s="7"/>
      <x:c r="C1520" s="7"/>
      <x:c r="D1520" s="7"/>
      <x:c r="E1520" t="n">
        <x:f>IF(ISNUMBER(A1520),1519,0)</x:f>
        <x:v>0</x:v>
      </x:c>
    </x:row>
    <x:row r="1521">
      <x:c r="A1521" s="6"/>
      <x:c r="B1521" s="7"/>
      <x:c r="C1521" s="7"/>
      <x:c r="D1521" s="7"/>
      <x:c r="E1521" t="n">
        <x:f>IF(ISNUMBER(A1521),1520,0)</x:f>
        <x:v>0</x:v>
      </x:c>
    </x:row>
    <x:row r="1522">
      <x:c r="A1522" s="6"/>
      <x:c r="B1522" s="7"/>
      <x:c r="C1522" s="7"/>
      <x:c r="D1522" s="7"/>
      <x:c r="E1522" t="n">
        <x:f>IF(ISNUMBER(A1522),1521,0)</x:f>
        <x:v>0</x:v>
      </x:c>
    </x:row>
    <x:row r="1523">
      <x:c r="A1523" s="6"/>
      <x:c r="B1523" s="7"/>
      <x:c r="C1523" s="7"/>
      <x:c r="D1523" s="7"/>
      <x:c r="E1523" t="n">
        <x:f>IF(ISNUMBER(A1523),1522,0)</x:f>
        <x:v>0</x:v>
      </x:c>
    </x:row>
    <x:row r="1524">
      <x:c r="A1524" s="6"/>
      <x:c r="B1524" s="7"/>
      <x:c r="C1524" s="7"/>
      <x:c r="D1524" s="7"/>
      <x:c r="E1524" t="n">
        <x:f>IF(ISNUMBER(A1524),1523,0)</x:f>
        <x:v>0</x:v>
      </x:c>
    </x:row>
    <x:row r="1525">
      <x:c r="A1525" s="6"/>
      <x:c r="B1525" s="7"/>
      <x:c r="C1525" s="7"/>
      <x:c r="D1525" s="7"/>
      <x:c r="E1525" t="n">
        <x:f>IF(ISNUMBER(A1525),1524,0)</x:f>
        <x:v>0</x:v>
      </x:c>
    </x:row>
    <x:row r="1526">
      <x:c r="A1526" s="6"/>
      <x:c r="B1526" s="7"/>
      <x:c r="C1526" s="7"/>
      <x:c r="D1526" s="7"/>
      <x:c r="E1526" t="n">
        <x:f>IF(ISNUMBER(A1526),1525,0)</x:f>
        <x:v>0</x:v>
      </x:c>
    </x:row>
    <x:row r="1527">
      <x:c r="A1527" s="6"/>
      <x:c r="B1527" s="7"/>
      <x:c r="C1527" s="7"/>
      <x:c r="D1527" s="7"/>
      <x:c r="E1527" t="n">
        <x:f>IF(ISNUMBER(A1527),1526,0)</x:f>
        <x:v>0</x:v>
      </x:c>
    </x:row>
    <x:row r="1528">
      <x:c r="A1528" s="6"/>
      <x:c r="B1528" s="7"/>
      <x:c r="C1528" s="7"/>
      <x:c r="D1528" s="7"/>
      <x:c r="E1528" t="n">
        <x:f>IF(ISNUMBER(A1528),1527,0)</x:f>
        <x:v>0</x:v>
      </x:c>
    </x:row>
    <x:row r="1529">
      <x:c r="A1529" s="6"/>
      <x:c r="B1529" s="7"/>
      <x:c r="C1529" s="7"/>
      <x:c r="D1529" s="7"/>
      <x:c r="E1529" t="n">
        <x:f>IF(ISNUMBER(A1529),1528,0)</x:f>
        <x:v>0</x:v>
      </x:c>
    </x:row>
    <x:row r="1530">
      <x:c r="A1530" s="6"/>
      <x:c r="B1530" s="7"/>
      <x:c r="C1530" s="7"/>
      <x:c r="D1530" s="7"/>
      <x:c r="E1530" t="n">
        <x:f>IF(ISNUMBER(A1530),1529,0)</x:f>
        <x:v>0</x:v>
      </x:c>
    </x:row>
    <x:row r="1531">
      <x:c r="A1531" s="6"/>
      <x:c r="B1531" s="7"/>
      <x:c r="C1531" s="7"/>
      <x:c r="D1531" s="7"/>
      <x:c r="E1531" t="n">
        <x:f>IF(ISNUMBER(A1531),1530,0)</x:f>
        <x:v>0</x:v>
      </x:c>
    </x:row>
    <x:row r="1532">
      <x:c r="A1532" s="6"/>
      <x:c r="B1532" s="7"/>
      <x:c r="C1532" s="7"/>
      <x:c r="D1532" s="7"/>
      <x:c r="E1532" t="n">
        <x:f>IF(ISNUMBER(A1532),1531,0)</x:f>
        <x:v>0</x:v>
      </x:c>
    </x:row>
    <x:row r="1533">
      <x:c r="A1533" s="6"/>
      <x:c r="B1533" s="7"/>
      <x:c r="C1533" s="7"/>
      <x:c r="D1533" s="7"/>
      <x:c r="E1533" t="n">
        <x:f>IF(ISNUMBER(A1533),1532,0)</x:f>
        <x:v>0</x:v>
      </x:c>
    </x:row>
    <x:row r="1534">
      <x:c r="A1534" s="6"/>
      <x:c r="B1534" s="7"/>
      <x:c r="C1534" s="7"/>
      <x:c r="D1534" s="7"/>
      <x:c r="E1534" t="n">
        <x:f>IF(ISNUMBER(A1534),1533,0)</x:f>
        <x:v>0</x:v>
      </x:c>
    </x:row>
    <x:row r="1535">
      <x:c r="A1535" s="6"/>
      <x:c r="B1535" s="7"/>
      <x:c r="C1535" s="7"/>
      <x:c r="D1535" s="7"/>
      <x:c r="E1535" t="n">
        <x:f>IF(ISNUMBER(A1535),1534,0)</x:f>
        <x:v>0</x:v>
      </x:c>
    </x:row>
    <x:row r="1536">
      <x:c r="A1536" s="6"/>
      <x:c r="B1536" s="7"/>
      <x:c r="C1536" s="7"/>
      <x:c r="D1536" s="7"/>
      <x:c r="E1536" t="n">
        <x:f>IF(ISNUMBER(A1536),1535,0)</x:f>
        <x:v>0</x:v>
      </x:c>
    </x:row>
    <x:row r="1537">
      <x:c r="A1537" s="6"/>
      <x:c r="B1537" s="7"/>
      <x:c r="C1537" s="7"/>
      <x:c r="D1537" s="7"/>
      <x:c r="E1537" t="n">
        <x:f>IF(ISNUMBER(A1537),1536,0)</x:f>
        <x:v>0</x:v>
      </x:c>
    </x:row>
    <x:row r="1538">
      <x:c r="A1538" s="6"/>
      <x:c r="B1538" s="7"/>
      <x:c r="C1538" s="7"/>
      <x:c r="D1538" s="7"/>
      <x:c r="E1538" t="n">
        <x:f>IF(ISNUMBER(A1538),1537,0)</x:f>
        <x:v>0</x:v>
      </x:c>
    </x:row>
    <x:row r="1539">
      <x:c r="A1539" s="6"/>
      <x:c r="B1539" s="7"/>
      <x:c r="C1539" s="7"/>
      <x:c r="D1539" s="7"/>
      <x:c r="E1539" t="n">
        <x:f>IF(ISNUMBER(A1539),1538,0)</x:f>
        <x:v>0</x:v>
      </x:c>
    </x:row>
    <x:row r="1540">
      <x:c r="A1540" s="6"/>
      <x:c r="B1540" s="7"/>
      <x:c r="C1540" s="7"/>
      <x:c r="D1540" s="7"/>
      <x:c r="E1540" t="n">
        <x:f>IF(ISNUMBER(A1540),1539,0)</x:f>
        <x:v>0</x:v>
      </x:c>
    </x:row>
    <x:row r="1541">
      <x:c r="A1541" s="6"/>
      <x:c r="B1541" s="7"/>
      <x:c r="C1541" s="7"/>
      <x:c r="D1541" s="7"/>
      <x:c r="E1541" t="n">
        <x:f>IF(ISNUMBER(A1541),1540,0)</x:f>
        <x:v>0</x:v>
      </x:c>
    </x:row>
    <x:row r="1542">
      <x:c r="A1542" s="6"/>
      <x:c r="B1542" s="7"/>
      <x:c r="C1542" s="7"/>
      <x:c r="D1542" s="7"/>
      <x:c r="E1542" t="n">
        <x:f>IF(ISNUMBER(A1542),1541,0)</x:f>
        <x:v>0</x:v>
      </x:c>
    </x:row>
    <x:row r="1543">
      <x:c r="A1543" s="6"/>
      <x:c r="B1543" s="7"/>
      <x:c r="C1543" s="7"/>
      <x:c r="D1543" s="7"/>
      <x:c r="E1543" t="n">
        <x:f>IF(ISNUMBER(A1543),1542,0)</x:f>
        <x:v>0</x:v>
      </x:c>
    </x:row>
    <x:row r="1544">
      <x:c r="A1544" s="6"/>
      <x:c r="B1544" s="7"/>
      <x:c r="C1544" s="7"/>
      <x:c r="D1544" s="7"/>
      <x:c r="E1544" t="n">
        <x:f>IF(ISNUMBER(A1544),1543,0)</x:f>
        <x:v>0</x:v>
      </x:c>
    </x:row>
    <x:row r="1545">
      <x:c r="A1545" s="6"/>
      <x:c r="B1545" s="7"/>
      <x:c r="C1545" s="7"/>
      <x:c r="D1545" s="7"/>
      <x:c r="E1545" t="n">
        <x:f>IF(ISNUMBER(A1545),1544,0)</x:f>
        <x:v>0</x:v>
      </x:c>
    </x:row>
    <x:row r="1546">
      <x:c r="A1546" s="6"/>
      <x:c r="B1546" s="7"/>
      <x:c r="C1546" s="7"/>
      <x:c r="D1546" s="7"/>
      <x:c r="E1546" t="n">
        <x:f>IF(ISNUMBER(A1546),1545,0)</x:f>
        <x:v>0</x:v>
      </x:c>
    </x:row>
    <x:row r="1547">
      <x:c r="A1547" s="6"/>
      <x:c r="B1547" s="7"/>
      <x:c r="C1547" s="7"/>
      <x:c r="D1547" s="7"/>
      <x:c r="E1547" t="n">
        <x:f>IF(ISNUMBER(A1547),1546,0)</x:f>
        <x:v>0</x:v>
      </x:c>
    </x:row>
    <x:row r="1548">
      <x:c r="A1548" s="6"/>
      <x:c r="B1548" s="7"/>
      <x:c r="C1548" s="7"/>
      <x:c r="D1548" s="7"/>
      <x:c r="E1548" t="n">
        <x:f>IF(ISNUMBER(A1548),1547,0)</x:f>
        <x:v>0</x:v>
      </x:c>
    </x:row>
    <x:row r="1549">
      <x:c r="A1549" s="6"/>
      <x:c r="B1549" s="7"/>
      <x:c r="C1549" s="7"/>
      <x:c r="D1549" s="7"/>
      <x:c r="E1549" t="n">
        <x:f>IF(ISNUMBER(A1549),1548,0)</x:f>
        <x:v>0</x:v>
      </x:c>
    </x:row>
    <x:row r="1550">
      <x:c r="A1550" s="6"/>
      <x:c r="B1550" s="7"/>
      <x:c r="C1550" s="7"/>
      <x:c r="D1550" s="7"/>
      <x:c r="E1550" t="n">
        <x:f>IF(ISNUMBER(A1550),1549,0)</x:f>
        <x:v>0</x:v>
      </x:c>
    </x:row>
    <x:row r="1551">
      <x:c r="A1551" s="6"/>
      <x:c r="B1551" s="7"/>
      <x:c r="C1551" s="7"/>
      <x:c r="D1551" s="7"/>
      <x:c r="E1551" t="n">
        <x:f>IF(ISNUMBER(A1551),1550,0)</x:f>
        <x:v>0</x:v>
      </x:c>
    </x:row>
    <x:row r="1552">
      <x:c r="A1552" s="6"/>
      <x:c r="B1552" s="7"/>
      <x:c r="C1552" s="7"/>
      <x:c r="D1552" s="7"/>
      <x:c r="E1552" t="n">
        <x:f>IF(ISNUMBER(A1552),1551,0)</x:f>
        <x:v>0</x:v>
      </x:c>
    </x:row>
    <x:row r="1553">
      <x:c r="A1553" s="6"/>
      <x:c r="B1553" s="7"/>
      <x:c r="C1553" s="7"/>
      <x:c r="D1553" s="7"/>
      <x:c r="E1553" t="n">
        <x:f>IF(ISNUMBER(A1553),1552,0)</x:f>
        <x:v>0</x:v>
      </x:c>
    </x:row>
    <x:row r="1554">
      <x:c r="A1554" s="6"/>
      <x:c r="B1554" s="7"/>
      <x:c r="C1554" s="7"/>
      <x:c r="D1554" s="7"/>
      <x:c r="E1554" t="n">
        <x:f>IF(ISNUMBER(A1554),1553,0)</x:f>
        <x:v>0</x:v>
      </x:c>
    </x:row>
    <x:row r="1555">
      <x:c r="A1555" s="6"/>
      <x:c r="B1555" s="7"/>
      <x:c r="C1555" s="7"/>
      <x:c r="D1555" s="7"/>
      <x:c r="E1555" t="n">
        <x:f>IF(ISNUMBER(A1555),1554,0)</x:f>
        <x:v>0</x:v>
      </x:c>
    </x:row>
    <x:row r="1556">
      <x:c r="A1556" s="6"/>
      <x:c r="B1556" s="7"/>
      <x:c r="C1556" s="7"/>
      <x:c r="D1556" s="7"/>
      <x:c r="E1556" t="n">
        <x:f>IF(ISNUMBER(A1556),1555,0)</x:f>
        <x:v>0</x:v>
      </x:c>
    </x:row>
    <x:row r="1557">
      <x:c r="A1557" s="6"/>
      <x:c r="B1557" s="7"/>
      <x:c r="C1557" s="7"/>
      <x:c r="D1557" s="7"/>
      <x:c r="E1557" t="n">
        <x:f>IF(ISNUMBER(A1557),1556,0)</x:f>
        <x:v>0</x:v>
      </x:c>
    </x:row>
    <x:row r="1558">
      <x:c r="A1558" s="6"/>
      <x:c r="B1558" s="7"/>
      <x:c r="C1558" s="7"/>
      <x:c r="D1558" s="7"/>
      <x:c r="E1558" t="n">
        <x:f>IF(ISNUMBER(A1558),1557,0)</x:f>
        <x:v>0</x:v>
      </x:c>
    </x:row>
    <x:row r="1559">
      <x:c r="A1559" s="6"/>
      <x:c r="B1559" s="7"/>
      <x:c r="C1559" s="7"/>
      <x:c r="D1559" s="7"/>
      <x:c r="E1559" t="n">
        <x:f>IF(ISNUMBER(A1559),1558,0)</x:f>
        <x:v>0</x:v>
      </x:c>
    </x:row>
    <x:row r="1560">
      <x:c r="A1560" s="6"/>
      <x:c r="B1560" s="7"/>
      <x:c r="C1560" s="7"/>
      <x:c r="D1560" s="7"/>
      <x:c r="E1560" t="n">
        <x:f>IF(ISNUMBER(A1560),1559,0)</x:f>
        <x:v>0</x:v>
      </x:c>
    </x:row>
    <x:row r="1561">
      <x:c r="A1561" s="6"/>
      <x:c r="B1561" s="7"/>
      <x:c r="C1561" s="7"/>
      <x:c r="D1561" s="7"/>
      <x:c r="E1561" t="n">
        <x:f>IF(ISNUMBER(A1561),1560,0)</x:f>
        <x:v>0</x:v>
      </x:c>
    </x:row>
    <x:row r="1562">
      <x:c r="A1562" s="6"/>
      <x:c r="B1562" s="7"/>
      <x:c r="C1562" s="7"/>
      <x:c r="D1562" s="7"/>
      <x:c r="E1562" t="n">
        <x:f>IF(ISNUMBER(A1562),1561,0)</x:f>
        <x:v>0</x:v>
      </x:c>
    </x:row>
    <x:row r="1563">
      <x:c r="A1563" s="6"/>
      <x:c r="B1563" s="7"/>
      <x:c r="C1563" s="7"/>
      <x:c r="D1563" s="7"/>
      <x:c r="E1563" t="n">
        <x:f>IF(ISNUMBER(A1563),1562,0)</x:f>
        <x:v>0</x:v>
      </x:c>
    </x:row>
    <x:row r="1564">
      <x:c r="A1564" s="6"/>
      <x:c r="B1564" s="7"/>
      <x:c r="C1564" s="7"/>
      <x:c r="D1564" s="7"/>
      <x:c r="E1564" t="n">
        <x:f>IF(ISNUMBER(A1564),1563,0)</x:f>
        <x:v>0</x:v>
      </x:c>
    </x:row>
    <x:row r="1565">
      <x:c r="A1565" s="6"/>
      <x:c r="B1565" s="7"/>
      <x:c r="C1565" s="7"/>
      <x:c r="D1565" s="7"/>
      <x:c r="E1565" t="n">
        <x:f>IF(ISNUMBER(A1565),1564,0)</x:f>
        <x:v>0</x:v>
      </x:c>
    </x:row>
    <x:row r="1566">
      <x:c r="A1566" s="6"/>
      <x:c r="B1566" s="7"/>
      <x:c r="C1566" s="7"/>
      <x:c r="D1566" s="7"/>
      <x:c r="E1566" t="n">
        <x:f>IF(ISNUMBER(A1566),1565,0)</x:f>
        <x:v>0</x:v>
      </x:c>
    </x:row>
    <x:row r="1567">
      <x:c r="A1567" s="6"/>
      <x:c r="B1567" s="7"/>
      <x:c r="C1567" s="7"/>
      <x:c r="D1567" s="7"/>
      <x:c r="E1567" t="n">
        <x:f>IF(ISNUMBER(A1567),1566,0)</x:f>
        <x:v>0</x:v>
      </x:c>
    </x:row>
    <x:row r="1568">
      <x:c r="A1568" s="6"/>
      <x:c r="B1568" s="7"/>
      <x:c r="C1568" s="7"/>
      <x:c r="D1568" s="7"/>
      <x:c r="E1568" t="n">
        <x:f>IF(ISNUMBER(A1568),1567,0)</x:f>
        <x:v>0</x:v>
      </x:c>
    </x:row>
    <x:row r="1569">
      <x:c r="A1569" s="6"/>
      <x:c r="B1569" s="7"/>
      <x:c r="C1569" s="7"/>
      <x:c r="D1569" s="7"/>
      <x:c r="E1569" t="n">
        <x:f>IF(ISNUMBER(A1569),1568,0)</x:f>
        <x:v>0</x:v>
      </x:c>
    </x:row>
    <x:row r="1570">
      <x:c r="A1570" s="6"/>
      <x:c r="B1570" s="7"/>
      <x:c r="C1570" s="7"/>
      <x:c r="D1570" s="7"/>
      <x:c r="E1570" t="n">
        <x:f>IF(ISNUMBER(A1570),1569,0)</x:f>
        <x:v>0</x:v>
      </x:c>
    </x:row>
    <x:row r="1571">
      <x:c r="A1571" s="6"/>
      <x:c r="B1571" s="7"/>
      <x:c r="C1571" s="7"/>
      <x:c r="D1571" s="7"/>
      <x:c r="E1571" t="n">
        <x:f>IF(ISNUMBER(A1571),1570,0)</x:f>
        <x:v>0</x:v>
      </x:c>
    </x:row>
    <x:row r="1572">
      <x:c r="A1572" s="6"/>
      <x:c r="B1572" s="7"/>
      <x:c r="C1572" s="7"/>
      <x:c r="D1572" s="7"/>
      <x:c r="E1572" t="n">
        <x:f>IF(ISNUMBER(A1572),1571,0)</x:f>
        <x:v>0</x:v>
      </x:c>
    </x:row>
    <x:row r="1573">
      <x:c r="A1573" s="6"/>
      <x:c r="B1573" s="7"/>
      <x:c r="C1573" s="7"/>
      <x:c r="D1573" s="7"/>
      <x:c r="E1573" t="n">
        <x:f>IF(ISNUMBER(A1573),1572,0)</x:f>
        <x:v>0</x:v>
      </x:c>
    </x:row>
    <x:row r="1574">
      <x:c r="A1574" s="6"/>
      <x:c r="B1574" s="7"/>
      <x:c r="C1574" s="7"/>
      <x:c r="D1574" s="7"/>
      <x:c r="E1574" t="n">
        <x:f>IF(ISNUMBER(A1574),1573,0)</x:f>
        <x:v>0</x:v>
      </x:c>
    </x:row>
    <x:row r="1575">
      <x:c r="A1575" s="6"/>
      <x:c r="B1575" s="7"/>
      <x:c r="C1575" s="7"/>
      <x:c r="D1575" s="7"/>
      <x:c r="E1575" t="n">
        <x:f>IF(ISNUMBER(A1575),1574,0)</x:f>
        <x:v>0</x:v>
      </x:c>
    </x:row>
    <x:row r="1576">
      <x:c r="A1576" s="6"/>
      <x:c r="B1576" s="7"/>
      <x:c r="C1576" s="7"/>
      <x:c r="D1576" s="7"/>
      <x:c r="E1576" t="n">
        <x:f>IF(ISNUMBER(A1576),1575,0)</x:f>
        <x:v>0</x:v>
      </x:c>
    </x:row>
    <x:row r="1577">
      <x:c r="A1577" s="6"/>
      <x:c r="B1577" s="7"/>
      <x:c r="C1577" s="7"/>
      <x:c r="D1577" s="7"/>
      <x:c r="E1577" t="n">
        <x:f>IF(ISNUMBER(A1577),1576,0)</x:f>
        <x:v>0</x:v>
      </x:c>
    </x:row>
    <x:row r="1578">
      <x:c r="A1578" s="6"/>
      <x:c r="B1578" s="7"/>
      <x:c r="C1578" s="7"/>
      <x:c r="D1578" s="7"/>
      <x:c r="E1578" t="n">
        <x:f>IF(ISNUMBER(A1578),1577,0)</x:f>
        <x:v>0</x:v>
      </x:c>
    </x:row>
    <x:row r="1579">
      <x:c r="A1579" s="6"/>
      <x:c r="B1579" s="7"/>
      <x:c r="C1579" s="7"/>
      <x:c r="D1579" s="7"/>
      <x:c r="E1579" t="n">
        <x:f>IF(ISNUMBER(A1579),1578,0)</x:f>
        <x:v>0</x:v>
      </x:c>
    </x:row>
    <x:row r="1580">
      <x:c r="A1580" s="6"/>
      <x:c r="B1580" s="7"/>
      <x:c r="C1580" s="7"/>
      <x:c r="D1580" s="7"/>
      <x:c r="E1580" t="n">
        <x:f>IF(ISNUMBER(A1580),1579,0)</x:f>
        <x:v>0</x:v>
      </x:c>
    </x:row>
    <x:row r="1581">
      <x:c r="A1581" s="6"/>
      <x:c r="B1581" s="7"/>
      <x:c r="C1581" s="7"/>
      <x:c r="D1581" s="7"/>
      <x:c r="E1581" t="n">
        <x:f>IF(ISNUMBER(A1581),1580,0)</x:f>
        <x:v>0</x:v>
      </x:c>
    </x:row>
    <x:row r="1582">
      <x:c r="A1582" s="6"/>
      <x:c r="B1582" s="7"/>
      <x:c r="C1582" s="7"/>
      <x:c r="D1582" s="7"/>
      <x:c r="E1582" t="n">
        <x:f>IF(ISNUMBER(A1582),1581,0)</x:f>
        <x:v>0</x:v>
      </x:c>
    </x:row>
    <x:row r="1583">
      <x:c r="A1583" s="6"/>
      <x:c r="B1583" s="7"/>
      <x:c r="C1583" s="7"/>
      <x:c r="D1583" s="7"/>
      <x:c r="E1583" t="n">
        <x:f>IF(ISNUMBER(A1583),1582,0)</x:f>
        <x:v>0</x:v>
      </x:c>
    </x:row>
    <x:row r="1584">
      <x:c r="A1584" s="6"/>
      <x:c r="B1584" s="7"/>
      <x:c r="C1584" s="7"/>
      <x:c r="D1584" s="7"/>
      <x:c r="E1584" t="n">
        <x:f>IF(ISNUMBER(A1584),1583,0)</x:f>
        <x:v>0</x:v>
      </x:c>
    </x:row>
    <x:row r="1585">
      <x:c r="A1585" s="6"/>
      <x:c r="B1585" s="7"/>
      <x:c r="C1585" s="7"/>
      <x:c r="D1585" s="7"/>
      <x:c r="E1585" t="n">
        <x:f>IF(ISNUMBER(A1585),1584,0)</x:f>
        <x:v>0</x:v>
      </x:c>
    </x:row>
    <x:row r="1586">
      <x:c r="A1586" s="6"/>
      <x:c r="B1586" s="7"/>
      <x:c r="C1586" s="7"/>
      <x:c r="D1586" s="7"/>
      <x:c r="E1586" t="n">
        <x:f>IF(ISNUMBER(A1586),1585,0)</x:f>
        <x:v>0</x:v>
      </x:c>
    </x:row>
    <x:row r="1587">
      <x:c r="A1587" s="6"/>
      <x:c r="B1587" s="7"/>
      <x:c r="C1587" s="7"/>
      <x:c r="D1587" s="7"/>
      <x:c r="E1587" t="n">
        <x:f>IF(ISNUMBER(A1587),1586,0)</x:f>
        <x:v>0</x:v>
      </x:c>
    </x:row>
    <x:row r="1588">
      <x:c r="A1588" s="6"/>
      <x:c r="B1588" s="7"/>
      <x:c r="C1588" s="7"/>
      <x:c r="D1588" s="7"/>
      <x:c r="E1588" t="n">
        <x:f>IF(ISNUMBER(A1588),1587,0)</x:f>
        <x:v>0</x:v>
      </x:c>
    </x:row>
    <x:row r="1589">
      <x:c r="A1589" s="6"/>
      <x:c r="B1589" s="7"/>
      <x:c r="C1589" s="7"/>
      <x:c r="D1589" s="7"/>
      <x:c r="E1589" t="n">
        <x:f>IF(ISNUMBER(A1589),1588,0)</x:f>
        <x:v>0</x:v>
      </x:c>
    </x:row>
    <x:row r="1590">
      <x:c r="A1590" s="6"/>
      <x:c r="B1590" s="7"/>
      <x:c r="C1590" s="7"/>
      <x:c r="D1590" s="7"/>
      <x:c r="E1590" t="n">
        <x:f>IF(ISNUMBER(A1590),1589,0)</x:f>
        <x:v>0</x:v>
      </x:c>
    </x:row>
    <x:row r="1591">
      <x:c r="A1591" s="6"/>
      <x:c r="B1591" s="7"/>
      <x:c r="C1591" s="7"/>
      <x:c r="D1591" s="7"/>
      <x:c r="E1591" t="n">
        <x:f>IF(ISNUMBER(A1591),1590,0)</x:f>
        <x:v>0</x:v>
      </x:c>
    </x:row>
    <x:row r="1592">
      <x:c r="A1592" s="6"/>
      <x:c r="B1592" s="7"/>
      <x:c r="C1592" s="7"/>
      <x:c r="D1592" s="7"/>
      <x:c r="E1592" t="n">
        <x:f>IF(ISNUMBER(A1592),1591,0)</x:f>
        <x:v>0</x:v>
      </x:c>
    </x:row>
    <x:row r="1593">
      <x:c r="A1593" s="6"/>
      <x:c r="B1593" s="7"/>
      <x:c r="C1593" s="7"/>
      <x:c r="D1593" s="7"/>
      <x:c r="E1593" t="n">
        <x:f>IF(ISNUMBER(A1593),1592,0)</x:f>
        <x:v>0</x:v>
      </x:c>
    </x:row>
    <x:row r="1594">
      <x:c r="A1594" s="6"/>
      <x:c r="B1594" s="7"/>
      <x:c r="C1594" s="7"/>
      <x:c r="D1594" s="7"/>
      <x:c r="E1594" t="n">
        <x:f>IF(ISNUMBER(A1594),1593,0)</x:f>
        <x:v>0</x:v>
      </x:c>
    </x:row>
    <x:row r="1595">
      <x:c r="A1595" s="6"/>
      <x:c r="B1595" s="7"/>
      <x:c r="C1595" s="7"/>
      <x:c r="D1595" s="7"/>
      <x:c r="E1595" t="n">
        <x:f>IF(ISNUMBER(A1595),1594,0)</x:f>
        <x:v>0</x:v>
      </x:c>
    </x:row>
    <x:row r="1596">
      <x:c r="A1596" s="6"/>
      <x:c r="B1596" s="7"/>
      <x:c r="C1596" s="7"/>
      <x:c r="D1596" s="7"/>
      <x:c r="E1596" t="n">
        <x:f>IF(ISNUMBER(A1596),1595,0)</x:f>
        <x:v>0</x:v>
      </x:c>
    </x:row>
    <x:row r="1597">
      <x:c r="A1597" s="6"/>
      <x:c r="B1597" s="7"/>
      <x:c r="C1597" s="7"/>
      <x:c r="D1597" s="7"/>
      <x:c r="E1597" t="n">
        <x:f>IF(ISNUMBER(A1597),1596,0)</x:f>
        <x:v>0</x:v>
      </x:c>
    </x:row>
    <x:row r="1598">
      <x:c r="A1598" s="6"/>
      <x:c r="B1598" s="7"/>
      <x:c r="C1598" s="7"/>
      <x:c r="D1598" s="7"/>
      <x:c r="E1598" t="n">
        <x:f>IF(ISNUMBER(A1598),1597,0)</x:f>
        <x:v>0</x:v>
      </x:c>
    </x:row>
    <x:row r="1599">
      <x:c r="A1599" s="6"/>
      <x:c r="B1599" s="7"/>
      <x:c r="C1599" s="7"/>
      <x:c r="D1599" s="7"/>
      <x:c r="E1599" t="n">
        <x:f>IF(ISNUMBER(A1599),1598,0)</x:f>
        <x:v>0</x:v>
      </x:c>
    </x:row>
    <x:row r="1600">
      <x:c r="A1600" s="6"/>
      <x:c r="B1600" s="7"/>
      <x:c r="C1600" s="7"/>
      <x:c r="D1600" s="7"/>
      <x:c r="E1600" t="n">
        <x:f>IF(ISNUMBER(A1600),1599,0)</x:f>
        <x:v>0</x:v>
      </x:c>
    </x:row>
    <x:row r="1601">
      <x:c r="A1601" s="6"/>
      <x:c r="B1601" s="7"/>
      <x:c r="C1601" s="7"/>
      <x:c r="D1601" s="7"/>
      <x:c r="E1601" t="n">
        <x:f>IF(ISNUMBER(A1601),1600,0)</x:f>
        <x:v>0</x:v>
      </x:c>
    </x:row>
    <x:row r="1602">
      <x:c r="A1602" s="6"/>
      <x:c r="B1602" s="7"/>
      <x:c r="C1602" s="7"/>
      <x:c r="D1602" s="7"/>
      <x:c r="E1602" t="n">
        <x:f>IF(ISNUMBER(A1602),1601,0)</x:f>
        <x:v>0</x:v>
      </x:c>
    </x:row>
    <x:row r="1603">
      <x:c r="A1603" s="6"/>
      <x:c r="B1603" s="7"/>
      <x:c r="C1603" s="7"/>
      <x:c r="D1603" s="7"/>
      <x:c r="E1603" t="n">
        <x:f>IF(ISNUMBER(A1603),1602,0)</x:f>
        <x:v>0</x:v>
      </x:c>
    </x:row>
    <x:row r="1604">
      <x:c r="A1604" s="6"/>
      <x:c r="B1604" s="7"/>
      <x:c r="C1604" s="7"/>
      <x:c r="D1604" s="7"/>
      <x:c r="E1604" t="n">
        <x:f>IF(ISNUMBER(A1604),1603,0)</x:f>
        <x:v>0</x:v>
      </x:c>
    </x:row>
    <x:row r="1605">
      <x:c r="A1605" s="6"/>
      <x:c r="B1605" s="7"/>
      <x:c r="C1605" s="7"/>
      <x:c r="D1605" s="7"/>
      <x:c r="E1605" t="n">
        <x:f>IF(ISNUMBER(A1605),1604,0)</x:f>
        <x:v>0</x:v>
      </x:c>
    </x:row>
    <x:row r="1606">
      <x:c r="A1606" s="6"/>
      <x:c r="B1606" s="7"/>
      <x:c r="C1606" s="7"/>
      <x:c r="D1606" s="7"/>
      <x:c r="E1606" t="n">
        <x:f>IF(ISNUMBER(A1606),1605,0)</x:f>
        <x:v>0</x:v>
      </x:c>
    </x:row>
    <x:row r="1607">
      <x:c r="A1607" s="6"/>
      <x:c r="B1607" s="7"/>
      <x:c r="C1607" s="7"/>
      <x:c r="D1607" s="7"/>
      <x:c r="E1607" t="n">
        <x:f>IF(ISNUMBER(A1607),1606,0)</x:f>
        <x:v>0</x:v>
      </x:c>
    </x:row>
    <x:row r="1608">
      <x:c r="A1608" s="6"/>
      <x:c r="B1608" s="7"/>
      <x:c r="C1608" s="7"/>
      <x:c r="D1608" s="7"/>
      <x:c r="E1608" t="n">
        <x:f>IF(ISNUMBER(A1608),1607,0)</x:f>
        <x:v>0</x:v>
      </x:c>
    </x:row>
    <x:row r="1609">
      <x:c r="A1609" s="6"/>
      <x:c r="B1609" s="7"/>
      <x:c r="C1609" s="7"/>
      <x:c r="D1609" s="7"/>
      <x:c r="E1609" t="n">
        <x:f>IF(ISNUMBER(A1609),1608,0)</x:f>
        <x:v>0</x:v>
      </x:c>
    </x:row>
    <x:row r="1610">
      <x:c r="A1610" s="6"/>
      <x:c r="B1610" s="7"/>
      <x:c r="C1610" s="7"/>
      <x:c r="D1610" s="7"/>
      <x:c r="E1610" t="n">
        <x:f>IF(ISNUMBER(A1610),1609,0)</x:f>
        <x:v>0</x:v>
      </x:c>
    </x:row>
    <x:row r="1611">
      <x:c r="A1611" s="6"/>
      <x:c r="B1611" s="7"/>
      <x:c r="C1611" s="7"/>
      <x:c r="D1611" s="7"/>
      <x:c r="E1611" t="n">
        <x:f>IF(ISNUMBER(A1611),1610,0)</x:f>
        <x:v>0</x:v>
      </x:c>
    </x:row>
    <x:row r="1612">
      <x:c r="A1612" s="6"/>
      <x:c r="B1612" s="7"/>
      <x:c r="C1612" s="7"/>
      <x:c r="D1612" s="7"/>
      <x:c r="E1612" t="n">
        <x:f>IF(ISNUMBER(A1612),1611,0)</x:f>
        <x:v>0</x:v>
      </x:c>
    </x:row>
    <x:row r="1613">
      <x:c r="A1613" s="6"/>
      <x:c r="B1613" s="7"/>
      <x:c r="C1613" s="7"/>
      <x:c r="D1613" s="7"/>
      <x:c r="E1613" t="n">
        <x:f>IF(ISNUMBER(A1613),1612,0)</x:f>
        <x:v>0</x:v>
      </x:c>
    </x:row>
    <x:row r="1614">
      <x:c r="A1614" s="6"/>
      <x:c r="B1614" s="7"/>
      <x:c r="C1614" s="7"/>
      <x:c r="D1614" s="7"/>
      <x:c r="E1614" t="n">
        <x:f>IF(ISNUMBER(A1614),1613,0)</x:f>
        <x:v>0</x:v>
      </x:c>
    </x:row>
    <x:row r="1615">
      <x:c r="A1615" s="6"/>
      <x:c r="B1615" s="7"/>
      <x:c r="C1615" s="7"/>
      <x:c r="D1615" s="7"/>
      <x:c r="E1615" t="n">
        <x:f>IF(ISNUMBER(A1615),1614,0)</x:f>
        <x:v>0</x:v>
      </x:c>
    </x:row>
    <x:row r="1616">
      <x:c r="A1616" s="6"/>
      <x:c r="B1616" s="7"/>
      <x:c r="C1616" s="7"/>
      <x:c r="D1616" s="7"/>
      <x:c r="E1616" t="n">
        <x:f>IF(ISNUMBER(A1616),1615,0)</x:f>
        <x:v>0</x:v>
      </x:c>
    </x:row>
    <x:row r="1617">
      <x:c r="A1617" s="6"/>
      <x:c r="B1617" s="7"/>
      <x:c r="C1617" s="7"/>
      <x:c r="D1617" s="7"/>
      <x:c r="E1617" t="n">
        <x:f>IF(ISNUMBER(A1617),1616,0)</x:f>
        <x:v>0</x:v>
      </x:c>
    </x:row>
    <x:row r="1618">
      <x:c r="A1618" s="6"/>
      <x:c r="B1618" s="7"/>
      <x:c r="C1618" s="7"/>
      <x:c r="D1618" s="7"/>
      <x:c r="E1618" t="n">
        <x:f>IF(ISNUMBER(A1618),1617,0)</x:f>
        <x:v>0</x:v>
      </x:c>
    </x:row>
    <x:row r="1619">
      <x:c r="A1619" s="6"/>
      <x:c r="B1619" s="7"/>
      <x:c r="C1619" s="7"/>
      <x:c r="D1619" s="7"/>
      <x:c r="E1619" t="n">
        <x:f>IF(ISNUMBER(A1619),1618,0)</x:f>
        <x:v>0</x:v>
      </x:c>
    </x:row>
    <x:row r="1620">
      <x:c r="A1620" s="6"/>
      <x:c r="B1620" s="7"/>
      <x:c r="C1620" s="7"/>
      <x:c r="D1620" s="7"/>
      <x:c r="E1620" t="n">
        <x:f>IF(ISNUMBER(A1620),1619,0)</x:f>
        <x:v>0</x:v>
      </x:c>
    </x:row>
    <x:row r="1621">
      <x:c r="A1621" s="6"/>
      <x:c r="B1621" s="7"/>
      <x:c r="C1621" s="7"/>
      <x:c r="D1621" s="7"/>
      <x:c r="E1621" t="n">
        <x:f>IF(ISNUMBER(A1621),1620,0)</x:f>
        <x:v>0</x:v>
      </x:c>
    </x:row>
    <x:row r="1622">
      <x:c r="A1622" s="6"/>
      <x:c r="B1622" s="7"/>
      <x:c r="C1622" s="7"/>
      <x:c r="D1622" s="7"/>
      <x:c r="E1622" t="n">
        <x:f>IF(ISNUMBER(A1622),1621,0)</x:f>
        <x:v>0</x:v>
      </x:c>
    </x:row>
    <x:row r="1623">
      <x:c r="A1623" s="6"/>
      <x:c r="B1623" s="7"/>
      <x:c r="C1623" s="7"/>
      <x:c r="D1623" s="7"/>
      <x:c r="E1623" t="n">
        <x:f>IF(ISNUMBER(A1623),1622,0)</x:f>
        <x:v>0</x:v>
      </x:c>
    </x:row>
    <x:row r="1624">
      <x:c r="A1624" s="6"/>
      <x:c r="B1624" s="7"/>
      <x:c r="C1624" s="7"/>
      <x:c r="D1624" s="7"/>
      <x:c r="E1624" t="n">
        <x:f>IF(ISNUMBER(A1624),1623,0)</x:f>
        <x:v>0</x:v>
      </x:c>
    </x:row>
    <x:row r="1625">
      <x:c r="A1625" s="6"/>
      <x:c r="B1625" s="7"/>
      <x:c r="C1625" s="7"/>
      <x:c r="D1625" s="7"/>
      <x:c r="E1625" t="n">
        <x:f>IF(ISNUMBER(A1625),1624,0)</x:f>
        <x:v>0</x:v>
      </x:c>
    </x:row>
    <x:row r="1626">
      <x:c r="A1626" s="6"/>
      <x:c r="B1626" s="7"/>
      <x:c r="C1626" s="7"/>
      <x:c r="D1626" s="7"/>
      <x:c r="E1626" t="n">
        <x:f>IF(ISNUMBER(A1626),1625,0)</x:f>
        <x:v>0</x:v>
      </x:c>
    </x:row>
    <x:row r="1627">
      <x:c r="A1627" s="6"/>
      <x:c r="B1627" s="7"/>
      <x:c r="C1627" s="7"/>
      <x:c r="D1627" s="7"/>
      <x:c r="E1627" t="n">
        <x:f>IF(ISNUMBER(A1627),1626,0)</x:f>
        <x:v>0</x:v>
      </x:c>
    </x:row>
    <x:row r="1628">
      <x:c r="A1628" s="6"/>
      <x:c r="B1628" s="7"/>
      <x:c r="C1628" s="7"/>
      <x:c r="D1628" s="7"/>
      <x:c r="E1628" t="n">
        <x:f>IF(ISNUMBER(A1628),1627,0)</x:f>
        <x:v>0</x:v>
      </x:c>
    </x:row>
    <x:row r="1629">
      <x:c r="A1629" s="6"/>
      <x:c r="B1629" s="7"/>
      <x:c r="C1629" s="7"/>
      <x:c r="D1629" s="7"/>
      <x:c r="E1629" t="n">
        <x:f>IF(ISNUMBER(A1629),1628,0)</x:f>
        <x:v>0</x:v>
      </x:c>
    </x:row>
    <x:row r="1630">
      <x:c r="A1630" s="6"/>
      <x:c r="B1630" s="7"/>
      <x:c r="C1630" s="7"/>
      <x:c r="D1630" s="7"/>
      <x:c r="E1630" t="n">
        <x:f>IF(ISNUMBER(A1630),1629,0)</x:f>
        <x:v>0</x:v>
      </x:c>
    </x:row>
    <x:row r="1631">
      <x:c r="A1631" s="6"/>
      <x:c r="B1631" s="7"/>
      <x:c r="C1631" s="7"/>
      <x:c r="D1631" s="7"/>
      <x:c r="E1631" t="n">
        <x:f>IF(ISNUMBER(A1631),1630,0)</x:f>
        <x:v>0</x:v>
      </x:c>
    </x:row>
    <x:row r="1632">
      <x:c r="A1632" s="6"/>
      <x:c r="B1632" s="7"/>
      <x:c r="C1632" s="7"/>
      <x:c r="D1632" s="7"/>
      <x:c r="E1632" t="n">
        <x:f>IF(ISNUMBER(A1632),1631,0)</x:f>
        <x:v>0</x:v>
      </x:c>
    </x:row>
    <x:row r="1633">
      <x:c r="A1633" s="6"/>
      <x:c r="B1633" s="7"/>
      <x:c r="C1633" s="7"/>
      <x:c r="D1633" s="7"/>
      <x:c r="E1633" t="n">
        <x:f>IF(ISNUMBER(A1633),1632,0)</x:f>
        <x:v>0</x:v>
      </x:c>
    </x:row>
    <x:row r="1634">
      <x:c r="A1634" s="6"/>
      <x:c r="B1634" s="7"/>
      <x:c r="C1634" s="7"/>
      <x:c r="D1634" s="7"/>
      <x:c r="E1634" t="n">
        <x:f>IF(ISNUMBER(A1634),1633,0)</x:f>
        <x:v>0</x:v>
      </x:c>
    </x:row>
    <x:row r="1635">
      <x:c r="A1635" s="6"/>
      <x:c r="B1635" s="7"/>
      <x:c r="C1635" s="7"/>
      <x:c r="D1635" s="7"/>
      <x:c r="E1635" t="n">
        <x:f>IF(ISNUMBER(A1635),1634,0)</x:f>
        <x:v>0</x:v>
      </x:c>
    </x:row>
    <x:row r="1636">
      <x:c r="A1636" s="6"/>
      <x:c r="B1636" s="7"/>
      <x:c r="C1636" s="7"/>
      <x:c r="D1636" s="7"/>
      <x:c r="E1636" t="n">
        <x:f>IF(ISNUMBER(A1636),1635,0)</x:f>
        <x:v>0</x:v>
      </x:c>
    </x:row>
    <x:row r="1637">
      <x:c r="A1637" s="6"/>
      <x:c r="B1637" s="7"/>
      <x:c r="C1637" s="7"/>
      <x:c r="D1637" s="7"/>
      <x:c r="E1637" t="n">
        <x:f>IF(ISNUMBER(A1637),1636,0)</x:f>
        <x:v>0</x:v>
      </x:c>
    </x:row>
    <x:row r="1638">
      <x:c r="A1638" s="6"/>
      <x:c r="B1638" s="7"/>
      <x:c r="C1638" s="7"/>
      <x:c r="D1638" s="7"/>
      <x:c r="E1638" t="n">
        <x:f>IF(ISNUMBER(A1638),1637,0)</x:f>
        <x:v>0</x:v>
      </x:c>
    </x:row>
    <x:row r="1639">
      <x:c r="A1639" s="6"/>
      <x:c r="B1639" s="7"/>
      <x:c r="C1639" s="7"/>
      <x:c r="D1639" s="7"/>
      <x:c r="E1639" t="n">
        <x:f>IF(ISNUMBER(A1639),1638,0)</x:f>
        <x:v>0</x:v>
      </x:c>
    </x:row>
    <x:row r="1640">
      <x:c r="A1640" s="6"/>
      <x:c r="B1640" s="7"/>
      <x:c r="C1640" s="7"/>
      <x:c r="D1640" s="7"/>
      <x:c r="E1640" t="n">
        <x:f>IF(ISNUMBER(A1640),1639,0)</x:f>
        <x:v>0</x:v>
      </x:c>
    </x:row>
    <x:row r="1641">
      <x:c r="A1641" s="6"/>
      <x:c r="B1641" s="7"/>
      <x:c r="C1641" s="7"/>
      <x:c r="D1641" s="7"/>
      <x:c r="E1641" t="n">
        <x:f>IF(ISNUMBER(A1641),1640,0)</x:f>
        <x:v>0</x:v>
      </x:c>
    </x:row>
    <x:row r="1642">
      <x:c r="A1642" s="6"/>
      <x:c r="B1642" s="7"/>
      <x:c r="C1642" s="7"/>
      <x:c r="D1642" s="7"/>
      <x:c r="E1642" t="n">
        <x:f>IF(ISNUMBER(A1642),1641,0)</x:f>
        <x:v>0</x:v>
      </x:c>
    </x:row>
    <x:row r="1643">
      <x:c r="A1643" s="6"/>
      <x:c r="B1643" s="7"/>
      <x:c r="C1643" s="7"/>
      <x:c r="D1643" s="7"/>
      <x:c r="E1643" t="n">
        <x:f>IF(ISNUMBER(A1643),1642,0)</x:f>
        <x:v>0</x:v>
      </x:c>
    </x:row>
    <x:row r="1644">
      <x:c r="A1644" s="6"/>
      <x:c r="B1644" s="7"/>
      <x:c r="C1644" s="7"/>
      <x:c r="D1644" s="7"/>
      <x:c r="E1644" t="n">
        <x:f>IF(ISNUMBER(A1644),1643,0)</x:f>
        <x:v>0</x:v>
      </x:c>
    </x:row>
    <x:row r="1645">
      <x:c r="A1645" s="6"/>
      <x:c r="B1645" s="7"/>
      <x:c r="C1645" s="7"/>
      <x:c r="D1645" s="7"/>
      <x:c r="E1645" t="n">
        <x:f>IF(ISNUMBER(A1645),1644,0)</x:f>
        <x:v>0</x:v>
      </x:c>
    </x:row>
    <x:row r="1646">
      <x:c r="A1646" s="6"/>
      <x:c r="B1646" s="7"/>
      <x:c r="C1646" s="7"/>
      <x:c r="D1646" s="7"/>
      <x:c r="E1646" t="n">
        <x:f>IF(ISNUMBER(A1646),1645,0)</x:f>
        <x:v>0</x:v>
      </x:c>
    </x:row>
    <x:row r="1647">
      <x:c r="A1647" s="6"/>
      <x:c r="B1647" s="7"/>
      <x:c r="C1647" s="7"/>
      <x:c r="D1647" s="7"/>
      <x:c r="E1647" t="n">
        <x:f>IF(ISNUMBER(A1647),1646,0)</x:f>
        <x:v>0</x:v>
      </x:c>
    </x:row>
    <x:row r="1648">
      <x:c r="A1648" s="6"/>
      <x:c r="B1648" s="7"/>
      <x:c r="C1648" s="7"/>
      <x:c r="D1648" s="7"/>
      <x:c r="E1648" t="n">
        <x:f>IF(ISNUMBER(A1648),1647,0)</x:f>
        <x:v>0</x:v>
      </x:c>
    </x:row>
    <x:row r="1649">
      <x:c r="A1649" s="6"/>
      <x:c r="B1649" s="7"/>
      <x:c r="C1649" s="7"/>
      <x:c r="D1649" s="7"/>
      <x:c r="E1649" t="n">
        <x:f>IF(ISNUMBER(A1649),1648,0)</x:f>
        <x:v>0</x:v>
      </x:c>
    </x:row>
    <x:row r="1650">
      <x:c r="A1650" s="6"/>
      <x:c r="B1650" s="7"/>
      <x:c r="C1650" s="7"/>
      <x:c r="D1650" s="7"/>
      <x:c r="E1650" t="n">
        <x:f>IF(ISNUMBER(A1650),1649,0)</x:f>
        <x:v>0</x:v>
      </x:c>
    </x:row>
    <x:row r="1651">
      <x:c r="A1651" s="6"/>
      <x:c r="B1651" s="7"/>
      <x:c r="C1651" s="7"/>
      <x:c r="D1651" s="7"/>
      <x:c r="E1651" t="n">
        <x:f>IF(ISNUMBER(A1651),1650,0)</x:f>
        <x:v>0</x:v>
      </x:c>
    </x:row>
    <x:row r="1652">
      <x:c r="A1652" s="6"/>
      <x:c r="B1652" s="7"/>
      <x:c r="C1652" s="7"/>
      <x:c r="D1652" s="7"/>
      <x:c r="E1652" t="n">
        <x:f>IF(ISNUMBER(A1652),1651,0)</x:f>
        <x:v>0</x:v>
      </x:c>
    </x:row>
    <x:row r="1653">
      <x:c r="A1653" s="6"/>
      <x:c r="B1653" s="7"/>
      <x:c r="C1653" s="7"/>
      <x:c r="D1653" s="7"/>
      <x:c r="E1653" t="n">
        <x:f>IF(ISNUMBER(A1653),1652,0)</x:f>
        <x:v>0</x:v>
      </x:c>
    </x:row>
    <x:row r="1654">
      <x:c r="A1654" s="6"/>
      <x:c r="B1654" s="7"/>
      <x:c r="C1654" s="7"/>
      <x:c r="D1654" s="7"/>
      <x:c r="E1654" t="n">
        <x:f>IF(ISNUMBER(A1654),1653,0)</x:f>
        <x:v>0</x:v>
      </x:c>
    </x:row>
    <x:row r="1655">
      <x:c r="A1655" s="6"/>
      <x:c r="B1655" s="7"/>
      <x:c r="C1655" s="7"/>
      <x:c r="D1655" s="7"/>
      <x:c r="E1655" t="n">
        <x:f>IF(ISNUMBER(A1655),1654,0)</x:f>
        <x:v>0</x:v>
      </x:c>
    </x:row>
    <x:row r="1656">
      <x:c r="A1656" s="6"/>
      <x:c r="B1656" s="7"/>
      <x:c r="C1656" s="7"/>
      <x:c r="D1656" s="7"/>
      <x:c r="E1656" t="n">
        <x:f>IF(ISNUMBER(A1656),1655,0)</x:f>
        <x:v>0</x:v>
      </x:c>
    </x:row>
    <x:row r="1657">
      <x:c r="A1657" s="6"/>
      <x:c r="B1657" s="7"/>
      <x:c r="C1657" s="7"/>
      <x:c r="D1657" s="7"/>
      <x:c r="E1657" t="n">
        <x:f>IF(ISNUMBER(A1657),1656,0)</x:f>
        <x:v>0</x:v>
      </x:c>
    </x:row>
    <x:row r="1658">
      <x:c r="A1658" s="6"/>
      <x:c r="B1658" s="7"/>
      <x:c r="C1658" s="7"/>
      <x:c r="D1658" s="7"/>
      <x:c r="E1658" t="n">
        <x:f>IF(ISNUMBER(A1658),1657,0)</x:f>
        <x:v>0</x:v>
      </x:c>
    </x:row>
    <x:row r="1659">
      <x:c r="A1659" s="6"/>
      <x:c r="B1659" s="7"/>
      <x:c r="C1659" s="7"/>
      <x:c r="D1659" s="7"/>
      <x:c r="E1659" t="n">
        <x:f>IF(ISNUMBER(A1659),1658,0)</x:f>
        <x:v>0</x:v>
      </x:c>
    </x:row>
    <x:row r="1660">
      <x:c r="A1660" s="6"/>
      <x:c r="B1660" s="7"/>
      <x:c r="C1660" s="7"/>
      <x:c r="D1660" s="7"/>
      <x:c r="E1660" t="n">
        <x:f>IF(ISNUMBER(A1660),1659,0)</x:f>
        <x:v>0</x:v>
      </x:c>
    </x:row>
    <x:row r="1661">
      <x:c r="A1661" s="6"/>
      <x:c r="B1661" s="7"/>
      <x:c r="C1661" s="7"/>
      <x:c r="D1661" s="7"/>
      <x:c r="E1661" t="n">
        <x:f>IF(ISNUMBER(A1661),1660,0)</x:f>
        <x:v>0</x:v>
      </x:c>
    </x:row>
    <x:row r="1662">
      <x:c r="A1662" s="6"/>
      <x:c r="B1662" s="7"/>
      <x:c r="C1662" s="7"/>
      <x:c r="D1662" s="7"/>
      <x:c r="E1662" t="n">
        <x:f>IF(ISNUMBER(A1662),1661,0)</x:f>
        <x:v>0</x:v>
      </x:c>
    </x:row>
    <x:row r="1663">
      <x:c r="A1663" s="6"/>
      <x:c r="B1663" s="7"/>
      <x:c r="C1663" s="7"/>
      <x:c r="D1663" s="7"/>
      <x:c r="E1663" t="n">
        <x:f>IF(ISNUMBER(A1663),1662,0)</x:f>
        <x:v>0</x:v>
      </x:c>
    </x:row>
    <x:row r="1664">
      <x:c r="A1664" s="6"/>
      <x:c r="B1664" s="7"/>
      <x:c r="C1664" s="7"/>
      <x:c r="D1664" s="7"/>
      <x:c r="E1664" t="n">
        <x:f>IF(ISNUMBER(A1664),1663,0)</x:f>
        <x:v>0</x:v>
      </x:c>
    </x:row>
    <x:row r="1665">
      <x:c r="A1665" s="6"/>
      <x:c r="B1665" s="7"/>
      <x:c r="C1665" s="7"/>
      <x:c r="D1665" s="7"/>
      <x:c r="E1665" t="n">
        <x:f>IF(ISNUMBER(A1665),1664,0)</x:f>
        <x:v>0</x:v>
      </x:c>
    </x:row>
    <x:row r="1666">
      <x:c r="A1666" s="6"/>
      <x:c r="B1666" s="7"/>
      <x:c r="C1666" s="7"/>
      <x:c r="D1666" s="7"/>
      <x:c r="E1666" t="n">
        <x:f>IF(ISNUMBER(A1666),1665,0)</x:f>
        <x:v>0</x:v>
      </x:c>
    </x:row>
    <x:row r="1667">
      <x:c r="A1667" s="6"/>
      <x:c r="B1667" s="7"/>
      <x:c r="C1667" s="7"/>
      <x:c r="D1667" s="7"/>
      <x:c r="E1667" t="n">
        <x:f>IF(ISNUMBER(A1667),1666,0)</x:f>
        <x:v>0</x:v>
      </x:c>
    </x:row>
    <x:row r="1668">
      <x:c r="A1668" s="6"/>
      <x:c r="B1668" s="7"/>
      <x:c r="C1668" s="7"/>
      <x:c r="D1668" s="7"/>
      <x:c r="E1668" t="n">
        <x:f>IF(ISNUMBER(A1668),1667,0)</x:f>
        <x:v>0</x:v>
      </x:c>
    </x:row>
    <x:row r="1669">
      <x:c r="A1669" s="6"/>
      <x:c r="B1669" s="7"/>
      <x:c r="C1669" s="7"/>
      <x:c r="D1669" s="7"/>
      <x:c r="E1669" t="n">
        <x:f>IF(ISNUMBER(A1669),1668,0)</x:f>
        <x:v>0</x:v>
      </x:c>
    </x:row>
    <x:row r="1670">
      <x:c r="A1670" s="6"/>
      <x:c r="B1670" s="7"/>
      <x:c r="C1670" s="7"/>
      <x:c r="D1670" s="7"/>
      <x:c r="E1670" t="n">
        <x:f>IF(ISNUMBER(A1670),1669,0)</x:f>
        <x:v>0</x:v>
      </x:c>
    </x:row>
    <x:row r="1671">
      <x:c r="A1671" s="6"/>
      <x:c r="B1671" s="7"/>
      <x:c r="C1671" s="7"/>
      <x:c r="D1671" s="7"/>
      <x:c r="E1671" t="n">
        <x:f>IF(ISNUMBER(A1671),1670,0)</x:f>
        <x:v>0</x:v>
      </x:c>
    </x:row>
    <x:row r="1672">
      <x:c r="A1672" s="6"/>
      <x:c r="B1672" s="7"/>
      <x:c r="C1672" s="7"/>
      <x:c r="D1672" s="7"/>
      <x:c r="E1672" t="n">
        <x:f>IF(ISNUMBER(A1672),1671,0)</x:f>
        <x:v>0</x:v>
      </x:c>
    </x:row>
    <x:row r="1673">
      <x:c r="A1673" s="6"/>
      <x:c r="B1673" s="7"/>
      <x:c r="C1673" s="7"/>
      <x:c r="D1673" s="7"/>
      <x:c r="E1673" t="n">
        <x:f>IF(ISNUMBER(A1673),1672,0)</x:f>
        <x:v>0</x:v>
      </x:c>
    </x:row>
    <x:row r="1674">
      <x:c r="A1674" s="6"/>
      <x:c r="B1674" s="7"/>
      <x:c r="C1674" s="7"/>
      <x:c r="D1674" s="7"/>
      <x:c r="E1674" t="n">
        <x:f>IF(ISNUMBER(A1674),1673,0)</x:f>
        <x:v>0</x:v>
      </x:c>
    </x:row>
    <x:row r="1675">
      <x:c r="A1675" s="6"/>
      <x:c r="B1675" s="7"/>
      <x:c r="C1675" s="7"/>
      <x:c r="D1675" s="7"/>
      <x:c r="E1675" t="n">
        <x:f>IF(ISNUMBER(A1675),1674,0)</x:f>
        <x:v>0</x:v>
      </x:c>
    </x:row>
    <x:row r="1676">
      <x:c r="A1676" s="6"/>
      <x:c r="B1676" s="7"/>
      <x:c r="C1676" s="7"/>
      <x:c r="D1676" s="7"/>
      <x:c r="E1676" t="n">
        <x:f>IF(ISNUMBER(A1676),1675,0)</x:f>
        <x:v>0</x:v>
      </x:c>
    </x:row>
    <x:row r="1677">
      <x:c r="A1677" s="6"/>
      <x:c r="B1677" s="7"/>
      <x:c r="C1677" s="7"/>
      <x:c r="D1677" s="7"/>
      <x:c r="E1677" t="n">
        <x:f>IF(ISNUMBER(A1677),1676,0)</x:f>
        <x:v>0</x:v>
      </x:c>
    </x:row>
    <x:row r="1678">
      <x:c r="A1678" s="6"/>
      <x:c r="B1678" s="7"/>
      <x:c r="C1678" s="7"/>
      <x:c r="D1678" s="7"/>
      <x:c r="E1678" t="n">
        <x:f>IF(ISNUMBER(A1678),1677,0)</x:f>
        <x:v>0</x:v>
      </x:c>
    </x:row>
    <x:row r="1679">
      <x:c r="A1679" s="6"/>
      <x:c r="B1679" s="7"/>
      <x:c r="C1679" s="7"/>
      <x:c r="D1679" s="7"/>
      <x:c r="E1679" t="n">
        <x:f>IF(ISNUMBER(A1679),1678,0)</x:f>
        <x:v>0</x:v>
      </x:c>
    </x:row>
    <x:row r="1680">
      <x:c r="A1680" s="6"/>
      <x:c r="B1680" s="7"/>
      <x:c r="C1680" s="7"/>
      <x:c r="D1680" s="7"/>
      <x:c r="E1680" t="n">
        <x:f>IF(ISNUMBER(A1680),1679,0)</x:f>
        <x:v>0</x:v>
      </x:c>
    </x:row>
    <x:row r="1681">
      <x:c r="A1681" s="6"/>
      <x:c r="B1681" s="7"/>
      <x:c r="C1681" s="7"/>
      <x:c r="D1681" s="7"/>
      <x:c r="E1681" t="n">
        <x:f>IF(ISNUMBER(A1681),1680,0)</x:f>
        <x:v>0</x:v>
      </x:c>
    </x:row>
    <x:row r="1682">
      <x:c r="A1682" s="6"/>
      <x:c r="B1682" s="7"/>
      <x:c r="C1682" s="7"/>
      <x:c r="D1682" s="7"/>
      <x:c r="E1682" t="n">
        <x:f>IF(ISNUMBER(A1682),1681,0)</x:f>
        <x:v>0</x:v>
      </x:c>
    </x:row>
    <x:row r="1683">
      <x:c r="A1683" s="6"/>
      <x:c r="B1683" s="7"/>
      <x:c r="C1683" s="7"/>
      <x:c r="D1683" s="7"/>
      <x:c r="E1683" t="n">
        <x:f>IF(ISNUMBER(A1683),1682,0)</x:f>
        <x:v>0</x:v>
      </x:c>
    </x:row>
    <x:row r="1684">
      <x:c r="A1684" s="6"/>
      <x:c r="B1684" s="7"/>
      <x:c r="C1684" s="7"/>
      <x:c r="D1684" s="7"/>
      <x:c r="E1684" t="n">
        <x:f>IF(ISNUMBER(A1684),1683,0)</x:f>
        <x:v>0</x:v>
      </x:c>
    </x:row>
    <x:row r="1685">
      <x:c r="A1685" s="6"/>
      <x:c r="B1685" s="7"/>
      <x:c r="C1685" s="7"/>
      <x:c r="D1685" s="7"/>
      <x:c r="E1685" t="n">
        <x:f>IF(ISNUMBER(A1685),1684,0)</x:f>
        <x:v>0</x:v>
      </x:c>
    </x:row>
    <x:row r="1686">
      <x:c r="A1686" s="6"/>
      <x:c r="B1686" s="7"/>
      <x:c r="C1686" s="7"/>
      <x:c r="D1686" s="7"/>
      <x:c r="E1686" t="n">
        <x:f>IF(ISNUMBER(A1686),1685,0)</x:f>
        <x:v>0</x:v>
      </x:c>
    </x:row>
    <x:row r="1687">
      <x:c r="A1687" s="6"/>
      <x:c r="B1687" s="7"/>
      <x:c r="C1687" s="7"/>
      <x:c r="D1687" s="7"/>
      <x:c r="E1687" t="n">
        <x:f>IF(ISNUMBER(A1687),1686,0)</x:f>
        <x:v>0</x:v>
      </x:c>
    </x:row>
    <x:row r="1688">
      <x:c r="A1688" s="6"/>
      <x:c r="B1688" s="7"/>
      <x:c r="C1688" s="7"/>
      <x:c r="D1688" s="7"/>
      <x:c r="E1688" t="n">
        <x:f>IF(ISNUMBER(A1688),1687,0)</x:f>
        <x:v>0</x:v>
      </x:c>
    </x:row>
    <x:row r="1689">
      <x:c r="A1689" s="6"/>
      <x:c r="B1689" s="7"/>
      <x:c r="C1689" s="7"/>
      <x:c r="D1689" s="7"/>
      <x:c r="E1689" t="n">
        <x:f>IF(ISNUMBER(A1689),1688,0)</x:f>
        <x:v>0</x:v>
      </x:c>
    </x:row>
    <x:row r="1690">
      <x:c r="A1690" s="6"/>
      <x:c r="B1690" s="7"/>
      <x:c r="C1690" s="7"/>
      <x:c r="D1690" s="7"/>
      <x:c r="E1690" t="n">
        <x:f>IF(ISNUMBER(A1690),1689,0)</x:f>
        <x:v>0</x:v>
      </x:c>
    </x:row>
    <x:row r="1691">
      <x:c r="A1691" s="6"/>
      <x:c r="B1691" s="7"/>
      <x:c r="C1691" s="7"/>
      <x:c r="D1691" s="7"/>
      <x:c r="E1691" t="n">
        <x:f>IF(ISNUMBER(A1691),1690,0)</x:f>
        <x:v>0</x:v>
      </x:c>
    </x:row>
    <x:row r="1692">
      <x:c r="A1692" s="6"/>
      <x:c r="B1692" s="7"/>
      <x:c r="C1692" s="7"/>
      <x:c r="D1692" s="7"/>
      <x:c r="E1692" t="n">
        <x:f>IF(ISNUMBER(A1692),1691,0)</x:f>
        <x:v>0</x:v>
      </x:c>
    </x:row>
    <x:row r="1693">
      <x:c r="A1693" s="6"/>
      <x:c r="B1693" s="7"/>
      <x:c r="C1693" s="7"/>
      <x:c r="D1693" s="7"/>
      <x:c r="E1693" t="n">
        <x:f>IF(ISNUMBER(A1693),1692,0)</x:f>
        <x:v>0</x:v>
      </x:c>
    </x:row>
    <x:row r="1694">
      <x:c r="A1694" s="6"/>
      <x:c r="B1694" s="7"/>
      <x:c r="C1694" s="7"/>
      <x:c r="D1694" s="7"/>
      <x:c r="E1694" t="n">
        <x:f>IF(ISNUMBER(A1694),1693,0)</x:f>
        <x:v>0</x:v>
      </x:c>
    </x:row>
    <x:row r="1695">
      <x:c r="A1695" s="6"/>
      <x:c r="B1695" s="7"/>
      <x:c r="C1695" s="7"/>
      <x:c r="D1695" s="7"/>
      <x:c r="E1695" t="n">
        <x:f>IF(ISNUMBER(A1695),1694,0)</x:f>
        <x:v>0</x:v>
      </x:c>
    </x:row>
    <x:row r="1696">
      <x:c r="A1696" s="6"/>
      <x:c r="B1696" s="7"/>
      <x:c r="C1696" s="7"/>
      <x:c r="D1696" s="7"/>
      <x:c r="E1696" t="n">
        <x:f>IF(ISNUMBER(A1696),1695,0)</x:f>
        <x:v>0</x:v>
      </x:c>
    </x:row>
    <x:row r="1697">
      <x:c r="A1697" s="6"/>
      <x:c r="B1697" s="7"/>
      <x:c r="C1697" s="7"/>
      <x:c r="D1697" s="7"/>
      <x:c r="E1697" t="n">
        <x:f>IF(ISNUMBER(A1697),1696,0)</x:f>
        <x:v>0</x:v>
      </x:c>
    </x:row>
    <x:row r="1698">
      <x:c r="A1698" s="6"/>
      <x:c r="B1698" s="7"/>
      <x:c r="C1698" s="7"/>
      <x:c r="D1698" s="7"/>
      <x:c r="E1698" t="n">
        <x:f>IF(ISNUMBER(A1698),1697,0)</x:f>
        <x:v>0</x:v>
      </x:c>
    </x:row>
    <x:row r="1699">
      <x:c r="A1699" s="6"/>
      <x:c r="B1699" s="7"/>
      <x:c r="C1699" s="7"/>
      <x:c r="D1699" s="7"/>
      <x:c r="E1699" t="n">
        <x:f>IF(ISNUMBER(A1699),1698,0)</x:f>
        <x:v>0</x:v>
      </x:c>
    </x:row>
    <x:row r="1700">
      <x:c r="A1700" s="6"/>
      <x:c r="B1700" s="7"/>
      <x:c r="C1700" s="7"/>
      <x:c r="D1700" s="7"/>
      <x:c r="E1700" t="n">
        <x:f>IF(ISNUMBER(A1700),1699,0)</x:f>
        <x:v>0</x:v>
      </x:c>
    </x:row>
    <x:row r="1701">
      <x:c r="A1701" s="6"/>
      <x:c r="B1701" s="7"/>
      <x:c r="C1701" s="7"/>
      <x:c r="D1701" s="7"/>
      <x:c r="E1701" t="n">
        <x:f>IF(ISNUMBER(A1701),1700,0)</x:f>
        <x:v>0</x:v>
      </x:c>
    </x:row>
    <x:row r="1702">
      <x:c r="A1702" s="6"/>
      <x:c r="B1702" s="7"/>
      <x:c r="C1702" s="7"/>
      <x:c r="D1702" s="7"/>
      <x:c r="E1702" t="n">
        <x:f>IF(ISNUMBER(A1702),1701,0)</x:f>
        <x:v>0</x:v>
      </x:c>
    </x:row>
    <x:row r="1703">
      <x:c r="A1703" s="6"/>
      <x:c r="B1703" s="7"/>
      <x:c r="C1703" s="7"/>
      <x:c r="D1703" s="7"/>
      <x:c r="E1703" t="n">
        <x:f>IF(ISNUMBER(A1703),1702,0)</x:f>
        <x:v>0</x:v>
      </x:c>
    </x:row>
    <x:row r="1704">
      <x:c r="A1704" s="6"/>
      <x:c r="B1704" s="7"/>
      <x:c r="C1704" s="7"/>
      <x:c r="D1704" s="7"/>
      <x:c r="E1704" t="n">
        <x:f>IF(ISNUMBER(A1704),1703,0)</x:f>
        <x:v>0</x:v>
      </x:c>
    </x:row>
    <x:row r="1705">
      <x:c r="A1705" s="6"/>
      <x:c r="B1705" s="7"/>
      <x:c r="C1705" s="7"/>
      <x:c r="D1705" s="7"/>
      <x:c r="E1705" t="n">
        <x:f>IF(ISNUMBER(A1705),1704,0)</x:f>
        <x:v>0</x:v>
      </x:c>
    </x:row>
    <x:row r="1706">
      <x:c r="A1706" s="6"/>
      <x:c r="B1706" s="7"/>
      <x:c r="C1706" s="7"/>
      <x:c r="D1706" s="7"/>
      <x:c r="E1706" t="n">
        <x:f>IF(ISNUMBER(A1706),1705,0)</x:f>
        <x:v>0</x:v>
      </x:c>
    </x:row>
    <x:row r="1707">
      <x:c r="A1707" s="6"/>
      <x:c r="B1707" s="7"/>
      <x:c r="C1707" s="7"/>
      <x:c r="D1707" s="7"/>
      <x:c r="E1707" t="n">
        <x:f>IF(ISNUMBER(A1707),1706,0)</x:f>
        <x:v>0</x:v>
      </x:c>
    </x:row>
    <x:row r="1708">
      <x:c r="A1708" s="6"/>
      <x:c r="B1708" s="7"/>
      <x:c r="C1708" s="7"/>
      <x:c r="D1708" s="7"/>
      <x:c r="E1708" t="n">
        <x:f>IF(ISNUMBER(A1708),1707,0)</x:f>
        <x:v>0</x:v>
      </x:c>
    </x:row>
    <x:row r="1709">
      <x:c r="A1709" s="6"/>
      <x:c r="B1709" s="7"/>
      <x:c r="C1709" s="7"/>
      <x:c r="D1709" s="7"/>
      <x:c r="E1709" t="n">
        <x:f>IF(ISNUMBER(A1709),1708,0)</x:f>
        <x:v>0</x:v>
      </x:c>
    </x:row>
    <x:row r="1710">
      <x:c r="A1710" s="6"/>
      <x:c r="B1710" s="7"/>
      <x:c r="C1710" s="7"/>
      <x:c r="D1710" s="7"/>
      <x:c r="E1710" t="n">
        <x:f>IF(ISNUMBER(A1710),1709,0)</x:f>
        <x:v>0</x:v>
      </x:c>
    </x:row>
    <x:row r="1711">
      <x:c r="A1711" s="6"/>
      <x:c r="B1711" s="7"/>
      <x:c r="C1711" s="7"/>
      <x:c r="D1711" s="7"/>
      <x:c r="E1711" t="n">
        <x:f>IF(ISNUMBER(A1711),1710,0)</x:f>
        <x:v>0</x:v>
      </x:c>
    </x:row>
    <x:row r="1712">
      <x:c r="A1712" s="6"/>
      <x:c r="B1712" s="7"/>
      <x:c r="C1712" s="7"/>
      <x:c r="D1712" s="7"/>
      <x:c r="E1712" t="n">
        <x:f>IF(ISNUMBER(A1712),1711,0)</x:f>
        <x:v>0</x:v>
      </x:c>
    </x:row>
    <x:row r="1713">
      <x:c r="A1713" s="6"/>
      <x:c r="B1713" s="7"/>
      <x:c r="C1713" s="7"/>
      <x:c r="D1713" s="7"/>
      <x:c r="E1713" t="n">
        <x:f>IF(ISNUMBER(A1713),1712,0)</x:f>
        <x:v>0</x:v>
      </x:c>
    </x:row>
    <x:row r="1714">
      <x:c r="A1714" s="6"/>
      <x:c r="B1714" s="7"/>
      <x:c r="C1714" s="7"/>
      <x:c r="D1714" s="7"/>
      <x:c r="E1714" t="n">
        <x:f>IF(ISNUMBER(A1714),1713,0)</x:f>
        <x:v>0</x:v>
      </x:c>
    </x:row>
    <x:row r="1715">
      <x:c r="A1715" s="6"/>
      <x:c r="B1715" s="7"/>
      <x:c r="C1715" s="7"/>
      <x:c r="D1715" s="7"/>
      <x:c r="E1715" t="n">
        <x:f>IF(ISNUMBER(A1715),1714,0)</x:f>
        <x:v>0</x:v>
      </x:c>
    </x:row>
    <x:row r="1716">
      <x:c r="A1716" s="6"/>
      <x:c r="B1716" s="7"/>
      <x:c r="C1716" s="7"/>
      <x:c r="D1716" s="7"/>
      <x:c r="E1716" t="n">
        <x:f>IF(ISNUMBER(A1716),1715,0)</x:f>
        <x:v>0</x:v>
      </x:c>
    </x:row>
    <x:row r="1717">
      <x:c r="A1717" s="6"/>
      <x:c r="B1717" s="7"/>
      <x:c r="C1717" s="7"/>
      <x:c r="D1717" s="7"/>
      <x:c r="E1717" t="n">
        <x:f>IF(ISNUMBER(A1717),1716,0)</x:f>
        <x:v>0</x:v>
      </x:c>
    </x:row>
    <x:row r="1718">
      <x:c r="A1718" s="6"/>
      <x:c r="B1718" s="7"/>
      <x:c r="C1718" s="7"/>
      <x:c r="D1718" s="7"/>
      <x:c r="E1718" t="n">
        <x:f>IF(ISNUMBER(A1718),1717,0)</x:f>
        <x:v>0</x:v>
      </x:c>
    </x:row>
    <x:row r="1719">
      <x:c r="A1719" s="6"/>
      <x:c r="B1719" s="7"/>
      <x:c r="C1719" s="7"/>
      <x:c r="D1719" s="7"/>
      <x:c r="E1719" t="n">
        <x:f>IF(ISNUMBER(A1719),1718,0)</x:f>
        <x:v>0</x:v>
      </x:c>
    </x:row>
    <x:row r="1720">
      <x:c r="A1720" s="6"/>
      <x:c r="B1720" s="7"/>
      <x:c r="C1720" s="7"/>
      <x:c r="D1720" s="7"/>
      <x:c r="E1720" t="n">
        <x:f>IF(ISNUMBER(A1720),1719,0)</x:f>
        <x:v>0</x:v>
      </x:c>
    </x:row>
    <x:row r="1721">
      <x:c r="A1721" s="6"/>
      <x:c r="B1721" s="7"/>
      <x:c r="C1721" s="7"/>
      <x:c r="D1721" s="7"/>
      <x:c r="E1721" t="n">
        <x:f>IF(ISNUMBER(A1721),1720,0)</x:f>
        <x:v>0</x:v>
      </x:c>
    </x:row>
    <x:row r="1722">
      <x:c r="A1722" s="6"/>
      <x:c r="B1722" s="7"/>
      <x:c r="C1722" s="7"/>
      <x:c r="D1722" s="7"/>
      <x:c r="E1722" t="n">
        <x:f>IF(ISNUMBER(A1722),1721,0)</x:f>
        <x:v>0</x:v>
      </x:c>
    </x:row>
    <x:row r="1723">
      <x:c r="A1723" s="6"/>
      <x:c r="B1723" s="7"/>
      <x:c r="C1723" s="7"/>
      <x:c r="D1723" s="7"/>
      <x:c r="E1723" t="n">
        <x:f>IF(ISNUMBER(A1723),1722,0)</x:f>
        <x:v>0</x:v>
      </x:c>
    </x:row>
    <x:row r="1724">
      <x:c r="A1724" s="6"/>
      <x:c r="B1724" s="7"/>
      <x:c r="C1724" s="7"/>
      <x:c r="D1724" s="7"/>
      <x:c r="E1724" t="n">
        <x:f>IF(ISNUMBER(A1724),1723,0)</x:f>
        <x:v>0</x:v>
      </x:c>
    </x:row>
    <x:row r="1725">
      <x:c r="A1725" s="6"/>
      <x:c r="B1725" s="7"/>
      <x:c r="C1725" s="7"/>
      <x:c r="D1725" s="7"/>
      <x:c r="E1725" t="n">
        <x:f>IF(ISNUMBER(A1725),1724,0)</x:f>
        <x:v>0</x:v>
      </x:c>
    </x:row>
    <x:row r="1726">
      <x:c r="A1726" s="6"/>
      <x:c r="B1726" s="7"/>
      <x:c r="C1726" s="7"/>
      <x:c r="D1726" s="7"/>
      <x:c r="E1726" t="n">
        <x:f>IF(ISNUMBER(A1726),1725,0)</x:f>
        <x:v>0</x:v>
      </x:c>
    </x:row>
    <x:row r="1727">
      <x:c r="A1727" s="6"/>
      <x:c r="B1727" s="7"/>
      <x:c r="C1727" s="7"/>
      <x:c r="D1727" s="7"/>
      <x:c r="E1727" t="n">
        <x:f>IF(ISNUMBER(A1727),1726,0)</x:f>
        <x:v>0</x:v>
      </x:c>
    </x:row>
    <x:row r="1728">
      <x:c r="A1728" s="6"/>
      <x:c r="B1728" s="7"/>
      <x:c r="C1728" s="7"/>
      <x:c r="D1728" s="7"/>
      <x:c r="E1728" t="n">
        <x:f>IF(ISNUMBER(A1728),1727,0)</x:f>
        <x:v>0</x:v>
      </x:c>
    </x:row>
    <x:row r="1729">
      <x:c r="A1729" s="6"/>
      <x:c r="B1729" s="7"/>
      <x:c r="C1729" s="7"/>
      <x:c r="D1729" s="7"/>
      <x:c r="E1729" t="n">
        <x:f>IF(ISNUMBER(A1729),1728,0)</x:f>
        <x:v>0</x:v>
      </x:c>
    </x:row>
    <x:row r="1730">
      <x:c r="A1730" s="6"/>
      <x:c r="B1730" s="7"/>
      <x:c r="C1730" s="7"/>
      <x:c r="D1730" s="7"/>
      <x:c r="E1730" t="n">
        <x:f>IF(ISNUMBER(A1730),1729,0)</x:f>
        <x:v>0</x:v>
      </x:c>
    </x:row>
    <x:row r="1731">
      <x:c r="A1731" s="6"/>
      <x:c r="B1731" s="7"/>
      <x:c r="C1731" s="7"/>
      <x:c r="D1731" s="7"/>
      <x:c r="E1731" t="n">
        <x:f>IF(ISNUMBER(A1731),1730,0)</x:f>
        <x:v>0</x:v>
      </x:c>
    </x:row>
    <x:row r="1732">
      <x:c r="A1732" s="6"/>
      <x:c r="B1732" s="7"/>
      <x:c r="C1732" s="7"/>
      <x:c r="D1732" s="7"/>
      <x:c r="E1732" t="n">
        <x:f>IF(ISNUMBER(A1732),1731,0)</x:f>
        <x:v>0</x:v>
      </x:c>
    </x:row>
    <x:row r="1733">
      <x:c r="A1733" s="6"/>
      <x:c r="B1733" s="7"/>
      <x:c r="C1733" s="7"/>
      <x:c r="D1733" s="7"/>
      <x:c r="E1733" t="n">
        <x:f>IF(ISNUMBER(A1733),1732,0)</x:f>
        <x:v>0</x:v>
      </x:c>
    </x:row>
    <x:row r="1734">
      <x:c r="A1734" s="6"/>
      <x:c r="B1734" s="7"/>
      <x:c r="C1734" s="7"/>
      <x:c r="D1734" s="7"/>
      <x:c r="E1734" t="n">
        <x:f>IF(ISNUMBER(A1734),1733,0)</x:f>
        <x:v>0</x:v>
      </x:c>
    </x:row>
    <x:row r="1735">
      <x:c r="A1735" s="6"/>
      <x:c r="B1735" s="7"/>
      <x:c r="C1735" s="7"/>
      <x:c r="D1735" s="7"/>
      <x:c r="E1735" t="n">
        <x:f>IF(ISNUMBER(A1735),1734,0)</x:f>
        <x:v>0</x:v>
      </x:c>
    </x:row>
    <x:row r="1736">
      <x:c r="A1736" s="6"/>
      <x:c r="B1736" s="7"/>
      <x:c r="C1736" s="7"/>
      <x:c r="D1736" s="7"/>
      <x:c r="E1736" t="n">
        <x:f>IF(ISNUMBER(A1736),1735,0)</x:f>
        <x:v>0</x:v>
      </x:c>
    </x:row>
    <x:row r="1737">
      <x:c r="A1737" s="6"/>
      <x:c r="B1737" s="7"/>
      <x:c r="C1737" s="7"/>
      <x:c r="D1737" s="7"/>
      <x:c r="E1737" t="n">
        <x:f>IF(ISNUMBER(A1737),1736,0)</x:f>
        <x:v>0</x:v>
      </x:c>
    </x:row>
    <x:row r="1738">
      <x:c r="A1738" s="6"/>
      <x:c r="B1738" s="7"/>
      <x:c r="C1738" s="7"/>
      <x:c r="D1738" s="7"/>
      <x:c r="E1738" t="n">
        <x:f>IF(ISNUMBER(A1738),1737,0)</x:f>
        <x:v>0</x:v>
      </x:c>
    </x:row>
    <x:row r="1739">
      <x:c r="A1739" s="6"/>
      <x:c r="B1739" s="7"/>
      <x:c r="C1739" s="7"/>
      <x:c r="D1739" s="7"/>
      <x:c r="E1739" t="n">
        <x:f>IF(ISNUMBER(A1739),1738,0)</x:f>
        <x:v>0</x:v>
      </x:c>
    </x:row>
    <x:row r="1740">
      <x:c r="A1740" s="6"/>
      <x:c r="B1740" s="7"/>
      <x:c r="C1740" s="7"/>
      <x:c r="D1740" s="7"/>
      <x:c r="E1740" t="n">
        <x:f>IF(ISNUMBER(A1740),1739,0)</x:f>
        <x:v>0</x:v>
      </x:c>
    </x:row>
    <x:row r="1741">
      <x:c r="A1741" s="6"/>
      <x:c r="B1741" s="7"/>
      <x:c r="C1741" s="7"/>
      <x:c r="D1741" s="7"/>
      <x:c r="E1741" t="n">
        <x:f>IF(ISNUMBER(A1741),1740,0)</x:f>
        <x:v>0</x:v>
      </x:c>
    </x:row>
    <x:row r="1742">
      <x:c r="A1742" s="6"/>
      <x:c r="B1742" s="7"/>
      <x:c r="C1742" s="7"/>
      <x:c r="D1742" s="7"/>
      <x:c r="E1742" t="n">
        <x:f>IF(ISNUMBER(A1742),1741,0)</x:f>
        <x:v>0</x:v>
      </x:c>
    </x:row>
    <x:row r="1743">
      <x:c r="A1743" s="6"/>
      <x:c r="B1743" s="7"/>
      <x:c r="C1743" s="7"/>
      <x:c r="D1743" s="7"/>
      <x:c r="E1743" t="n">
        <x:f>IF(ISNUMBER(A1743),1742,0)</x:f>
        <x:v>0</x:v>
      </x:c>
    </x:row>
    <x:row r="1744">
      <x:c r="A1744" s="6"/>
      <x:c r="B1744" s="7"/>
      <x:c r="C1744" s="7"/>
      <x:c r="D1744" s="7"/>
      <x:c r="E1744" t="n">
        <x:f>IF(ISNUMBER(A1744),1743,0)</x:f>
        <x:v>0</x:v>
      </x:c>
    </x:row>
    <x:row r="1745">
      <x:c r="A1745" s="6"/>
      <x:c r="B1745" s="7"/>
      <x:c r="C1745" s="7"/>
      <x:c r="D1745" s="7"/>
      <x:c r="E1745" t="n">
        <x:f>IF(ISNUMBER(A1745),1744,0)</x:f>
        <x:v>0</x:v>
      </x:c>
    </x:row>
    <x:row r="1746">
      <x:c r="A1746" s="6"/>
      <x:c r="B1746" s="7"/>
      <x:c r="C1746" s="7"/>
      <x:c r="D1746" s="7"/>
      <x:c r="E1746" t="n">
        <x:f>IF(ISNUMBER(A1746),1745,0)</x:f>
        <x:v>0</x:v>
      </x:c>
    </x:row>
    <x:row r="1747">
      <x:c r="A1747" s="6"/>
      <x:c r="B1747" s="7"/>
      <x:c r="C1747" s="7"/>
      <x:c r="D1747" s="7"/>
      <x:c r="E1747" t="n">
        <x:f>IF(ISNUMBER(A1747),1746,0)</x:f>
        <x:v>0</x:v>
      </x:c>
    </x:row>
    <x:row r="1748">
      <x:c r="A1748" s="6"/>
      <x:c r="B1748" s="7"/>
      <x:c r="C1748" s="7"/>
      <x:c r="D1748" s="7"/>
      <x:c r="E1748" t="n">
        <x:f>IF(ISNUMBER(A1748),1747,0)</x:f>
        <x:v>0</x:v>
      </x:c>
    </x:row>
    <x:row r="1749">
      <x:c r="A1749" s="6"/>
      <x:c r="B1749" s="7"/>
      <x:c r="C1749" s="7"/>
      <x:c r="D1749" s="7"/>
      <x:c r="E1749" t="n">
        <x:f>IF(ISNUMBER(A1749),1748,0)</x:f>
        <x:v>0</x:v>
      </x:c>
    </x:row>
    <x:row r="1750">
      <x:c r="A1750" s="6"/>
      <x:c r="B1750" s="7"/>
      <x:c r="C1750" s="7"/>
      <x:c r="D1750" s="7"/>
      <x:c r="E1750" t="n">
        <x:f>IF(ISNUMBER(A1750),1749,0)</x:f>
        <x:v>0</x:v>
      </x:c>
    </x:row>
    <x:row r="1751">
      <x:c r="A1751" s="6"/>
      <x:c r="B1751" s="7"/>
      <x:c r="C1751" s="7"/>
      <x:c r="D1751" s="7"/>
      <x:c r="E1751" t="n">
        <x:f>IF(ISNUMBER(A1751),1750,0)</x:f>
        <x:v>0</x:v>
      </x:c>
    </x:row>
    <x:row r="1752">
      <x:c r="A1752" s="6"/>
      <x:c r="B1752" s="7"/>
      <x:c r="C1752" s="7"/>
      <x:c r="D1752" s="7"/>
      <x:c r="E1752" t="n">
        <x:f>IF(ISNUMBER(A1752),1751,0)</x:f>
        <x:v>0</x:v>
      </x:c>
    </x:row>
    <x:row r="1753">
      <x:c r="A1753" s="6"/>
      <x:c r="B1753" s="7"/>
      <x:c r="C1753" s="7"/>
      <x:c r="D1753" s="7"/>
      <x:c r="E1753" t="n">
        <x:f>IF(ISNUMBER(A1753),1752,0)</x:f>
        <x:v>0</x:v>
      </x:c>
    </x:row>
    <x:row r="1754">
      <x:c r="A1754" s="6"/>
      <x:c r="B1754" s="7"/>
      <x:c r="C1754" s="7"/>
      <x:c r="D1754" s="7"/>
      <x:c r="E1754" t="n">
        <x:f>IF(ISNUMBER(A1754),1753,0)</x:f>
        <x:v>0</x:v>
      </x:c>
    </x:row>
    <x:row r="1755">
      <x:c r="A1755" s="6"/>
      <x:c r="B1755" s="7"/>
      <x:c r="C1755" s="7"/>
      <x:c r="D1755" s="7"/>
      <x:c r="E1755" t="n">
        <x:f>IF(ISNUMBER(A1755),1754,0)</x:f>
        <x:v>0</x:v>
      </x:c>
    </x:row>
    <x:row r="1756">
      <x:c r="A1756" s="6"/>
      <x:c r="B1756" s="7"/>
      <x:c r="C1756" s="7"/>
      <x:c r="D1756" s="7"/>
      <x:c r="E1756" t="n">
        <x:f>IF(ISNUMBER(A1756),1755,0)</x:f>
        <x:v>0</x:v>
      </x:c>
    </x:row>
    <x:row r="1757">
      <x:c r="A1757" s="6"/>
      <x:c r="B1757" s="7"/>
      <x:c r="C1757" s="7"/>
      <x:c r="D1757" s="7"/>
      <x:c r="E1757" t="n">
        <x:f>IF(ISNUMBER(A1757),1756,0)</x:f>
        <x:v>0</x:v>
      </x:c>
    </x:row>
    <x:row r="1758">
      <x:c r="A1758" s="6"/>
      <x:c r="B1758" s="7"/>
      <x:c r="C1758" s="7"/>
      <x:c r="D1758" s="7"/>
      <x:c r="E1758" t="n">
        <x:f>IF(ISNUMBER(A1758),1757,0)</x:f>
        <x:v>0</x:v>
      </x:c>
    </x:row>
    <x:row r="1759">
      <x:c r="A1759" s="6"/>
      <x:c r="B1759" s="7"/>
      <x:c r="C1759" s="7"/>
      <x:c r="D1759" s="7"/>
      <x:c r="E1759" t="n">
        <x:f>IF(ISNUMBER(A1759),1758,0)</x:f>
        <x:v>0</x:v>
      </x:c>
    </x:row>
    <x:row r="1760">
      <x:c r="A1760" s="6"/>
      <x:c r="B1760" s="7"/>
      <x:c r="C1760" s="7"/>
      <x:c r="D1760" s="7"/>
      <x:c r="E1760" t="n">
        <x:f>IF(ISNUMBER(A1760),1759,0)</x:f>
        <x:v>0</x:v>
      </x:c>
    </x:row>
    <x:row r="1761">
      <x:c r="A1761" s="6"/>
      <x:c r="B1761" s="7"/>
      <x:c r="C1761" s="7"/>
      <x:c r="D1761" s="7"/>
      <x:c r="E1761" t="n">
        <x:f>IF(ISNUMBER(A1761),1760,0)</x:f>
        <x:v>0</x:v>
      </x:c>
    </x:row>
    <x:row r="1762">
      <x:c r="A1762" s="6"/>
      <x:c r="B1762" s="7"/>
      <x:c r="C1762" s="7"/>
      <x:c r="D1762" s="7"/>
      <x:c r="E1762" t="n">
        <x:f>IF(ISNUMBER(A1762),1761,0)</x:f>
        <x:v>0</x:v>
      </x:c>
    </x:row>
    <x:row r="1763">
      <x:c r="A1763" s="6"/>
      <x:c r="B1763" s="7"/>
      <x:c r="C1763" s="7"/>
      <x:c r="D1763" s="7"/>
      <x:c r="E1763" t="n">
        <x:f>IF(ISNUMBER(A1763),1762,0)</x:f>
        <x:v>0</x:v>
      </x:c>
    </x:row>
    <x:row r="1764">
      <x:c r="A1764" s="6"/>
      <x:c r="B1764" s="7"/>
      <x:c r="C1764" s="7"/>
      <x:c r="D1764" s="7"/>
      <x:c r="E1764" t="n">
        <x:f>IF(ISNUMBER(A1764),1763,0)</x:f>
        <x:v>0</x:v>
      </x:c>
    </x:row>
    <x:row r="1765">
      <x:c r="A1765" s="6"/>
      <x:c r="B1765" s="7"/>
      <x:c r="C1765" s="7"/>
      <x:c r="D1765" s="7"/>
      <x:c r="E1765" t="n">
        <x:f>IF(ISNUMBER(A1765),1764,0)</x:f>
        <x:v>0</x:v>
      </x:c>
    </x:row>
    <x:row r="1766">
      <x:c r="A1766" s="6"/>
      <x:c r="B1766" s="7"/>
      <x:c r="C1766" s="7"/>
      <x:c r="D1766" s="7"/>
      <x:c r="E1766" t="n">
        <x:f>IF(ISNUMBER(A1766),1765,0)</x:f>
        <x:v>0</x:v>
      </x:c>
    </x:row>
    <x:row r="1767">
      <x:c r="A1767" s="6"/>
      <x:c r="B1767" s="7"/>
      <x:c r="C1767" s="7"/>
      <x:c r="D1767" s="7"/>
      <x:c r="E1767" t="n">
        <x:f>IF(ISNUMBER(A1767),1766,0)</x:f>
        <x:v>0</x:v>
      </x:c>
    </x:row>
    <x:row r="1768">
      <x:c r="A1768" s="6"/>
      <x:c r="B1768" s="7"/>
      <x:c r="C1768" s="7"/>
      <x:c r="D1768" s="7"/>
      <x:c r="E1768" t="n">
        <x:f>IF(ISNUMBER(A1768),1767,0)</x:f>
        <x:v>0</x:v>
      </x:c>
    </x:row>
    <x:row r="1769">
      <x:c r="A1769" s="6"/>
      <x:c r="B1769" s="7"/>
      <x:c r="C1769" s="7"/>
      <x:c r="D1769" s="7"/>
      <x:c r="E1769" t="n">
        <x:f>IF(ISNUMBER(A1769),1768,0)</x:f>
        <x:v>0</x:v>
      </x:c>
    </x:row>
    <x:row r="1770">
      <x:c r="A1770" s="6"/>
      <x:c r="B1770" s="7"/>
      <x:c r="C1770" s="7"/>
      <x:c r="D1770" s="7"/>
      <x:c r="E1770" t="n">
        <x:f>IF(ISNUMBER(A1770),1769,0)</x:f>
        <x:v>0</x:v>
      </x:c>
    </x:row>
    <x:row r="1771">
      <x:c r="A1771" s="6"/>
      <x:c r="B1771" s="7"/>
      <x:c r="C1771" s="7"/>
      <x:c r="D1771" s="7"/>
      <x:c r="E1771" t="n">
        <x:f>IF(ISNUMBER(A1771),1770,0)</x:f>
        <x:v>0</x:v>
      </x:c>
    </x:row>
    <x:row r="1772">
      <x:c r="A1772" s="6"/>
      <x:c r="B1772" s="7"/>
      <x:c r="C1772" s="7"/>
      <x:c r="D1772" s="7"/>
      <x:c r="E1772" t="n">
        <x:f>IF(ISNUMBER(A1772),1771,0)</x:f>
        <x:v>0</x:v>
      </x:c>
    </x:row>
    <x:row r="1773">
      <x:c r="A1773" s="6"/>
      <x:c r="B1773" s="7"/>
      <x:c r="C1773" s="7"/>
      <x:c r="D1773" s="7"/>
      <x:c r="E1773" t="n">
        <x:f>IF(ISNUMBER(A1773),1772,0)</x:f>
        <x:v>0</x:v>
      </x:c>
    </x:row>
    <x:row r="1774">
      <x:c r="A1774" s="6"/>
      <x:c r="B1774" s="7"/>
      <x:c r="C1774" s="7"/>
      <x:c r="D1774" s="7"/>
      <x:c r="E1774" t="n">
        <x:f>IF(ISNUMBER(A1774),1773,0)</x:f>
        <x:v>0</x:v>
      </x:c>
    </x:row>
    <x:row r="1775">
      <x:c r="A1775" s="6"/>
      <x:c r="B1775" s="7"/>
      <x:c r="C1775" s="7"/>
      <x:c r="D1775" s="7"/>
      <x:c r="E1775" t="n">
        <x:f>IF(ISNUMBER(A1775),1774,0)</x:f>
        <x:v>0</x:v>
      </x:c>
    </x:row>
    <x:row r="1776">
      <x:c r="A1776" s="6"/>
      <x:c r="B1776" s="7"/>
      <x:c r="C1776" s="7"/>
      <x:c r="D1776" s="7"/>
      <x:c r="E1776" t="n">
        <x:f>IF(ISNUMBER(A1776),1775,0)</x:f>
        <x:v>0</x:v>
      </x:c>
    </x:row>
    <x:row r="1777">
      <x:c r="A1777" s="6"/>
      <x:c r="B1777" s="7"/>
      <x:c r="C1777" s="7"/>
      <x:c r="D1777" s="7"/>
      <x:c r="E1777" t="n">
        <x:f>IF(ISNUMBER(A1777),1776,0)</x:f>
        <x:v>0</x:v>
      </x:c>
    </x:row>
    <x:row r="1778">
      <x:c r="A1778" s="6"/>
      <x:c r="B1778" s="7"/>
      <x:c r="C1778" s="7"/>
      <x:c r="D1778" s="7"/>
      <x:c r="E1778" t="n">
        <x:f>IF(ISNUMBER(A1778),1777,0)</x:f>
        <x:v>0</x:v>
      </x:c>
    </x:row>
    <x:row r="1779">
      <x:c r="A1779" s="6"/>
      <x:c r="B1779" s="7"/>
      <x:c r="C1779" s="7"/>
      <x:c r="D1779" s="7"/>
      <x:c r="E1779" t="n">
        <x:f>IF(ISNUMBER(A1779),1778,0)</x:f>
        <x:v>0</x:v>
      </x:c>
    </x:row>
    <x:row r="1780">
      <x:c r="A1780" s="6"/>
      <x:c r="B1780" s="7"/>
      <x:c r="C1780" s="7"/>
      <x:c r="D1780" s="7"/>
      <x:c r="E1780" t="n">
        <x:f>IF(ISNUMBER(A1780),1779,0)</x:f>
        <x:v>0</x:v>
      </x:c>
    </x:row>
    <x:row r="1781">
      <x:c r="A1781" s="6"/>
      <x:c r="B1781" s="7"/>
      <x:c r="C1781" s="7"/>
      <x:c r="D1781" s="7"/>
      <x:c r="E1781" t="n">
        <x:f>IF(ISNUMBER(A1781),1780,0)</x:f>
        <x:v>0</x:v>
      </x:c>
    </x:row>
    <x:row r="1782">
      <x:c r="A1782" s="6"/>
      <x:c r="B1782" s="7"/>
      <x:c r="C1782" s="7"/>
      <x:c r="D1782" s="7"/>
      <x:c r="E1782" t="n">
        <x:f>IF(ISNUMBER(A1782),1781,0)</x:f>
        <x:v>0</x:v>
      </x:c>
    </x:row>
    <x:row r="1783">
      <x:c r="A1783" s="6"/>
      <x:c r="B1783" s="7"/>
      <x:c r="C1783" s="7"/>
      <x:c r="D1783" s="7"/>
      <x:c r="E1783" t="n">
        <x:f>IF(ISNUMBER(A1783),1782,0)</x:f>
        <x:v>0</x:v>
      </x:c>
    </x:row>
    <x:row r="1784">
      <x:c r="A1784" s="6"/>
      <x:c r="B1784" s="7"/>
      <x:c r="C1784" s="7"/>
      <x:c r="D1784" s="7"/>
      <x:c r="E1784" t="n">
        <x:f>IF(ISNUMBER(A1784),1783,0)</x:f>
        <x:v>0</x:v>
      </x:c>
    </x:row>
    <x:row r="1785">
      <x:c r="A1785" s="6"/>
      <x:c r="B1785" s="7"/>
      <x:c r="C1785" s="7"/>
      <x:c r="D1785" s="7"/>
      <x:c r="E1785" t="n">
        <x:f>IF(ISNUMBER(A1785),1784,0)</x:f>
        <x:v>0</x:v>
      </x:c>
    </x:row>
    <x:row r="1786">
      <x:c r="A1786" s="6"/>
      <x:c r="B1786" s="7"/>
      <x:c r="C1786" s="7"/>
      <x:c r="D1786" s="7"/>
      <x:c r="E1786" t="n">
        <x:f>IF(ISNUMBER(A1786),1785,0)</x:f>
        <x:v>0</x:v>
      </x:c>
    </x:row>
    <x:row r="1787">
      <x:c r="A1787" s="6"/>
      <x:c r="B1787" s="7"/>
      <x:c r="C1787" s="7"/>
      <x:c r="D1787" s="7"/>
      <x:c r="E1787" t="n">
        <x:f>IF(ISNUMBER(A1787),1786,0)</x:f>
        <x:v>0</x:v>
      </x:c>
    </x:row>
    <x:row r="1788">
      <x:c r="A1788" s="6"/>
      <x:c r="B1788" s="7"/>
      <x:c r="C1788" s="7"/>
      <x:c r="D1788" s="7"/>
      <x:c r="E1788" t="n">
        <x:f>IF(ISNUMBER(A1788),1787,0)</x:f>
        <x:v>0</x:v>
      </x:c>
    </x:row>
    <x:row r="1789">
      <x:c r="A1789" s="6"/>
      <x:c r="B1789" s="7"/>
      <x:c r="C1789" s="7"/>
      <x:c r="D1789" s="7"/>
      <x:c r="E1789" t="n">
        <x:f>IF(ISNUMBER(A1789),1788,0)</x:f>
        <x:v>0</x:v>
      </x:c>
    </x:row>
    <x:row r="1790">
      <x:c r="A1790" s="6"/>
      <x:c r="B1790" s="7"/>
      <x:c r="C1790" s="7"/>
      <x:c r="D1790" s="7"/>
      <x:c r="E1790" t="n">
        <x:f>IF(ISNUMBER(A1790),1789,0)</x:f>
        <x:v>0</x:v>
      </x:c>
    </x:row>
    <x:row r="1791">
      <x:c r="A1791" s="6"/>
      <x:c r="B1791" s="7"/>
      <x:c r="C1791" s="7"/>
      <x:c r="D1791" s="7"/>
      <x:c r="E1791" t="n">
        <x:f>IF(ISNUMBER(A1791),1790,0)</x:f>
        <x:v>0</x:v>
      </x:c>
    </x:row>
    <x:row r="1792">
      <x:c r="A1792" s="6"/>
      <x:c r="B1792" s="7"/>
      <x:c r="C1792" s="7"/>
      <x:c r="D1792" s="7"/>
      <x:c r="E1792" t="n">
        <x:f>IF(ISNUMBER(A1792),1791,0)</x:f>
        <x:v>0</x:v>
      </x:c>
    </x:row>
    <x:row r="1793">
      <x:c r="A1793" s="6"/>
      <x:c r="B1793" s="7"/>
      <x:c r="C1793" s="7"/>
      <x:c r="D1793" s="7"/>
      <x:c r="E1793" t="n">
        <x:f>IF(ISNUMBER(A1793),1792,0)</x:f>
        <x:v>0</x:v>
      </x:c>
    </x:row>
    <x:row r="1794">
      <x:c r="A1794" s="6"/>
      <x:c r="B1794" s="7"/>
      <x:c r="C1794" s="7"/>
      <x:c r="D1794" s="7"/>
      <x:c r="E1794" t="n">
        <x:f>IF(ISNUMBER(A1794),1793,0)</x:f>
        <x:v>0</x:v>
      </x:c>
    </x:row>
    <x:row r="1795">
      <x:c r="A1795" s="6"/>
      <x:c r="B1795" s="7"/>
      <x:c r="C1795" s="7"/>
      <x:c r="D1795" s="7"/>
      <x:c r="E1795" t="n">
        <x:f>IF(ISNUMBER(A1795),1794,0)</x:f>
        <x:v>0</x:v>
      </x:c>
    </x:row>
    <x:row r="1796">
      <x:c r="A1796" s="6"/>
      <x:c r="B1796" s="7"/>
      <x:c r="C1796" s="7"/>
      <x:c r="D1796" s="7"/>
      <x:c r="E1796" t="n">
        <x:f>IF(ISNUMBER(A1796),1795,0)</x:f>
        <x:v>0</x:v>
      </x:c>
    </x:row>
    <x:row r="1797">
      <x:c r="A1797" s="6"/>
      <x:c r="B1797" s="7"/>
      <x:c r="C1797" s="7"/>
      <x:c r="D1797" s="7"/>
      <x:c r="E1797" t="n">
        <x:f>IF(ISNUMBER(A1797),1796,0)</x:f>
        <x:v>0</x:v>
      </x:c>
    </x:row>
    <x:row r="1798">
      <x:c r="A1798" s="6"/>
      <x:c r="B1798" s="7"/>
      <x:c r="C1798" s="7"/>
      <x:c r="D1798" s="7"/>
      <x:c r="E1798" t="n">
        <x:f>IF(ISNUMBER(A1798),1797,0)</x:f>
        <x:v>0</x:v>
      </x:c>
    </x:row>
    <x:row r="1799">
      <x:c r="A1799" s="6"/>
      <x:c r="B1799" s="7"/>
      <x:c r="C1799" s="7"/>
      <x:c r="D1799" s="7"/>
      <x:c r="E1799" t="n">
        <x:f>IF(ISNUMBER(A1799),1798,0)</x:f>
        <x:v>0</x:v>
      </x:c>
    </x:row>
    <x:row r="1800">
      <x:c r="A1800" s="6"/>
      <x:c r="B1800" s="7"/>
      <x:c r="C1800" s="7"/>
      <x:c r="D1800" s="7"/>
      <x:c r="E1800" t="n">
        <x:f>IF(ISNUMBER(A1800),1799,0)</x:f>
        <x:v>0</x:v>
      </x:c>
    </x:row>
    <x:row r="1801">
      <x:c r="A1801" s="6"/>
      <x:c r="B1801" s="7"/>
      <x:c r="C1801" s="7"/>
      <x:c r="D1801" s="7"/>
      <x:c r="E1801" t="n">
        <x:f>IF(ISNUMBER(A1801),1800,0)</x:f>
        <x:v>0</x:v>
      </x:c>
    </x:row>
    <x:row r="1802">
      <x:c r="A1802" s="6"/>
      <x:c r="B1802" s="7"/>
      <x:c r="C1802" s="7"/>
      <x:c r="D1802" s="7"/>
      <x:c r="E1802" t="n">
        <x:f>IF(ISNUMBER(A1802),1801,0)</x:f>
        <x:v>0</x:v>
      </x:c>
    </x:row>
    <x:row r="1803">
      <x:c r="A1803" s="6"/>
      <x:c r="B1803" s="7"/>
      <x:c r="C1803" s="7"/>
      <x:c r="D1803" s="7"/>
      <x:c r="E1803" t="n">
        <x:f>IF(ISNUMBER(A1803),1802,0)</x:f>
        <x:v>0</x:v>
      </x:c>
    </x:row>
    <x:row r="1804">
      <x:c r="A1804" s="6"/>
      <x:c r="B1804" s="7"/>
      <x:c r="C1804" s="7"/>
      <x:c r="D1804" s="7"/>
      <x:c r="E1804" t="n">
        <x:f>IF(ISNUMBER(A1804),1803,0)</x:f>
        <x:v>0</x:v>
      </x:c>
    </x:row>
    <x:row r="1805">
      <x:c r="A1805" s="6"/>
      <x:c r="B1805" s="7"/>
      <x:c r="C1805" s="7"/>
      <x:c r="D1805" s="7"/>
      <x:c r="E1805" t="n">
        <x:f>IF(ISNUMBER(A1805),1804,0)</x:f>
        <x:v>0</x:v>
      </x:c>
    </x:row>
    <x:row r="1806">
      <x:c r="A1806" s="6"/>
      <x:c r="B1806" s="7"/>
      <x:c r="C1806" s="7"/>
      <x:c r="D1806" s="7"/>
      <x:c r="E1806" t="n">
        <x:f>IF(ISNUMBER(A1806),1805,0)</x:f>
        <x:v>0</x:v>
      </x:c>
    </x:row>
    <x:row r="1807">
      <x:c r="A1807" s="6"/>
      <x:c r="B1807" s="7"/>
      <x:c r="C1807" s="7"/>
      <x:c r="D1807" s="7"/>
      <x:c r="E1807" t="n">
        <x:f>IF(ISNUMBER(A1807),1806,0)</x:f>
        <x:v>0</x:v>
      </x:c>
    </x:row>
    <x:row r="1808">
      <x:c r="A1808" s="6"/>
      <x:c r="B1808" s="7"/>
      <x:c r="C1808" s="7"/>
      <x:c r="D1808" s="7"/>
      <x:c r="E1808" t="n">
        <x:f>IF(ISNUMBER(A1808),1807,0)</x:f>
        <x:v>0</x:v>
      </x:c>
    </x:row>
    <x:row r="1809">
      <x:c r="A1809" s="6"/>
      <x:c r="B1809" s="7"/>
      <x:c r="C1809" s="7"/>
      <x:c r="D1809" s="7"/>
      <x:c r="E1809" t="n">
        <x:f>IF(ISNUMBER(A1809),1808,0)</x:f>
        <x:v>0</x:v>
      </x:c>
    </x:row>
    <x:row r="1810">
      <x:c r="A1810" s="6"/>
      <x:c r="B1810" s="7"/>
      <x:c r="C1810" s="7"/>
      <x:c r="D1810" s="7"/>
      <x:c r="E1810" t="n">
        <x:f>IF(ISNUMBER(A1810),1809,0)</x:f>
        <x:v>0</x:v>
      </x:c>
    </x:row>
    <x:row r="1811">
      <x:c r="A1811" s="6"/>
      <x:c r="B1811" s="7"/>
      <x:c r="C1811" s="7"/>
      <x:c r="D1811" s="7"/>
      <x:c r="E1811" t="n">
        <x:f>IF(ISNUMBER(A1811),1810,0)</x:f>
        <x:v>0</x:v>
      </x:c>
    </x:row>
    <x:row r="1812">
      <x:c r="A1812" s="6"/>
      <x:c r="B1812" s="7"/>
      <x:c r="C1812" s="7"/>
      <x:c r="D1812" s="7"/>
      <x:c r="E1812" t="n">
        <x:f>IF(ISNUMBER(A1812),1811,0)</x:f>
        <x:v>0</x:v>
      </x:c>
    </x:row>
    <x:row r="1813">
      <x:c r="A1813" s="6"/>
      <x:c r="B1813" s="7"/>
      <x:c r="C1813" s="7"/>
      <x:c r="D1813" s="7"/>
      <x:c r="E1813" t="n">
        <x:f>IF(ISNUMBER(A1813),1812,0)</x:f>
        <x:v>0</x:v>
      </x:c>
    </x:row>
    <x:row r="1814">
      <x:c r="A1814" s="6"/>
      <x:c r="B1814" s="7"/>
      <x:c r="C1814" s="7"/>
      <x:c r="D1814" s="7"/>
      <x:c r="E1814" t="n">
        <x:f>IF(ISNUMBER(A1814),1813,0)</x:f>
        <x:v>0</x:v>
      </x:c>
    </x:row>
    <x:row r="1815">
      <x:c r="A1815" s="6"/>
      <x:c r="B1815" s="7"/>
      <x:c r="C1815" s="7"/>
      <x:c r="D1815" s="7"/>
      <x:c r="E1815" t="n">
        <x:f>IF(ISNUMBER(A1815),1814,0)</x:f>
        <x:v>0</x:v>
      </x:c>
    </x:row>
    <x:row r="1816">
      <x:c r="A1816" s="6"/>
      <x:c r="B1816" s="7"/>
      <x:c r="C1816" s="7"/>
      <x:c r="D1816" s="7"/>
      <x:c r="E1816" t="n">
        <x:f>IF(ISNUMBER(A1816),1815,0)</x:f>
        <x:v>0</x:v>
      </x:c>
    </x:row>
    <x:row r="1817">
      <x:c r="A1817" s="6"/>
      <x:c r="B1817" s="7"/>
      <x:c r="C1817" s="7"/>
      <x:c r="D1817" s="7"/>
      <x:c r="E1817" t="n">
        <x:f>IF(ISNUMBER(A1817),1816,0)</x:f>
        <x:v>0</x:v>
      </x:c>
    </x:row>
    <x:row r="1818">
      <x:c r="A1818" s="6"/>
      <x:c r="B1818" s="7"/>
      <x:c r="C1818" s="7"/>
      <x:c r="D1818" s="7"/>
      <x:c r="E1818" t="n">
        <x:f>IF(ISNUMBER(A1818),1817,0)</x:f>
        <x:v>0</x:v>
      </x:c>
    </x:row>
    <x:row r="1819">
      <x:c r="A1819" s="6"/>
      <x:c r="B1819" s="7"/>
      <x:c r="C1819" s="7"/>
      <x:c r="D1819" s="7"/>
      <x:c r="E1819" t="n">
        <x:f>IF(ISNUMBER(A1819),1818,0)</x:f>
        <x:v>0</x:v>
      </x:c>
    </x:row>
    <x:row r="1820">
      <x:c r="A1820" s="6"/>
      <x:c r="B1820" s="7"/>
      <x:c r="C1820" s="7"/>
      <x:c r="D1820" s="7"/>
      <x:c r="E1820" t="n">
        <x:f>IF(ISNUMBER(A1820),1819,0)</x:f>
        <x:v>0</x:v>
      </x:c>
    </x:row>
    <x:row r="1821">
      <x:c r="A1821" s="6"/>
      <x:c r="B1821" s="7"/>
      <x:c r="C1821" s="7"/>
      <x:c r="D1821" s="7"/>
      <x:c r="E1821" t="n">
        <x:f>IF(ISNUMBER(A1821),1820,0)</x:f>
        <x:v>0</x:v>
      </x:c>
    </x:row>
    <x:row r="1822">
      <x:c r="A1822" s="6"/>
      <x:c r="B1822" s="7"/>
      <x:c r="C1822" s="7"/>
      <x:c r="D1822" s="7"/>
      <x:c r="E1822" t="n">
        <x:f>IF(ISNUMBER(A1822),1821,0)</x:f>
        <x:v>0</x:v>
      </x:c>
    </x:row>
    <x:row r="1823">
      <x:c r="A1823" s="6"/>
      <x:c r="B1823" s="7"/>
      <x:c r="C1823" s="7"/>
      <x:c r="D1823" s="7"/>
      <x:c r="E1823" t="n">
        <x:f>IF(ISNUMBER(A1823),1822,0)</x:f>
        <x:v>0</x:v>
      </x:c>
    </x:row>
    <x:row r="1824">
      <x:c r="A1824" s="6"/>
      <x:c r="B1824" s="7"/>
      <x:c r="C1824" s="7"/>
      <x:c r="D1824" s="7"/>
      <x:c r="E1824" t="n">
        <x:f>IF(ISNUMBER(A1824),1823,0)</x:f>
        <x:v>0</x:v>
      </x:c>
    </x:row>
    <x:row r="1825">
      <x:c r="A1825" s="6"/>
      <x:c r="B1825" s="7"/>
      <x:c r="C1825" s="7"/>
      <x:c r="D1825" s="7"/>
      <x:c r="E1825" t="n">
        <x:f>IF(ISNUMBER(A1825),1824,0)</x:f>
        <x:v>0</x:v>
      </x:c>
    </x:row>
    <x:row r="1826">
      <x:c r="A1826" s="6"/>
      <x:c r="B1826" s="7"/>
      <x:c r="C1826" s="7"/>
      <x:c r="D1826" s="7"/>
      <x:c r="E1826" t="n">
        <x:f>IF(ISNUMBER(A1826),1825,0)</x:f>
        <x:v>0</x:v>
      </x:c>
    </x:row>
    <x:row r="1827">
      <x:c r="A1827" s="6"/>
      <x:c r="B1827" s="7"/>
      <x:c r="C1827" s="7"/>
      <x:c r="D1827" s="7"/>
      <x:c r="E1827" t="n">
        <x:f>IF(ISNUMBER(A1827),1826,0)</x:f>
        <x:v>0</x:v>
      </x:c>
    </x:row>
    <x:row r="1828">
      <x:c r="A1828" s="6"/>
      <x:c r="B1828" s="7"/>
      <x:c r="C1828" s="7"/>
      <x:c r="D1828" s="7"/>
      <x:c r="E1828" t="n">
        <x:f>IF(ISNUMBER(A1828),1827,0)</x:f>
        <x:v>0</x:v>
      </x:c>
    </x:row>
    <x:row r="1829">
      <x:c r="A1829" s="6"/>
      <x:c r="B1829" s="7"/>
      <x:c r="C1829" s="7"/>
      <x:c r="D1829" s="7"/>
      <x:c r="E1829" t="n">
        <x:f>IF(ISNUMBER(A1829),1828,0)</x:f>
        <x:v>0</x:v>
      </x:c>
    </x:row>
    <x:row r="1830">
      <x:c r="A1830" s="6"/>
      <x:c r="B1830" s="7"/>
      <x:c r="C1830" s="7"/>
      <x:c r="D1830" s="7"/>
      <x:c r="E1830" t="n">
        <x:f>IF(ISNUMBER(A1830),1829,0)</x:f>
        <x:v>0</x:v>
      </x:c>
    </x:row>
    <x:row r="1831">
      <x:c r="A1831" s="6"/>
      <x:c r="B1831" s="7"/>
      <x:c r="C1831" s="7"/>
      <x:c r="D1831" s="7"/>
      <x:c r="E1831" t="n">
        <x:f>IF(ISNUMBER(A1831),1830,0)</x:f>
        <x:v>0</x:v>
      </x:c>
    </x:row>
    <x:row r="1832">
      <x:c r="A1832" s="6"/>
      <x:c r="B1832" s="7"/>
      <x:c r="C1832" s="7"/>
      <x:c r="D1832" s="7"/>
      <x:c r="E1832" t="n">
        <x:f>IF(ISNUMBER(A1832),1831,0)</x:f>
        <x:v>0</x:v>
      </x:c>
    </x:row>
    <x:row r="1833">
      <x:c r="A1833" s="6"/>
      <x:c r="B1833" s="7"/>
      <x:c r="C1833" s="7"/>
      <x:c r="D1833" s="7"/>
      <x:c r="E1833" t="n">
        <x:f>IF(ISNUMBER(A1833),1832,0)</x:f>
        <x:v>0</x:v>
      </x:c>
    </x:row>
    <x:row r="1834">
      <x:c r="A1834" s="6"/>
      <x:c r="B1834" s="7"/>
      <x:c r="C1834" s="7"/>
      <x:c r="D1834" s="7"/>
      <x:c r="E1834" t="n">
        <x:f>IF(ISNUMBER(A1834),1833,0)</x:f>
        <x:v>0</x:v>
      </x:c>
    </x:row>
    <x:row r="1835">
      <x:c r="A1835" s="6"/>
      <x:c r="B1835" s="7"/>
      <x:c r="C1835" s="7"/>
      <x:c r="D1835" s="7"/>
      <x:c r="E1835" t="n">
        <x:f>IF(ISNUMBER(A1835),1834,0)</x:f>
        <x:v>0</x:v>
      </x:c>
    </x:row>
    <x:row r="1836">
      <x:c r="A1836" s="6"/>
      <x:c r="B1836" s="7"/>
      <x:c r="C1836" s="7"/>
      <x:c r="D1836" s="7"/>
      <x:c r="E1836" t="n">
        <x:f>IF(ISNUMBER(A1836),1835,0)</x:f>
        <x:v>0</x:v>
      </x:c>
    </x:row>
    <x:row r="1837">
      <x:c r="A1837" s="6"/>
      <x:c r="B1837" s="7"/>
      <x:c r="C1837" s="7"/>
      <x:c r="D1837" s="7"/>
      <x:c r="E1837" t="n">
        <x:f>IF(ISNUMBER(A1837),1836,0)</x:f>
        <x:v>0</x:v>
      </x:c>
    </x:row>
    <x:row r="1838">
      <x:c r="A1838" s="6"/>
      <x:c r="B1838" s="7"/>
      <x:c r="C1838" s="7"/>
      <x:c r="D1838" s="7"/>
      <x:c r="E1838" t="n">
        <x:f>IF(ISNUMBER(A1838),1837,0)</x:f>
        <x:v>0</x:v>
      </x:c>
    </x:row>
    <x:row r="1839">
      <x:c r="A1839" s="6"/>
      <x:c r="B1839" s="7"/>
      <x:c r="C1839" s="7"/>
      <x:c r="D1839" s="7"/>
      <x:c r="E1839" t="n">
        <x:f>IF(ISNUMBER(A1839),1838,0)</x:f>
        <x:v>0</x:v>
      </x:c>
    </x:row>
    <x:row r="1840">
      <x:c r="A1840" s="6"/>
      <x:c r="B1840" s="7"/>
      <x:c r="C1840" s="7"/>
      <x:c r="D1840" s="7"/>
      <x:c r="E1840" t="n">
        <x:f>IF(ISNUMBER(A1840),1839,0)</x:f>
        <x:v>0</x:v>
      </x:c>
    </x:row>
    <x:row r="1841">
      <x:c r="A1841" s="6"/>
      <x:c r="B1841" s="7"/>
      <x:c r="C1841" s="7"/>
      <x:c r="D1841" s="7"/>
      <x:c r="E1841" t="n">
        <x:f>IF(ISNUMBER(A1841),1840,0)</x:f>
        <x:v>0</x:v>
      </x:c>
    </x:row>
    <x:row r="1842">
      <x:c r="A1842" s="6"/>
      <x:c r="B1842" s="7"/>
      <x:c r="C1842" s="7"/>
      <x:c r="D1842" s="7"/>
      <x:c r="E1842" t="n">
        <x:f>IF(ISNUMBER(A1842),1841,0)</x:f>
        <x:v>0</x:v>
      </x:c>
    </x:row>
    <x:row r="1843">
      <x:c r="A1843" s="6"/>
      <x:c r="B1843" s="7"/>
      <x:c r="C1843" s="7"/>
      <x:c r="D1843" s="7"/>
      <x:c r="E1843" t="n">
        <x:f>IF(ISNUMBER(A1843),1842,0)</x:f>
        <x:v>0</x:v>
      </x:c>
    </x:row>
    <x:row r="1844">
      <x:c r="A1844" s="6"/>
      <x:c r="B1844" s="7"/>
      <x:c r="C1844" s="7"/>
      <x:c r="D1844" s="7"/>
      <x:c r="E1844" t="n">
        <x:f>IF(ISNUMBER(A1844),1843,0)</x:f>
        <x:v>0</x:v>
      </x:c>
    </x:row>
    <x:row r="1845">
      <x:c r="A1845" s="6"/>
      <x:c r="B1845" s="7"/>
      <x:c r="C1845" s="7"/>
      <x:c r="D1845" s="7"/>
      <x:c r="E1845" t="n">
        <x:f>IF(ISNUMBER(A1845),1844,0)</x:f>
        <x:v>0</x:v>
      </x:c>
    </x:row>
    <x:row r="1846">
      <x:c r="A1846" s="6"/>
      <x:c r="B1846" s="7"/>
      <x:c r="C1846" s="7"/>
      <x:c r="D1846" s="7"/>
      <x:c r="E1846" t="n">
        <x:f>IF(ISNUMBER(A1846),1845,0)</x:f>
        <x:v>0</x:v>
      </x:c>
    </x:row>
    <x:row r="1847">
      <x:c r="A1847" s="6"/>
      <x:c r="B1847" s="7"/>
      <x:c r="C1847" s="7"/>
      <x:c r="D1847" s="7"/>
      <x:c r="E1847" t="n">
        <x:f>IF(ISNUMBER(A1847),1846,0)</x:f>
        <x:v>0</x:v>
      </x:c>
    </x:row>
    <x:row r="1848">
      <x:c r="A1848" s="6"/>
      <x:c r="B1848" s="7"/>
      <x:c r="C1848" s="7"/>
      <x:c r="D1848" s="7"/>
      <x:c r="E1848" t="n">
        <x:f>IF(ISNUMBER(A1848),1847,0)</x:f>
        <x:v>0</x:v>
      </x:c>
    </x:row>
    <x:row r="1849">
      <x:c r="A1849" s="6"/>
      <x:c r="B1849" s="7"/>
      <x:c r="C1849" s="7"/>
      <x:c r="D1849" s="7"/>
      <x:c r="E1849" t="n">
        <x:f>IF(ISNUMBER(A1849),1848,0)</x:f>
        <x:v>0</x:v>
      </x:c>
    </x:row>
    <x:row r="1850">
      <x:c r="A1850" s="6"/>
      <x:c r="B1850" s="7"/>
      <x:c r="C1850" s="7"/>
      <x:c r="D1850" s="7"/>
      <x:c r="E1850" t="n">
        <x:f>IF(ISNUMBER(A1850),1849,0)</x:f>
        <x:v>0</x:v>
      </x:c>
    </x:row>
    <x:row r="1851">
      <x:c r="A1851" s="6"/>
      <x:c r="B1851" s="7"/>
      <x:c r="C1851" s="7"/>
      <x:c r="D1851" s="7"/>
      <x:c r="E1851" t="n">
        <x:f>IF(ISNUMBER(A1851),1850,0)</x:f>
        <x:v>0</x:v>
      </x:c>
    </x:row>
    <x:row r="1852">
      <x:c r="A1852" s="6"/>
      <x:c r="B1852" s="7"/>
      <x:c r="C1852" s="7"/>
      <x:c r="D1852" s="7"/>
      <x:c r="E1852" t="n">
        <x:f>IF(ISNUMBER(A1852),1851,0)</x:f>
        <x:v>0</x:v>
      </x:c>
    </x:row>
    <x:row r="1853">
      <x:c r="A1853" s="6"/>
      <x:c r="B1853" s="7"/>
      <x:c r="C1853" s="7"/>
      <x:c r="D1853" s="7"/>
      <x:c r="E1853" t="n">
        <x:f>IF(ISNUMBER(A1853),1852,0)</x:f>
        <x:v>0</x:v>
      </x:c>
    </x:row>
    <x:row r="1854">
      <x:c r="A1854" s="6"/>
      <x:c r="B1854" s="7"/>
      <x:c r="C1854" s="7"/>
      <x:c r="D1854" s="7"/>
      <x:c r="E1854" t="n">
        <x:f>IF(ISNUMBER(A1854),1853,0)</x:f>
        <x:v>0</x:v>
      </x:c>
    </x:row>
    <x:row r="1855">
      <x:c r="A1855" s="6"/>
      <x:c r="B1855" s="7"/>
      <x:c r="C1855" s="7"/>
      <x:c r="D1855" s="7"/>
      <x:c r="E1855" t="n">
        <x:f>IF(ISNUMBER(A1855),1854,0)</x:f>
        <x:v>0</x:v>
      </x:c>
    </x:row>
    <x:row r="1856">
      <x:c r="A1856" s="6"/>
      <x:c r="B1856" s="7"/>
      <x:c r="C1856" s="7"/>
      <x:c r="D1856" s="7"/>
      <x:c r="E1856" t="n">
        <x:f>IF(ISNUMBER(A1856),1855,0)</x:f>
        <x:v>0</x:v>
      </x:c>
    </x:row>
    <x:row r="1857">
      <x:c r="A1857" s="6"/>
      <x:c r="B1857" s="7"/>
      <x:c r="C1857" s="7"/>
      <x:c r="D1857" s="7"/>
      <x:c r="E1857" t="n">
        <x:f>IF(ISNUMBER(A1857),1856,0)</x:f>
        <x:v>0</x:v>
      </x:c>
    </x:row>
    <x:row r="1858">
      <x:c r="A1858" s="6"/>
      <x:c r="B1858" s="7"/>
      <x:c r="C1858" s="7"/>
      <x:c r="D1858" s="7"/>
      <x:c r="E1858" t="n">
        <x:f>IF(ISNUMBER(A1858),1857,0)</x:f>
        <x:v>0</x:v>
      </x:c>
    </x:row>
    <x:row r="1859">
      <x:c r="A1859" s="6"/>
      <x:c r="B1859" s="7"/>
      <x:c r="C1859" s="7"/>
      <x:c r="D1859" s="7"/>
      <x:c r="E1859" t="n">
        <x:f>IF(ISNUMBER(A1859),1858,0)</x:f>
        <x:v>0</x:v>
      </x:c>
    </x:row>
    <x:row r="1860">
      <x:c r="A1860" s="6"/>
      <x:c r="B1860" s="7"/>
      <x:c r="C1860" s="7"/>
      <x:c r="D1860" s="7"/>
      <x:c r="E1860" t="n">
        <x:f>IF(ISNUMBER(A1860),1859,0)</x:f>
        <x:v>0</x:v>
      </x:c>
    </x:row>
    <x:row r="1861">
      <x:c r="A1861" s="6"/>
      <x:c r="B1861" s="7"/>
      <x:c r="C1861" s="7"/>
      <x:c r="D1861" s="7"/>
      <x:c r="E1861" t="n">
        <x:f>IF(ISNUMBER(A1861),1860,0)</x:f>
        <x:v>0</x:v>
      </x:c>
    </x:row>
    <x:row r="1862">
      <x:c r="A1862" s="6"/>
      <x:c r="B1862" s="7"/>
      <x:c r="C1862" s="7"/>
      <x:c r="D1862" s="7"/>
      <x:c r="E1862" t="n">
        <x:f>IF(ISNUMBER(A1862),1861,0)</x:f>
        <x:v>0</x:v>
      </x:c>
    </x:row>
    <x:row r="1863">
      <x:c r="A1863" s="6"/>
      <x:c r="B1863" s="7"/>
      <x:c r="C1863" s="7"/>
      <x:c r="D1863" s="7"/>
      <x:c r="E1863" t="n">
        <x:f>IF(ISNUMBER(A1863),1862,0)</x:f>
        <x:v>0</x:v>
      </x:c>
    </x:row>
    <x:row r="1864">
      <x:c r="A1864" s="6"/>
      <x:c r="B1864" s="7"/>
      <x:c r="C1864" s="7"/>
      <x:c r="D1864" s="7"/>
      <x:c r="E1864" t="n">
        <x:f>IF(ISNUMBER(A1864),1863,0)</x:f>
        <x:v>0</x:v>
      </x:c>
    </x:row>
    <x:row r="1865">
      <x:c r="A1865" s="6"/>
      <x:c r="B1865" s="7"/>
      <x:c r="C1865" s="7"/>
      <x:c r="D1865" s="7"/>
      <x:c r="E1865" t="n">
        <x:f>IF(ISNUMBER(A1865),1864,0)</x:f>
        <x:v>0</x:v>
      </x:c>
    </x:row>
    <x:row r="1866">
      <x:c r="A1866" s="6"/>
      <x:c r="B1866" s="7"/>
      <x:c r="C1866" s="7"/>
      <x:c r="D1866" s="7"/>
      <x:c r="E1866" t="n">
        <x:f>IF(ISNUMBER(A1866),1865,0)</x:f>
        <x:v>0</x:v>
      </x:c>
    </x:row>
    <x:row r="1867">
      <x:c r="A1867" s="6"/>
      <x:c r="B1867" s="7"/>
      <x:c r="C1867" s="7"/>
      <x:c r="D1867" s="7"/>
      <x:c r="E1867" t="n">
        <x:f>IF(ISNUMBER(A1867),1866,0)</x:f>
        <x:v>0</x:v>
      </x:c>
    </x:row>
    <x:row r="1868">
      <x:c r="A1868" s="6"/>
      <x:c r="B1868" s="7"/>
      <x:c r="C1868" s="7"/>
      <x:c r="D1868" s="7"/>
      <x:c r="E1868" t="n">
        <x:f>IF(ISNUMBER(A1868),1867,0)</x:f>
        <x:v>0</x:v>
      </x:c>
    </x:row>
    <x:row r="1869">
      <x:c r="A1869" s="6"/>
      <x:c r="B1869" s="7"/>
      <x:c r="C1869" s="7"/>
      <x:c r="D1869" s="7"/>
      <x:c r="E1869" t="n">
        <x:f>IF(ISNUMBER(A1869),1868,0)</x:f>
        <x:v>0</x:v>
      </x:c>
    </x:row>
    <x:row r="1870">
      <x:c r="A1870" s="6"/>
      <x:c r="B1870" s="7"/>
      <x:c r="C1870" s="7"/>
      <x:c r="D1870" s="7"/>
      <x:c r="E1870" t="n">
        <x:f>IF(ISNUMBER(A1870),1869,0)</x:f>
        <x:v>0</x:v>
      </x:c>
    </x:row>
    <x:row r="1871">
      <x:c r="A1871" s="6"/>
      <x:c r="B1871" s="7"/>
      <x:c r="C1871" s="7"/>
      <x:c r="D1871" s="7"/>
      <x:c r="E1871" t="n">
        <x:f>IF(ISNUMBER(A1871),1870,0)</x:f>
        <x:v>0</x:v>
      </x:c>
    </x:row>
    <x:row r="1872">
      <x:c r="A1872" s="6"/>
      <x:c r="B1872" s="7"/>
      <x:c r="C1872" s="7"/>
      <x:c r="D1872" s="7"/>
      <x:c r="E1872" t="n">
        <x:f>IF(ISNUMBER(A1872),1871,0)</x:f>
        <x:v>0</x:v>
      </x:c>
    </x:row>
    <x:row r="1873">
      <x:c r="A1873" s="6"/>
      <x:c r="B1873" s="7"/>
      <x:c r="C1873" s="7"/>
      <x:c r="D1873" s="7"/>
      <x:c r="E1873" t="n">
        <x:f>IF(ISNUMBER(A1873),1872,0)</x:f>
        <x:v>0</x:v>
      </x:c>
    </x:row>
    <x:row r="1874">
      <x:c r="A1874" s="6"/>
      <x:c r="B1874" s="7"/>
      <x:c r="C1874" s="7"/>
      <x:c r="D1874" s="7"/>
      <x:c r="E1874" t="n">
        <x:f>IF(ISNUMBER(A1874),1873,0)</x:f>
        <x:v>0</x:v>
      </x:c>
    </x:row>
    <x:row r="1875">
      <x:c r="A1875" s="6"/>
      <x:c r="B1875" s="7"/>
      <x:c r="C1875" s="7"/>
      <x:c r="D1875" s="7"/>
      <x:c r="E1875" t="n">
        <x:f>IF(ISNUMBER(A1875),1874,0)</x:f>
        <x:v>0</x:v>
      </x:c>
    </x:row>
    <x:row r="1876">
      <x:c r="A1876" s="6"/>
      <x:c r="B1876" s="7"/>
      <x:c r="C1876" s="7"/>
      <x:c r="D1876" s="7"/>
      <x:c r="E1876" t="n">
        <x:f>IF(ISNUMBER(A1876),1875,0)</x:f>
        <x:v>0</x:v>
      </x:c>
    </x:row>
    <x:row r="1877">
      <x:c r="A1877" s="6"/>
      <x:c r="B1877" s="7"/>
      <x:c r="C1877" s="7"/>
      <x:c r="D1877" s="7"/>
      <x:c r="E1877" t="n">
        <x:f>IF(ISNUMBER(A1877),1876,0)</x:f>
        <x:v>0</x:v>
      </x:c>
    </x:row>
    <x:row r="1878">
      <x:c r="A1878" s="6"/>
      <x:c r="B1878" s="7"/>
      <x:c r="C1878" s="7"/>
      <x:c r="D1878" s="7"/>
      <x:c r="E1878" t="n">
        <x:f>IF(ISNUMBER(A1878),1877,0)</x:f>
        <x:v>0</x:v>
      </x:c>
    </x:row>
    <x:row r="1879">
      <x:c r="A1879" s="6"/>
      <x:c r="B1879" s="7"/>
      <x:c r="C1879" s="7"/>
      <x:c r="D1879" s="7"/>
      <x:c r="E1879" t="n">
        <x:f>IF(ISNUMBER(A1879),1878,0)</x:f>
        <x:v>0</x:v>
      </x:c>
    </x:row>
    <x:row r="1880">
      <x:c r="A1880" s="6"/>
      <x:c r="B1880" s="7"/>
      <x:c r="C1880" s="7"/>
      <x:c r="D1880" s="7"/>
      <x:c r="E1880" t="n">
        <x:f>IF(ISNUMBER(A1880),1879,0)</x:f>
        <x:v>0</x:v>
      </x:c>
    </x:row>
    <x:row r="1881">
      <x:c r="A1881" s="6"/>
      <x:c r="B1881" s="7"/>
      <x:c r="C1881" s="7"/>
      <x:c r="D1881" s="7"/>
      <x:c r="E1881" t="n">
        <x:f>IF(ISNUMBER(A1881),1880,0)</x:f>
        <x:v>0</x:v>
      </x:c>
    </x:row>
    <x:row r="1882">
      <x:c r="A1882" s="6"/>
      <x:c r="B1882" s="7"/>
      <x:c r="C1882" s="7"/>
      <x:c r="D1882" s="7"/>
      <x:c r="E1882" t="n">
        <x:f>IF(ISNUMBER(A1882),1881,0)</x:f>
        <x:v>0</x:v>
      </x:c>
    </x:row>
    <x:row r="1883">
      <x:c r="A1883" s="6"/>
      <x:c r="B1883" s="7"/>
      <x:c r="C1883" s="7"/>
      <x:c r="D1883" s="7"/>
      <x:c r="E1883" t="n">
        <x:f>IF(ISNUMBER(A1883),1882,0)</x:f>
        <x:v>0</x:v>
      </x:c>
    </x:row>
    <x:row r="1884">
      <x:c r="A1884" s="6"/>
      <x:c r="B1884" s="7"/>
      <x:c r="C1884" s="7"/>
      <x:c r="D1884" s="7"/>
      <x:c r="E1884" t="n">
        <x:f>IF(ISNUMBER(A1884),1883,0)</x:f>
        <x:v>0</x:v>
      </x:c>
    </x:row>
    <x:row r="1885">
      <x:c r="A1885" s="6"/>
      <x:c r="B1885" s="7"/>
      <x:c r="C1885" s="7"/>
      <x:c r="D1885" s="7"/>
      <x:c r="E1885" t="n">
        <x:f>IF(ISNUMBER(A1885),1884,0)</x:f>
        <x:v>0</x:v>
      </x:c>
    </x:row>
    <x:row r="1886">
      <x:c r="A1886" s="6"/>
      <x:c r="B1886" s="7"/>
      <x:c r="C1886" s="7"/>
      <x:c r="D1886" s="7"/>
      <x:c r="E1886" t="n">
        <x:f>IF(ISNUMBER(A1886),1885,0)</x:f>
        <x:v>0</x:v>
      </x:c>
    </x:row>
    <x:row r="1887">
      <x:c r="A1887" s="6"/>
      <x:c r="B1887" s="7"/>
      <x:c r="C1887" s="7"/>
      <x:c r="D1887" s="7"/>
      <x:c r="E1887" t="n">
        <x:f>IF(ISNUMBER(A1887),1886,0)</x:f>
        <x:v>0</x:v>
      </x:c>
    </x:row>
    <x:row r="1888">
      <x:c r="A1888" s="6"/>
      <x:c r="B1888" s="7"/>
      <x:c r="C1888" s="7"/>
      <x:c r="D1888" s="7"/>
      <x:c r="E1888" t="n">
        <x:f>IF(ISNUMBER(A1888),1887,0)</x:f>
        <x:v>0</x:v>
      </x:c>
    </x:row>
    <x:row r="1889">
      <x:c r="A1889" s="6"/>
      <x:c r="B1889" s="7"/>
      <x:c r="C1889" s="7"/>
      <x:c r="D1889" s="7"/>
      <x:c r="E1889" t="n">
        <x:f>IF(ISNUMBER(A1889),1888,0)</x:f>
        <x:v>0</x:v>
      </x:c>
    </x:row>
    <x:row r="1890">
      <x:c r="A1890" s="6"/>
      <x:c r="B1890" s="7"/>
      <x:c r="C1890" s="7"/>
      <x:c r="D1890" s="7"/>
      <x:c r="E1890" t="n">
        <x:f>IF(ISNUMBER(A1890),1889,0)</x:f>
        <x:v>0</x:v>
      </x:c>
    </x:row>
    <x:row r="1891">
      <x:c r="A1891" s="6"/>
      <x:c r="B1891" s="7"/>
      <x:c r="C1891" s="7"/>
      <x:c r="D1891" s="7"/>
      <x:c r="E1891" t="n">
        <x:f>IF(ISNUMBER(A1891),1890,0)</x:f>
        <x:v>0</x:v>
      </x:c>
    </x:row>
    <x:row r="1892">
      <x:c r="A1892" s="6"/>
      <x:c r="B1892" s="7"/>
      <x:c r="C1892" s="7"/>
      <x:c r="D1892" s="7"/>
      <x:c r="E1892" t="n">
        <x:f>IF(ISNUMBER(A1892),1891,0)</x:f>
        <x:v>0</x:v>
      </x:c>
    </x:row>
    <x:row r="1893">
      <x:c r="A1893" s="6"/>
      <x:c r="B1893" s="7"/>
      <x:c r="C1893" s="7"/>
      <x:c r="D1893" s="7"/>
      <x:c r="E1893" t="n">
        <x:f>IF(ISNUMBER(A1893),1892,0)</x:f>
        <x:v>0</x:v>
      </x:c>
    </x:row>
    <x:row r="1894">
      <x:c r="A1894" s="6"/>
      <x:c r="B1894" s="7"/>
      <x:c r="C1894" s="7"/>
      <x:c r="D1894" s="7"/>
      <x:c r="E1894" t="n">
        <x:f>IF(ISNUMBER(A1894),1893,0)</x:f>
        <x:v>0</x:v>
      </x:c>
    </x:row>
    <x:row r="1895">
      <x:c r="A1895" s="6"/>
      <x:c r="B1895" s="7"/>
      <x:c r="C1895" s="7"/>
      <x:c r="D1895" s="7"/>
      <x:c r="E1895" t="n">
        <x:f>IF(ISNUMBER(A1895),1894,0)</x:f>
        <x:v>0</x:v>
      </x:c>
    </x:row>
    <x:row r="1896">
      <x:c r="A1896" s="6"/>
      <x:c r="B1896" s="7"/>
      <x:c r="C1896" s="7"/>
      <x:c r="D1896" s="7"/>
      <x:c r="E1896" t="n">
        <x:f>IF(ISNUMBER(A1896),1895,0)</x:f>
        <x:v>0</x:v>
      </x:c>
    </x:row>
    <x:row r="1897">
      <x:c r="A1897" s="6"/>
      <x:c r="B1897" s="7"/>
      <x:c r="C1897" s="7"/>
      <x:c r="D1897" s="7"/>
      <x:c r="E1897" t="n">
        <x:f>IF(ISNUMBER(A1897),1896,0)</x:f>
        <x:v>0</x:v>
      </x:c>
    </x:row>
    <x:row r="1898">
      <x:c r="A1898" s="6"/>
      <x:c r="B1898" s="7"/>
      <x:c r="C1898" s="7"/>
      <x:c r="D1898" s="7"/>
      <x:c r="E1898" t="n">
        <x:f>IF(ISNUMBER(A1898),1897,0)</x:f>
        <x:v>0</x:v>
      </x:c>
    </x:row>
    <x:row r="1899">
      <x:c r="A1899" s="6"/>
      <x:c r="B1899" s="7"/>
      <x:c r="C1899" s="7"/>
      <x:c r="D1899" s="7"/>
      <x:c r="E1899" t="n">
        <x:f>IF(ISNUMBER(A1899),1898,0)</x:f>
        <x:v>0</x:v>
      </x:c>
    </x:row>
    <x:row r="1900">
      <x:c r="A1900" s="6"/>
      <x:c r="B1900" s="7"/>
      <x:c r="C1900" s="7"/>
      <x:c r="D1900" s="7"/>
      <x:c r="E1900" t="n">
        <x:f>IF(ISNUMBER(A1900),1899,0)</x:f>
        <x:v>0</x:v>
      </x:c>
    </x:row>
    <x:row r="1901">
      <x:c r="A1901" s="6"/>
      <x:c r="B1901" s="7"/>
      <x:c r="C1901" s="7"/>
      <x:c r="D1901" s="7"/>
      <x:c r="E1901" t="n">
        <x:f>IF(ISNUMBER(A1901),1900,0)</x:f>
        <x:v>0</x:v>
      </x:c>
    </x:row>
    <x:row r="1902">
      <x:c r="A1902" s="6"/>
      <x:c r="B1902" s="7"/>
      <x:c r="C1902" s="7"/>
      <x:c r="D1902" s="7"/>
      <x:c r="E1902" t="n">
        <x:f>IF(ISNUMBER(A1902),1901,0)</x:f>
        <x:v>0</x:v>
      </x:c>
    </x:row>
    <x:row r="1903">
      <x:c r="A1903" s="6"/>
      <x:c r="B1903" s="7"/>
      <x:c r="C1903" s="7"/>
      <x:c r="D1903" s="7"/>
      <x:c r="E1903" t="n">
        <x:f>IF(ISNUMBER(A1903),1902,0)</x:f>
        <x:v>0</x:v>
      </x:c>
    </x:row>
    <x:row r="1904">
      <x:c r="A1904" s="6"/>
      <x:c r="B1904" s="7"/>
      <x:c r="C1904" s="7"/>
      <x:c r="D1904" s="7"/>
      <x:c r="E1904" t="n">
        <x:f>IF(ISNUMBER(A1904),1903,0)</x:f>
        <x:v>0</x:v>
      </x:c>
    </x:row>
    <x:row r="1905">
      <x:c r="A1905" s="6"/>
      <x:c r="B1905" s="7"/>
      <x:c r="C1905" s="7"/>
      <x:c r="D1905" s="7"/>
      <x:c r="E1905" t="n">
        <x:f>IF(ISNUMBER(A1905),1904,0)</x:f>
        <x:v>0</x:v>
      </x:c>
    </x:row>
    <x:row r="1906">
      <x:c r="A1906" s="6"/>
      <x:c r="B1906" s="7"/>
      <x:c r="C1906" s="7"/>
      <x:c r="D1906" s="7"/>
      <x:c r="E1906" t="n">
        <x:f>IF(ISNUMBER(A1906),1905,0)</x:f>
        <x:v>0</x:v>
      </x:c>
    </x:row>
    <x:row r="1907">
      <x:c r="A1907" s="6"/>
      <x:c r="B1907" s="7"/>
      <x:c r="C1907" s="7"/>
      <x:c r="D1907" s="7"/>
      <x:c r="E1907" t="n">
        <x:f>IF(ISNUMBER(A1907),1906,0)</x:f>
        <x:v>0</x:v>
      </x:c>
    </x:row>
    <x:row r="1908">
      <x:c r="A1908" s="6"/>
      <x:c r="B1908" s="7"/>
      <x:c r="C1908" s="7"/>
      <x:c r="D1908" s="7"/>
      <x:c r="E1908" t="n">
        <x:f>IF(ISNUMBER(A1908),1907,0)</x:f>
        <x:v>0</x:v>
      </x:c>
    </x:row>
    <x:row r="1909">
      <x:c r="A1909" s="6"/>
      <x:c r="B1909" s="7"/>
      <x:c r="C1909" s="7"/>
      <x:c r="D1909" s="7"/>
      <x:c r="E1909" t="n">
        <x:f>IF(ISNUMBER(A1909),1908,0)</x:f>
        <x:v>0</x:v>
      </x:c>
    </x:row>
    <x:row r="1910">
      <x:c r="A1910" s="6"/>
      <x:c r="B1910" s="7"/>
      <x:c r="C1910" s="7"/>
      <x:c r="D1910" s="7"/>
      <x:c r="E1910" t="n">
        <x:f>IF(ISNUMBER(A1910),1909,0)</x:f>
        <x:v>0</x:v>
      </x:c>
    </x:row>
    <x:row r="1911">
      <x:c r="A1911" s="6"/>
      <x:c r="B1911" s="7"/>
      <x:c r="C1911" s="7"/>
      <x:c r="D1911" s="7"/>
      <x:c r="E1911" t="n">
        <x:f>IF(ISNUMBER(A1911),1910,0)</x:f>
        <x:v>0</x:v>
      </x:c>
    </x:row>
    <x:row r="1912">
      <x:c r="A1912" s="6"/>
      <x:c r="B1912" s="7"/>
      <x:c r="C1912" s="7"/>
      <x:c r="D1912" s="7"/>
      <x:c r="E1912" t="n">
        <x:f>IF(ISNUMBER(A1912),1911,0)</x:f>
        <x:v>0</x:v>
      </x:c>
    </x:row>
    <x:row r="1913">
      <x:c r="A1913" s="6"/>
      <x:c r="B1913" s="7"/>
      <x:c r="C1913" s="7"/>
      <x:c r="D1913" s="7"/>
      <x:c r="E1913" t="n">
        <x:f>IF(ISNUMBER(A1913),1912,0)</x:f>
        <x:v>0</x:v>
      </x:c>
    </x:row>
    <x:row r="1914">
      <x:c r="A1914" s="6"/>
      <x:c r="B1914" s="7"/>
      <x:c r="C1914" s="7"/>
      <x:c r="D1914" s="7"/>
      <x:c r="E1914" t="n">
        <x:f>IF(ISNUMBER(A1914),1913,0)</x:f>
        <x:v>0</x:v>
      </x:c>
    </x:row>
    <x:row r="1915">
      <x:c r="A1915" s="6"/>
      <x:c r="B1915" s="7"/>
      <x:c r="C1915" s="7"/>
      <x:c r="D1915" s="7"/>
      <x:c r="E1915" t="n">
        <x:f>IF(ISNUMBER(A1915),1914,0)</x:f>
        <x:v>0</x:v>
      </x:c>
    </x:row>
    <x:row r="1916">
      <x:c r="A1916" s="6"/>
      <x:c r="B1916" s="7"/>
      <x:c r="C1916" s="7"/>
      <x:c r="D1916" s="7"/>
      <x:c r="E1916" t="n">
        <x:f>IF(ISNUMBER(A1916),1915,0)</x:f>
        <x:v>0</x:v>
      </x:c>
    </x:row>
    <x:row r="1917">
      <x:c r="A1917" s="6"/>
      <x:c r="B1917" s="7"/>
      <x:c r="C1917" s="7"/>
      <x:c r="D1917" s="7"/>
      <x:c r="E1917" t="n">
        <x:f>IF(ISNUMBER(A1917),1916,0)</x:f>
        <x:v>0</x:v>
      </x:c>
    </x:row>
    <x:row r="1918">
      <x:c r="A1918" s="6"/>
      <x:c r="B1918" s="7"/>
      <x:c r="C1918" s="7"/>
      <x:c r="D1918" s="7"/>
      <x:c r="E1918" t="n">
        <x:f>IF(ISNUMBER(A1918),1917,0)</x:f>
        <x:v>0</x:v>
      </x:c>
    </x:row>
    <x:row r="1919">
      <x:c r="A1919" s="6"/>
      <x:c r="B1919" s="7"/>
      <x:c r="C1919" s="7"/>
      <x:c r="D1919" s="7"/>
      <x:c r="E1919" t="n">
        <x:f>IF(ISNUMBER(A1919),1918,0)</x:f>
        <x:v>0</x:v>
      </x:c>
    </x:row>
    <x:row r="1920">
      <x:c r="A1920" s="6"/>
      <x:c r="B1920" s="7"/>
      <x:c r="C1920" s="7"/>
      <x:c r="D1920" s="7"/>
      <x:c r="E1920" t="n">
        <x:f>IF(ISNUMBER(A1920),1919,0)</x:f>
        <x:v>0</x:v>
      </x:c>
    </x:row>
    <x:row r="1921">
      <x:c r="A1921" s="6"/>
      <x:c r="B1921" s="7"/>
      <x:c r="C1921" s="7"/>
      <x:c r="D1921" s="7"/>
      <x:c r="E1921" t="n">
        <x:f>IF(ISNUMBER(A1921),1920,0)</x:f>
        <x:v>0</x:v>
      </x:c>
    </x:row>
    <x:row r="1922">
      <x:c r="A1922" s="6"/>
      <x:c r="B1922" s="7"/>
      <x:c r="C1922" s="7"/>
      <x:c r="D1922" s="7"/>
      <x:c r="E1922" t="n">
        <x:f>IF(ISNUMBER(A1922),1921,0)</x:f>
        <x:v>0</x:v>
      </x:c>
    </x:row>
    <x:row r="1923">
      <x:c r="A1923" s="6"/>
      <x:c r="B1923" s="7"/>
      <x:c r="C1923" s="7"/>
      <x:c r="D1923" s="7"/>
      <x:c r="E1923" t="n">
        <x:f>IF(ISNUMBER(A1923),1922,0)</x:f>
        <x:v>0</x:v>
      </x:c>
    </x:row>
    <x:row r="1924">
      <x:c r="A1924" s="6"/>
      <x:c r="B1924" s="7"/>
      <x:c r="C1924" s="7"/>
      <x:c r="D1924" s="7"/>
      <x:c r="E1924" t="n">
        <x:f>IF(ISNUMBER(A1924),1923,0)</x:f>
        <x:v>0</x:v>
      </x:c>
    </x:row>
    <x:row r="1925">
      <x:c r="A1925" s="6"/>
      <x:c r="B1925" s="7"/>
      <x:c r="C1925" s="7"/>
      <x:c r="D1925" s="7"/>
      <x:c r="E1925" t="n">
        <x:f>IF(ISNUMBER(A1925),1924,0)</x:f>
        <x:v>0</x:v>
      </x:c>
    </x:row>
    <x:row r="1926">
      <x:c r="A1926" s="6"/>
      <x:c r="B1926" s="7"/>
      <x:c r="C1926" s="7"/>
      <x:c r="D1926" s="7"/>
      <x:c r="E1926" t="n">
        <x:f>IF(ISNUMBER(A1926),1925,0)</x:f>
        <x:v>0</x:v>
      </x:c>
    </x:row>
    <x:row r="1927">
      <x:c r="A1927" s="6"/>
      <x:c r="B1927" s="7"/>
      <x:c r="C1927" s="7"/>
      <x:c r="D1927" s="7"/>
      <x:c r="E1927" t="n">
        <x:f>IF(ISNUMBER(A1927),1926,0)</x:f>
        <x:v>0</x:v>
      </x:c>
    </x:row>
    <x:row r="1928">
      <x:c r="A1928" s="6"/>
      <x:c r="B1928" s="7"/>
      <x:c r="C1928" s="7"/>
      <x:c r="D1928" s="7"/>
      <x:c r="E1928" t="n">
        <x:f>IF(ISNUMBER(A1928),1927,0)</x:f>
        <x:v>0</x:v>
      </x:c>
    </x:row>
    <x:row r="1929">
      <x:c r="A1929" s="6"/>
      <x:c r="B1929" s="7"/>
      <x:c r="C1929" s="7"/>
      <x:c r="D1929" s="7"/>
      <x:c r="E1929" t="n">
        <x:f>IF(ISNUMBER(A1929),1928,0)</x:f>
        <x:v>0</x:v>
      </x:c>
    </x:row>
    <x:row r="1930">
      <x:c r="A1930" s="6"/>
      <x:c r="B1930" s="7"/>
      <x:c r="C1930" s="7"/>
      <x:c r="D1930" s="7"/>
      <x:c r="E1930" t="n">
        <x:f>IF(ISNUMBER(A1930),1929,0)</x:f>
        <x:v>0</x:v>
      </x:c>
    </x:row>
    <x:row r="1931">
      <x:c r="A1931" s="6"/>
      <x:c r="B1931" s="7"/>
      <x:c r="C1931" s="7"/>
      <x:c r="D1931" s="7"/>
      <x:c r="E1931" t="n">
        <x:f>IF(ISNUMBER(A1931),1930,0)</x:f>
        <x:v>0</x:v>
      </x:c>
    </x:row>
    <x:row r="1932">
      <x:c r="A1932" s="6"/>
      <x:c r="B1932" s="7"/>
      <x:c r="C1932" s="7"/>
      <x:c r="D1932" s="7"/>
      <x:c r="E1932" t="n">
        <x:f>IF(ISNUMBER(A1932),1931,0)</x:f>
        <x:v>0</x:v>
      </x:c>
    </x:row>
    <x:row r="1933">
      <x:c r="A1933" s="6"/>
      <x:c r="B1933" s="7"/>
      <x:c r="C1933" s="7"/>
      <x:c r="D1933" s="7"/>
      <x:c r="E1933" t="n">
        <x:f>IF(ISNUMBER(A1933),1932,0)</x:f>
        <x:v>0</x:v>
      </x:c>
    </x:row>
    <x:row r="1934">
      <x:c r="A1934" s="6"/>
      <x:c r="B1934" s="7"/>
      <x:c r="C1934" s="7"/>
      <x:c r="D1934" s="7"/>
      <x:c r="E1934" t="n">
        <x:f>IF(ISNUMBER(A1934),1933,0)</x:f>
        <x:v>0</x:v>
      </x:c>
    </x:row>
    <x:row r="1935">
      <x:c r="A1935" s="6"/>
      <x:c r="B1935" s="7"/>
      <x:c r="C1935" s="7"/>
      <x:c r="D1935" s="7"/>
      <x:c r="E1935" t="n">
        <x:f>IF(ISNUMBER(A1935),1934,0)</x:f>
        <x:v>0</x:v>
      </x:c>
    </x:row>
    <x:row r="1936">
      <x:c r="A1936" s="6"/>
      <x:c r="B1936" s="7"/>
      <x:c r="C1936" s="7"/>
      <x:c r="D1936" s="7"/>
      <x:c r="E1936" t="n">
        <x:f>IF(ISNUMBER(A1936),1935,0)</x:f>
        <x:v>0</x:v>
      </x:c>
    </x:row>
    <x:row r="1937">
      <x:c r="A1937" s="6"/>
      <x:c r="B1937" s="7"/>
      <x:c r="C1937" s="7"/>
      <x:c r="D1937" s="7"/>
      <x:c r="E1937" t="n">
        <x:f>IF(ISNUMBER(A1937),1936,0)</x:f>
        <x:v>0</x:v>
      </x:c>
    </x:row>
    <x:row r="1938">
      <x:c r="A1938" s="6"/>
      <x:c r="B1938" s="7"/>
      <x:c r="C1938" s="7"/>
      <x:c r="D1938" s="7"/>
      <x:c r="E1938" t="n">
        <x:f>IF(ISNUMBER(A1938),1937,0)</x:f>
        <x:v>0</x:v>
      </x:c>
    </x:row>
    <x:row r="1939">
      <x:c r="A1939" s="6"/>
      <x:c r="B1939" s="7"/>
      <x:c r="C1939" s="7"/>
      <x:c r="D1939" s="7"/>
      <x:c r="E1939" t="n">
        <x:f>IF(ISNUMBER(A1939),1938,0)</x:f>
        <x:v>0</x:v>
      </x:c>
    </x:row>
    <x:row r="1940">
      <x:c r="A1940" s="6"/>
      <x:c r="B1940" s="7"/>
      <x:c r="C1940" s="7"/>
      <x:c r="D1940" s="7"/>
      <x:c r="E1940" t="n">
        <x:f>IF(ISNUMBER(A1940),1939,0)</x:f>
        <x:v>0</x:v>
      </x:c>
    </x:row>
    <x:row r="1941">
      <x:c r="A1941" s="6"/>
      <x:c r="B1941" s="7"/>
      <x:c r="C1941" s="7"/>
      <x:c r="D1941" s="7"/>
      <x:c r="E1941" t="n">
        <x:f>IF(ISNUMBER(A1941),1940,0)</x:f>
        <x:v>0</x:v>
      </x:c>
    </x:row>
    <x:row r="1942">
      <x:c r="A1942" s="6"/>
      <x:c r="B1942" s="7"/>
      <x:c r="C1942" s="7"/>
      <x:c r="D1942" s="7"/>
      <x:c r="E1942" t="n">
        <x:f>IF(ISNUMBER(A1942),1941,0)</x:f>
        <x:v>0</x:v>
      </x:c>
    </x:row>
    <x:row r="1943">
      <x:c r="A1943" s="6"/>
      <x:c r="B1943" s="7"/>
      <x:c r="C1943" s="7"/>
      <x:c r="D1943" s="7"/>
      <x:c r="E1943" t="n">
        <x:f>IF(ISNUMBER(A1943),1942,0)</x:f>
        <x:v>0</x:v>
      </x:c>
    </x:row>
    <x:row r="1944">
      <x:c r="A1944" s="6"/>
      <x:c r="B1944" s="7"/>
      <x:c r="C1944" s="7"/>
      <x:c r="D1944" s="7"/>
      <x:c r="E1944" t="n">
        <x:f>IF(ISNUMBER(A1944),1943,0)</x:f>
        <x:v>0</x:v>
      </x:c>
    </x:row>
    <x:row r="1945">
      <x:c r="A1945" s="6"/>
      <x:c r="B1945" s="7"/>
      <x:c r="C1945" s="7"/>
      <x:c r="D1945" s="7"/>
      <x:c r="E1945" t="n">
        <x:f>IF(ISNUMBER(A1945),1944,0)</x:f>
        <x:v>0</x:v>
      </x:c>
    </x:row>
    <x:row r="1946">
      <x:c r="A1946" s="6"/>
      <x:c r="B1946" s="7"/>
      <x:c r="C1946" s="7"/>
      <x:c r="D1946" s="7"/>
      <x:c r="E1946" t="n">
        <x:f>IF(ISNUMBER(A1946),1945,0)</x:f>
        <x:v>0</x:v>
      </x:c>
    </x:row>
    <x:row r="1947">
      <x:c r="A1947" s="6"/>
      <x:c r="B1947" s="7"/>
      <x:c r="C1947" s="7"/>
      <x:c r="D1947" s="7"/>
      <x:c r="E1947" t="n">
        <x:f>IF(ISNUMBER(A1947),1946,0)</x:f>
        <x:v>0</x:v>
      </x:c>
    </x:row>
    <x:row r="1948">
      <x:c r="A1948" s="6"/>
      <x:c r="B1948" s="7"/>
      <x:c r="C1948" s="7"/>
      <x:c r="D1948" s="7"/>
      <x:c r="E1948" t="n">
        <x:f>IF(ISNUMBER(A1948),1947,0)</x:f>
        <x:v>0</x:v>
      </x:c>
    </x:row>
    <x:row r="1949">
      <x:c r="A1949" s="6"/>
      <x:c r="B1949" s="7"/>
      <x:c r="C1949" s="7"/>
      <x:c r="D1949" s="7"/>
      <x:c r="E1949" t="n">
        <x:f>IF(ISNUMBER(A1949),1948,0)</x:f>
        <x:v>0</x:v>
      </x:c>
    </x:row>
    <x:row r="1950">
      <x:c r="A1950" s="6"/>
      <x:c r="B1950" s="7"/>
      <x:c r="C1950" s="7"/>
      <x:c r="D1950" s="7"/>
      <x:c r="E1950" t="n">
        <x:f>IF(ISNUMBER(A1950),1949,0)</x:f>
        <x:v>0</x:v>
      </x:c>
    </x:row>
    <x:row r="1951">
      <x:c r="A1951" s="6"/>
      <x:c r="B1951" s="7"/>
      <x:c r="C1951" s="7"/>
      <x:c r="D1951" s="7"/>
      <x:c r="E1951" t="n">
        <x:f>IF(ISNUMBER(A1951),1950,0)</x:f>
        <x:v>0</x:v>
      </x:c>
    </x:row>
    <x:row r="1952">
      <x:c r="A1952" s="6"/>
      <x:c r="B1952" s="7"/>
      <x:c r="C1952" s="7"/>
      <x:c r="D1952" s="7"/>
      <x:c r="E1952" t="n">
        <x:f>IF(ISNUMBER(A1952),1951,0)</x:f>
        <x:v>0</x:v>
      </x:c>
    </x:row>
    <x:row r="1953">
      <x:c r="A1953" s="6"/>
      <x:c r="B1953" s="7"/>
      <x:c r="C1953" s="7"/>
      <x:c r="D1953" s="7"/>
      <x:c r="E1953" t="n">
        <x:f>IF(ISNUMBER(A1953),1952,0)</x:f>
        <x:v>0</x:v>
      </x:c>
    </x:row>
    <x:row r="1954">
      <x:c r="A1954" s="6"/>
      <x:c r="B1954" s="7"/>
      <x:c r="C1954" s="7"/>
      <x:c r="D1954" s="7"/>
      <x:c r="E1954" t="n">
        <x:f>IF(ISNUMBER(A1954),1953,0)</x:f>
        <x:v>0</x:v>
      </x:c>
    </x:row>
    <x:row r="1955">
      <x:c r="A1955" s="6"/>
      <x:c r="B1955" s="7"/>
      <x:c r="C1955" s="7"/>
      <x:c r="D1955" s="7"/>
      <x:c r="E1955" t="n">
        <x:f>IF(ISNUMBER(A1955),1954,0)</x:f>
        <x:v>0</x:v>
      </x:c>
    </x:row>
    <x:row r="1956">
      <x:c r="A1956" s="6"/>
      <x:c r="B1956" s="7"/>
      <x:c r="C1956" s="7"/>
      <x:c r="D1956" s="7"/>
      <x:c r="E1956" t="n">
        <x:f>IF(ISNUMBER(A1956),1955,0)</x:f>
        <x:v>0</x:v>
      </x:c>
    </x:row>
    <x:row r="1957">
      <x:c r="A1957" s="6"/>
      <x:c r="B1957" s="7"/>
      <x:c r="C1957" s="7"/>
      <x:c r="D1957" s="7"/>
      <x:c r="E1957" t="n">
        <x:f>IF(ISNUMBER(A1957),1956,0)</x:f>
        <x:v>0</x:v>
      </x:c>
    </x:row>
    <x:row r="1958">
      <x:c r="A1958" s="6"/>
      <x:c r="B1958" s="7"/>
      <x:c r="C1958" s="7"/>
      <x:c r="D1958" s="7"/>
      <x:c r="E1958" t="n">
        <x:f>IF(ISNUMBER(A1958),1957,0)</x:f>
        <x:v>0</x:v>
      </x:c>
    </x:row>
    <x:row r="1959">
      <x:c r="A1959" s="6"/>
      <x:c r="B1959" s="7"/>
      <x:c r="C1959" s="7"/>
      <x:c r="D1959" s="7"/>
      <x:c r="E1959" t="n">
        <x:f>IF(ISNUMBER(A1959),1958,0)</x:f>
        <x:v>0</x:v>
      </x:c>
    </x:row>
    <x:row r="1960">
      <x:c r="A1960" s="6"/>
      <x:c r="B1960" s="7"/>
      <x:c r="C1960" s="7"/>
      <x:c r="D1960" s="7"/>
      <x:c r="E1960" t="n">
        <x:f>IF(ISNUMBER(A1960),1959,0)</x:f>
        <x:v>0</x:v>
      </x:c>
    </x:row>
    <x:row r="1961">
      <x:c r="A1961" s="6"/>
      <x:c r="B1961" s="7"/>
      <x:c r="C1961" s="7"/>
      <x:c r="D1961" s="7"/>
      <x:c r="E1961" t="n">
        <x:f>IF(ISNUMBER(A1961),1960,0)</x:f>
        <x:v>0</x:v>
      </x:c>
    </x:row>
    <x:row r="1962">
      <x:c r="A1962" s="6"/>
      <x:c r="B1962" s="7"/>
      <x:c r="C1962" s="7"/>
      <x:c r="D1962" s="7"/>
      <x:c r="E1962" t="n">
        <x:f>IF(ISNUMBER(A1962),1961,0)</x:f>
        <x:v>0</x:v>
      </x:c>
    </x:row>
    <x:row r="1963">
      <x:c r="A1963" s="6"/>
      <x:c r="B1963" s="7"/>
      <x:c r="C1963" s="7"/>
      <x:c r="D1963" s="7"/>
      <x:c r="E1963" t="n">
        <x:f>IF(ISNUMBER(A1963),1962,0)</x:f>
        <x:v>0</x:v>
      </x:c>
    </x:row>
    <x:row r="1964">
      <x:c r="A1964" s="6"/>
      <x:c r="B1964" s="7"/>
      <x:c r="C1964" s="7"/>
      <x:c r="D1964" s="7"/>
      <x:c r="E1964" t="n">
        <x:f>IF(ISNUMBER(A1964),1963,0)</x:f>
        <x:v>0</x:v>
      </x:c>
    </x:row>
    <x:row r="1965">
      <x:c r="A1965" s="6"/>
      <x:c r="B1965" s="7"/>
      <x:c r="C1965" s="7"/>
      <x:c r="D1965" s="7"/>
      <x:c r="E1965" t="n">
        <x:f>IF(ISNUMBER(A1965),1964,0)</x:f>
        <x:v>0</x:v>
      </x:c>
    </x:row>
    <x:row r="1966">
      <x:c r="A1966" s="6"/>
      <x:c r="B1966" s="7"/>
      <x:c r="C1966" s="7"/>
      <x:c r="D1966" s="7"/>
      <x:c r="E1966" t="n">
        <x:f>IF(ISNUMBER(A1966),1965,0)</x:f>
        <x:v>0</x:v>
      </x:c>
    </x:row>
    <x:row r="1967">
      <x:c r="A1967" s="6"/>
      <x:c r="B1967" s="7"/>
      <x:c r="C1967" s="7"/>
      <x:c r="D1967" s="7"/>
      <x:c r="E1967" t="n">
        <x:f>IF(ISNUMBER(A1967),1966,0)</x:f>
        <x:v>0</x:v>
      </x:c>
    </x:row>
    <x:row r="1968">
      <x:c r="A1968" s="6"/>
      <x:c r="B1968" s="7"/>
      <x:c r="C1968" s="7"/>
      <x:c r="D1968" s="7"/>
      <x:c r="E1968" t="n">
        <x:f>IF(ISNUMBER(A1968),1967,0)</x:f>
        <x:v>0</x:v>
      </x:c>
    </x:row>
    <x:row r="1969">
      <x:c r="A1969" s="6"/>
      <x:c r="B1969" s="7"/>
      <x:c r="C1969" s="7"/>
      <x:c r="D1969" s="7"/>
      <x:c r="E1969" t="n">
        <x:f>IF(ISNUMBER(A1969),1968,0)</x:f>
        <x:v>0</x:v>
      </x:c>
    </x:row>
    <x:row r="1970">
      <x:c r="A1970" s="6"/>
      <x:c r="B1970" s="7"/>
      <x:c r="C1970" s="7"/>
      <x:c r="D1970" s="7"/>
      <x:c r="E1970" t="n">
        <x:f>IF(ISNUMBER(A1970),1969,0)</x:f>
        <x:v>0</x:v>
      </x:c>
    </x:row>
    <x:row r="1971">
      <x:c r="A1971" s="6"/>
      <x:c r="B1971" s="7"/>
      <x:c r="C1971" s="7"/>
      <x:c r="D1971" s="7"/>
      <x:c r="E1971" t="n">
        <x:f>IF(ISNUMBER(A1971),1970,0)</x:f>
        <x:v>0</x:v>
      </x:c>
    </x:row>
    <x:row r="1972">
      <x:c r="A1972" s="6"/>
      <x:c r="B1972" s="7"/>
      <x:c r="C1972" s="7"/>
      <x:c r="D1972" s="7"/>
      <x:c r="E1972" t="n">
        <x:f>IF(ISNUMBER(A1972),1971,0)</x:f>
        <x:v>0</x:v>
      </x:c>
    </x:row>
    <x:row r="1973">
      <x:c r="A1973" s="6"/>
      <x:c r="B1973" s="7"/>
      <x:c r="C1973" s="7"/>
      <x:c r="D1973" s="7"/>
      <x:c r="E1973" t="n">
        <x:f>IF(ISNUMBER(A1973),1972,0)</x:f>
        <x:v>0</x:v>
      </x:c>
    </x:row>
    <x:row r="1974">
      <x:c r="A1974" s="6"/>
      <x:c r="B1974" s="7"/>
      <x:c r="C1974" s="7"/>
      <x:c r="D1974" s="7"/>
      <x:c r="E1974" t="n">
        <x:f>IF(ISNUMBER(A1974),1973,0)</x:f>
        <x:v>0</x:v>
      </x:c>
    </x:row>
    <x:row r="1975">
      <x:c r="A1975" s="6"/>
      <x:c r="B1975" s="7"/>
      <x:c r="C1975" s="7"/>
      <x:c r="D1975" s="7"/>
      <x:c r="E1975" t="n">
        <x:f>IF(ISNUMBER(A1975),1974,0)</x:f>
        <x:v>0</x:v>
      </x:c>
    </x:row>
    <x:row r="1976">
      <x:c r="A1976" s="6"/>
      <x:c r="B1976" s="7"/>
      <x:c r="C1976" s="7"/>
      <x:c r="D1976" s="7"/>
      <x:c r="E1976" t="n">
        <x:f>IF(ISNUMBER(A1976),1975,0)</x:f>
        <x:v>0</x:v>
      </x:c>
    </x:row>
    <x:row r="1977">
      <x:c r="A1977" s="6"/>
      <x:c r="B1977" s="7"/>
      <x:c r="C1977" s="7"/>
      <x:c r="D1977" s="7"/>
      <x:c r="E1977" t="n">
        <x:f>IF(ISNUMBER(A1977),1976,0)</x:f>
        <x:v>0</x:v>
      </x:c>
    </x:row>
    <x:row r="1978">
      <x:c r="A1978" s="6"/>
      <x:c r="B1978" s="7"/>
      <x:c r="C1978" s="7"/>
      <x:c r="D1978" s="7"/>
      <x:c r="E1978" t="n">
        <x:f>IF(ISNUMBER(A1978),1977,0)</x:f>
        <x:v>0</x:v>
      </x:c>
    </x:row>
    <x:row r="1979">
      <x:c r="A1979" s="6"/>
      <x:c r="B1979" s="7"/>
      <x:c r="C1979" s="7"/>
      <x:c r="D1979" s="7"/>
      <x:c r="E1979" t="n">
        <x:f>IF(ISNUMBER(A1979),1978,0)</x:f>
        <x:v>0</x:v>
      </x:c>
    </x:row>
    <x:row r="1980">
      <x:c r="A1980" s="6"/>
      <x:c r="B1980" s="7"/>
      <x:c r="C1980" s="7"/>
      <x:c r="D1980" s="7"/>
      <x:c r="E1980" t="n">
        <x:f>IF(ISNUMBER(A1980),1979,0)</x:f>
        <x:v>0</x:v>
      </x:c>
    </x:row>
    <x:row r="1981">
      <x:c r="A1981" s="6"/>
      <x:c r="B1981" s="7"/>
      <x:c r="C1981" s="7"/>
      <x:c r="D1981" s="7"/>
      <x:c r="E1981" t="n">
        <x:f>IF(ISNUMBER(A1981),1980,0)</x:f>
        <x:v>0</x:v>
      </x:c>
    </x:row>
    <x:row r="1982">
      <x:c r="A1982" s="6"/>
      <x:c r="B1982" s="7"/>
      <x:c r="C1982" s="7"/>
      <x:c r="D1982" s="7"/>
      <x:c r="E1982" t="n">
        <x:f>IF(ISNUMBER(A1982),1981,0)</x:f>
        <x:v>0</x:v>
      </x:c>
    </x:row>
    <x:row r="1983">
      <x:c r="A1983" s="6"/>
      <x:c r="B1983" s="7"/>
      <x:c r="C1983" s="7"/>
      <x:c r="D1983" s="7"/>
      <x:c r="E1983" t="n">
        <x:f>IF(ISNUMBER(A1983),1982,0)</x:f>
        <x:v>0</x:v>
      </x:c>
    </x:row>
    <x:row r="1984">
      <x:c r="A1984" s="6"/>
      <x:c r="B1984" s="7"/>
      <x:c r="C1984" s="7"/>
      <x:c r="D1984" s="7"/>
      <x:c r="E1984" t="n">
        <x:f>IF(ISNUMBER(A1984),1983,0)</x:f>
        <x:v>0</x:v>
      </x:c>
    </x:row>
    <x:row r="1985">
      <x:c r="A1985" s="6"/>
      <x:c r="B1985" s="7"/>
      <x:c r="C1985" s="7"/>
      <x:c r="D1985" s="7"/>
      <x:c r="E1985" t="n">
        <x:f>IF(ISNUMBER(A1985),1984,0)</x:f>
        <x:v>0</x:v>
      </x:c>
    </x:row>
    <x:row r="1986">
      <x:c r="A1986" s="6"/>
      <x:c r="B1986" s="7"/>
      <x:c r="C1986" s="7"/>
      <x:c r="D1986" s="7"/>
      <x:c r="E1986" t="n">
        <x:f>IF(ISNUMBER(A1986),1985,0)</x:f>
        <x:v>0</x:v>
      </x:c>
    </x:row>
    <x:row r="1987">
      <x:c r="A1987" s="6"/>
      <x:c r="B1987" s="7"/>
      <x:c r="C1987" s="7"/>
      <x:c r="D1987" s="7"/>
      <x:c r="E1987" t="n">
        <x:f>IF(ISNUMBER(A1987),1986,0)</x:f>
        <x:v>0</x:v>
      </x:c>
    </x:row>
    <x:row r="1988">
      <x:c r="A1988" s="6"/>
      <x:c r="B1988" s="7"/>
      <x:c r="C1988" s="7"/>
      <x:c r="D1988" s="7"/>
      <x:c r="E1988" t="n">
        <x:f>IF(ISNUMBER(A1988),1987,0)</x:f>
        <x:v>0</x:v>
      </x:c>
    </x:row>
    <x:row r="1989">
      <x:c r="A1989" s="6"/>
      <x:c r="B1989" s="7"/>
      <x:c r="C1989" s="7"/>
      <x:c r="D1989" s="7"/>
      <x:c r="E1989" t="n">
        <x:f>IF(ISNUMBER(A1989),1988,0)</x:f>
        <x:v>0</x:v>
      </x:c>
    </x:row>
    <x:row r="1990">
      <x:c r="A1990" s="6"/>
      <x:c r="B1990" s="7"/>
      <x:c r="C1990" s="7"/>
      <x:c r="D1990" s="7"/>
      <x:c r="E1990" t="n">
        <x:f>IF(ISNUMBER(A1990),1989,0)</x:f>
        <x:v>0</x:v>
      </x:c>
    </x:row>
    <x:row r="1991">
      <x:c r="A1991" s="6"/>
      <x:c r="B1991" s="7"/>
      <x:c r="C1991" s="7"/>
      <x:c r="D1991" s="7"/>
      <x:c r="E1991" t="n">
        <x:f>IF(ISNUMBER(A1991),1990,0)</x:f>
        <x:v>0</x:v>
      </x:c>
    </x:row>
    <x:row r="1992">
      <x:c r="A1992" s="6"/>
      <x:c r="B1992" s="7"/>
      <x:c r="C1992" s="7"/>
      <x:c r="D1992" s="7"/>
      <x:c r="E1992" t="n">
        <x:f>IF(ISNUMBER(A1992),1991,0)</x:f>
        <x:v>0</x:v>
      </x:c>
    </x:row>
    <x:row r="1993">
      <x:c r="A1993" s="6"/>
      <x:c r="B1993" s="7"/>
      <x:c r="C1993" s="7"/>
      <x:c r="D1993" s="7"/>
      <x:c r="E1993" t="n">
        <x:f>IF(ISNUMBER(A1993),1992,0)</x:f>
        <x:v>0</x:v>
      </x:c>
    </x:row>
    <x:row r="1994">
      <x:c r="A1994" s="6"/>
      <x:c r="B1994" s="7"/>
      <x:c r="C1994" s="7"/>
      <x:c r="D1994" s="7"/>
      <x:c r="E1994" t="n">
        <x:f>IF(ISNUMBER(A1994),1993,0)</x:f>
        <x:v>0</x:v>
      </x:c>
    </x:row>
    <x:row r="1995">
      <x:c r="A1995" s="6"/>
      <x:c r="B1995" s="7"/>
      <x:c r="C1995" s="7"/>
      <x:c r="D1995" s="7"/>
      <x:c r="E1995" t="n">
        <x:f>IF(ISNUMBER(A1995),1994,0)</x:f>
        <x:v>0</x:v>
      </x:c>
    </x:row>
    <x:row r="1996">
      <x:c r="A1996" s="6"/>
      <x:c r="B1996" s="7"/>
      <x:c r="C1996" s="7"/>
      <x:c r="D1996" s="7"/>
      <x:c r="E1996" t="n">
        <x:f>IF(ISNUMBER(A1996),1995,0)</x:f>
        <x:v>0</x:v>
      </x:c>
    </x:row>
    <x:row r="1997">
      <x:c r="A1997" s="6"/>
      <x:c r="B1997" s="7"/>
      <x:c r="C1997" s="7"/>
      <x:c r="D1997" s="7"/>
      <x:c r="E1997" t="n">
        <x:f>IF(ISNUMBER(A1997),1996,0)</x:f>
        <x:v>0</x:v>
      </x:c>
    </x:row>
    <x:row r="1998">
      <x:c r="A1998" s="6"/>
      <x:c r="B1998" s="7"/>
      <x:c r="C1998" s="7"/>
      <x:c r="D1998" s="7"/>
      <x:c r="E1998" t="n">
        <x:f>IF(ISNUMBER(A1998),1997,0)</x:f>
        <x:v>0</x:v>
      </x:c>
    </x:row>
    <x:row r="1999">
      <x:c r="A1999" s="6"/>
      <x:c r="B1999" s="7"/>
      <x:c r="C1999" s="7"/>
      <x:c r="D1999" s="7"/>
      <x:c r="E1999" t="n">
        <x:f>IF(ISNUMBER(A1999),1998,0)</x:f>
        <x:v>0</x:v>
      </x:c>
    </x:row>
    <x:row r="2000">
      <x:c r="A2000" s="6"/>
      <x:c r="B2000" s="7"/>
      <x:c r="C2000" s="7"/>
      <x:c r="D2000" s="7"/>
      <x:c r="E2000" t="n">
        <x:f>IF(ISNUMBER(A2000),1999,0)</x:f>
        <x:v>0</x:v>
      </x:c>
    </x:row>
    <x:row r="2001">
      <x:c r="A2001" s="6"/>
      <x:c r="B2001" s="7"/>
      <x:c r="C2001" s="7"/>
      <x:c r="D2001" s="7"/>
      <x:c r="E2001" t="n">
        <x:f>IF(ISNUMBER(A2001),2000,0)</x:f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6" customHeight="1">
      <x:c r="A1" s="9" t="str">
        <x:v>단계</x:v>
      </x:c>
      <x:c r="B1" s="9" t="str">
        <x:v>할 일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1" t="str">
        <x:v>0–5분</x:v>
      </x:c>
      <x:c r="B2" s="1" t="str">
        <x:v>요약!B4=1. 입력 단위와 n=1000 확인.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5–15분</x:v>
      </x:c>
      <x:c r="B3" s="1" t="str">
        <x:v>요약!B9:B12 왜도·초과첨도·JB를 식과 대조.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15–25분</x:v>
      </x:c>
      <x:c r="B4" s="1" t="str">
        <x:v>분포!F5:G16 빈도와 Q–Q 확인.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 t="str">
        <x:v>25–35분</x:v>
      </x:c>
      <x:c r="B5" s="1" t="str">
        <x:v>ACF!B5:D24 수익률과 절대/제곱 수익률 비교.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 t="str">
        <x:v>35–45분</x:v>
      </x:c>
      <x:c r="B6" s="1" t="str">
        <x:v>ACF!E5:G24의 LB-Q, df, p 비교.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" t="str">
        <x:v>45–60분</x:v>
      </x:c>
      <x:c r="B7" s="1" t="str">
        <x:v>t MLE/AIC: Python/Claude 경로. 가정과 파라미터 수 기록.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1" t="str">
        <x:v>60–80분</x:v>
      </x:c>
      <x:c r="B8" s="1" t="str">
        <x:v>Hill!B4 꼬리 선택, B5의 k 변화, F5:I24 민감도 기록.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1" t="str">
        <x:v>80–95분</x:v>
      </x:c>
      <x:c r="B9" s="1" t="str">
        <x:v>GPD-POT: 임계값 3개 이상, 초과수·ξ·β·QQ 비교.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" t="str">
        <x:v>95–100분</x:v>
      </x:c>
      <x:c r="B10" s="1" t="str">
        <x:v>결과표에 정규성·의존성·꼬리 적합의 한계를 한 문장씩 정리.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" t="str">
        <x:v>별도 심화</x:v>
      </x:c>
      <x:c r="B11" s="1" t="str">
        <x:v>ARCH-LM, 잔차 진단과 bootstrap; 본 100분 핵심과 분리.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 t="str">
        <x:v>미정의</x:v>
      </x:c>
      <x:c r="B12" s="1" t="str">
        <x:v>n&lt;3, 분산0, lag≥n, 입력 공백/문자, tail k≥양수표본수 등.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 t="str">
        <x:v>전체 시간</x:v>
      </x:c>
      <x:c r="B13" s="1" t="str">
        <x:v>소개/π/GBM 60분 + 통계 100분 + 휴식 20분 = 3시간; ABM 2시간.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</x:worksheet>
</file>